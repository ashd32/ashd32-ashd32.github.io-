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827" codeName="{8C4F1C90-05EB-6A55-5F09-09C24B55AC0B}"/>
  <workbookPr updateLinks="never" codeName="ThisWorkbook" hidePivotFieldList="1"/>
  <mc:AlternateContent xmlns:mc="http://schemas.openxmlformats.org/markup-compatibility/2006">
    <mc:Choice Requires="x15">
      <x15ac:absPath xmlns:x15ac="http://schemas.microsoft.com/office/spreadsheetml/2010/11/ac" url="D:\__AD ASSET LIBRARY\MY PROGRAMS &amp; EXCEL PROJECTS\"/>
    </mc:Choice>
  </mc:AlternateContent>
  <xr:revisionPtr revIDLastSave="0" documentId="13_ncr:1_{5A7FB4BA-43E1-47DC-9B25-CDCF15D7E1FF}" xr6:coauthVersionLast="37" xr6:coauthVersionMax="37" xr10:uidLastSave="{00000000-0000-0000-0000-000000000000}"/>
  <bookViews>
    <workbookView xWindow="0" yWindow="0" windowWidth="20490" windowHeight="6645" xr2:uid="{00000000-000D-0000-FFFF-FFFF00000000}"/>
  </bookViews>
  <sheets>
    <sheet name="Instructions" sheetId="28" r:id="rId1"/>
    <sheet name="Prod. SCHED" sheetId="12" r:id="rId2"/>
    <sheet name="CURRENT WIP" sheetId="10" state="hidden" r:id="rId3"/>
    <sheet name="WIP REPORT" sheetId="14" r:id="rId4"/>
    <sheet name="MOVEMENT" sheetId="11" r:id="rId5"/>
    <sheet name="HEAD COUNT" sheetId="16" r:id="rId6"/>
    <sheet name="EFFICIENCY" sheetId="15" r:id="rId7"/>
    <sheet name="FEBRUARY" sheetId="17" state="hidden" r:id="rId8"/>
    <sheet name="MARCH" sheetId="18" state="hidden" r:id="rId9"/>
    <sheet name="APRIL" sheetId="19" state="hidden" r:id="rId10"/>
    <sheet name="MAY" sheetId="20" r:id="rId11"/>
    <sheet name="JUNE" sheetId="21" r:id="rId12"/>
    <sheet name="JULY" sheetId="22" state="hidden" r:id="rId13"/>
    <sheet name="AUGUST" sheetId="23" state="hidden" r:id="rId14"/>
    <sheet name="SEPTEMBER" sheetId="24" state="hidden" r:id="rId15"/>
    <sheet name="OCTOBER" sheetId="25" state="hidden" r:id="rId16"/>
    <sheet name="NOVEMBER" sheetId="26" state="hidden" r:id="rId17"/>
    <sheet name="DECEMBER" sheetId="27" state="hidden" r:id="rId18"/>
  </sheets>
  <externalReferences>
    <externalReference r:id="rId19"/>
    <externalReference r:id="rId20"/>
  </externalReferences>
  <definedNames>
    <definedName name="_xlnm._FilterDatabase" localSheetId="1" hidden="1">'Prod. SCHED'!$A$1:$Z$520</definedName>
    <definedName name="_xlcn.WorksheetConnection_MOVEMENTAM45BG75" hidden="1">MOVEMENT!$AM$56:$BG$96</definedName>
    <definedName name="HOURS" localSheetId="9">[1]EFFICIENCY!$G$19:$I$27</definedName>
    <definedName name="HOURS" localSheetId="13">[1]EFFICIENCY!$G$19:$I$27</definedName>
    <definedName name="HOURS" localSheetId="17">[1]EFFICIENCY!$G$19:$I$27</definedName>
    <definedName name="HOURS" localSheetId="7">[1]EFFICIENCY!$G$19:$I$27</definedName>
    <definedName name="HOURS" localSheetId="12">[1]EFFICIENCY!$G$19:$I$27</definedName>
    <definedName name="HOURS" localSheetId="11">[1]EFFICIENCY!$G$19:$I$27</definedName>
    <definedName name="HOURS" localSheetId="8">[1]EFFICIENCY!$G$19:$I$27</definedName>
    <definedName name="HOURS" localSheetId="10">[1]EFFICIENCY!$G$19:$I$27</definedName>
    <definedName name="HOURS" localSheetId="16">[1]EFFICIENCY!$G$19:$I$27</definedName>
    <definedName name="HOURS" localSheetId="15">[1]EFFICIENCY!$G$19:$I$27</definedName>
    <definedName name="HOURS" localSheetId="14">[1]EFFICIENCY!$G$19:$I$27</definedName>
    <definedName name="HOURS">EFFICIENCY!$G$19:$I$27</definedName>
    <definedName name="MASTER" localSheetId="9">#REF!</definedName>
    <definedName name="MASTER" localSheetId="13">#REF!</definedName>
    <definedName name="MASTER" localSheetId="17">#REF!</definedName>
    <definedName name="MASTER" localSheetId="6">#REF!</definedName>
    <definedName name="MASTER" localSheetId="7">#REF!</definedName>
    <definedName name="MASTER" localSheetId="12">#REF!</definedName>
    <definedName name="MASTER" localSheetId="11">#REF!</definedName>
    <definedName name="MASTER" localSheetId="8">#REF!</definedName>
    <definedName name="MASTER" localSheetId="10">#REF!</definedName>
    <definedName name="MASTER" localSheetId="16">#REF!</definedName>
    <definedName name="MASTER" localSheetId="15">#REF!</definedName>
    <definedName name="MASTER" localSheetId="14">#REF!</definedName>
    <definedName name="MASTER">#REF!</definedName>
    <definedName name="_xlnm.Print_Area" localSheetId="3">'WIP REPORT'!$D$4:$X$51</definedName>
    <definedName name="PRODUCTION" localSheetId="9">'[1]Prod. SCHED'!$B$2:$V$506</definedName>
    <definedName name="PRODUCTION" localSheetId="13">'[1]Prod. SCHED'!$B$2:$V$506</definedName>
    <definedName name="PRODUCTION" localSheetId="17">'[1]Prod. SCHED'!$B$2:$V$506</definedName>
    <definedName name="PRODUCTION" localSheetId="6">'[2]Prod. SCHED'!$B$2:$V$506</definedName>
    <definedName name="PRODUCTION" localSheetId="7">'[1]Prod. SCHED'!$B$2:$V$506</definedName>
    <definedName name="PRODUCTION" localSheetId="12">'[1]Prod. SCHED'!$B$2:$V$506</definedName>
    <definedName name="PRODUCTION" localSheetId="11">'[1]Prod. SCHED'!$B$2:$V$506</definedName>
    <definedName name="PRODUCTION" localSheetId="8">'[1]Prod. SCHED'!$B$2:$V$506</definedName>
    <definedName name="PRODUCTION" localSheetId="10">'[1]Prod. SCHED'!$B$2:$V$506</definedName>
    <definedName name="PRODUCTION" localSheetId="16">'[1]Prod. SCHED'!$B$2:$V$506</definedName>
    <definedName name="PRODUCTION" localSheetId="15">'[1]Prod. SCHED'!$B$2:$V$506</definedName>
    <definedName name="PRODUCTION" localSheetId="14">'[1]Prod. SCHED'!$B$2:$V$506</definedName>
    <definedName name="PRODUCTION">'Prod. SCHED'!$B$2:$V$506</definedName>
    <definedName name="Query_from_Excel_Files_2" localSheetId="2" hidden="1">'CURRENT WIP'!#REF!</definedName>
    <definedName name="valuevx">42.314159</definedName>
    <definedName name="WIP" localSheetId="9">'[1]CURRENT WIP'!$F$22:$Z$148</definedName>
    <definedName name="WIP" localSheetId="13">'[1]CURRENT WIP'!$F$22:$Z$148</definedName>
    <definedName name="WIP" localSheetId="17">'[1]CURRENT WIP'!$F$22:$Z$148</definedName>
    <definedName name="WIP" localSheetId="6">'[2]CURRENT WIP'!$F$22:$Z$148</definedName>
    <definedName name="WIP" localSheetId="7">'[1]CURRENT WIP'!$F$22:$Z$148</definedName>
    <definedName name="WIP" localSheetId="12">'[1]CURRENT WIP'!$F$22:$Z$148</definedName>
    <definedName name="WIP" localSheetId="11">'[1]CURRENT WIP'!$F$22:$Z$148</definedName>
    <definedName name="WIP" localSheetId="8">'[1]CURRENT WIP'!$F$22:$Z$148</definedName>
    <definedName name="WIP" localSheetId="10">'[1]CURRENT WIP'!$F$22:$Z$148</definedName>
    <definedName name="WIP" localSheetId="16">'[1]CURRENT WIP'!$F$22:$Z$148</definedName>
    <definedName name="WIP" localSheetId="15">'[1]CURRENT WIP'!$F$22:$Z$148</definedName>
    <definedName name="WIP" localSheetId="14">'[1]CURRENT WIP'!$F$22:$Z$148</definedName>
    <definedName name="WIP">'CURRENT WIP'!$F$22:$Z$148</definedName>
  </definedNames>
  <calcPr calcId="162913" iterate="1"/>
  <customWorkbookViews>
    <customWorkbookView name="Donald, Ashley - Personal View" guid="{6899E21D-3416-4557-98F3-378748EEB665}" mergeInterval="0" personalView="1" maximized="1" xWindow="1672" yWindow="-8" windowWidth="1936" windowHeight="1096" activeSheetId="1"/>
    <customWorkbookView name="staceywes - Personal View" guid="{18A50ABE-0845-467F-B32C-58569637C7DD}" mergeInterval="0" personalView="1" maximized="1" xWindow="-8" yWindow="-8" windowWidth="1936" windowHeight="1176" activeSheetId="4"/>
    <customWorkbookView name="Villanueva, Jose - Personal View" guid="{9D6CF79F-9BFF-41FB-B126-8B5B8548C124}" mergeInterval="0" personalView="1" maximized="1" windowWidth="1920" windowHeight="855" activeSheetId="2"/>
    <customWorkbookView name="michaelasa - Personal View" guid="{8833D68F-B9C1-47ED-9F98-79A86CD6B1A7}" mergeInterval="0" personalView="1" maximized="1" windowWidth="1680" windowHeight="775" activeSheetId="4"/>
    <customWorkbookView name="Barnhardt, Marcus - Personal View" guid="{A3BBE9CE-EF4D-42A5-A0D9-3A0D8D73460C}" mergeInterval="0" personalView="1" maximized="1" xWindow="-8" yWindow="-8" windowWidth="1936" windowHeight="1176" activeSheetId="3"/>
    <customWorkbookView name="Ocejo, Ruben F - Personal View" guid="{5100BED3-340B-404C-8F4D-A879CA311A1C}" mergeInterval="0" personalView="1" maximized="1" windowWidth="1920" windowHeight="949" activeSheetId="6"/>
  </customWorkbookViews>
  <extLst>
    <ext xmlns:x15="http://schemas.microsoft.com/office/spreadsheetml/2010/11/main" uri="{FCE2AD5D-F65C-4FA6-A056-5C36A1767C68}">
      <x15:dataModel>
        <x15:modelTables>
          <x15:modelTable id="Range1-2e2f8f30-fa6a-407b-82dc-36d134db9a4f" name="Range1" connection="WorksheetConnection_MOVEMENT!$AM$45:$BG$75"/>
        </x15:modelTables>
      </x15:dataModel>
    </ext>
  </extLst>
</workbook>
</file>

<file path=xl/calcChain.xml><?xml version="1.0" encoding="utf-8"?>
<calcChain xmlns="http://schemas.openxmlformats.org/spreadsheetml/2006/main">
  <c r="BO57" i="11" l="1"/>
  <c r="BM145" i="11" l="1"/>
  <c r="BP56" i="27"/>
  <c r="BJ60" i="27" s="1"/>
  <c r="BF56" i="27"/>
  <c r="AZ60" i="27" s="1"/>
  <c r="AV56" i="27"/>
  <c r="AP60" i="27" s="1"/>
  <c r="AL56" i="27"/>
  <c r="AF60" i="27" s="1"/>
  <c r="AB56" i="27"/>
  <c r="V60" i="27" s="1"/>
  <c r="R56" i="27"/>
  <c r="L60" i="27" s="1"/>
  <c r="BJ54" i="27"/>
  <c r="AZ54" i="27"/>
  <c r="BB57" i="27" s="1"/>
  <c r="AP54" i="27"/>
  <c r="AT57" i="27" s="1"/>
  <c r="AF54" i="27"/>
  <c r="AJ58" i="27" s="1"/>
  <c r="AJ62" i="27" s="1"/>
  <c r="V54" i="27"/>
  <c r="L54" i="27"/>
  <c r="N57" i="27" s="1"/>
  <c r="BJ47" i="27"/>
  <c r="BD45" i="27"/>
  <c r="BD50" i="27" s="1"/>
  <c r="P45" i="27"/>
  <c r="BD44" i="27"/>
  <c r="BP43" i="27"/>
  <c r="BF43" i="27"/>
  <c r="AZ47" i="27" s="1"/>
  <c r="AV43" i="27"/>
  <c r="AP47" i="27" s="1"/>
  <c r="AL43" i="27"/>
  <c r="AF47" i="27" s="1"/>
  <c r="AB43" i="27"/>
  <c r="V47" i="27" s="1"/>
  <c r="R43" i="27"/>
  <c r="L47" i="27" s="1"/>
  <c r="BJ41" i="27"/>
  <c r="BN45" i="27" s="1"/>
  <c r="AZ41" i="27"/>
  <c r="BB44" i="27" s="1"/>
  <c r="AP41" i="27"/>
  <c r="AT45" i="27" s="1"/>
  <c r="AT49" i="27" s="1"/>
  <c r="AF41" i="27"/>
  <c r="AJ44" i="27" s="1"/>
  <c r="V41" i="27"/>
  <c r="X44" i="27" s="1"/>
  <c r="L41" i="27"/>
  <c r="N44" i="27" s="1"/>
  <c r="H35" i="27"/>
  <c r="G35" i="27"/>
  <c r="BJ34" i="27"/>
  <c r="H34" i="27"/>
  <c r="G34" i="27"/>
  <c r="H33" i="27"/>
  <c r="G33" i="27"/>
  <c r="H32" i="27"/>
  <c r="G32" i="27"/>
  <c r="H31" i="27"/>
  <c r="G31" i="27"/>
  <c r="BP30" i="27"/>
  <c r="BF30" i="27"/>
  <c r="AZ34" i="27" s="1"/>
  <c r="AV30" i="27"/>
  <c r="AP34" i="27" s="1"/>
  <c r="AL30" i="27"/>
  <c r="AF34" i="27" s="1"/>
  <c r="AB30" i="27"/>
  <c r="V34" i="27" s="1"/>
  <c r="R30" i="27"/>
  <c r="L34" i="27" s="1"/>
  <c r="H30" i="27"/>
  <c r="G30" i="27"/>
  <c r="H29" i="27"/>
  <c r="G29" i="27"/>
  <c r="BJ28" i="27"/>
  <c r="BL32" i="27" s="1"/>
  <c r="BL35" i="27" s="1"/>
  <c r="AZ28" i="27"/>
  <c r="AP28" i="27"/>
  <c r="AR32" i="27" s="1"/>
  <c r="AR37" i="27" s="1"/>
  <c r="AF28" i="27"/>
  <c r="AH31" i="27" s="1"/>
  <c r="V28" i="27"/>
  <c r="X31" i="27" s="1"/>
  <c r="L28" i="27"/>
  <c r="H28" i="27"/>
  <c r="G28" i="27"/>
  <c r="H27" i="27"/>
  <c r="G27" i="27"/>
  <c r="H26" i="27"/>
  <c r="G26" i="27"/>
  <c r="H25" i="27"/>
  <c r="G25" i="27"/>
  <c r="H24" i="27"/>
  <c r="G24" i="27"/>
  <c r="H23" i="27"/>
  <c r="G23" i="27"/>
  <c r="H22" i="27"/>
  <c r="G22" i="27"/>
  <c r="AP21" i="27"/>
  <c r="H21" i="27"/>
  <c r="G21" i="27"/>
  <c r="H20" i="27"/>
  <c r="G20" i="27"/>
  <c r="H19" i="27"/>
  <c r="G19" i="27"/>
  <c r="H18" i="27"/>
  <c r="G18" i="27"/>
  <c r="BP17" i="27"/>
  <c r="BJ21" i="27" s="1"/>
  <c r="BF17" i="27"/>
  <c r="AZ21" i="27" s="1"/>
  <c r="AV17" i="27"/>
  <c r="AL17" i="27"/>
  <c r="AF21" i="27" s="1"/>
  <c r="AB17" i="27"/>
  <c r="V21" i="27" s="1"/>
  <c r="R17" i="27"/>
  <c r="L21" i="27" s="1"/>
  <c r="H17" i="27"/>
  <c r="G17" i="27"/>
  <c r="H16" i="27"/>
  <c r="G16" i="27"/>
  <c r="BJ15" i="27"/>
  <c r="BL19" i="27" s="1"/>
  <c r="BL23" i="27" s="1"/>
  <c r="AZ15" i="27"/>
  <c r="BB19" i="27" s="1"/>
  <c r="AP15" i="27"/>
  <c r="AF15" i="27"/>
  <c r="V15" i="27"/>
  <c r="X19" i="27" s="1"/>
  <c r="X24" i="27" s="1"/>
  <c r="L15" i="27"/>
  <c r="P19" i="27" s="1"/>
  <c r="H15" i="27"/>
  <c r="G15" i="27"/>
  <c r="H14" i="27"/>
  <c r="G14" i="27"/>
  <c r="H13" i="27"/>
  <c r="G13" i="27"/>
  <c r="H12" i="27"/>
  <c r="G12" i="27"/>
  <c r="H11" i="27"/>
  <c r="G11" i="27"/>
  <c r="H10" i="27"/>
  <c r="G10" i="27"/>
  <c r="H9" i="27"/>
  <c r="G9" i="27"/>
  <c r="AZ8" i="27"/>
  <c r="AP8" i="27"/>
  <c r="H8" i="27"/>
  <c r="G8" i="27"/>
  <c r="H7" i="27"/>
  <c r="G7" i="27"/>
  <c r="AT6" i="27"/>
  <c r="H6" i="27"/>
  <c r="G6" i="27"/>
  <c r="BL5" i="27"/>
  <c r="H5" i="27"/>
  <c r="G5" i="27"/>
  <c r="BP4" i="27"/>
  <c r="BJ8" i="27" s="1"/>
  <c r="BF4" i="27"/>
  <c r="AV4" i="27"/>
  <c r="BJ2" i="27"/>
  <c r="BL6" i="27" s="1"/>
  <c r="AZ2" i="27"/>
  <c r="AP2" i="27"/>
  <c r="AR5" i="27" s="1"/>
  <c r="G36" i="26"/>
  <c r="H36" i="26"/>
  <c r="L2" i="26"/>
  <c r="P6" i="26" s="1"/>
  <c r="BP56" i="26"/>
  <c r="BJ60" i="26" s="1"/>
  <c r="BF56" i="26"/>
  <c r="AZ60" i="26" s="1"/>
  <c r="AV56" i="26"/>
  <c r="AP60" i="26" s="1"/>
  <c r="AL56" i="26"/>
  <c r="AF60" i="26" s="1"/>
  <c r="AB56" i="26"/>
  <c r="V60" i="26" s="1"/>
  <c r="R56" i="26"/>
  <c r="L60" i="26" s="1"/>
  <c r="BJ54" i="26"/>
  <c r="BL58" i="26" s="1"/>
  <c r="BL63" i="26" s="1"/>
  <c r="AZ54" i="26"/>
  <c r="BD58" i="26" s="1"/>
  <c r="AP54" i="26"/>
  <c r="AR58" i="26" s="1"/>
  <c r="AR62" i="26" s="1"/>
  <c r="AF54" i="26"/>
  <c r="AJ57" i="26" s="1"/>
  <c r="V54" i="26"/>
  <c r="L54" i="26"/>
  <c r="P58" i="26" s="1"/>
  <c r="P62" i="26" s="1"/>
  <c r="BJ47" i="26"/>
  <c r="V47" i="26"/>
  <c r="BP43" i="26"/>
  <c r="BF43" i="26"/>
  <c r="AZ47" i="26" s="1"/>
  <c r="AV43" i="26"/>
  <c r="AP47" i="26" s="1"/>
  <c r="AL43" i="26"/>
  <c r="AF47" i="26" s="1"/>
  <c r="AB43" i="26"/>
  <c r="R43" i="26"/>
  <c r="L47" i="26" s="1"/>
  <c r="BJ41" i="26"/>
  <c r="BL45" i="26" s="1"/>
  <c r="BL48" i="26" s="1"/>
  <c r="AZ41" i="26"/>
  <c r="BD45" i="26" s="1"/>
  <c r="BD49" i="26" s="1"/>
  <c r="AP41" i="26"/>
  <c r="AR45" i="26" s="1"/>
  <c r="AF41" i="26"/>
  <c r="AJ44" i="26" s="1"/>
  <c r="V41" i="26"/>
  <c r="L41" i="26"/>
  <c r="P45" i="26" s="1"/>
  <c r="P49" i="26" s="1"/>
  <c r="H35" i="26"/>
  <c r="G35" i="26"/>
  <c r="AP34" i="26"/>
  <c r="H34" i="26"/>
  <c r="G34" i="26"/>
  <c r="H33" i="26"/>
  <c r="G33" i="26"/>
  <c r="H32" i="26"/>
  <c r="G32" i="26"/>
  <c r="H31" i="26"/>
  <c r="G31" i="26"/>
  <c r="BP30" i="26"/>
  <c r="BJ34" i="26" s="1"/>
  <c r="BF30" i="26"/>
  <c r="AZ34" i="26" s="1"/>
  <c r="AV30" i="26"/>
  <c r="AL30" i="26"/>
  <c r="AF34" i="26" s="1"/>
  <c r="AB30" i="26"/>
  <c r="V34" i="26" s="1"/>
  <c r="R30" i="26"/>
  <c r="L34" i="26" s="1"/>
  <c r="H30" i="26"/>
  <c r="G30" i="26"/>
  <c r="H29" i="26"/>
  <c r="G29" i="26"/>
  <c r="BJ28" i="26"/>
  <c r="BL32" i="26" s="1"/>
  <c r="BL36" i="26" s="1"/>
  <c r="AZ28" i="26"/>
  <c r="BB32" i="26" s="1"/>
  <c r="AP28" i="26"/>
  <c r="AR31" i="26" s="1"/>
  <c r="AF28" i="26"/>
  <c r="AJ32" i="26" s="1"/>
  <c r="AJ36" i="26" s="1"/>
  <c r="V28" i="26"/>
  <c r="X32" i="26" s="1"/>
  <c r="X36" i="26" s="1"/>
  <c r="L28" i="26"/>
  <c r="N32" i="26" s="1"/>
  <c r="H28" i="26"/>
  <c r="G28" i="26"/>
  <c r="H27" i="26"/>
  <c r="G27" i="26"/>
  <c r="H26" i="26"/>
  <c r="G26" i="26"/>
  <c r="H25" i="26"/>
  <c r="G25" i="26"/>
  <c r="H24" i="26"/>
  <c r="G24" i="26"/>
  <c r="H23" i="26"/>
  <c r="G23" i="26"/>
  <c r="H22" i="26"/>
  <c r="G22" i="26"/>
  <c r="H21" i="26"/>
  <c r="G21" i="26"/>
  <c r="H20" i="26"/>
  <c r="G20" i="26"/>
  <c r="H19" i="26"/>
  <c r="G19" i="26"/>
  <c r="H18" i="26"/>
  <c r="G18" i="26"/>
  <c r="BP17" i="26"/>
  <c r="BJ21" i="26" s="1"/>
  <c r="BF17" i="26"/>
  <c r="AZ21" i="26" s="1"/>
  <c r="AV17" i="26"/>
  <c r="AP21" i="26" s="1"/>
  <c r="AL17" i="26"/>
  <c r="AF21" i="26" s="1"/>
  <c r="AB17" i="26"/>
  <c r="V21" i="26" s="1"/>
  <c r="R17" i="26"/>
  <c r="L21" i="26" s="1"/>
  <c r="H17" i="26"/>
  <c r="G17" i="26"/>
  <c r="H16" i="26"/>
  <c r="G16" i="26"/>
  <c r="BJ15" i="26"/>
  <c r="BL19" i="26" s="1"/>
  <c r="AZ15" i="26"/>
  <c r="BB18" i="26" s="1"/>
  <c r="AP15" i="26"/>
  <c r="AT19" i="26" s="1"/>
  <c r="AF15" i="26"/>
  <c r="AH19" i="26" s="1"/>
  <c r="V15" i="26"/>
  <c r="X19" i="26" s="1"/>
  <c r="L15" i="26"/>
  <c r="N19" i="26" s="1"/>
  <c r="N24" i="26" s="1"/>
  <c r="H15" i="26"/>
  <c r="G15" i="26"/>
  <c r="H14" i="26"/>
  <c r="G14" i="26"/>
  <c r="H13" i="26"/>
  <c r="G13" i="26"/>
  <c r="H12" i="26"/>
  <c r="G12" i="26"/>
  <c r="H11" i="26"/>
  <c r="G11" i="26"/>
  <c r="H10" i="26"/>
  <c r="G10" i="26"/>
  <c r="H9" i="26"/>
  <c r="G9" i="26"/>
  <c r="AP8" i="26"/>
  <c r="H8" i="26"/>
  <c r="G8" i="26"/>
  <c r="H7" i="26"/>
  <c r="G7" i="26"/>
  <c r="N6" i="26"/>
  <c r="N11" i="26" s="1"/>
  <c r="H6" i="26"/>
  <c r="G6" i="26"/>
  <c r="N5" i="26"/>
  <c r="H5" i="26"/>
  <c r="G5" i="26"/>
  <c r="BP4" i="26"/>
  <c r="BJ8" i="26" s="1"/>
  <c r="BF4" i="26"/>
  <c r="AZ8" i="26" s="1"/>
  <c r="AV4" i="26"/>
  <c r="AL4" i="26"/>
  <c r="AF8" i="26" s="1"/>
  <c r="AB4" i="26"/>
  <c r="V8" i="26" s="1"/>
  <c r="R4" i="26"/>
  <c r="L8" i="26" s="1"/>
  <c r="H4" i="26"/>
  <c r="G4" i="26"/>
  <c r="H3" i="26"/>
  <c r="G3" i="26"/>
  <c r="BJ2" i="26"/>
  <c r="BL6" i="26" s="1"/>
  <c r="AZ2" i="26"/>
  <c r="BB6" i="26" s="1"/>
  <c r="AP2" i="26"/>
  <c r="AR6" i="26" s="1"/>
  <c r="AF2" i="26"/>
  <c r="AJ6" i="26" s="1"/>
  <c r="AJ11" i="26" s="1"/>
  <c r="V2" i="26"/>
  <c r="X6" i="26" s="1"/>
  <c r="X11" i="26" s="1"/>
  <c r="BP56" i="25"/>
  <c r="BJ60" i="25" s="1"/>
  <c r="BF56" i="25"/>
  <c r="AZ60" i="25" s="1"/>
  <c r="AV56" i="25"/>
  <c r="AP60" i="25" s="1"/>
  <c r="AL56" i="25"/>
  <c r="AF60" i="25" s="1"/>
  <c r="AB56" i="25"/>
  <c r="V60" i="25" s="1"/>
  <c r="R56" i="25"/>
  <c r="L60" i="25" s="1"/>
  <c r="BJ54" i="25"/>
  <c r="BN58" i="25" s="1"/>
  <c r="AZ54" i="25"/>
  <c r="BB57" i="25" s="1"/>
  <c r="AP54" i="25"/>
  <c r="AT58" i="25" s="1"/>
  <c r="AF54" i="25"/>
  <c r="AH58" i="25" s="1"/>
  <c r="AH62" i="25" s="1"/>
  <c r="V54" i="25"/>
  <c r="L54" i="25"/>
  <c r="N57" i="25" s="1"/>
  <c r="BP43" i="25"/>
  <c r="BJ47" i="25" s="1"/>
  <c r="BF43" i="25"/>
  <c r="AZ47" i="25" s="1"/>
  <c r="AV43" i="25"/>
  <c r="AP47" i="25" s="1"/>
  <c r="AL43" i="25"/>
  <c r="AF47" i="25" s="1"/>
  <c r="AB43" i="25"/>
  <c r="V47" i="25" s="1"/>
  <c r="R43" i="25"/>
  <c r="L47" i="25" s="1"/>
  <c r="BJ41" i="25"/>
  <c r="BN44" i="25" s="1"/>
  <c r="AZ41" i="25"/>
  <c r="BB44" i="25" s="1"/>
  <c r="AP41" i="25"/>
  <c r="AT45" i="25" s="1"/>
  <c r="AT49" i="25" s="1"/>
  <c r="AF41" i="25"/>
  <c r="AJ45" i="25" s="1"/>
  <c r="V41" i="25"/>
  <c r="Z44" i="25" s="1"/>
  <c r="L41" i="25"/>
  <c r="N44" i="25" s="1"/>
  <c r="H36" i="25"/>
  <c r="G36" i="25"/>
  <c r="H35" i="25"/>
  <c r="G35" i="25"/>
  <c r="AF34" i="25"/>
  <c r="H34" i="25"/>
  <c r="G34" i="25"/>
  <c r="H33" i="25"/>
  <c r="G33" i="25"/>
  <c r="H32" i="25"/>
  <c r="G32" i="25"/>
  <c r="H31" i="25"/>
  <c r="G31" i="25"/>
  <c r="BP30" i="25"/>
  <c r="BJ34" i="25" s="1"/>
  <c r="BF30" i="25"/>
  <c r="AZ34" i="25" s="1"/>
  <c r="AV30" i="25"/>
  <c r="AP34" i="25" s="1"/>
  <c r="AL30" i="25"/>
  <c r="AB30" i="25"/>
  <c r="V34" i="25" s="1"/>
  <c r="R30" i="25"/>
  <c r="L34" i="25" s="1"/>
  <c r="H30" i="25"/>
  <c r="G30" i="25"/>
  <c r="H29" i="25"/>
  <c r="G29" i="25"/>
  <c r="BJ28" i="25"/>
  <c r="BL32" i="25" s="1"/>
  <c r="AZ28" i="25"/>
  <c r="BD32" i="25" s="1"/>
  <c r="BD36" i="25" s="1"/>
  <c r="AP28" i="25"/>
  <c r="AR31" i="25" s="1"/>
  <c r="AF28" i="25"/>
  <c r="AJ32" i="25" s="1"/>
  <c r="AJ36" i="25" s="1"/>
  <c r="V28" i="25"/>
  <c r="Z31" i="25" s="1"/>
  <c r="L28" i="25"/>
  <c r="P32" i="25" s="1"/>
  <c r="P35" i="25" s="1"/>
  <c r="H28" i="25"/>
  <c r="G28" i="25"/>
  <c r="H27" i="25"/>
  <c r="G27" i="25"/>
  <c r="H26" i="25"/>
  <c r="G26" i="25"/>
  <c r="H25" i="25"/>
  <c r="G25" i="25"/>
  <c r="H24" i="25"/>
  <c r="G24" i="25"/>
  <c r="H23" i="25"/>
  <c r="G23" i="25"/>
  <c r="H22" i="25"/>
  <c r="G22" i="25"/>
  <c r="H21" i="25"/>
  <c r="G21" i="25"/>
  <c r="H20" i="25"/>
  <c r="G20" i="25"/>
  <c r="H19" i="25"/>
  <c r="G19" i="25"/>
  <c r="H18" i="25"/>
  <c r="G18" i="25"/>
  <c r="BP17" i="25"/>
  <c r="BJ21" i="25" s="1"/>
  <c r="BF17" i="25"/>
  <c r="AZ21" i="25" s="1"/>
  <c r="AV17" i="25"/>
  <c r="AP21" i="25" s="1"/>
  <c r="AL17" i="25"/>
  <c r="AF21" i="25" s="1"/>
  <c r="AB17" i="25"/>
  <c r="V21" i="25" s="1"/>
  <c r="R17" i="25"/>
  <c r="L21" i="25" s="1"/>
  <c r="H17" i="25"/>
  <c r="G17" i="25"/>
  <c r="H16" i="25"/>
  <c r="G16" i="25"/>
  <c r="BJ15" i="25"/>
  <c r="BL19" i="25" s="1"/>
  <c r="AZ15" i="25"/>
  <c r="BB19" i="25" s="1"/>
  <c r="AP15" i="25"/>
  <c r="AF15" i="25"/>
  <c r="V15" i="25"/>
  <c r="X19" i="25" s="1"/>
  <c r="L15" i="25"/>
  <c r="P19" i="25" s="1"/>
  <c r="H15" i="25"/>
  <c r="G15" i="25"/>
  <c r="H14" i="25"/>
  <c r="G14" i="25"/>
  <c r="H13" i="25"/>
  <c r="G13" i="25"/>
  <c r="H12" i="25"/>
  <c r="G12" i="25"/>
  <c r="H11" i="25"/>
  <c r="G11" i="25"/>
  <c r="H10" i="25"/>
  <c r="G10" i="25"/>
  <c r="H9" i="25"/>
  <c r="G9" i="25"/>
  <c r="H8" i="25"/>
  <c r="G8" i="25"/>
  <c r="H7" i="25"/>
  <c r="G7" i="25"/>
  <c r="BP4" i="25"/>
  <c r="BJ8" i="25" s="1"/>
  <c r="BJ2" i="25"/>
  <c r="BL6" i="25" s="1"/>
  <c r="AP2" i="24"/>
  <c r="AR6" i="24" s="1"/>
  <c r="AR10" i="24" s="1"/>
  <c r="H35" i="24"/>
  <c r="G35" i="24"/>
  <c r="H34" i="24"/>
  <c r="G34" i="24"/>
  <c r="H33" i="24"/>
  <c r="G33" i="24"/>
  <c r="H32" i="24"/>
  <c r="G32" i="24"/>
  <c r="H31" i="24"/>
  <c r="G31" i="24"/>
  <c r="H30" i="24"/>
  <c r="G30" i="24"/>
  <c r="H29" i="24"/>
  <c r="G29" i="24"/>
  <c r="H28" i="24"/>
  <c r="G28" i="24"/>
  <c r="H27" i="24"/>
  <c r="G27" i="24"/>
  <c r="H26" i="24"/>
  <c r="G26" i="24"/>
  <c r="H25" i="24"/>
  <c r="G25" i="24"/>
  <c r="H24" i="24"/>
  <c r="G24" i="24"/>
  <c r="H23" i="24"/>
  <c r="G23" i="24"/>
  <c r="H22" i="24"/>
  <c r="G22" i="24"/>
  <c r="H21" i="24"/>
  <c r="G21" i="24"/>
  <c r="H20" i="24"/>
  <c r="G20" i="24"/>
  <c r="H19" i="24"/>
  <c r="G19" i="24"/>
  <c r="H18" i="24"/>
  <c r="G18" i="24"/>
  <c r="H17" i="24"/>
  <c r="G17" i="24"/>
  <c r="H16" i="24"/>
  <c r="G16" i="24"/>
  <c r="H15" i="24"/>
  <c r="G15" i="24"/>
  <c r="H14" i="24"/>
  <c r="G14" i="24"/>
  <c r="H13" i="24"/>
  <c r="G13" i="24"/>
  <c r="H12" i="24"/>
  <c r="G12" i="24"/>
  <c r="H11" i="24"/>
  <c r="G11" i="24"/>
  <c r="H10" i="24"/>
  <c r="G10" i="24"/>
  <c r="H9" i="24"/>
  <c r="G9" i="24"/>
  <c r="H8" i="24"/>
  <c r="G8" i="24"/>
  <c r="H7" i="24"/>
  <c r="G7" i="24"/>
  <c r="H6" i="24"/>
  <c r="G6" i="24"/>
  <c r="H5" i="24"/>
  <c r="G5" i="24"/>
  <c r="BJ60" i="24"/>
  <c r="V60" i="24"/>
  <c r="AT57" i="24"/>
  <c r="AR57" i="24"/>
  <c r="BP56" i="24"/>
  <c r="BF56" i="24"/>
  <c r="AZ60" i="24" s="1"/>
  <c r="AV56" i="24"/>
  <c r="AP60" i="24" s="1"/>
  <c r="AL56" i="24"/>
  <c r="AF60" i="24" s="1"/>
  <c r="AB56" i="24"/>
  <c r="R56" i="24"/>
  <c r="L60" i="24" s="1"/>
  <c r="BJ54" i="24"/>
  <c r="BL58" i="24" s="1"/>
  <c r="AZ54" i="24"/>
  <c r="BD58" i="24" s="1"/>
  <c r="AP54" i="24"/>
  <c r="AR58" i="24" s="1"/>
  <c r="AF54" i="24"/>
  <c r="V54" i="24"/>
  <c r="X58" i="24" s="1"/>
  <c r="X61" i="24" s="1"/>
  <c r="L54" i="24"/>
  <c r="P58" i="24" s="1"/>
  <c r="P62" i="24" s="1"/>
  <c r="BP43" i="24"/>
  <c r="BJ47" i="24" s="1"/>
  <c r="BF43" i="24"/>
  <c r="AZ47" i="24" s="1"/>
  <c r="AV43" i="24"/>
  <c r="AP47" i="24" s="1"/>
  <c r="AL43" i="24"/>
  <c r="AF47" i="24" s="1"/>
  <c r="AB43" i="24"/>
  <c r="V47" i="24" s="1"/>
  <c r="R43" i="24"/>
  <c r="L47" i="24" s="1"/>
  <c r="BJ41" i="24"/>
  <c r="BL45" i="24" s="1"/>
  <c r="BL48" i="24" s="1"/>
  <c r="AZ41" i="24"/>
  <c r="BD45" i="24" s="1"/>
  <c r="AP41" i="24"/>
  <c r="AR45" i="24" s="1"/>
  <c r="AR49" i="24" s="1"/>
  <c r="AF41" i="24"/>
  <c r="AJ45" i="24" s="1"/>
  <c r="V41" i="24"/>
  <c r="X45" i="24" s="1"/>
  <c r="X50" i="24" s="1"/>
  <c r="L41" i="24"/>
  <c r="P45" i="24" s="1"/>
  <c r="BN31" i="24"/>
  <c r="BP30" i="24"/>
  <c r="BJ34" i="24" s="1"/>
  <c r="BF30" i="24"/>
  <c r="AZ34" i="24" s="1"/>
  <c r="AV30" i="24"/>
  <c r="AP34" i="24" s="1"/>
  <c r="AL30" i="24"/>
  <c r="AF34" i="24" s="1"/>
  <c r="AB30" i="24"/>
  <c r="V34" i="24" s="1"/>
  <c r="R30" i="24"/>
  <c r="L34" i="24" s="1"/>
  <c r="BJ28" i="24"/>
  <c r="BN32" i="24" s="1"/>
  <c r="AZ28" i="24"/>
  <c r="BD32" i="24" s="1"/>
  <c r="BD37" i="24" s="1"/>
  <c r="AP28" i="24"/>
  <c r="AR32" i="24" s="1"/>
  <c r="AR37" i="24" s="1"/>
  <c r="AF28" i="24"/>
  <c r="V28" i="24"/>
  <c r="Z31" i="24" s="1"/>
  <c r="L28" i="24"/>
  <c r="P32" i="24" s="1"/>
  <c r="P37" i="24" s="1"/>
  <c r="BJ21" i="24"/>
  <c r="BP17" i="24"/>
  <c r="BF17" i="24"/>
  <c r="AZ21" i="24" s="1"/>
  <c r="AV17" i="24"/>
  <c r="AP21" i="24" s="1"/>
  <c r="AL17" i="24"/>
  <c r="AF21" i="24" s="1"/>
  <c r="AB17" i="24"/>
  <c r="V21" i="24" s="1"/>
  <c r="R17" i="24"/>
  <c r="L21" i="24" s="1"/>
  <c r="BJ15" i="24"/>
  <c r="BL19" i="24" s="1"/>
  <c r="AZ15" i="24"/>
  <c r="BB18" i="24" s="1"/>
  <c r="AP15" i="24"/>
  <c r="AR19" i="24" s="1"/>
  <c r="AF15" i="24"/>
  <c r="V15" i="24"/>
  <c r="X19" i="24" s="1"/>
  <c r="L15" i="24"/>
  <c r="N18" i="24" s="1"/>
  <c r="BP4" i="24"/>
  <c r="BJ8" i="24" s="1"/>
  <c r="BF4" i="24"/>
  <c r="AZ8" i="24" s="1"/>
  <c r="AV4" i="24"/>
  <c r="AP8" i="24" s="1"/>
  <c r="BJ2" i="24"/>
  <c r="BN6" i="24" s="1"/>
  <c r="AZ2" i="24"/>
  <c r="BB6" i="24" s="1"/>
  <c r="G36" i="23"/>
  <c r="H36" i="23"/>
  <c r="L2" i="23"/>
  <c r="P6" i="23" s="1"/>
  <c r="P11" i="23" s="1"/>
  <c r="AP60" i="23"/>
  <c r="BP56" i="23"/>
  <c r="BJ60" i="23" s="1"/>
  <c r="BF56" i="23"/>
  <c r="AZ60" i="23" s="1"/>
  <c r="AV56" i="23"/>
  <c r="AL56" i="23"/>
  <c r="AF60" i="23" s="1"/>
  <c r="AB56" i="23"/>
  <c r="V60" i="23" s="1"/>
  <c r="R56" i="23"/>
  <c r="L60" i="23" s="1"/>
  <c r="BJ54" i="23"/>
  <c r="BL58" i="23" s="1"/>
  <c r="AZ54" i="23"/>
  <c r="BD57" i="23" s="1"/>
  <c r="AP54" i="23"/>
  <c r="AR58" i="23" s="1"/>
  <c r="AF54" i="23"/>
  <c r="V54" i="23"/>
  <c r="X58" i="23" s="1"/>
  <c r="L54" i="23"/>
  <c r="P57" i="23" s="1"/>
  <c r="BP43" i="23"/>
  <c r="BJ47" i="23" s="1"/>
  <c r="BF43" i="23"/>
  <c r="AZ47" i="23" s="1"/>
  <c r="AV43" i="23"/>
  <c r="AP47" i="23" s="1"/>
  <c r="AL43" i="23"/>
  <c r="AF47" i="23" s="1"/>
  <c r="AB43" i="23"/>
  <c r="V47" i="23" s="1"/>
  <c r="R43" i="23"/>
  <c r="L47" i="23" s="1"/>
  <c r="BJ41" i="23"/>
  <c r="BL45" i="23" s="1"/>
  <c r="AZ41" i="23"/>
  <c r="BD44" i="23" s="1"/>
  <c r="AP41" i="23"/>
  <c r="AR45" i="23" s="1"/>
  <c r="AF41" i="23"/>
  <c r="AJ44" i="23" s="1"/>
  <c r="V41" i="23"/>
  <c r="X45" i="23" s="1"/>
  <c r="L41" i="23"/>
  <c r="P44" i="23" s="1"/>
  <c r="H35" i="23"/>
  <c r="G35" i="23"/>
  <c r="AZ34" i="23"/>
  <c r="L34" i="23"/>
  <c r="H34" i="23"/>
  <c r="G34" i="23"/>
  <c r="H33" i="23"/>
  <c r="G33" i="23"/>
  <c r="H32" i="23"/>
  <c r="G32" i="23"/>
  <c r="H31" i="23"/>
  <c r="G31" i="23"/>
  <c r="BP30" i="23"/>
  <c r="BJ34" i="23" s="1"/>
  <c r="BF30" i="23"/>
  <c r="AV30" i="23"/>
  <c r="AP34" i="23" s="1"/>
  <c r="AL30" i="23"/>
  <c r="AF34" i="23" s="1"/>
  <c r="AB30" i="23"/>
  <c r="V34" i="23" s="1"/>
  <c r="R30" i="23"/>
  <c r="H30" i="23"/>
  <c r="G30" i="23"/>
  <c r="H29" i="23"/>
  <c r="G29" i="23"/>
  <c r="BJ28" i="23"/>
  <c r="AZ28" i="23"/>
  <c r="AP28" i="23"/>
  <c r="AR32" i="23" s="1"/>
  <c r="AR36" i="23" s="1"/>
  <c r="AF28" i="23"/>
  <c r="AH31" i="23" s="1"/>
  <c r="V28" i="23"/>
  <c r="L28" i="23"/>
  <c r="H28" i="23"/>
  <c r="G28" i="23"/>
  <c r="H27" i="23"/>
  <c r="G27" i="23"/>
  <c r="H26" i="23"/>
  <c r="G26" i="23"/>
  <c r="H25" i="23"/>
  <c r="G25" i="23"/>
  <c r="H24" i="23"/>
  <c r="G24" i="23"/>
  <c r="H23" i="23"/>
  <c r="G23" i="23"/>
  <c r="H22" i="23"/>
  <c r="G22" i="23"/>
  <c r="H21" i="23"/>
  <c r="G21" i="23"/>
  <c r="H20" i="23"/>
  <c r="G20" i="23"/>
  <c r="H19" i="23"/>
  <c r="G19" i="23"/>
  <c r="H18" i="23"/>
  <c r="G18" i="23"/>
  <c r="BP17" i="23"/>
  <c r="BJ21" i="23" s="1"/>
  <c r="BF17" i="23"/>
  <c r="AZ21" i="23" s="1"/>
  <c r="AV17" i="23"/>
  <c r="AP21" i="23" s="1"/>
  <c r="AL17" i="23"/>
  <c r="AF21" i="23" s="1"/>
  <c r="AB17" i="23"/>
  <c r="V21" i="23" s="1"/>
  <c r="R17" i="23"/>
  <c r="L21" i="23" s="1"/>
  <c r="H17" i="23"/>
  <c r="G17" i="23"/>
  <c r="H16" i="23"/>
  <c r="G16" i="23"/>
  <c r="BJ15" i="23"/>
  <c r="BN19" i="23" s="1"/>
  <c r="AZ15" i="23"/>
  <c r="BB19" i="23" s="1"/>
  <c r="AP15" i="23"/>
  <c r="AT19" i="23" s="1"/>
  <c r="AF15" i="23"/>
  <c r="AJ19" i="23" s="1"/>
  <c r="V15" i="23"/>
  <c r="Z19" i="23" s="1"/>
  <c r="L15" i="23"/>
  <c r="N19" i="23" s="1"/>
  <c r="H15" i="23"/>
  <c r="G15" i="23"/>
  <c r="H14" i="23"/>
  <c r="G14" i="23"/>
  <c r="H13" i="23"/>
  <c r="G13" i="23"/>
  <c r="H12" i="23"/>
  <c r="G12" i="23"/>
  <c r="H11" i="23"/>
  <c r="G11" i="23"/>
  <c r="H10" i="23"/>
  <c r="G10" i="23"/>
  <c r="H9" i="23"/>
  <c r="G9" i="23"/>
  <c r="H8" i="23"/>
  <c r="G8" i="23"/>
  <c r="H7" i="23"/>
  <c r="G7" i="23"/>
  <c r="N6" i="23"/>
  <c r="N11" i="23" s="1"/>
  <c r="H6" i="23"/>
  <c r="G6" i="23"/>
  <c r="N5" i="23"/>
  <c r="H5" i="23"/>
  <c r="G5" i="23"/>
  <c r="BP4" i="23"/>
  <c r="BJ8" i="23" s="1"/>
  <c r="BF4" i="23"/>
  <c r="AZ8" i="23" s="1"/>
  <c r="AV4" i="23"/>
  <c r="AP8" i="23" s="1"/>
  <c r="AL4" i="23"/>
  <c r="AF8" i="23" s="1"/>
  <c r="AB4" i="23"/>
  <c r="V8" i="23" s="1"/>
  <c r="R4" i="23"/>
  <c r="L8" i="23" s="1"/>
  <c r="H4" i="23"/>
  <c r="G4" i="23"/>
  <c r="H3" i="23"/>
  <c r="G3" i="23"/>
  <c r="BJ2" i="23"/>
  <c r="BL6" i="23" s="1"/>
  <c r="AZ2" i="23"/>
  <c r="BD6" i="23" s="1"/>
  <c r="AP2" i="23"/>
  <c r="AR6" i="23" s="1"/>
  <c r="AF2" i="23"/>
  <c r="AJ6" i="23" s="1"/>
  <c r="V2" i="23"/>
  <c r="X6" i="23" s="1"/>
  <c r="BP56" i="22"/>
  <c r="BJ60" i="22" s="1"/>
  <c r="BF56" i="22"/>
  <c r="AZ60" i="22" s="1"/>
  <c r="AV56" i="22"/>
  <c r="AP60" i="22" s="1"/>
  <c r="AL56" i="22"/>
  <c r="AF60" i="22" s="1"/>
  <c r="AB56" i="22"/>
  <c r="V60" i="22" s="1"/>
  <c r="R56" i="22"/>
  <c r="L60" i="22" s="1"/>
  <c r="BJ54" i="22"/>
  <c r="BL58" i="22" s="1"/>
  <c r="BL63" i="22" s="1"/>
  <c r="AZ54" i="22"/>
  <c r="BD58" i="22" s="1"/>
  <c r="AP54" i="22"/>
  <c r="AR58" i="22" s="1"/>
  <c r="AR62" i="22" s="1"/>
  <c r="AF54" i="22"/>
  <c r="AJ57" i="22" s="1"/>
  <c r="V54" i="22"/>
  <c r="L54" i="22"/>
  <c r="P58" i="22" s="1"/>
  <c r="P62" i="22" s="1"/>
  <c r="BJ47" i="22"/>
  <c r="V47" i="22"/>
  <c r="BP43" i="22"/>
  <c r="BF43" i="22"/>
  <c r="AZ47" i="22" s="1"/>
  <c r="AV43" i="22"/>
  <c r="AP47" i="22" s="1"/>
  <c r="AL43" i="22"/>
  <c r="AF47" i="22" s="1"/>
  <c r="AB43" i="22"/>
  <c r="R43" i="22"/>
  <c r="L47" i="22" s="1"/>
  <c r="BJ41" i="22"/>
  <c r="BL45" i="22" s="1"/>
  <c r="AZ41" i="22"/>
  <c r="BD45" i="22" s="1"/>
  <c r="BD49" i="22" s="1"/>
  <c r="AP41" i="22"/>
  <c r="AR45" i="22" s="1"/>
  <c r="AF41" i="22"/>
  <c r="AJ44" i="22" s="1"/>
  <c r="V41" i="22"/>
  <c r="L41" i="22"/>
  <c r="P45" i="22" s="1"/>
  <c r="P49" i="22" s="1"/>
  <c r="H36" i="22"/>
  <c r="G36" i="22"/>
  <c r="H35" i="22"/>
  <c r="G35" i="22"/>
  <c r="H34" i="22"/>
  <c r="G34" i="22"/>
  <c r="H33" i="22"/>
  <c r="G33" i="22"/>
  <c r="H32" i="22"/>
  <c r="G32" i="22"/>
  <c r="H31" i="22"/>
  <c r="G31" i="22"/>
  <c r="BP30" i="22"/>
  <c r="BJ34" i="22" s="1"/>
  <c r="BF30" i="22"/>
  <c r="AZ34" i="22" s="1"/>
  <c r="AV30" i="22"/>
  <c r="AP34" i="22" s="1"/>
  <c r="AL30" i="22"/>
  <c r="AF34" i="22" s="1"/>
  <c r="AB30" i="22"/>
  <c r="V34" i="22" s="1"/>
  <c r="R30" i="22"/>
  <c r="L34" i="22" s="1"/>
  <c r="H30" i="22"/>
  <c r="G30" i="22"/>
  <c r="H29" i="22"/>
  <c r="G29" i="22"/>
  <c r="BJ28" i="22"/>
  <c r="BL32" i="22" s="1"/>
  <c r="AZ28" i="22"/>
  <c r="BD32" i="22" s="1"/>
  <c r="BD37" i="22" s="1"/>
  <c r="AP28" i="22"/>
  <c r="AR32" i="22" s="1"/>
  <c r="AR37" i="22" s="1"/>
  <c r="AF28" i="22"/>
  <c r="AH32" i="22" s="1"/>
  <c r="V28" i="22"/>
  <c r="X32" i="22" s="1"/>
  <c r="L28" i="22"/>
  <c r="P32" i="22" s="1"/>
  <c r="P37" i="22" s="1"/>
  <c r="H28" i="22"/>
  <c r="G28" i="22"/>
  <c r="H27" i="22"/>
  <c r="G27" i="22"/>
  <c r="H26" i="22"/>
  <c r="G26" i="22"/>
  <c r="H25" i="22"/>
  <c r="G25" i="22"/>
  <c r="H24" i="22"/>
  <c r="G24" i="22"/>
  <c r="H23" i="22"/>
  <c r="G23" i="22"/>
  <c r="H22" i="22"/>
  <c r="G22" i="22"/>
  <c r="H21" i="22"/>
  <c r="G21" i="22"/>
  <c r="H20" i="22"/>
  <c r="G20" i="22"/>
  <c r="H19" i="22"/>
  <c r="G19" i="22"/>
  <c r="H18" i="22"/>
  <c r="G18" i="22"/>
  <c r="BP17" i="22"/>
  <c r="BJ21" i="22" s="1"/>
  <c r="BF17" i="22"/>
  <c r="AZ21" i="22" s="1"/>
  <c r="AV17" i="22"/>
  <c r="AP21" i="22" s="1"/>
  <c r="AL17" i="22"/>
  <c r="AF21" i="22" s="1"/>
  <c r="AB17" i="22"/>
  <c r="V21" i="22" s="1"/>
  <c r="R17" i="22"/>
  <c r="L21" i="22" s="1"/>
  <c r="H17" i="22"/>
  <c r="G17" i="22"/>
  <c r="H16" i="22"/>
  <c r="G16" i="22"/>
  <c r="BJ15" i="22"/>
  <c r="BL19" i="22" s="1"/>
  <c r="AZ15" i="22"/>
  <c r="BD19" i="22" s="1"/>
  <c r="AP15" i="22"/>
  <c r="AR19" i="22" s="1"/>
  <c r="AF15" i="22"/>
  <c r="AH19" i="22" s="1"/>
  <c r="V15" i="22"/>
  <c r="X19" i="22" s="1"/>
  <c r="L15" i="22"/>
  <c r="P19" i="22" s="1"/>
  <c r="H15" i="22"/>
  <c r="G15" i="22"/>
  <c r="H14" i="22"/>
  <c r="G14" i="22"/>
  <c r="H13" i="22"/>
  <c r="G13" i="22"/>
  <c r="H12" i="22"/>
  <c r="G12" i="22"/>
  <c r="H11" i="22"/>
  <c r="G11" i="22"/>
  <c r="H10" i="22"/>
  <c r="G10" i="22"/>
  <c r="H9" i="22"/>
  <c r="G9" i="22"/>
  <c r="H8" i="22"/>
  <c r="G8" i="22"/>
  <c r="H7" i="22"/>
  <c r="G7" i="22"/>
  <c r="H6" i="22"/>
  <c r="G6" i="22"/>
  <c r="BP4" i="22"/>
  <c r="BJ8" i="22" s="1"/>
  <c r="BF4" i="22"/>
  <c r="AZ8" i="22" s="1"/>
  <c r="BJ2" i="22"/>
  <c r="BL6" i="22" s="1"/>
  <c r="AZ2" i="22"/>
  <c r="BB6" i="22" s="1"/>
  <c r="BD58" i="21"/>
  <c r="BD63" i="21" s="1"/>
  <c r="BD57" i="21"/>
  <c r="BP56" i="21"/>
  <c r="BJ60" i="21" s="1"/>
  <c r="BF56" i="21"/>
  <c r="AZ60" i="21" s="1"/>
  <c r="AV56" i="21"/>
  <c r="AP60" i="21" s="1"/>
  <c r="AL56" i="21"/>
  <c r="AF60" i="21" s="1"/>
  <c r="AB56" i="21"/>
  <c r="V60" i="21" s="1"/>
  <c r="R56" i="21"/>
  <c r="L60" i="21" s="1"/>
  <c r="BJ54" i="21"/>
  <c r="BL58" i="21" s="1"/>
  <c r="AZ54" i="21"/>
  <c r="BB58" i="21" s="1"/>
  <c r="AP54" i="21"/>
  <c r="AF54" i="21"/>
  <c r="AH57" i="21" s="1"/>
  <c r="V54" i="21"/>
  <c r="X58" i="21" s="1"/>
  <c r="X62" i="21" s="1"/>
  <c r="L54" i="21"/>
  <c r="N58" i="21" s="1"/>
  <c r="BD45" i="21"/>
  <c r="BD48" i="21" s="1"/>
  <c r="AJ44" i="21"/>
  <c r="BP43" i="21"/>
  <c r="BJ47" i="21" s="1"/>
  <c r="BF43" i="21"/>
  <c r="AZ47" i="21" s="1"/>
  <c r="AV43" i="21"/>
  <c r="AP47" i="21" s="1"/>
  <c r="AL43" i="21"/>
  <c r="AF47" i="21" s="1"/>
  <c r="AB43" i="21"/>
  <c r="V47" i="21" s="1"/>
  <c r="R43" i="21"/>
  <c r="L47" i="21" s="1"/>
  <c r="BJ41" i="21"/>
  <c r="AZ41" i="21"/>
  <c r="BB45" i="21" s="1"/>
  <c r="AP41" i="21"/>
  <c r="AR45" i="21" s="1"/>
  <c r="AR50" i="21" s="1"/>
  <c r="AF41" i="21"/>
  <c r="AH44" i="21" s="1"/>
  <c r="V41" i="21"/>
  <c r="X45" i="21" s="1"/>
  <c r="L41" i="21"/>
  <c r="N45" i="21" s="1"/>
  <c r="H36" i="21"/>
  <c r="G36" i="21"/>
  <c r="H35" i="21"/>
  <c r="G35" i="21"/>
  <c r="AP34" i="21"/>
  <c r="H34" i="21"/>
  <c r="G34" i="21"/>
  <c r="H33" i="21"/>
  <c r="G33" i="21"/>
  <c r="H32" i="21"/>
  <c r="G32" i="21"/>
  <c r="X31" i="21"/>
  <c r="H31" i="21"/>
  <c r="G31" i="21"/>
  <c r="BP30" i="21"/>
  <c r="BJ34" i="21" s="1"/>
  <c r="BF30" i="21"/>
  <c r="AZ34" i="21" s="1"/>
  <c r="AV30" i="21"/>
  <c r="AL30" i="21"/>
  <c r="AF34" i="21" s="1"/>
  <c r="AB30" i="21"/>
  <c r="V34" i="21" s="1"/>
  <c r="R30" i="21"/>
  <c r="L34" i="21" s="1"/>
  <c r="H30" i="21"/>
  <c r="G30" i="21"/>
  <c r="H29" i="21"/>
  <c r="G29" i="21"/>
  <c r="BJ28" i="21"/>
  <c r="BL32" i="21" s="1"/>
  <c r="BL36" i="21" s="1"/>
  <c r="AZ28" i="21"/>
  <c r="BB32" i="21" s="1"/>
  <c r="AP28" i="21"/>
  <c r="AF28" i="21"/>
  <c r="AH32" i="21" s="1"/>
  <c r="V28" i="21"/>
  <c r="X32" i="21" s="1"/>
  <c r="X37" i="21" s="1"/>
  <c r="L28" i="21"/>
  <c r="N32" i="21" s="1"/>
  <c r="H28" i="21"/>
  <c r="G28" i="21"/>
  <c r="H27" i="21"/>
  <c r="G27" i="21"/>
  <c r="H26" i="21"/>
  <c r="G26" i="21"/>
  <c r="H25" i="21"/>
  <c r="G25" i="21"/>
  <c r="H24" i="21"/>
  <c r="G24" i="21"/>
  <c r="H23" i="21"/>
  <c r="G23" i="21"/>
  <c r="H22" i="21"/>
  <c r="G22" i="21"/>
  <c r="V21" i="21"/>
  <c r="H21" i="21"/>
  <c r="G21" i="21"/>
  <c r="H20" i="21"/>
  <c r="G20" i="21"/>
  <c r="H19" i="21"/>
  <c r="G19" i="21"/>
  <c r="H18" i="21"/>
  <c r="G18" i="21"/>
  <c r="BP17" i="21"/>
  <c r="BJ21" i="21" s="1"/>
  <c r="BF17" i="21"/>
  <c r="AZ21" i="21" s="1"/>
  <c r="AV17" i="21"/>
  <c r="AP21" i="21" s="1"/>
  <c r="AL17" i="21"/>
  <c r="AF21" i="21" s="1"/>
  <c r="AB17" i="21"/>
  <c r="R17" i="21"/>
  <c r="L21" i="21" s="1"/>
  <c r="H17" i="21"/>
  <c r="G17" i="21"/>
  <c r="H16" i="21"/>
  <c r="G16" i="21"/>
  <c r="BJ15" i="21"/>
  <c r="AZ15" i="21"/>
  <c r="AP15" i="21"/>
  <c r="AR19" i="21" s="1"/>
  <c r="AR23" i="21" s="1"/>
  <c r="AF15" i="21"/>
  <c r="AH19" i="21" s="1"/>
  <c r="V15" i="21"/>
  <c r="X18" i="21" s="1"/>
  <c r="L15" i="21"/>
  <c r="H15" i="21"/>
  <c r="G15" i="21"/>
  <c r="H14" i="21"/>
  <c r="G14" i="21"/>
  <c r="H13" i="21"/>
  <c r="G13" i="21"/>
  <c r="H12" i="21"/>
  <c r="G12" i="21"/>
  <c r="H11" i="21"/>
  <c r="G11" i="21"/>
  <c r="H10" i="21"/>
  <c r="G10" i="21"/>
  <c r="H9" i="21"/>
  <c r="G9" i="21"/>
  <c r="BJ8" i="21"/>
  <c r="H8" i="21"/>
  <c r="G8" i="21"/>
  <c r="H7" i="21"/>
  <c r="G7" i="21"/>
  <c r="H6" i="21"/>
  <c r="G6" i="21"/>
  <c r="H5" i="21"/>
  <c r="G5" i="21"/>
  <c r="BP4" i="21"/>
  <c r="BF4" i="21"/>
  <c r="AZ8" i="21" s="1"/>
  <c r="AV4" i="21"/>
  <c r="AP8" i="21" s="1"/>
  <c r="AL4" i="21"/>
  <c r="AF8" i="21" s="1"/>
  <c r="BJ2" i="21"/>
  <c r="BN6" i="21" s="1"/>
  <c r="AZ2" i="21"/>
  <c r="BD5" i="21" s="1"/>
  <c r="AP2" i="21"/>
  <c r="AT6" i="21" s="1"/>
  <c r="AT11" i="21" s="1"/>
  <c r="AF2" i="21"/>
  <c r="AJ6" i="21" s="1"/>
  <c r="G36" i="20"/>
  <c r="H36" i="20"/>
  <c r="L2" i="20"/>
  <c r="P6" i="20" s="1"/>
  <c r="G36" i="19"/>
  <c r="H36" i="19"/>
  <c r="BJ60" i="20"/>
  <c r="V60" i="20"/>
  <c r="BP56" i="20"/>
  <c r="BF56" i="20"/>
  <c r="AZ60" i="20" s="1"/>
  <c r="AV56" i="20"/>
  <c r="AP60" i="20" s="1"/>
  <c r="AL56" i="20"/>
  <c r="AF60" i="20" s="1"/>
  <c r="AB56" i="20"/>
  <c r="R56" i="20"/>
  <c r="L60" i="20" s="1"/>
  <c r="BJ54" i="20"/>
  <c r="AZ54" i="20"/>
  <c r="BD58" i="20" s="1"/>
  <c r="AP54" i="20"/>
  <c r="AR58" i="20" s="1"/>
  <c r="AF54" i="20"/>
  <c r="V54" i="20"/>
  <c r="L54" i="20"/>
  <c r="P58" i="20" s="1"/>
  <c r="BP43" i="20"/>
  <c r="BJ47" i="20" s="1"/>
  <c r="BF43" i="20"/>
  <c r="AZ47" i="20" s="1"/>
  <c r="AV43" i="20"/>
  <c r="AP47" i="20" s="1"/>
  <c r="AL43" i="20"/>
  <c r="AF47" i="20" s="1"/>
  <c r="AB43" i="20"/>
  <c r="V47" i="20" s="1"/>
  <c r="R43" i="20"/>
  <c r="L47" i="20" s="1"/>
  <c r="BJ41" i="20"/>
  <c r="BL45" i="20" s="1"/>
  <c r="BL48" i="20" s="1"/>
  <c r="AZ41" i="20"/>
  <c r="BD45" i="20" s="1"/>
  <c r="AP41" i="20"/>
  <c r="AR45" i="20" s="1"/>
  <c r="AF41" i="20"/>
  <c r="AH44" i="20" s="1"/>
  <c r="V41" i="20"/>
  <c r="Z45" i="20" s="1"/>
  <c r="L41" i="20"/>
  <c r="P45" i="20" s="1"/>
  <c r="H35" i="20"/>
  <c r="G35" i="20"/>
  <c r="L34" i="20"/>
  <c r="H34" i="20"/>
  <c r="G34" i="20"/>
  <c r="H33" i="20"/>
  <c r="G33" i="20"/>
  <c r="H32" i="20"/>
  <c r="G32" i="20"/>
  <c r="H31" i="20"/>
  <c r="G31" i="20"/>
  <c r="BP30" i="20"/>
  <c r="BJ34" i="20" s="1"/>
  <c r="BF30" i="20"/>
  <c r="AZ34" i="20" s="1"/>
  <c r="AV30" i="20"/>
  <c r="AP34" i="20" s="1"/>
  <c r="AL30" i="20"/>
  <c r="AF34" i="20" s="1"/>
  <c r="AB30" i="20"/>
  <c r="V34" i="20" s="1"/>
  <c r="R30" i="20"/>
  <c r="H30" i="20"/>
  <c r="G30" i="20"/>
  <c r="H29" i="20"/>
  <c r="G29" i="20"/>
  <c r="BJ28" i="20"/>
  <c r="BL32" i="20" s="1"/>
  <c r="BL36" i="20" s="1"/>
  <c r="AZ28" i="20"/>
  <c r="AP28" i="20"/>
  <c r="AT32" i="20" s="1"/>
  <c r="AF28" i="20"/>
  <c r="AJ32" i="20" s="1"/>
  <c r="AJ36" i="20" s="1"/>
  <c r="V28" i="20"/>
  <c r="X32" i="20" s="1"/>
  <c r="X36" i="20" s="1"/>
  <c r="L28" i="20"/>
  <c r="H28" i="20"/>
  <c r="G28" i="20"/>
  <c r="H27" i="20"/>
  <c r="G27" i="20"/>
  <c r="H26" i="20"/>
  <c r="G26" i="20"/>
  <c r="H25" i="20"/>
  <c r="G25" i="20"/>
  <c r="H24" i="20"/>
  <c r="G24" i="20"/>
  <c r="H23" i="20"/>
  <c r="G23" i="20"/>
  <c r="H22" i="20"/>
  <c r="G22" i="20"/>
  <c r="H21" i="20"/>
  <c r="G21" i="20"/>
  <c r="H20" i="20"/>
  <c r="G20" i="20"/>
  <c r="H19" i="20"/>
  <c r="G19" i="20"/>
  <c r="H18" i="20"/>
  <c r="G18" i="20"/>
  <c r="BP17" i="20"/>
  <c r="BJ21" i="20" s="1"/>
  <c r="BF17" i="20"/>
  <c r="AZ21" i="20" s="1"/>
  <c r="AV17" i="20"/>
  <c r="AP21" i="20" s="1"/>
  <c r="AL17" i="20"/>
  <c r="AF21" i="20" s="1"/>
  <c r="AB17" i="20"/>
  <c r="V21" i="20" s="1"/>
  <c r="R17" i="20"/>
  <c r="L21" i="20" s="1"/>
  <c r="H17" i="20"/>
  <c r="G17" i="20"/>
  <c r="H16" i="20"/>
  <c r="G16" i="20"/>
  <c r="BJ15" i="20"/>
  <c r="BL19" i="20" s="1"/>
  <c r="AZ15" i="20"/>
  <c r="BD19" i="20" s="1"/>
  <c r="BD24" i="20" s="1"/>
  <c r="AP15" i="20"/>
  <c r="AT19" i="20" s="1"/>
  <c r="AT23" i="20" s="1"/>
  <c r="AF15" i="20"/>
  <c r="V15" i="20"/>
  <c r="X19" i="20" s="1"/>
  <c r="L15" i="20"/>
  <c r="P19" i="20" s="1"/>
  <c r="P24" i="20" s="1"/>
  <c r="H15" i="20"/>
  <c r="G15" i="20"/>
  <c r="H14" i="20"/>
  <c r="G14" i="20"/>
  <c r="H13" i="20"/>
  <c r="G13" i="20"/>
  <c r="H12" i="20"/>
  <c r="G12" i="20"/>
  <c r="H11" i="20"/>
  <c r="G11" i="20"/>
  <c r="H10" i="20"/>
  <c r="G10" i="20"/>
  <c r="H9" i="20"/>
  <c r="G9" i="20"/>
  <c r="AZ8" i="20"/>
  <c r="AP8" i="20"/>
  <c r="H8" i="20"/>
  <c r="G8" i="20"/>
  <c r="H7" i="20"/>
  <c r="G7" i="20"/>
  <c r="H6" i="20"/>
  <c r="G6" i="20"/>
  <c r="H5" i="20"/>
  <c r="G5" i="20"/>
  <c r="BP4" i="20"/>
  <c r="BJ8" i="20" s="1"/>
  <c r="BF4" i="20"/>
  <c r="AV4" i="20"/>
  <c r="AL4" i="20"/>
  <c r="AF8" i="20" s="1"/>
  <c r="AB4" i="20"/>
  <c r="V8" i="20" s="1"/>
  <c r="R4" i="20"/>
  <c r="L8" i="20" s="1"/>
  <c r="H4" i="20"/>
  <c r="G4" i="20"/>
  <c r="H3" i="20"/>
  <c r="G3" i="20"/>
  <c r="BJ2" i="20"/>
  <c r="BL6" i="20" s="1"/>
  <c r="BL9" i="20" s="1"/>
  <c r="AZ2" i="20"/>
  <c r="BD6" i="20" s="1"/>
  <c r="AP2" i="20"/>
  <c r="AT6" i="20" s="1"/>
  <c r="AF2" i="20"/>
  <c r="AJ6" i="20" s="1"/>
  <c r="AJ9" i="20" s="1"/>
  <c r="V2" i="20"/>
  <c r="X6" i="20" s="1"/>
  <c r="X11" i="20" s="1"/>
  <c r="AJ31" i="25" l="1"/>
  <c r="BD58" i="25"/>
  <c r="BD63" i="25" s="1"/>
  <c r="AH18" i="21"/>
  <c r="AR57" i="27"/>
  <c r="N5" i="20"/>
  <c r="BB5" i="21"/>
  <c r="AJ18" i="21"/>
  <c r="AJ19" i="21"/>
  <c r="AJ23" i="21" s="1"/>
  <c r="BD44" i="21"/>
  <c r="P5" i="26"/>
  <c r="R5" i="26" s="1"/>
  <c r="N6" i="20"/>
  <c r="R6" i="20" s="1"/>
  <c r="R10" i="20" s="1"/>
  <c r="N18" i="25"/>
  <c r="BD19" i="25"/>
  <c r="BD22" i="25" s="1"/>
  <c r="Z19" i="27"/>
  <c r="Z24" i="27" s="1"/>
  <c r="AT31" i="27"/>
  <c r="BD57" i="27"/>
  <c r="P5" i="20"/>
  <c r="BL5" i="21"/>
  <c r="P31" i="21"/>
  <c r="AJ45" i="21"/>
  <c r="AJ48" i="21" s="1"/>
  <c r="AJ57" i="21"/>
  <c r="P18" i="25"/>
  <c r="R18" i="25" s="1"/>
  <c r="N32" i="25"/>
  <c r="N35" i="25" s="1"/>
  <c r="AV5" i="27"/>
  <c r="AT5" i="27"/>
  <c r="AR6" i="27"/>
  <c r="AR9" i="27" s="1"/>
  <c r="Z18" i="27"/>
  <c r="BD58" i="27"/>
  <c r="BD63" i="27" s="1"/>
  <c r="AJ32" i="27"/>
  <c r="N18" i="27"/>
  <c r="BD18" i="27"/>
  <c r="N19" i="27"/>
  <c r="BD19" i="27"/>
  <c r="AJ31" i="27"/>
  <c r="AL31" i="27" s="1"/>
  <c r="AV57" i="27"/>
  <c r="P58" i="27"/>
  <c r="P18" i="27"/>
  <c r="BN18" i="27"/>
  <c r="BN19" i="27"/>
  <c r="BP19" i="27" s="1"/>
  <c r="BP25" i="27" s="1"/>
  <c r="X23" i="27"/>
  <c r="AR31" i="27"/>
  <c r="AH32" i="27"/>
  <c r="AL32" i="27" s="1"/>
  <c r="AR44" i="27"/>
  <c r="BB45" i="27"/>
  <c r="BB49" i="27" s="1"/>
  <c r="BD48" i="27"/>
  <c r="BB58" i="27"/>
  <c r="BB63" i="27" s="1"/>
  <c r="BF57" i="27"/>
  <c r="P57" i="27"/>
  <c r="R57" i="27" s="1"/>
  <c r="BB18" i="27"/>
  <c r="AT32" i="27"/>
  <c r="AV32" i="27" s="1"/>
  <c r="P44" i="27"/>
  <c r="R44" i="27" s="1"/>
  <c r="N45" i="27"/>
  <c r="N50" i="27" s="1"/>
  <c r="N58" i="27"/>
  <c r="N63" i="27" s="1"/>
  <c r="BD62" i="27"/>
  <c r="BL24" i="27"/>
  <c r="AJ36" i="27"/>
  <c r="AJ61" i="27"/>
  <c r="BL22" i="27"/>
  <c r="BF44" i="27"/>
  <c r="BD49" i="27"/>
  <c r="AJ63" i="27"/>
  <c r="BN49" i="27"/>
  <c r="BN48" i="27"/>
  <c r="BN50" i="27"/>
  <c r="BB24" i="27"/>
  <c r="BB23" i="27"/>
  <c r="BB22" i="27"/>
  <c r="BF19" i="27"/>
  <c r="BF45" i="27"/>
  <c r="BB48" i="27"/>
  <c r="BL57" i="27"/>
  <c r="BN58" i="27"/>
  <c r="BN57" i="27"/>
  <c r="BL58" i="27"/>
  <c r="BL11" i="27"/>
  <c r="BB6" i="27"/>
  <c r="BB5" i="27"/>
  <c r="BD5" i="27"/>
  <c r="BD6" i="27"/>
  <c r="BL10" i="27"/>
  <c r="AH19" i="27"/>
  <c r="AH18" i="27"/>
  <c r="AJ19" i="27"/>
  <c r="AJ18" i="27"/>
  <c r="N24" i="27"/>
  <c r="N23" i="27"/>
  <c r="N22" i="27"/>
  <c r="R19" i="27"/>
  <c r="BN24" i="27"/>
  <c r="BN23" i="27"/>
  <c r="BN22" i="27"/>
  <c r="Z32" i="27"/>
  <c r="Z31" i="27"/>
  <c r="AB31" i="27" s="1"/>
  <c r="X32" i="27"/>
  <c r="BN32" i="27"/>
  <c r="BN31" i="27"/>
  <c r="BL31" i="27"/>
  <c r="AR35" i="27"/>
  <c r="AH45" i="27"/>
  <c r="AH44" i="27"/>
  <c r="AL44" i="27" s="1"/>
  <c r="AJ45" i="27"/>
  <c r="BN6" i="27"/>
  <c r="BN5" i="27"/>
  <c r="BP5" i="27" s="1"/>
  <c r="AR11" i="27"/>
  <c r="AR10" i="27"/>
  <c r="BL9" i="27"/>
  <c r="AT19" i="27"/>
  <c r="AT18" i="27"/>
  <c r="AR18" i="27"/>
  <c r="P24" i="27"/>
  <c r="P23" i="27"/>
  <c r="P22" i="27"/>
  <c r="AR19" i="27"/>
  <c r="BP24" i="27"/>
  <c r="BP23" i="27"/>
  <c r="BP22" i="27"/>
  <c r="BL36" i="27"/>
  <c r="BL37" i="27"/>
  <c r="N48" i="27"/>
  <c r="AT11" i="27"/>
  <c r="AT10" i="27"/>
  <c r="AT9" i="27"/>
  <c r="Z23" i="27"/>
  <c r="Z22" i="27"/>
  <c r="P50" i="27"/>
  <c r="P48" i="27"/>
  <c r="X57" i="27"/>
  <c r="Z58" i="27"/>
  <c r="Z57" i="27"/>
  <c r="X58" i="27"/>
  <c r="AB19" i="27"/>
  <c r="BD24" i="27"/>
  <c r="BD23" i="27"/>
  <c r="BD22" i="27"/>
  <c r="X22" i="27"/>
  <c r="BJ25" i="27"/>
  <c r="N32" i="27"/>
  <c r="N31" i="27"/>
  <c r="P31" i="27"/>
  <c r="BB32" i="27"/>
  <c r="BB31" i="27"/>
  <c r="BD32" i="27"/>
  <c r="BD31" i="27"/>
  <c r="P32" i="27"/>
  <c r="AR36" i="27"/>
  <c r="Z44" i="27"/>
  <c r="AB44" i="27" s="1"/>
  <c r="X45" i="27"/>
  <c r="Z45" i="27"/>
  <c r="BN44" i="27"/>
  <c r="BL44" i="27"/>
  <c r="BL45" i="27"/>
  <c r="P49" i="27"/>
  <c r="X18" i="27"/>
  <c r="BL18" i="27"/>
  <c r="AR45" i="27"/>
  <c r="AR58" i="27"/>
  <c r="AT58" i="27"/>
  <c r="AH57" i="27"/>
  <c r="AT50" i="27"/>
  <c r="AT48" i="27"/>
  <c r="AT44" i="27"/>
  <c r="AV44" i="27" s="1"/>
  <c r="AJ57" i="27"/>
  <c r="AH58" i="27"/>
  <c r="R58" i="27"/>
  <c r="P61" i="27"/>
  <c r="BD61" i="27"/>
  <c r="R6" i="26"/>
  <c r="R11" i="26" s="1"/>
  <c r="BD18" i="26"/>
  <c r="BF18" i="26" s="1"/>
  <c r="P19" i="26"/>
  <c r="P24" i="26" s="1"/>
  <c r="P32" i="26"/>
  <c r="P35" i="26" s="1"/>
  <c r="AR44" i="26"/>
  <c r="AR57" i="26"/>
  <c r="N18" i="26"/>
  <c r="BB19" i="26"/>
  <c r="BB24" i="26" s="1"/>
  <c r="P31" i="26"/>
  <c r="N9" i="26"/>
  <c r="P18" i="26"/>
  <c r="BD19" i="26"/>
  <c r="BD24" i="26" s="1"/>
  <c r="P44" i="26"/>
  <c r="P57" i="26"/>
  <c r="BD5" i="26"/>
  <c r="N10" i="26"/>
  <c r="Z18" i="26"/>
  <c r="Z19" i="26"/>
  <c r="Z24" i="26" s="1"/>
  <c r="BD31" i="26"/>
  <c r="BD32" i="26"/>
  <c r="BD37" i="26" s="1"/>
  <c r="BL35" i="26"/>
  <c r="AJ45" i="26"/>
  <c r="AJ49" i="26" s="1"/>
  <c r="BL50" i="26"/>
  <c r="AJ58" i="26"/>
  <c r="AJ62" i="26" s="1"/>
  <c r="AH6" i="26"/>
  <c r="AH11" i="26" s="1"/>
  <c r="AH5" i="26"/>
  <c r="BD6" i="26"/>
  <c r="BF6" i="26" s="1"/>
  <c r="BN18" i="26"/>
  <c r="BN19" i="26"/>
  <c r="BN23" i="26" s="1"/>
  <c r="BD44" i="26"/>
  <c r="BD57" i="26"/>
  <c r="AJ61" i="26"/>
  <c r="AJ50" i="26"/>
  <c r="X9" i="26"/>
  <c r="AR11" i="26"/>
  <c r="AR10" i="26"/>
  <c r="AR9" i="26"/>
  <c r="AT24" i="26"/>
  <c r="AT22" i="26"/>
  <c r="AT23" i="26"/>
  <c r="BL10" i="26"/>
  <c r="BL11" i="26"/>
  <c r="P11" i="26"/>
  <c r="P10" i="26"/>
  <c r="P9" i="26"/>
  <c r="BL9" i="26"/>
  <c r="X10" i="26"/>
  <c r="AH23" i="26"/>
  <c r="AH22" i="26"/>
  <c r="AH24" i="26"/>
  <c r="AJ10" i="26"/>
  <c r="AT5" i="26"/>
  <c r="AT6" i="26"/>
  <c r="AV6" i="26" s="1"/>
  <c r="AR5" i="26"/>
  <c r="AJ9" i="26"/>
  <c r="BB11" i="26"/>
  <c r="BB10" i="26"/>
  <c r="BB9" i="26"/>
  <c r="X24" i="26"/>
  <c r="X23" i="26"/>
  <c r="X22" i="26"/>
  <c r="BL24" i="26"/>
  <c r="BL22" i="26"/>
  <c r="BL23" i="26"/>
  <c r="BB37" i="26"/>
  <c r="BB35" i="26"/>
  <c r="BF32" i="26"/>
  <c r="BB36" i="26"/>
  <c r="BL57" i="26"/>
  <c r="BN58" i="26"/>
  <c r="BN57" i="26"/>
  <c r="Z5" i="26"/>
  <c r="BB5" i="26"/>
  <c r="BN5" i="26"/>
  <c r="Z6" i="26"/>
  <c r="BN6" i="26"/>
  <c r="X18" i="26"/>
  <c r="AJ18" i="26"/>
  <c r="BL18" i="26"/>
  <c r="AJ19" i="26"/>
  <c r="AL19" i="26" s="1"/>
  <c r="AT32" i="26"/>
  <c r="AT31" i="26"/>
  <c r="AV31" i="26" s="1"/>
  <c r="AR32" i="26"/>
  <c r="AJ37" i="26"/>
  <c r="AR63" i="26"/>
  <c r="AR61" i="26"/>
  <c r="AR50" i="26"/>
  <c r="AR48" i="26"/>
  <c r="P63" i="26"/>
  <c r="P61" i="26"/>
  <c r="BD63" i="26"/>
  <c r="BD61" i="26"/>
  <c r="BL62" i="26"/>
  <c r="BP58" i="26"/>
  <c r="N37" i="26"/>
  <c r="N35" i="26"/>
  <c r="N36" i="26"/>
  <c r="AR18" i="26"/>
  <c r="AR19" i="26"/>
  <c r="X35" i="26"/>
  <c r="BL37" i="26"/>
  <c r="P50" i="26"/>
  <c r="P48" i="26"/>
  <c r="BD50" i="26"/>
  <c r="BD48" i="26"/>
  <c r="BL49" i="26"/>
  <c r="X57" i="26"/>
  <c r="Z58" i="26"/>
  <c r="Z57" i="26"/>
  <c r="X58" i="26"/>
  <c r="X5" i="26"/>
  <c r="AJ5" i="26"/>
  <c r="BL5" i="26"/>
  <c r="BP5" i="26" s="1"/>
  <c r="AH18" i="26"/>
  <c r="AT18" i="26"/>
  <c r="BF19" i="26"/>
  <c r="N22" i="26"/>
  <c r="Z22" i="26"/>
  <c r="N23" i="26"/>
  <c r="Z23" i="26"/>
  <c r="AJ35" i="26"/>
  <c r="X37" i="26"/>
  <c r="X44" i="26"/>
  <c r="Z45" i="26"/>
  <c r="Z44" i="26"/>
  <c r="BL44" i="26"/>
  <c r="BN45" i="26"/>
  <c r="BN44" i="26"/>
  <c r="X45" i="26"/>
  <c r="AR49" i="26"/>
  <c r="BL61" i="26"/>
  <c r="BD62" i="26"/>
  <c r="N31" i="26"/>
  <c r="Z31" i="26"/>
  <c r="BB31" i="26"/>
  <c r="BN31" i="26"/>
  <c r="Z32" i="26"/>
  <c r="AB32" i="26" s="1"/>
  <c r="BN32" i="26"/>
  <c r="BP32" i="26" s="1"/>
  <c r="N44" i="26"/>
  <c r="BB44" i="26"/>
  <c r="BF44" i="26" s="1"/>
  <c r="AH45" i="26"/>
  <c r="AT45" i="26"/>
  <c r="AV45" i="26" s="1"/>
  <c r="N57" i="26"/>
  <c r="R57" i="26" s="1"/>
  <c r="BB57" i="26"/>
  <c r="AH58" i="26"/>
  <c r="AT58" i="26"/>
  <c r="AH31" i="26"/>
  <c r="AH32" i="26"/>
  <c r="AH44" i="26"/>
  <c r="AL44" i="26" s="1"/>
  <c r="AT44" i="26"/>
  <c r="N45" i="26"/>
  <c r="BB45" i="26"/>
  <c r="AH57" i="26"/>
  <c r="AL57" i="26" s="1"/>
  <c r="AT57" i="26"/>
  <c r="N58" i="26"/>
  <c r="BB58" i="26"/>
  <c r="X31" i="26"/>
  <c r="AJ31" i="26"/>
  <c r="BL31" i="26"/>
  <c r="BB45" i="25"/>
  <c r="BB48" i="25" s="1"/>
  <c r="P31" i="25"/>
  <c r="BD57" i="25"/>
  <c r="BF57" i="25" s="1"/>
  <c r="BD44" i="25"/>
  <c r="BF44" i="25" s="1"/>
  <c r="BB31" i="25"/>
  <c r="N45" i="25"/>
  <c r="N50" i="25" s="1"/>
  <c r="BN5" i="25"/>
  <c r="BN6" i="25"/>
  <c r="BN10" i="25" s="1"/>
  <c r="BB32" i="25"/>
  <c r="BB37" i="25" s="1"/>
  <c r="X45" i="25"/>
  <c r="X48" i="25" s="1"/>
  <c r="BN18" i="25"/>
  <c r="BN19" i="25"/>
  <c r="BP19" i="25" s="1"/>
  <c r="AR32" i="25"/>
  <c r="AR37" i="25" s="1"/>
  <c r="P44" i="25"/>
  <c r="R44" i="25" s="1"/>
  <c r="BL44" i="25"/>
  <c r="BP44" i="25" s="1"/>
  <c r="Z45" i="25"/>
  <c r="Z50" i="25" s="1"/>
  <c r="BD45" i="25"/>
  <c r="N58" i="25"/>
  <c r="N61" i="25" s="1"/>
  <c r="BN11" i="25"/>
  <c r="X44" i="25"/>
  <c r="AB44" i="25" s="1"/>
  <c r="BL45" i="25"/>
  <c r="BL48" i="25" s="1"/>
  <c r="P57" i="25"/>
  <c r="R57" i="25" s="1"/>
  <c r="P58" i="25"/>
  <c r="P63" i="25" s="1"/>
  <c r="BD18" i="25"/>
  <c r="N19" i="25"/>
  <c r="R19" i="25" s="1"/>
  <c r="N31" i="25"/>
  <c r="BD31" i="25"/>
  <c r="AR44" i="25"/>
  <c r="P45" i="25"/>
  <c r="P50" i="25" s="1"/>
  <c r="AR45" i="25"/>
  <c r="AR48" i="25" s="1"/>
  <c r="AJ57" i="25"/>
  <c r="BB58" i="25"/>
  <c r="BB63" i="25" s="1"/>
  <c r="P37" i="25"/>
  <c r="BD35" i="25"/>
  <c r="AJ37" i="25"/>
  <c r="BD24" i="25"/>
  <c r="BD61" i="25"/>
  <c r="BL11" i="25"/>
  <c r="BL10" i="25"/>
  <c r="BL9" i="25"/>
  <c r="BP6" i="25"/>
  <c r="P24" i="25"/>
  <c r="P22" i="25"/>
  <c r="P23" i="25"/>
  <c r="BB24" i="25"/>
  <c r="BB23" i="25"/>
  <c r="BB22" i="25"/>
  <c r="BF19" i="25"/>
  <c r="BL36" i="25"/>
  <c r="BL35" i="25"/>
  <c r="BL37" i="25"/>
  <c r="X22" i="25"/>
  <c r="X23" i="25"/>
  <c r="X24" i="25"/>
  <c r="BL24" i="25"/>
  <c r="BL23" i="25"/>
  <c r="BL22" i="25"/>
  <c r="AT19" i="25"/>
  <c r="AT18" i="25"/>
  <c r="AH19" i="25"/>
  <c r="AH18" i="25"/>
  <c r="Z18" i="25"/>
  <c r="AR18" i="25"/>
  <c r="BL18" i="25"/>
  <c r="Z19" i="25"/>
  <c r="AR19" i="25"/>
  <c r="AJ35" i="25"/>
  <c r="X32" i="25"/>
  <c r="X31" i="25"/>
  <c r="AB31" i="25" s="1"/>
  <c r="BN32" i="25"/>
  <c r="BN31" i="25"/>
  <c r="BL31" i="25"/>
  <c r="AJ48" i="25"/>
  <c r="AJ50" i="25"/>
  <c r="N62" i="25"/>
  <c r="BL5" i="25"/>
  <c r="AJ18" i="25"/>
  <c r="BB18" i="25"/>
  <c r="AJ19" i="25"/>
  <c r="BD23" i="25"/>
  <c r="P36" i="25"/>
  <c r="AH45" i="25"/>
  <c r="AJ44" i="25"/>
  <c r="AH44" i="25"/>
  <c r="AR50" i="25"/>
  <c r="AR49" i="25"/>
  <c r="AJ49" i="25"/>
  <c r="Z57" i="25"/>
  <c r="Z58" i="25"/>
  <c r="X58" i="25"/>
  <c r="X57" i="25"/>
  <c r="BN57" i="25"/>
  <c r="BL58" i="25"/>
  <c r="BL57" i="25"/>
  <c r="X18" i="25"/>
  <c r="AT32" i="25"/>
  <c r="AT31" i="25"/>
  <c r="AV31" i="25" s="1"/>
  <c r="Z32" i="25"/>
  <c r="BB50" i="25"/>
  <c r="BN62" i="25"/>
  <c r="BN61" i="25"/>
  <c r="BN63" i="25"/>
  <c r="BD37" i="25"/>
  <c r="AT50" i="25"/>
  <c r="AT48" i="25"/>
  <c r="AT44" i="25"/>
  <c r="X49" i="25"/>
  <c r="AH63" i="25"/>
  <c r="AH61" i="25"/>
  <c r="AR57" i="25"/>
  <c r="AJ58" i="25"/>
  <c r="BD62" i="25"/>
  <c r="AT63" i="25"/>
  <c r="AT61" i="25"/>
  <c r="AT57" i="25"/>
  <c r="AH32" i="25"/>
  <c r="AH31" i="25"/>
  <c r="AL31" i="25" s="1"/>
  <c r="R31" i="25"/>
  <c r="N36" i="25"/>
  <c r="N49" i="25"/>
  <c r="BN45" i="25"/>
  <c r="AH57" i="25"/>
  <c r="AL57" i="25" s="1"/>
  <c r="AR58" i="25"/>
  <c r="AT62" i="25"/>
  <c r="AR5" i="24"/>
  <c r="Z45" i="24"/>
  <c r="Z49" i="24" s="1"/>
  <c r="BB19" i="24"/>
  <c r="BB23" i="24" s="1"/>
  <c r="X32" i="24"/>
  <c r="AT44" i="24"/>
  <c r="BL6" i="24"/>
  <c r="BL11" i="24" s="1"/>
  <c r="AR36" i="24"/>
  <c r="N19" i="24"/>
  <c r="N23" i="24" s="1"/>
  <c r="BN19" i="24"/>
  <c r="BN23" i="24" s="1"/>
  <c r="BB31" i="24"/>
  <c r="N32" i="24"/>
  <c r="N37" i="24" s="1"/>
  <c r="AR44" i="24"/>
  <c r="AV44" i="24" s="1"/>
  <c r="BD57" i="24"/>
  <c r="BN18" i="24"/>
  <c r="Z19" i="24"/>
  <c r="Z22" i="24" s="1"/>
  <c r="N58" i="24"/>
  <c r="N63" i="24" s="1"/>
  <c r="Z18" i="24"/>
  <c r="AT19" i="24"/>
  <c r="AT24" i="24" s="1"/>
  <c r="BB32" i="24"/>
  <c r="BB37" i="24" s="1"/>
  <c r="BD44" i="24"/>
  <c r="P57" i="24"/>
  <c r="AT18" i="24"/>
  <c r="N31" i="24"/>
  <c r="P44" i="24"/>
  <c r="N45" i="24"/>
  <c r="N50" i="24" s="1"/>
  <c r="BB45" i="24"/>
  <c r="BB50" i="24" s="1"/>
  <c r="BB58" i="24"/>
  <c r="BB63" i="24" s="1"/>
  <c r="P36" i="24"/>
  <c r="BL5" i="24"/>
  <c r="BN11" i="24"/>
  <c r="BN10" i="24"/>
  <c r="BN9" i="24"/>
  <c r="BB11" i="24"/>
  <c r="BB10" i="24"/>
  <c r="BB9" i="24"/>
  <c r="AT6" i="24"/>
  <c r="AT5" i="24"/>
  <c r="BD5" i="24"/>
  <c r="BD6" i="24"/>
  <c r="BF6" i="24" s="1"/>
  <c r="AR11" i="24"/>
  <c r="AJ19" i="24"/>
  <c r="AJ18" i="24"/>
  <c r="AH19" i="24"/>
  <c r="AH18" i="24"/>
  <c r="BL62" i="24"/>
  <c r="BL61" i="24"/>
  <c r="AR24" i="24"/>
  <c r="AR23" i="24"/>
  <c r="AR22" i="24"/>
  <c r="BB24" i="24"/>
  <c r="BD50" i="24"/>
  <c r="BD48" i="24"/>
  <c r="BN5" i="24"/>
  <c r="AV6" i="24"/>
  <c r="AR9" i="24"/>
  <c r="P19" i="24"/>
  <c r="R19" i="24" s="1"/>
  <c r="P18" i="24"/>
  <c r="R18" i="24" s="1"/>
  <c r="BD19" i="24"/>
  <c r="BD18" i="24"/>
  <c r="BF18" i="24" s="1"/>
  <c r="Z23" i="24"/>
  <c r="BN22" i="24"/>
  <c r="BN24" i="24"/>
  <c r="BN36" i="24"/>
  <c r="BN35" i="24"/>
  <c r="BN37" i="24"/>
  <c r="X36" i="24"/>
  <c r="X35" i="24"/>
  <c r="X37" i="24"/>
  <c r="BD49" i="24"/>
  <c r="AJ57" i="24"/>
  <c r="AH58" i="24"/>
  <c r="AJ58" i="24"/>
  <c r="AH57" i="24"/>
  <c r="X62" i="24"/>
  <c r="X63" i="24"/>
  <c r="N24" i="24"/>
  <c r="N22" i="24"/>
  <c r="P50" i="24"/>
  <c r="P48" i="24"/>
  <c r="P49" i="24"/>
  <c r="AJ49" i="24"/>
  <c r="AJ50" i="24"/>
  <c r="BB5" i="24"/>
  <c r="X24" i="24"/>
  <c r="X23" i="24"/>
  <c r="X22" i="24"/>
  <c r="BL23" i="24"/>
  <c r="BL22" i="24"/>
  <c r="BP19" i="24"/>
  <c r="BL24" i="24"/>
  <c r="AH32" i="24"/>
  <c r="AH31" i="24"/>
  <c r="AJ31" i="24"/>
  <c r="AJ32" i="24"/>
  <c r="BL49" i="24"/>
  <c r="BL50" i="24"/>
  <c r="AJ48" i="24"/>
  <c r="BL63" i="24"/>
  <c r="AR18" i="24"/>
  <c r="X31" i="24"/>
  <c r="AB31" i="24" s="1"/>
  <c r="Z32" i="24"/>
  <c r="AB32" i="24" s="1"/>
  <c r="P35" i="24"/>
  <c r="AR35" i="24"/>
  <c r="X44" i="24"/>
  <c r="Z44" i="24"/>
  <c r="BL44" i="24"/>
  <c r="BN44" i="24"/>
  <c r="N49" i="24"/>
  <c r="R45" i="24"/>
  <c r="BN45" i="24"/>
  <c r="BP45" i="24" s="1"/>
  <c r="N48" i="24"/>
  <c r="AR63" i="24"/>
  <c r="AR61" i="24"/>
  <c r="BL32" i="24"/>
  <c r="BD36" i="24"/>
  <c r="AJ44" i="24"/>
  <c r="AH45" i="24"/>
  <c r="X49" i="24"/>
  <c r="X48" i="24"/>
  <c r="P63" i="24"/>
  <c r="P61" i="24"/>
  <c r="BD63" i="24"/>
  <c r="BD61" i="24"/>
  <c r="AV57" i="24"/>
  <c r="AR62" i="24"/>
  <c r="X18" i="24"/>
  <c r="AB18" i="24" s="1"/>
  <c r="BL18" i="24"/>
  <c r="BL31" i="24"/>
  <c r="BP31" i="24" s="1"/>
  <c r="N36" i="24"/>
  <c r="BD35" i="24"/>
  <c r="AR50" i="24"/>
  <c r="AR48" i="24"/>
  <c r="AH44" i="24"/>
  <c r="AL44" i="24" s="1"/>
  <c r="Z48" i="24"/>
  <c r="X57" i="24"/>
  <c r="Z58" i="24"/>
  <c r="AB58" i="24" s="1"/>
  <c r="Z57" i="24"/>
  <c r="BL57" i="24"/>
  <c r="BN58" i="24"/>
  <c r="BP58" i="24" s="1"/>
  <c r="BN57" i="24"/>
  <c r="BD62" i="24"/>
  <c r="AT31" i="24"/>
  <c r="AT32" i="24"/>
  <c r="N44" i="24"/>
  <c r="BB44" i="24"/>
  <c r="AT45" i="24"/>
  <c r="N57" i="24"/>
  <c r="R57" i="24" s="1"/>
  <c r="BB57" i="24"/>
  <c r="BF57" i="24" s="1"/>
  <c r="AT58" i="24"/>
  <c r="N62" i="24"/>
  <c r="N61" i="24"/>
  <c r="P31" i="24"/>
  <c r="R31" i="24" s="1"/>
  <c r="AR31" i="24"/>
  <c r="BD31" i="24"/>
  <c r="AT31" i="23"/>
  <c r="BL57" i="23"/>
  <c r="AT57" i="23"/>
  <c r="P5" i="23"/>
  <c r="R5" i="23" s="1"/>
  <c r="AJ32" i="23"/>
  <c r="AL32" i="23" s="1"/>
  <c r="X44" i="23"/>
  <c r="BN58" i="23"/>
  <c r="BN62" i="23" s="1"/>
  <c r="AT32" i="23"/>
  <c r="BL44" i="23"/>
  <c r="X57" i="23"/>
  <c r="AJ18" i="23"/>
  <c r="BN45" i="23"/>
  <c r="BN49" i="23" s="1"/>
  <c r="AT5" i="23"/>
  <c r="P18" i="23"/>
  <c r="AJ31" i="23"/>
  <c r="AL31" i="23" s="1"/>
  <c r="AH32" i="23"/>
  <c r="AH35" i="23" s="1"/>
  <c r="N45" i="23"/>
  <c r="N50" i="23" s="1"/>
  <c r="BD45" i="23"/>
  <c r="BD50" i="23" s="1"/>
  <c r="N58" i="23"/>
  <c r="N63" i="23" s="1"/>
  <c r="BD58" i="23"/>
  <c r="BD63" i="23" s="1"/>
  <c r="BN5" i="23"/>
  <c r="P19" i="23"/>
  <c r="P24" i="23" s="1"/>
  <c r="P45" i="23"/>
  <c r="P49" i="23" s="1"/>
  <c r="P58" i="23"/>
  <c r="P63" i="23" s="1"/>
  <c r="BN6" i="23"/>
  <c r="BN11" i="23" s="1"/>
  <c r="BD18" i="23"/>
  <c r="BD19" i="23"/>
  <c r="BD24" i="23" s="1"/>
  <c r="Z45" i="23"/>
  <c r="AB45" i="23" s="1"/>
  <c r="Z58" i="23"/>
  <c r="Z62" i="23" s="1"/>
  <c r="N18" i="23"/>
  <c r="R18" i="23" s="1"/>
  <c r="BB45" i="23"/>
  <c r="BB48" i="23" s="1"/>
  <c r="BB58" i="23"/>
  <c r="BB62" i="23" s="1"/>
  <c r="Z5" i="23"/>
  <c r="Z6" i="23"/>
  <c r="Z11" i="23" s="1"/>
  <c r="BL11" i="23"/>
  <c r="BL10" i="23"/>
  <c r="BL9" i="23"/>
  <c r="AJ24" i="23"/>
  <c r="AJ23" i="23"/>
  <c r="AJ22" i="23"/>
  <c r="AJ11" i="23"/>
  <c r="AJ10" i="23"/>
  <c r="AJ9" i="23"/>
  <c r="AT24" i="23"/>
  <c r="AT23" i="23"/>
  <c r="AT22" i="23"/>
  <c r="BD11" i="23"/>
  <c r="BD10" i="23"/>
  <c r="BD9" i="23"/>
  <c r="Z24" i="23"/>
  <c r="Z23" i="23"/>
  <c r="Z22" i="23"/>
  <c r="BN24" i="23"/>
  <c r="BN23" i="23"/>
  <c r="BN22" i="23"/>
  <c r="X11" i="23"/>
  <c r="X10" i="23"/>
  <c r="X9" i="23"/>
  <c r="AR50" i="23"/>
  <c r="AR48" i="23"/>
  <c r="AR49" i="23"/>
  <c r="AR11" i="23"/>
  <c r="AR10" i="23"/>
  <c r="AR9" i="23"/>
  <c r="N24" i="23"/>
  <c r="N23" i="23"/>
  <c r="N22" i="23"/>
  <c r="BB24" i="23"/>
  <c r="BB23" i="23"/>
  <c r="BB22" i="23"/>
  <c r="AH5" i="23"/>
  <c r="R6" i="23"/>
  <c r="AH6" i="23"/>
  <c r="AT6" i="23"/>
  <c r="N9" i="23"/>
  <c r="N10" i="23"/>
  <c r="AR18" i="23"/>
  <c r="AR19" i="23"/>
  <c r="Z32" i="23"/>
  <c r="Z31" i="23"/>
  <c r="BN32" i="23"/>
  <c r="BN31" i="23"/>
  <c r="BL31" i="23"/>
  <c r="X32" i="23"/>
  <c r="AV32" i="23"/>
  <c r="AR37" i="23"/>
  <c r="X49" i="23"/>
  <c r="X50" i="23"/>
  <c r="X48" i="23"/>
  <c r="BL49" i="23"/>
  <c r="BL50" i="23"/>
  <c r="BL48" i="23"/>
  <c r="BP45" i="23"/>
  <c r="X5" i="23"/>
  <c r="AJ5" i="23"/>
  <c r="BL5" i="23"/>
  <c r="P9" i="23"/>
  <c r="P10" i="23"/>
  <c r="AH18" i="23"/>
  <c r="AT18" i="23"/>
  <c r="AH19" i="23"/>
  <c r="AH37" i="23"/>
  <c r="AH36" i="23"/>
  <c r="AJ45" i="23"/>
  <c r="AH45" i="23"/>
  <c r="AH44" i="23"/>
  <c r="AL44" i="23" s="1"/>
  <c r="Z50" i="23"/>
  <c r="X62" i="23"/>
  <c r="X63" i="23"/>
  <c r="X61" i="23"/>
  <c r="BL62" i="23"/>
  <c r="BL63" i="23"/>
  <c r="BL61" i="23"/>
  <c r="BB5" i="23"/>
  <c r="BB6" i="23"/>
  <c r="X18" i="23"/>
  <c r="BL18" i="23"/>
  <c r="X19" i="23"/>
  <c r="BL19" i="23"/>
  <c r="X31" i="23"/>
  <c r="AB31" i="23" s="1"/>
  <c r="BL32" i="23"/>
  <c r="AR35" i="23"/>
  <c r="AR44" i="23"/>
  <c r="AT45" i="23"/>
  <c r="BD49" i="23"/>
  <c r="AJ57" i="23"/>
  <c r="AJ58" i="23"/>
  <c r="AH58" i="23"/>
  <c r="AH57" i="23"/>
  <c r="AL57" i="23" s="1"/>
  <c r="BF58" i="23"/>
  <c r="BB61" i="23"/>
  <c r="AR5" i="23"/>
  <c r="BD5" i="23"/>
  <c r="Z18" i="23"/>
  <c r="BB18" i="23"/>
  <c r="BN18" i="23"/>
  <c r="P32" i="23"/>
  <c r="P31" i="23"/>
  <c r="N32" i="23"/>
  <c r="N31" i="23"/>
  <c r="BD32" i="23"/>
  <c r="BD31" i="23"/>
  <c r="BB32" i="23"/>
  <c r="BB31" i="23"/>
  <c r="AT37" i="23"/>
  <c r="AT35" i="23"/>
  <c r="AT36" i="23"/>
  <c r="AT44" i="23"/>
  <c r="N48" i="23"/>
  <c r="BN48" i="23"/>
  <c r="AR63" i="23"/>
  <c r="AR61" i="23"/>
  <c r="AR62" i="23"/>
  <c r="BB63" i="23"/>
  <c r="N44" i="23"/>
  <c r="R44" i="23" s="1"/>
  <c r="Z44" i="23"/>
  <c r="BB44" i="23"/>
  <c r="BF44" i="23" s="1"/>
  <c r="BN44" i="23"/>
  <c r="N57" i="23"/>
  <c r="R57" i="23" s="1"/>
  <c r="Z57" i="23"/>
  <c r="BB57" i="23"/>
  <c r="BF57" i="23" s="1"/>
  <c r="BN57" i="23"/>
  <c r="AT58" i="23"/>
  <c r="AR31" i="23"/>
  <c r="AV31" i="23" s="1"/>
  <c r="AR57" i="23"/>
  <c r="AV57" i="23" s="1"/>
  <c r="P62" i="23"/>
  <c r="BD62" i="23"/>
  <c r="P61" i="23"/>
  <c r="BD61" i="23"/>
  <c r="Z18" i="22"/>
  <c r="AJ32" i="22"/>
  <c r="AJ36" i="22" s="1"/>
  <c r="AR57" i="22"/>
  <c r="N18" i="22"/>
  <c r="Z19" i="22"/>
  <c r="Z24" i="22" s="1"/>
  <c r="BN18" i="22"/>
  <c r="AJ45" i="22"/>
  <c r="AJ49" i="22" s="1"/>
  <c r="AJ31" i="22"/>
  <c r="P57" i="22"/>
  <c r="BB18" i="22"/>
  <c r="N19" i="22"/>
  <c r="N24" i="22" s="1"/>
  <c r="BN19" i="22"/>
  <c r="BN23" i="22" s="1"/>
  <c r="X31" i="22"/>
  <c r="BD44" i="22"/>
  <c r="AJ58" i="22"/>
  <c r="AJ62" i="22" s="1"/>
  <c r="AT19" i="22"/>
  <c r="AV19" i="22" s="1"/>
  <c r="P44" i="22"/>
  <c r="AT18" i="22"/>
  <c r="BB19" i="22"/>
  <c r="BB24" i="22" s="1"/>
  <c r="AR35" i="22"/>
  <c r="AR44" i="22"/>
  <c r="BD57" i="22"/>
  <c r="BD36" i="22"/>
  <c r="BD6" i="22"/>
  <c r="BD11" i="22" s="1"/>
  <c r="BD5" i="22"/>
  <c r="BL9" i="22"/>
  <c r="BL11" i="22"/>
  <c r="BL10" i="22"/>
  <c r="P24" i="22"/>
  <c r="P23" i="22"/>
  <c r="P22" i="22"/>
  <c r="BD24" i="22"/>
  <c r="BD23" i="22"/>
  <c r="BD22" i="22"/>
  <c r="X24" i="22"/>
  <c r="X23" i="22"/>
  <c r="X22" i="22"/>
  <c r="AH24" i="22"/>
  <c r="AH23" i="22"/>
  <c r="AH22" i="22"/>
  <c r="BL23" i="22"/>
  <c r="BL22" i="22"/>
  <c r="BL24" i="22"/>
  <c r="BB11" i="22"/>
  <c r="BB10" i="22"/>
  <c r="BB9" i="22"/>
  <c r="AR24" i="22"/>
  <c r="AR23" i="22"/>
  <c r="AR22" i="22"/>
  <c r="BL49" i="22"/>
  <c r="BL48" i="22"/>
  <c r="BL50" i="22"/>
  <c r="BL5" i="22"/>
  <c r="AH18" i="22"/>
  <c r="BB5" i="22"/>
  <c r="BN5" i="22"/>
  <c r="BN6" i="22"/>
  <c r="X18" i="22"/>
  <c r="AB18" i="22" s="1"/>
  <c r="AJ18" i="22"/>
  <c r="BL18" i="22"/>
  <c r="BP18" i="22" s="1"/>
  <c r="AJ19" i="22"/>
  <c r="Z32" i="22"/>
  <c r="AB32" i="22" s="1"/>
  <c r="Z31" i="22"/>
  <c r="BN32" i="22"/>
  <c r="BP32" i="22" s="1"/>
  <c r="BN31" i="22"/>
  <c r="BL31" i="22"/>
  <c r="AR36" i="22"/>
  <c r="AJ37" i="22"/>
  <c r="AR63" i="22"/>
  <c r="AR61" i="22"/>
  <c r="BD63" i="22"/>
  <c r="BD61" i="22"/>
  <c r="P18" i="22"/>
  <c r="AR18" i="22"/>
  <c r="BD18" i="22"/>
  <c r="BL36" i="22"/>
  <c r="BL35" i="22"/>
  <c r="BD35" i="22"/>
  <c r="P36" i="22"/>
  <c r="BL37" i="22"/>
  <c r="P50" i="22"/>
  <c r="P48" i="22"/>
  <c r="BD50" i="22"/>
  <c r="BD48" i="22"/>
  <c r="X57" i="22"/>
  <c r="Z58" i="22"/>
  <c r="Z57" i="22"/>
  <c r="BL57" i="22"/>
  <c r="BN58" i="22"/>
  <c r="BP58" i="22" s="1"/>
  <c r="BN57" i="22"/>
  <c r="X58" i="22"/>
  <c r="AH36" i="22"/>
  <c r="AH35" i="22"/>
  <c r="AH37" i="22"/>
  <c r="AR50" i="22"/>
  <c r="AR48" i="22"/>
  <c r="P63" i="22"/>
  <c r="P61" i="22"/>
  <c r="BL62" i="22"/>
  <c r="X36" i="22"/>
  <c r="X35" i="22"/>
  <c r="P35" i="22"/>
  <c r="X37" i="22"/>
  <c r="X44" i="22"/>
  <c r="Z45" i="22"/>
  <c r="Z44" i="22"/>
  <c r="BL44" i="22"/>
  <c r="BN45" i="22"/>
  <c r="BN44" i="22"/>
  <c r="X45" i="22"/>
  <c r="AR49" i="22"/>
  <c r="BL61" i="22"/>
  <c r="BD62" i="22"/>
  <c r="AH31" i="22"/>
  <c r="AT31" i="22"/>
  <c r="AT32" i="22"/>
  <c r="N44" i="22"/>
  <c r="BB44" i="22"/>
  <c r="BF44" i="22" s="1"/>
  <c r="AH45" i="22"/>
  <c r="AT45" i="22"/>
  <c r="N57" i="22"/>
  <c r="R57" i="22" s="1"/>
  <c r="BB57" i="22"/>
  <c r="AH58" i="22"/>
  <c r="AT58" i="22"/>
  <c r="N31" i="22"/>
  <c r="BB31" i="22"/>
  <c r="N32" i="22"/>
  <c r="BB32" i="22"/>
  <c r="AH44" i="22"/>
  <c r="AL44" i="22" s="1"/>
  <c r="AT44" i="22"/>
  <c r="AV44" i="22" s="1"/>
  <c r="N45" i="22"/>
  <c r="BB45" i="22"/>
  <c r="AH57" i="22"/>
  <c r="AL57" i="22" s="1"/>
  <c r="AT57" i="22"/>
  <c r="N58" i="22"/>
  <c r="BB58" i="22"/>
  <c r="P31" i="22"/>
  <c r="AR31" i="22"/>
  <c r="BD31" i="22"/>
  <c r="AJ32" i="21"/>
  <c r="AL32" i="21" s="1"/>
  <c r="BB6" i="21"/>
  <c r="BB9" i="21" s="1"/>
  <c r="AJ31" i="21"/>
  <c r="P32" i="21"/>
  <c r="P36" i="21" s="1"/>
  <c r="BD6" i="21"/>
  <c r="BD11" i="21" s="1"/>
  <c r="AT19" i="21"/>
  <c r="AT24" i="21" s="1"/>
  <c r="BD31" i="21"/>
  <c r="AL44" i="21"/>
  <c r="AR44" i="21"/>
  <c r="P57" i="21"/>
  <c r="P58" i="21"/>
  <c r="P62" i="21" s="1"/>
  <c r="BD32" i="21"/>
  <c r="BD35" i="21" s="1"/>
  <c r="P44" i="21"/>
  <c r="P45" i="21"/>
  <c r="P50" i="21" s="1"/>
  <c r="AJ58" i="21"/>
  <c r="AJ62" i="21" s="1"/>
  <c r="AT18" i="21"/>
  <c r="BL57" i="21"/>
  <c r="BD62" i="21"/>
  <c r="BL37" i="21"/>
  <c r="BD49" i="21"/>
  <c r="BF5" i="21"/>
  <c r="BL35" i="21"/>
  <c r="X36" i="21"/>
  <c r="BD50" i="21"/>
  <c r="X61" i="21"/>
  <c r="AJ49" i="21"/>
  <c r="BN11" i="21"/>
  <c r="BN10" i="21"/>
  <c r="BN9" i="21"/>
  <c r="AJ11" i="21"/>
  <c r="AJ10" i="21"/>
  <c r="AJ9" i="21"/>
  <c r="AT10" i="21"/>
  <c r="AJ24" i="21"/>
  <c r="AR22" i="21"/>
  <c r="AT32" i="21"/>
  <c r="AT31" i="21"/>
  <c r="AR31" i="21"/>
  <c r="AR32" i="21"/>
  <c r="BN5" i="21"/>
  <c r="BP5" i="21" s="1"/>
  <c r="BL6" i="21"/>
  <c r="AT9" i="21"/>
  <c r="P19" i="21"/>
  <c r="P18" i="21"/>
  <c r="N19" i="21"/>
  <c r="N18" i="21"/>
  <c r="BD19" i="21"/>
  <c r="BD18" i="21"/>
  <c r="BB19" i="21"/>
  <c r="BB18" i="21"/>
  <c r="AL18" i="21"/>
  <c r="Z19" i="21"/>
  <c r="Z18" i="21"/>
  <c r="AB18" i="21" s="1"/>
  <c r="BN19" i="21"/>
  <c r="BN18" i="21"/>
  <c r="BL18" i="21"/>
  <c r="X19" i="21"/>
  <c r="AR24" i="21"/>
  <c r="BD37" i="21"/>
  <c r="X50" i="21"/>
  <c r="X49" i="21"/>
  <c r="X48" i="21"/>
  <c r="AH6" i="21"/>
  <c r="AH5" i="21"/>
  <c r="AJ5" i="21"/>
  <c r="BB11" i="21"/>
  <c r="AH24" i="21"/>
  <c r="AH23" i="21"/>
  <c r="AH22" i="21"/>
  <c r="BL19" i="21"/>
  <c r="BL62" i="21"/>
  <c r="BL61" i="21"/>
  <c r="BL63" i="21"/>
  <c r="BN45" i="21"/>
  <c r="BN44" i="21"/>
  <c r="X44" i="21"/>
  <c r="P48" i="21"/>
  <c r="AR48" i="21"/>
  <c r="AT57" i="21"/>
  <c r="AT58" i="21"/>
  <c r="AR5" i="21"/>
  <c r="AR6" i="21"/>
  <c r="AT23" i="21"/>
  <c r="N37" i="21"/>
  <c r="N36" i="21"/>
  <c r="N35" i="21"/>
  <c r="BB37" i="21"/>
  <c r="BB36" i="21"/>
  <c r="BB35" i="21"/>
  <c r="X35" i="21"/>
  <c r="P49" i="21"/>
  <c r="AR49" i="21"/>
  <c r="AJ50" i="21"/>
  <c r="N63" i="21"/>
  <c r="N61" i="21"/>
  <c r="N62" i="21"/>
  <c r="BB63" i="21"/>
  <c r="BB61" i="21"/>
  <c r="BB62" i="21"/>
  <c r="BF58" i="21"/>
  <c r="AR57" i="21"/>
  <c r="AJ61" i="21"/>
  <c r="X63" i="21"/>
  <c r="Z45" i="21"/>
  <c r="Z44" i="21"/>
  <c r="AT5" i="21"/>
  <c r="AR18" i="21"/>
  <c r="Z32" i="21"/>
  <c r="Z31" i="21"/>
  <c r="AB31" i="21" s="1"/>
  <c r="BN32" i="21"/>
  <c r="BP32" i="21" s="1"/>
  <c r="BN31" i="21"/>
  <c r="BL31" i="21"/>
  <c r="AT44" i="21"/>
  <c r="AT45" i="21"/>
  <c r="BL44" i="21"/>
  <c r="Z58" i="21"/>
  <c r="Z57" i="21"/>
  <c r="BN58" i="21"/>
  <c r="BN57" i="21"/>
  <c r="X57" i="21"/>
  <c r="P61" i="21"/>
  <c r="AR58" i="21"/>
  <c r="AH36" i="21"/>
  <c r="AH35" i="21"/>
  <c r="AH37" i="21"/>
  <c r="N50" i="21"/>
  <c r="N48" i="21"/>
  <c r="N49" i="21"/>
  <c r="R45" i="21"/>
  <c r="BB50" i="21"/>
  <c r="BB48" i="21"/>
  <c r="BB49" i="21"/>
  <c r="BF45" i="21"/>
  <c r="BL45" i="21"/>
  <c r="AL57" i="21"/>
  <c r="AH31" i="21"/>
  <c r="N44" i="21"/>
  <c r="BB44" i="21"/>
  <c r="BF44" i="21" s="1"/>
  <c r="AH45" i="21"/>
  <c r="N57" i="21"/>
  <c r="R57" i="21" s="1"/>
  <c r="BB57" i="21"/>
  <c r="BF57" i="21" s="1"/>
  <c r="AH58" i="21"/>
  <c r="N31" i="21"/>
  <c r="R31" i="21" s="1"/>
  <c r="BB31" i="21"/>
  <c r="BD61" i="21"/>
  <c r="AJ45" i="20"/>
  <c r="AJ48" i="20" s="1"/>
  <c r="AR57" i="20"/>
  <c r="AT57" i="20"/>
  <c r="BN19" i="20"/>
  <c r="BN18" i="20"/>
  <c r="Z18" i="20"/>
  <c r="Z19" i="20"/>
  <c r="Z22" i="20" s="1"/>
  <c r="AR44" i="20"/>
  <c r="BB58" i="20"/>
  <c r="BF58" i="20" s="1"/>
  <c r="BD57" i="20"/>
  <c r="AT24" i="20"/>
  <c r="AH5" i="20"/>
  <c r="BB18" i="20"/>
  <c r="BB19" i="20"/>
  <c r="BB22" i="20" s="1"/>
  <c r="AT44" i="20"/>
  <c r="BB45" i="20"/>
  <c r="BB50" i="20" s="1"/>
  <c r="AH6" i="20"/>
  <c r="AH11" i="20" s="1"/>
  <c r="N18" i="20"/>
  <c r="BD18" i="20"/>
  <c r="N19" i="20"/>
  <c r="R19" i="20" s="1"/>
  <c r="AH32" i="20"/>
  <c r="AH36" i="20" s="1"/>
  <c r="BL37" i="20"/>
  <c r="BD44" i="20"/>
  <c r="P18" i="20"/>
  <c r="AH31" i="20"/>
  <c r="AR32" i="20"/>
  <c r="AR36" i="20" s="1"/>
  <c r="P44" i="20"/>
  <c r="N45" i="20"/>
  <c r="N50" i="20" s="1"/>
  <c r="P57" i="20"/>
  <c r="N58" i="20"/>
  <c r="N63" i="20" s="1"/>
  <c r="X9" i="20"/>
  <c r="BL10" i="20"/>
  <c r="BL11" i="20"/>
  <c r="AT22" i="20"/>
  <c r="AJ37" i="20"/>
  <c r="N11" i="20"/>
  <c r="X35" i="20"/>
  <c r="BD11" i="20"/>
  <c r="BD10" i="20"/>
  <c r="BD9" i="20"/>
  <c r="AT11" i="20"/>
  <c r="AT10" i="20"/>
  <c r="AT9" i="20"/>
  <c r="AJ11" i="20"/>
  <c r="N32" i="20"/>
  <c r="N31" i="20"/>
  <c r="P31" i="20"/>
  <c r="P32" i="20"/>
  <c r="AR5" i="20"/>
  <c r="AJ10" i="20"/>
  <c r="BL24" i="20"/>
  <c r="BL22" i="20"/>
  <c r="BL23" i="20"/>
  <c r="BP19" i="20"/>
  <c r="BN24" i="20"/>
  <c r="BN23" i="20"/>
  <c r="BN22" i="20"/>
  <c r="BD5" i="20"/>
  <c r="X10" i="20"/>
  <c r="BF19" i="20"/>
  <c r="AT37" i="20"/>
  <c r="AT35" i="20"/>
  <c r="AT36" i="20"/>
  <c r="P50" i="20"/>
  <c r="P48" i="20"/>
  <c r="P49" i="20"/>
  <c r="BD50" i="20"/>
  <c r="BD48" i="20"/>
  <c r="BL49" i="20"/>
  <c r="BL50" i="20"/>
  <c r="AL6" i="20"/>
  <c r="BB32" i="20"/>
  <c r="BB31" i="20"/>
  <c r="BD32" i="20"/>
  <c r="BD31" i="20"/>
  <c r="Z49" i="20"/>
  <c r="Z50" i="20"/>
  <c r="Z48" i="20"/>
  <c r="AR6" i="20"/>
  <c r="AJ49" i="20"/>
  <c r="P11" i="20"/>
  <c r="P10" i="20"/>
  <c r="P9" i="20"/>
  <c r="X23" i="20"/>
  <c r="X24" i="20"/>
  <c r="X22" i="20"/>
  <c r="BB6" i="20"/>
  <c r="BB5" i="20"/>
  <c r="AT5" i="20"/>
  <c r="R11" i="20"/>
  <c r="AH19" i="20"/>
  <c r="AH18" i="20"/>
  <c r="AJ19" i="20"/>
  <c r="AJ18" i="20"/>
  <c r="BD49" i="20"/>
  <c r="AJ57" i="20"/>
  <c r="AJ58" i="20"/>
  <c r="AH58" i="20"/>
  <c r="AH57" i="20"/>
  <c r="AR18" i="20"/>
  <c r="Z5" i="20"/>
  <c r="BN5" i="20"/>
  <c r="Z6" i="20"/>
  <c r="BN6" i="20"/>
  <c r="X18" i="20"/>
  <c r="BL18" i="20"/>
  <c r="P22" i="20"/>
  <c r="BD22" i="20"/>
  <c r="P23" i="20"/>
  <c r="BD23" i="20"/>
  <c r="AT31" i="20"/>
  <c r="AR50" i="20"/>
  <c r="AR48" i="20"/>
  <c r="X57" i="20"/>
  <c r="X58" i="20"/>
  <c r="Z57" i="20"/>
  <c r="BL57" i="20"/>
  <c r="BL58" i="20"/>
  <c r="BN57" i="20"/>
  <c r="Z58" i="20"/>
  <c r="AR19" i="20"/>
  <c r="X44" i="20"/>
  <c r="Z44" i="20"/>
  <c r="BL44" i="20"/>
  <c r="BN44" i="20"/>
  <c r="BN45" i="20"/>
  <c r="BP45" i="20" s="1"/>
  <c r="AR63" i="20"/>
  <c r="AR61" i="20"/>
  <c r="AR62" i="20"/>
  <c r="BB61" i="20"/>
  <c r="X5" i="20"/>
  <c r="AJ5" i="20"/>
  <c r="BL5" i="20"/>
  <c r="AT18" i="20"/>
  <c r="AR31" i="20"/>
  <c r="AJ35" i="20"/>
  <c r="BL35" i="20"/>
  <c r="X37" i="20"/>
  <c r="AJ44" i="20"/>
  <c r="AL44" i="20" s="1"/>
  <c r="AH45" i="20"/>
  <c r="X45" i="20"/>
  <c r="AR49" i="20"/>
  <c r="P63" i="20"/>
  <c r="P61" i="20"/>
  <c r="P62" i="20"/>
  <c r="BD63" i="20"/>
  <c r="BD61" i="20"/>
  <c r="BD62" i="20"/>
  <c r="BN58" i="20"/>
  <c r="Z31" i="20"/>
  <c r="BN31" i="20"/>
  <c r="Z32" i="20"/>
  <c r="BN32" i="20"/>
  <c r="BP32" i="20" s="1"/>
  <c r="N44" i="20"/>
  <c r="BB44" i="20"/>
  <c r="AT45" i="20"/>
  <c r="N57" i="20"/>
  <c r="BB57" i="20"/>
  <c r="AT58" i="20"/>
  <c r="AV58" i="20" s="1"/>
  <c r="X31" i="20"/>
  <c r="AJ31" i="20"/>
  <c r="BL31" i="20"/>
  <c r="BJ54" i="19"/>
  <c r="AZ54" i="19"/>
  <c r="AZ2" i="19"/>
  <c r="BB6" i="19" s="1"/>
  <c r="L60" i="19"/>
  <c r="BP56" i="19"/>
  <c r="BJ60" i="19" s="1"/>
  <c r="BF56" i="19"/>
  <c r="AZ60" i="19" s="1"/>
  <c r="AV56" i="19"/>
  <c r="AP60" i="19" s="1"/>
  <c r="AL56" i="19"/>
  <c r="AF60" i="19" s="1"/>
  <c r="AB56" i="19"/>
  <c r="V60" i="19" s="1"/>
  <c r="R56" i="19"/>
  <c r="BB57" i="19"/>
  <c r="AP54" i="19"/>
  <c r="AR58" i="19" s="1"/>
  <c r="AF54" i="19"/>
  <c r="AJ57" i="19" s="1"/>
  <c r="V54" i="19"/>
  <c r="X58" i="19" s="1"/>
  <c r="L54" i="19"/>
  <c r="P57" i="19" s="1"/>
  <c r="BJ47" i="19"/>
  <c r="BP43" i="19"/>
  <c r="BF43" i="19"/>
  <c r="AZ47" i="19" s="1"/>
  <c r="AV43" i="19"/>
  <c r="AP47" i="19" s="1"/>
  <c r="AL43" i="19"/>
  <c r="AF47" i="19" s="1"/>
  <c r="AB43" i="19"/>
  <c r="V47" i="19" s="1"/>
  <c r="R43" i="19"/>
  <c r="L47" i="19" s="1"/>
  <c r="BJ41" i="19"/>
  <c r="BL45" i="19" s="1"/>
  <c r="BL50" i="19" s="1"/>
  <c r="AZ41" i="19"/>
  <c r="BB44" i="19" s="1"/>
  <c r="AP41" i="19"/>
  <c r="AR45" i="19" s="1"/>
  <c r="AF41" i="19"/>
  <c r="AJ44" i="19" s="1"/>
  <c r="V41" i="19"/>
  <c r="Z44" i="19" s="1"/>
  <c r="L41" i="19"/>
  <c r="P45" i="19" s="1"/>
  <c r="P49" i="19" s="1"/>
  <c r="H35" i="19"/>
  <c r="G35" i="19"/>
  <c r="H34" i="19"/>
  <c r="G34" i="19"/>
  <c r="H33" i="19"/>
  <c r="G33" i="19"/>
  <c r="H32" i="19"/>
  <c r="G32" i="19"/>
  <c r="H31" i="19"/>
  <c r="G31" i="19"/>
  <c r="BP30" i="19"/>
  <c r="BJ34" i="19" s="1"/>
  <c r="BF30" i="19"/>
  <c r="AZ34" i="19" s="1"/>
  <c r="AV30" i="19"/>
  <c r="AP34" i="19" s="1"/>
  <c r="AL30" i="19"/>
  <c r="AF34" i="19" s="1"/>
  <c r="AB30" i="19"/>
  <c r="V34" i="19" s="1"/>
  <c r="R30" i="19"/>
  <c r="L34" i="19" s="1"/>
  <c r="H30" i="19"/>
  <c r="G30" i="19"/>
  <c r="H29" i="19"/>
  <c r="G29" i="19"/>
  <c r="BJ28" i="19"/>
  <c r="BL32" i="19" s="1"/>
  <c r="AZ28" i="19"/>
  <c r="BD32" i="19" s="1"/>
  <c r="BD36" i="19" s="1"/>
  <c r="AP28" i="19"/>
  <c r="AR31" i="19" s="1"/>
  <c r="AF28" i="19"/>
  <c r="V28" i="19"/>
  <c r="X32" i="19" s="1"/>
  <c r="X35" i="19" s="1"/>
  <c r="L28" i="19"/>
  <c r="N32" i="19" s="1"/>
  <c r="N36" i="19" s="1"/>
  <c r="H28" i="19"/>
  <c r="G28" i="19"/>
  <c r="H27" i="19"/>
  <c r="G27" i="19"/>
  <c r="H26" i="19"/>
  <c r="G26" i="19"/>
  <c r="H25" i="19"/>
  <c r="G25" i="19"/>
  <c r="H24" i="19"/>
  <c r="G24" i="19"/>
  <c r="H23" i="19"/>
  <c r="G23" i="19"/>
  <c r="H22" i="19"/>
  <c r="G22" i="19"/>
  <c r="H21" i="19"/>
  <c r="G21" i="19"/>
  <c r="H20" i="19"/>
  <c r="G20" i="19"/>
  <c r="H19" i="19"/>
  <c r="G19" i="19"/>
  <c r="H18" i="19"/>
  <c r="G18" i="19"/>
  <c r="BP17" i="19"/>
  <c r="BJ21" i="19" s="1"/>
  <c r="BF17" i="19"/>
  <c r="AZ21" i="19" s="1"/>
  <c r="AV17" i="19"/>
  <c r="AP21" i="19" s="1"/>
  <c r="AL17" i="19"/>
  <c r="AF21" i="19" s="1"/>
  <c r="AB17" i="19"/>
  <c r="V21" i="19" s="1"/>
  <c r="R17" i="19"/>
  <c r="L21" i="19" s="1"/>
  <c r="H17" i="19"/>
  <c r="G17" i="19"/>
  <c r="H16" i="19"/>
  <c r="G16" i="19"/>
  <c r="BJ15" i="19"/>
  <c r="BL19" i="19" s="1"/>
  <c r="BL24" i="19" s="1"/>
  <c r="AZ15" i="19"/>
  <c r="BD19" i="19" s="1"/>
  <c r="AP15" i="19"/>
  <c r="AR19" i="19" s="1"/>
  <c r="AF15" i="19"/>
  <c r="V15" i="19"/>
  <c r="X19" i="19" s="1"/>
  <c r="X22" i="19" s="1"/>
  <c r="L15" i="19"/>
  <c r="P19" i="19" s="1"/>
  <c r="H15" i="19"/>
  <c r="G15" i="19"/>
  <c r="H14" i="19"/>
  <c r="G14" i="19"/>
  <c r="H13" i="19"/>
  <c r="G13" i="19"/>
  <c r="H12" i="19"/>
  <c r="G12" i="19"/>
  <c r="H11" i="19"/>
  <c r="G11" i="19"/>
  <c r="H10" i="19"/>
  <c r="G10" i="19"/>
  <c r="H9" i="19"/>
  <c r="G9" i="19"/>
  <c r="H8" i="19"/>
  <c r="G8" i="19"/>
  <c r="H7" i="19"/>
  <c r="G7" i="19"/>
  <c r="H6" i="19"/>
  <c r="G6" i="19"/>
  <c r="BP4" i="19"/>
  <c r="BJ8" i="19" s="1"/>
  <c r="BF4" i="19"/>
  <c r="AZ8" i="19" s="1"/>
  <c r="BJ2" i="19"/>
  <c r="BL6" i="19" s="1"/>
  <c r="G33" i="18"/>
  <c r="H33" i="18"/>
  <c r="G34" i="18"/>
  <c r="H34" i="18"/>
  <c r="G35" i="18"/>
  <c r="H35" i="18"/>
  <c r="BJ54" i="18"/>
  <c r="BL57" i="18" s="1"/>
  <c r="AZ54" i="18"/>
  <c r="BB58" i="18" s="1"/>
  <c r="BB63" i="18" s="1"/>
  <c r="AP54" i="18"/>
  <c r="AT58" i="18" s="1"/>
  <c r="AT62" i="18" s="1"/>
  <c r="AF54" i="18"/>
  <c r="V54" i="18"/>
  <c r="X58" i="18" s="1"/>
  <c r="X63" i="18" s="1"/>
  <c r="L54" i="18"/>
  <c r="N58" i="18" s="1"/>
  <c r="N63" i="18" s="1"/>
  <c r="BJ41" i="18"/>
  <c r="BN44" i="18" s="1"/>
  <c r="AZ41" i="18"/>
  <c r="BB45" i="18" s="1"/>
  <c r="BB49" i="18" s="1"/>
  <c r="AP41" i="18"/>
  <c r="AT45" i="18" s="1"/>
  <c r="AT50" i="18" s="1"/>
  <c r="AF41" i="18"/>
  <c r="AJ44" i="18" s="1"/>
  <c r="V41" i="18"/>
  <c r="Z45" i="18" s="1"/>
  <c r="Z49" i="18" s="1"/>
  <c r="AF28" i="18"/>
  <c r="V28" i="18"/>
  <c r="L41" i="18"/>
  <c r="P44" i="18" s="1"/>
  <c r="BJ28" i="18"/>
  <c r="BL31" i="18" s="1"/>
  <c r="AZ28" i="18"/>
  <c r="BD32" i="18" s="1"/>
  <c r="BD37" i="18" s="1"/>
  <c r="AP28" i="18"/>
  <c r="AT31" i="18" s="1"/>
  <c r="Z32" i="18"/>
  <c r="Z37" i="18" s="1"/>
  <c r="L28" i="18"/>
  <c r="P32" i="18" s="1"/>
  <c r="BJ15" i="18"/>
  <c r="BN19" i="18" s="1"/>
  <c r="BN23" i="18" s="1"/>
  <c r="AZ15" i="18"/>
  <c r="BB19" i="18" s="1"/>
  <c r="AP15" i="18"/>
  <c r="AR19" i="18" s="1"/>
  <c r="AF15" i="18"/>
  <c r="AJ19" i="18" s="1"/>
  <c r="AJ22" i="18" s="1"/>
  <c r="V15" i="18"/>
  <c r="X18" i="18" s="1"/>
  <c r="L15" i="18"/>
  <c r="N19" i="18" s="1"/>
  <c r="BJ2" i="18"/>
  <c r="BN5" i="18" s="1"/>
  <c r="AZ2" i="18"/>
  <c r="AP2" i="18"/>
  <c r="AR6" i="18" s="1"/>
  <c r="AR11" i="18" s="1"/>
  <c r="AF2" i="18"/>
  <c r="AJ6" i="18" s="1"/>
  <c r="AJ9" i="18" s="1"/>
  <c r="V2" i="18"/>
  <c r="X5" i="18" s="1"/>
  <c r="BN58" i="18"/>
  <c r="BN63" i="18" s="1"/>
  <c r="BD58" i="18"/>
  <c r="BD62" i="18" s="1"/>
  <c r="AR58" i="18"/>
  <c r="AR61" i="18" s="1"/>
  <c r="AJ58" i="18"/>
  <c r="AJ63" i="18" s="1"/>
  <c r="AH58" i="18"/>
  <c r="AH62" i="18" s="1"/>
  <c r="Z58" i="18"/>
  <c r="Z63" i="18" s="1"/>
  <c r="BD57" i="18"/>
  <c r="AR57" i="18"/>
  <c r="AJ57" i="18"/>
  <c r="AH57" i="18"/>
  <c r="N57" i="18"/>
  <c r="BP56" i="18"/>
  <c r="BJ60" i="18" s="1"/>
  <c r="BF56" i="18"/>
  <c r="AZ60" i="18" s="1"/>
  <c r="AV56" i="18"/>
  <c r="AP60" i="18" s="1"/>
  <c r="AL56" i="18"/>
  <c r="AF60" i="18" s="1"/>
  <c r="AB56" i="18"/>
  <c r="V60" i="18" s="1"/>
  <c r="R56" i="18"/>
  <c r="L60" i="18" s="1"/>
  <c r="AF47" i="18"/>
  <c r="BN45" i="18"/>
  <c r="BN49" i="18" s="1"/>
  <c r="BL45" i="18"/>
  <c r="BD45" i="18"/>
  <c r="BD50" i="18" s="1"/>
  <c r="X45" i="18"/>
  <c r="X48" i="18" s="1"/>
  <c r="BD44" i="18"/>
  <c r="BB44" i="18"/>
  <c r="Z44" i="18"/>
  <c r="X44" i="18"/>
  <c r="BP43" i="18"/>
  <c r="BJ47" i="18" s="1"/>
  <c r="BF43" i="18"/>
  <c r="AZ47" i="18" s="1"/>
  <c r="AV43" i="18"/>
  <c r="AP47" i="18" s="1"/>
  <c r="AL43" i="18"/>
  <c r="AB43" i="18"/>
  <c r="V47" i="18" s="1"/>
  <c r="R43" i="18"/>
  <c r="L47" i="18" s="1"/>
  <c r="L34" i="18"/>
  <c r="BB32" i="18"/>
  <c r="BB37" i="18" s="1"/>
  <c r="AJ32" i="18"/>
  <c r="AJ37" i="18" s="1"/>
  <c r="AH32" i="18"/>
  <c r="AH36" i="18" s="1"/>
  <c r="N32" i="18"/>
  <c r="N37" i="18" s="1"/>
  <c r="H32" i="18"/>
  <c r="G32" i="18"/>
  <c r="BD31" i="18"/>
  <c r="AJ31" i="18"/>
  <c r="AH31" i="18"/>
  <c r="X31" i="18"/>
  <c r="P31" i="18"/>
  <c r="N31" i="18"/>
  <c r="H31" i="18"/>
  <c r="G31" i="18"/>
  <c r="BP30" i="18"/>
  <c r="BJ34" i="18" s="1"/>
  <c r="BF30" i="18"/>
  <c r="AZ34" i="18" s="1"/>
  <c r="AV30" i="18"/>
  <c r="AP34" i="18" s="1"/>
  <c r="AL30" i="18"/>
  <c r="AF34" i="18" s="1"/>
  <c r="AB30" i="18"/>
  <c r="V34" i="18" s="1"/>
  <c r="R30" i="18"/>
  <c r="H30" i="18"/>
  <c r="G30" i="18"/>
  <c r="H29" i="18"/>
  <c r="G29" i="18"/>
  <c r="H28" i="18"/>
  <c r="G28" i="18"/>
  <c r="H27" i="18"/>
  <c r="G27" i="18"/>
  <c r="H26" i="18"/>
  <c r="G26" i="18"/>
  <c r="H25" i="18"/>
  <c r="G25" i="18"/>
  <c r="H24" i="18"/>
  <c r="G24" i="18"/>
  <c r="H23" i="18"/>
  <c r="G23" i="18"/>
  <c r="H22" i="18"/>
  <c r="G22" i="18"/>
  <c r="H21" i="18"/>
  <c r="G21" i="18"/>
  <c r="H20" i="18"/>
  <c r="G20" i="18"/>
  <c r="BL19" i="18"/>
  <c r="BL24" i="18" s="1"/>
  <c r="AH19" i="18"/>
  <c r="Z19" i="18"/>
  <c r="Z23" i="18" s="1"/>
  <c r="H19" i="18"/>
  <c r="G19" i="18"/>
  <c r="BD18" i="18"/>
  <c r="AT18" i="18"/>
  <c r="AJ18" i="18"/>
  <c r="AH18" i="18"/>
  <c r="P18" i="18"/>
  <c r="H18" i="18"/>
  <c r="G18" i="18"/>
  <c r="BP17" i="18"/>
  <c r="BJ21" i="18" s="1"/>
  <c r="BF17" i="18"/>
  <c r="AZ21" i="18" s="1"/>
  <c r="AV17" i="18"/>
  <c r="AP21" i="18" s="1"/>
  <c r="AL17" i="18"/>
  <c r="AF21" i="18" s="1"/>
  <c r="AB17" i="18"/>
  <c r="V21" i="18" s="1"/>
  <c r="R17" i="18"/>
  <c r="L21" i="18" s="1"/>
  <c r="H17" i="18"/>
  <c r="G17" i="18"/>
  <c r="H16" i="18"/>
  <c r="G16" i="18"/>
  <c r="H15" i="18"/>
  <c r="G15" i="18"/>
  <c r="H14" i="18"/>
  <c r="G14" i="18"/>
  <c r="H13" i="18"/>
  <c r="G13" i="18"/>
  <c r="H12" i="18"/>
  <c r="G12" i="18"/>
  <c r="H11" i="18"/>
  <c r="G11" i="18"/>
  <c r="H10" i="18"/>
  <c r="G10" i="18"/>
  <c r="H9" i="18"/>
  <c r="G9" i="18"/>
  <c r="AP8" i="18"/>
  <c r="H8" i="18"/>
  <c r="G8" i="18"/>
  <c r="H7" i="18"/>
  <c r="G7" i="18"/>
  <c r="BN6" i="18"/>
  <c r="BN11" i="18" s="1"/>
  <c r="BD6" i="18"/>
  <c r="BD11" i="18" s="1"/>
  <c r="BB6" i="18"/>
  <c r="BB11" i="18" s="1"/>
  <c r="AT6" i="18"/>
  <c r="AT11" i="18" s="1"/>
  <c r="Z6" i="18"/>
  <c r="Z10" i="18" s="1"/>
  <c r="X6" i="18"/>
  <c r="X11" i="18" s="1"/>
  <c r="H6" i="18"/>
  <c r="G6" i="18"/>
  <c r="BD5" i="18"/>
  <c r="BB5" i="18"/>
  <c r="Z5" i="18"/>
  <c r="H5" i="18"/>
  <c r="G5" i="18"/>
  <c r="BP4" i="18"/>
  <c r="BJ8" i="18" s="1"/>
  <c r="BF4" i="18"/>
  <c r="AZ8" i="18" s="1"/>
  <c r="AV4" i="18"/>
  <c r="AL4" i="18"/>
  <c r="AF8" i="18" s="1"/>
  <c r="AB4" i="18"/>
  <c r="V8" i="18" s="1"/>
  <c r="H4" i="18"/>
  <c r="G4" i="18"/>
  <c r="H3" i="18"/>
  <c r="G3" i="18"/>
  <c r="N45" i="18" l="1"/>
  <c r="N49" i="18" s="1"/>
  <c r="N10" i="20"/>
  <c r="BD48" i="23"/>
  <c r="BB61" i="24"/>
  <c r="BF58" i="24"/>
  <c r="N37" i="25"/>
  <c r="BF32" i="25"/>
  <c r="AZ38" i="25" s="1"/>
  <c r="Z49" i="25"/>
  <c r="BF31" i="25"/>
  <c r="AV31" i="27"/>
  <c r="AT19" i="18"/>
  <c r="AT24" i="18" s="1"/>
  <c r="AR32" i="18"/>
  <c r="N44" i="18"/>
  <c r="AR44" i="18"/>
  <c r="AV44" i="18" s="1"/>
  <c r="P45" i="18"/>
  <c r="P50" i="18" s="1"/>
  <c r="X57" i="18"/>
  <c r="P58" i="18"/>
  <c r="N62" i="20"/>
  <c r="AR37" i="20"/>
  <c r="BP18" i="20"/>
  <c r="R9" i="20"/>
  <c r="N9" i="20"/>
  <c r="R44" i="21"/>
  <c r="AJ22" i="21"/>
  <c r="P37" i="21"/>
  <c r="BD10" i="21"/>
  <c r="AJ37" i="21"/>
  <c r="R19" i="23"/>
  <c r="R32" i="24"/>
  <c r="BB35" i="24"/>
  <c r="AL18" i="24"/>
  <c r="R32" i="25"/>
  <c r="BB49" i="25"/>
  <c r="BB35" i="25"/>
  <c r="AV6" i="27"/>
  <c r="AH5" i="18"/>
  <c r="P57" i="18"/>
  <c r="L12" i="20"/>
  <c r="BP57" i="21"/>
  <c r="AL19" i="21"/>
  <c r="BF6" i="21"/>
  <c r="P22" i="23"/>
  <c r="Z24" i="24"/>
  <c r="BP19" i="26"/>
  <c r="AJ5" i="18"/>
  <c r="BL5" i="18"/>
  <c r="AT5" i="18"/>
  <c r="AH6" i="18"/>
  <c r="AH11" i="18" s="1"/>
  <c r="BL6" i="18"/>
  <c r="BL9" i="18" s="1"/>
  <c r="BD19" i="18"/>
  <c r="BF19" i="18" s="1"/>
  <c r="BF22" i="18" s="1"/>
  <c r="AR31" i="18"/>
  <c r="AT32" i="18"/>
  <c r="AT36" i="18" s="1"/>
  <c r="Z57" i="18"/>
  <c r="BB57" i="18"/>
  <c r="AJ50" i="20"/>
  <c r="AV57" i="20"/>
  <c r="AV44" i="21"/>
  <c r="BF32" i="21"/>
  <c r="AZ38" i="21" s="1"/>
  <c r="R32" i="21"/>
  <c r="R35" i="21" s="1"/>
  <c r="R18" i="22"/>
  <c r="AJ35" i="23"/>
  <c r="BB62" i="24"/>
  <c r="N35" i="24"/>
  <c r="AB45" i="24"/>
  <c r="Z50" i="24"/>
  <c r="BB36" i="24"/>
  <c r="AB19" i="24"/>
  <c r="AB23" i="24" s="1"/>
  <c r="BP6" i="24"/>
  <c r="BB22" i="24"/>
  <c r="BL10" i="24"/>
  <c r="AB45" i="25"/>
  <c r="AB48" i="25" s="1"/>
  <c r="BB36" i="25"/>
  <c r="BN9" i="25"/>
  <c r="BF45" i="25"/>
  <c r="BF50" i="25" s="1"/>
  <c r="R31" i="26"/>
  <c r="N61" i="27"/>
  <c r="AB18" i="27"/>
  <c r="R5" i="20"/>
  <c r="AT35" i="27"/>
  <c r="BB50" i="27"/>
  <c r="BB62" i="27"/>
  <c r="AH35" i="27"/>
  <c r="BF18" i="27"/>
  <c r="AT36" i="27"/>
  <c r="R31" i="27"/>
  <c r="AH37" i="27"/>
  <c r="BF5" i="27"/>
  <c r="R18" i="27"/>
  <c r="N62" i="27"/>
  <c r="BP18" i="27"/>
  <c r="AT37" i="27"/>
  <c r="R45" i="27"/>
  <c r="R48" i="27" s="1"/>
  <c r="AH36" i="27"/>
  <c r="AJ35" i="27"/>
  <c r="AJ37" i="27"/>
  <c r="BB61" i="27"/>
  <c r="BF58" i="27"/>
  <c r="BF63" i="27" s="1"/>
  <c r="N49" i="27"/>
  <c r="BP31" i="27"/>
  <c r="P63" i="27"/>
  <c r="P62" i="27"/>
  <c r="AB57" i="27"/>
  <c r="AL18" i="27"/>
  <c r="AL57" i="27"/>
  <c r="BP44" i="27"/>
  <c r="BF31" i="27"/>
  <c r="N36" i="27"/>
  <c r="R32" i="27"/>
  <c r="N37" i="27"/>
  <c r="N35" i="27"/>
  <c r="R49" i="27"/>
  <c r="AR24" i="27"/>
  <c r="AR23" i="27"/>
  <c r="AR22" i="27"/>
  <c r="AV19" i="27"/>
  <c r="AV18" i="27"/>
  <c r="AJ50" i="27"/>
  <c r="AJ48" i="27"/>
  <c r="AJ49" i="27"/>
  <c r="AP38" i="27"/>
  <c r="AV38" i="27"/>
  <c r="AV36" i="27"/>
  <c r="AV37" i="27"/>
  <c r="AV35" i="27"/>
  <c r="X37" i="27"/>
  <c r="X35" i="27"/>
  <c r="X36" i="27"/>
  <c r="AB32" i="27"/>
  <c r="AJ23" i="27"/>
  <c r="AJ24" i="27"/>
  <c r="AJ22" i="27"/>
  <c r="BB10" i="27"/>
  <c r="BB11" i="27"/>
  <c r="BF6" i="27"/>
  <c r="BB9" i="27"/>
  <c r="BL62" i="27"/>
  <c r="BP58" i="27"/>
  <c r="BL61" i="27"/>
  <c r="BL63" i="27"/>
  <c r="AT62" i="27"/>
  <c r="AT63" i="27"/>
  <c r="AT61" i="27"/>
  <c r="P35" i="27"/>
  <c r="P36" i="27"/>
  <c r="P37" i="27"/>
  <c r="Z63" i="27"/>
  <c r="Z61" i="27"/>
  <c r="Z62" i="27"/>
  <c r="BN10" i="27"/>
  <c r="BN11" i="27"/>
  <c r="BN9" i="27"/>
  <c r="AZ25" i="27"/>
  <c r="BF25" i="27"/>
  <c r="BF24" i="27"/>
  <c r="BF22" i="27"/>
  <c r="BF23" i="27"/>
  <c r="R62" i="27"/>
  <c r="L64" i="27"/>
  <c r="R63" i="27"/>
  <c r="R61" i="27"/>
  <c r="R64" i="27"/>
  <c r="AR63" i="27"/>
  <c r="AR61" i="27"/>
  <c r="AR62" i="27"/>
  <c r="AV58" i="27"/>
  <c r="Z49" i="27"/>
  <c r="Z50" i="27"/>
  <c r="Z48" i="27"/>
  <c r="V25" i="27"/>
  <c r="AB25" i="27"/>
  <c r="AB24" i="27"/>
  <c r="AB23" i="27"/>
  <c r="AB22" i="27"/>
  <c r="AT23" i="27"/>
  <c r="AT24" i="27"/>
  <c r="AT22" i="27"/>
  <c r="AH50" i="27"/>
  <c r="AH48" i="27"/>
  <c r="AL45" i="27"/>
  <c r="AH49" i="27"/>
  <c r="Z36" i="27"/>
  <c r="Z37" i="27"/>
  <c r="Z35" i="27"/>
  <c r="L25" i="27"/>
  <c r="R25" i="27"/>
  <c r="R23" i="27"/>
  <c r="R24" i="27"/>
  <c r="R22" i="27"/>
  <c r="AH24" i="27"/>
  <c r="AH22" i="27"/>
  <c r="AL19" i="27"/>
  <c r="AH23" i="27"/>
  <c r="BD11" i="27"/>
  <c r="BD10" i="27"/>
  <c r="BD9" i="27"/>
  <c r="BN63" i="27"/>
  <c r="BN61" i="27"/>
  <c r="BN62" i="27"/>
  <c r="AZ51" i="27"/>
  <c r="BF50" i="27"/>
  <c r="BF48" i="27"/>
  <c r="BF49" i="27"/>
  <c r="BF51" i="27"/>
  <c r="BP6" i="27"/>
  <c r="BF61" i="27"/>
  <c r="BB36" i="27"/>
  <c r="BB35" i="27"/>
  <c r="BF32" i="27"/>
  <c r="BB37" i="27"/>
  <c r="AF38" i="27"/>
  <c r="AL36" i="27"/>
  <c r="AL37" i="27"/>
  <c r="AL35" i="27"/>
  <c r="AL38" i="27"/>
  <c r="AH62" i="27"/>
  <c r="AL58" i="27"/>
  <c r="AH63" i="27"/>
  <c r="AH61" i="27"/>
  <c r="AR49" i="27"/>
  <c r="AR50" i="27"/>
  <c r="AV45" i="27"/>
  <c r="AR48" i="27"/>
  <c r="BL49" i="27"/>
  <c r="BL50" i="27"/>
  <c r="BP45" i="27"/>
  <c r="BL48" i="27"/>
  <c r="X49" i="27"/>
  <c r="X50" i="27"/>
  <c r="AB45" i="27"/>
  <c r="X48" i="27"/>
  <c r="BD37" i="27"/>
  <c r="BD35" i="27"/>
  <c r="BD36" i="27"/>
  <c r="X62" i="27"/>
  <c r="AB58" i="27"/>
  <c r="X61" i="27"/>
  <c r="X63" i="27"/>
  <c r="BN36" i="27"/>
  <c r="BN35" i="27"/>
  <c r="BN37" i="27"/>
  <c r="BP32" i="27"/>
  <c r="BP57" i="27"/>
  <c r="R44" i="26"/>
  <c r="AB5" i="26"/>
  <c r="P37" i="26"/>
  <c r="AB18" i="26"/>
  <c r="R18" i="26"/>
  <c r="AH9" i="26"/>
  <c r="BD36" i="26"/>
  <c r="R9" i="26"/>
  <c r="AV57" i="26"/>
  <c r="AV44" i="26"/>
  <c r="BN22" i="26"/>
  <c r="R19" i="26"/>
  <c r="R25" i="26" s="1"/>
  <c r="R10" i="26"/>
  <c r="AL6" i="26"/>
  <c r="AF12" i="26" s="1"/>
  <c r="L12" i="26"/>
  <c r="BD10" i="26"/>
  <c r="BF57" i="26"/>
  <c r="P23" i="26"/>
  <c r="P22" i="26"/>
  <c r="BB23" i="26"/>
  <c r="BB22" i="26"/>
  <c r="AL5" i="26"/>
  <c r="P36" i="26"/>
  <c r="BN24" i="26"/>
  <c r="R32" i="26"/>
  <c r="R35" i="26" s="1"/>
  <c r="BD35" i="26"/>
  <c r="BD23" i="26"/>
  <c r="AH10" i="26"/>
  <c r="AJ48" i="26"/>
  <c r="BP18" i="26"/>
  <c r="BD22" i="26"/>
  <c r="AJ63" i="26"/>
  <c r="AB44" i="26"/>
  <c r="AB57" i="26"/>
  <c r="BF5" i="26"/>
  <c r="BD9" i="26"/>
  <c r="BF31" i="26"/>
  <c r="BD11" i="26"/>
  <c r="BP44" i="26"/>
  <c r="AB19" i="26"/>
  <c r="AB25" i="26" s="1"/>
  <c r="AV18" i="26"/>
  <c r="AP12" i="26"/>
  <c r="AV11" i="26"/>
  <c r="AV12" i="26"/>
  <c r="AV9" i="26"/>
  <c r="AV10" i="26"/>
  <c r="AV51" i="26"/>
  <c r="AV49" i="26"/>
  <c r="AP51" i="26"/>
  <c r="AV48" i="26"/>
  <c r="AV50" i="26"/>
  <c r="BP38" i="26"/>
  <c r="BP37" i="26"/>
  <c r="BP35" i="26"/>
  <c r="BJ38" i="26"/>
  <c r="BP36" i="26"/>
  <c r="AB38" i="26"/>
  <c r="AB37" i="26"/>
  <c r="AB35" i="26"/>
  <c r="V38" i="26"/>
  <c r="AB36" i="26"/>
  <c r="AL24" i="26"/>
  <c r="AL23" i="26"/>
  <c r="AL22" i="26"/>
  <c r="AL25" i="26"/>
  <c r="AF25" i="26"/>
  <c r="BP31" i="26"/>
  <c r="N63" i="26"/>
  <c r="N61" i="26"/>
  <c r="N62" i="26"/>
  <c r="R58" i="26"/>
  <c r="N50" i="26"/>
  <c r="N48" i="26"/>
  <c r="N49" i="26"/>
  <c r="R45" i="26"/>
  <c r="AL31" i="26"/>
  <c r="Z50" i="26"/>
  <c r="Z48" i="26"/>
  <c r="Z49" i="26"/>
  <c r="AZ25" i="26"/>
  <c r="BF25" i="26"/>
  <c r="BF24" i="26"/>
  <c r="BF23" i="26"/>
  <c r="BF22" i="26"/>
  <c r="AR24" i="26"/>
  <c r="AR23" i="26"/>
  <c r="AR22" i="26"/>
  <c r="AV19" i="26"/>
  <c r="AR37" i="26"/>
  <c r="AR35" i="26"/>
  <c r="AV32" i="26"/>
  <c r="AR36" i="26"/>
  <c r="AL12" i="26"/>
  <c r="AL10" i="26"/>
  <c r="AL9" i="26"/>
  <c r="AL11" i="26"/>
  <c r="AT49" i="26"/>
  <c r="AT50" i="26"/>
  <c r="AT48" i="26"/>
  <c r="Z63" i="26"/>
  <c r="Z61" i="26"/>
  <c r="Z62" i="26"/>
  <c r="AZ12" i="26"/>
  <c r="BF11" i="26"/>
  <c r="BF10" i="26"/>
  <c r="BF9" i="26"/>
  <c r="BF12" i="26"/>
  <c r="AB31" i="26"/>
  <c r="AH62" i="26"/>
  <c r="AL58" i="26"/>
  <c r="AH63" i="26"/>
  <c r="AH61" i="26"/>
  <c r="AH49" i="26"/>
  <c r="AL45" i="26"/>
  <c r="AH50" i="26"/>
  <c r="AH48" i="26"/>
  <c r="Z37" i="26"/>
  <c r="Z35" i="26"/>
  <c r="Z36" i="26"/>
  <c r="BP64" i="26"/>
  <c r="BP63" i="26"/>
  <c r="BP61" i="26"/>
  <c r="BJ64" i="26"/>
  <c r="BP62" i="26"/>
  <c r="AT36" i="26"/>
  <c r="AT37" i="26"/>
  <c r="AT35" i="26"/>
  <c r="BN63" i="26"/>
  <c r="BN61" i="26"/>
  <c r="BN62" i="26"/>
  <c r="BF36" i="26"/>
  <c r="AZ38" i="26"/>
  <c r="BF37" i="26"/>
  <c r="BF35" i="26"/>
  <c r="BF38" i="26"/>
  <c r="BP25" i="26"/>
  <c r="BJ25" i="26"/>
  <c r="BP24" i="26"/>
  <c r="BP23" i="26"/>
  <c r="BP22" i="26"/>
  <c r="AV5" i="26"/>
  <c r="AT62" i="26"/>
  <c r="AT63" i="26"/>
  <c r="AT61" i="26"/>
  <c r="BN37" i="26"/>
  <c r="BN35" i="26"/>
  <c r="BN36" i="26"/>
  <c r="BN50" i="26"/>
  <c r="BN48" i="26"/>
  <c r="BN49" i="26"/>
  <c r="L25" i="26"/>
  <c r="R24" i="26"/>
  <c r="Z11" i="26"/>
  <c r="Z10" i="26"/>
  <c r="Z9" i="26"/>
  <c r="AB6" i="26"/>
  <c r="V25" i="26"/>
  <c r="AB23" i="26"/>
  <c r="BB63" i="26"/>
  <c r="BB61" i="26"/>
  <c r="BB62" i="26"/>
  <c r="BF58" i="26"/>
  <c r="BB50" i="26"/>
  <c r="BB48" i="26"/>
  <c r="BB49" i="26"/>
  <c r="BF45" i="26"/>
  <c r="AH36" i="26"/>
  <c r="AH37" i="26"/>
  <c r="AH35" i="26"/>
  <c r="AL32" i="26"/>
  <c r="X49" i="26"/>
  <c r="AB45" i="26"/>
  <c r="X50" i="26"/>
  <c r="X48" i="26"/>
  <c r="AL18" i="26"/>
  <c r="X62" i="26"/>
  <c r="AB58" i="26"/>
  <c r="X63" i="26"/>
  <c r="X61" i="26"/>
  <c r="BP45" i="26"/>
  <c r="L38" i="26"/>
  <c r="AV58" i="26"/>
  <c r="AJ22" i="26"/>
  <c r="AJ24" i="26"/>
  <c r="AJ23" i="26"/>
  <c r="BN11" i="26"/>
  <c r="BN10" i="26"/>
  <c r="BN9" i="26"/>
  <c r="BP6" i="26"/>
  <c r="BP57" i="26"/>
  <c r="AT11" i="26"/>
  <c r="AT10" i="26"/>
  <c r="AT9" i="26"/>
  <c r="BN22" i="25"/>
  <c r="BF58" i="25"/>
  <c r="AZ64" i="25" s="1"/>
  <c r="P49" i="25"/>
  <c r="Z48" i="25"/>
  <c r="P48" i="25"/>
  <c r="X50" i="25"/>
  <c r="N22" i="25"/>
  <c r="N23" i="25"/>
  <c r="BD50" i="25"/>
  <c r="BP5" i="25"/>
  <c r="R45" i="25"/>
  <c r="R51" i="25" s="1"/>
  <c r="AV45" i="25"/>
  <c r="AV48" i="25" s="1"/>
  <c r="BN24" i="25"/>
  <c r="AR35" i="25"/>
  <c r="N48" i="25"/>
  <c r="BP18" i="25"/>
  <c r="AV44" i="25"/>
  <c r="BF18" i="25"/>
  <c r="R58" i="25"/>
  <c r="L64" i="25" s="1"/>
  <c r="BP45" i="25"/>
  <c r="BP51" i="25" s="1"/>
  <c r="BB62" i="25"/>
  <c r="N63" i="25"/>
  <c r="BL49" i="25"/>
  <c r="AR36" i="25"/>
  <c r="BN23" i="25"/>
  <c r="N24" i="25"/>
  <c r="P61" i="25"/>
  <c r="P62" i="25"/>
  <c r="BD48" i="25"/>
  <c r="BD49" i="25"/>
  <c r="BB61" i="25"/>
  <c r="BL50" i="25"/>
  <c r="AV57" i="25"/>
  <c r="AV18" i="25"/>
  <c r="BP57" i="25"/>
  <c r="AR62" i="25"/>
  <c r="AR61" i="25"/>
  <c r="AR63" i="25"/>
  <c r="AV58" i="25"/>
  <c r="Z62" i="25"/>
  <c r="Z61" i="25"/>
  <c r="Z63" i="25"/>
  <c r="BN36" i="25"/>
  <c r="BN35" i="25"/>
  <c r="BN37" i="25"/>
  <c r="AR24" i="25"/>
  <c r="AR22" i="25"/>
  <c r="AV19" i="25"/>
  <c r="AR23" i="25"/>
  <c r="V51" i="25"/>
  <c r="AB50" i="25"/>
  <c r="L38" i="25"/>
  <c r="R37" i="25"/>
  <c r="R36" i="25"/>
  <c r="R38" i="25"/>
  <c r="R35" i="25"/>
  <c r="AJ61" i="25"/>
  <c r="AJ63" i="25"/>
  <c r="AL58" i="25"/>
  <c r="AJ62" i="25"/>
  <c r="Z36" i="25"/>
  <c r="Z35" i="25"/>
  <c r="Z37" i="25"/>
  <c r="X63" i="25"/>
  <c r="X62" i="25"/>
  <c r="AB58" i="25"/>
  <c r="X61" i="25"/>
  <c r="AL44" i="25"/>
  <c r="BF38" i="25"/>
  <c r="AT24" i="25"/>
  <c r="AT23" i="25"/>
  <c r="AT22" i="25"/>
  <c r="BP12" i="25"/>
  <c r="BJ12" i="25"/>
  <c r="BP11" i="25"/>
  <c r="BP10" i="25"/>
  <c r="BP9" i="25"/>
  <c r="BF61" i="25"/>
  <c r="BF48" i="25"/>
  <c r="BF49" i="25"/>
  <c r="AT37" i="25"/>
  <c r="AT36" i="25"/>
  <c r="AT35" i="25"/>
  <c r="AH50" i="25"/>
  <c r="AH48" i="25"/>
  <c r="AH49" i="25"/>
  <c r="AL45" i="25"/>
  <c r="AV32" i="25"/>
  <c r="R25" i="25"/>
  <c r="R24" i="25"/>
  <c r="R23" i="25"/>
  <c r="R22" i="25"/>
  <c r="L25" i="25"/>
  <c r="Z24" i="25"/>
  <c r="Z23" i="25"/>
  <c r="Z22" i="25"/>
  <c r="AL18" i="25"/>
  <c r="AH37" i="25"/>
  <c r="AH35" i="25"/>
  <c r="AL32" i="25"/>
  <c r="AH36" i="25"/>
  <c r="BL62" i="25"/>
  <c r="BL61" i="25"/>
  <c r="BP58" i="25"/>
  <c r="BL63" i="25"/>
  <c r="AJ23" i="25"/>
  <c r="AJ24" i="25"/>
  <c r="AJ22" i="25"/>
  <c r="BP32" i="25"/>
  <c r="BF24" i="25"/>
  <c r="BF25" i="25"/>
  <c r="BF23" i="25"/>
  <c r="BF22" i="25"/>
  <c r="AZ25" i="25"/>
  <c r="BN49" i="25"/>
  <c r="BN48" i="25"/>
  <c r="BN50" i="25"/>
  <c r="AB18" i="25"/>
  <c r="AB57" i="25"/>
  <c r="BP31" i="25"/>
  <c r="AB32" i="25"/>
  <c r="X37" i="25"/>
  <c r="X35" i="25"/>
  <c r="X36" i="25"/>
  <c r="AH24" i="25"/>
  <c r="AH23" i="25"/>
  <c r="AH22" i="25"/>
  <c r="AL19" i="25"/>
  <c r="BJ25" i="25"/>
  <c r="BP24" i="25"/>
  <c r="BP25" i="25"/>
  <c r="BP22" i="25"/>
  <c r="BP23" i="25"/>
  <c r="AB19" i="25"/>
  <c r="AV5" i="24"/>
  <c r="R58" i="24"/>
  <c r="L64" i="24" s="1"/>
  <c r="BF44" i="24"/>
  <c r="BF45" i="24"/>
  <c r="BF48" i="24" s="1"/>
  <c r="BL9" i="24"/>
  <c r="R44" i="24"/>
  <c r="BF32" i="24"/>
  <c r="AZ38" i="24" s="1"/>
  <c r="AT22" i="24"/>
  <c r="BP5" i="24"/>
  <c r="AV18" i="24"/>
  <c r="AV19" i="24"/>
  <c r="AV23" i="24" s="1"/>
  <c r="BB49" i="24"/>
  <c r="BP44" i="24"/>
  <c r="BF31" i="24"/>
  <c r="BP57" i="24"/>
  <c r="BB48" i="24"/>
  <c r="BP18" i="24"/>
  <c r="BF5" i="24"/>
  <c r="AL57" i="24"/>
  <c r="AT23" i="24"/>
  <c r="AB44" i="24"/>
  <c r="AT50" i="24"/>
  <c r="AT48" i="24"/>
  <c r="AT49" i="24"/>
  <c r="L38" i="24"/>
  <c r="R37" i="24"/>
  <c r="R38" i="24"/>
  <c r="R35" i="24"/>
  <c r="R36" i="24"/>
  <c r="BL36" i="24"/>
  <c r="BL35" i="24"/>
  <c r="BP32" i="24"/>
  <c r="BL37" i="24"/>
  <c r="BP51" i="24"/>
  <c r="BP50" i="24"/>
  <c r="BP48" i="24"/>
  <c r="BP49" i="24"/>
  <c r="BJ51" i="24"/>
  <c r="BJ25" i="24"/>
  <c r="BP25" i="24"/>
  <c r="BP23" i="24"/>
  <c r="BP22" i="24"/>
  <c r="BP24" i="24"/>
  <c r="AB64" i="24"/>
  <c r="AB63" i="24"/>
  <c r="AB61" i="24"/>
  <c r="V64" i="24"/>
  <c r="AB62" i="24"/>
  <c r="AH62" i="24"/>
  <c r="AL58" i="24"/>
  <c r="AH63" i="24"/>
  <c r="AH61" i="24"/>
  <c r="AB38" i="24"/>
  <c r="AB37" i="24"/>
  <c r="V38" i="24"/>
  <c r="AB35" i="24"/>
  <c r="AB36" i="24"/>
  <c r="BF11" i="24"/>
  <c r="BF10" i="24"/>
  <c r="BF9" i="24"/>
  <c r="BF12" i="24"/>
  <c r="AZ12" i="24"/>
  <c r="AV31" i="24"/>
  <c r="R62" i="24"/>
  <c r="R63" i="24"/>
  <c r="R61" i="24"/>
  <c r="R64" i="24"/>
  <c r="AH50" i="24"/>
  <c r="AH48" i="24"/>
  <c r="AH49" i="24"/>
  <c r="AL45" i="24"/>
  <c r="AL31" i="24"/>
  <c r="BD24" i="24"/>
  <c r="BD23" i="24"/>
  <c r="BD22" i="24"/>
  <c r="AV12" i="24"/>
  <c r="AV9" i="24"/>
  <c r="AP12" i="24"/>
  <c r="AV11" i="24"/>
  <c r="AV10" i="24"/>
  <c r="BF19" i="24"/>
  <c r="AV25" i="24"/>
  <c r="AH23" i="24"/>
  <c r="AL19" i="24"/>
  <c r="AH24" i="24"/>
  <c r="AH22" i="24"/>
  <c r="Z63" i="24"/>
  <c r="Z61" i="24"/>
  <c r="Z62" i="24"/>
  <c r="Z36" i="24"/>
  <c r="Z35" i="24"/>
  <c r="Z37" i="24"/>
  <c r="AH37" i="24"/>
  <c r="AH36" i="24"/>
  <c r="AL32" i="24"/>
  <c r="AH35" i="24"/>
  <c r="R25" i="24"/>
  <c r="L25" i="24"/>
  <c r="R23" i="24"/>
  <c r="R24" i="24"/>
  <c r="R22" i="24"/>
  <c r="BP64" i="24"/>
  <c r="BP63" i="24"/>
  <c r="BP61" i="24"/>
  <c r="BJ64" i="24"/>
  <c r="BP62" i="24"/>
  <c r="BD10" i="24"/>
  <c r="BD11" i="24"/>
  <c r="BD9" i="24"/>
  <c r="AT11" i="24"/>
  <c r="AT10" i="24"/>
  <c r="AT9" i="24"/>
  <c r="AT62" i="24"/>
  <c r="AT63" i="24"/>
  <c r="AT61" i="24"/>
  <c r="AZ51" i="24"/>
  <c r="BF49" i="24"/>
  <c r="BF51" i="24"/>
  <c r="AV45" i="24"/>
  <c r="BN49" i="24"/>
  <c r="BN50" i="24"/>
  <c r="BN48" i="24"/>
  <c r="BF62" i="24"/>
  <c r="AZ64" i="24"/>
  <c r="BF63" i="24"/>
  <c r="BF61" i="24"/>
  <c r="BF64" i="24"/>
  <c r="AT37" i="24"/>
  <c r="AT35" i="24"/>
  <c r="AT36" i="24"/>
  <c r="AV32" i="24"/>
  <c r="BN63" i="24"/>
  <c r="BN61" i="24"/>
  <c r="BN62" i="24"/>
  <c r="AB57" i="24"/>
  <c r="AV58" i="24"/>
  <c r="AB51" i="24"/>
  <c r="AB50" i="24"/>
  <c r="AB48" i="24"/>
  <c r="V51" i="24"/>
  <c r="AB49" i="24"/>
  <c r="L51" i="24"/>
  <c r="R50" i="24"/>
  <c r="R48" i="24"/>
  <c r="R49" i="24"/>
  <c r="R51" i="24"/>
  <c r="BF36" i="24"/>
  <c r="BF38" i="24"/>
  <c r="AJ36" i="24"/>
  <c r="AJ35" i="24"/>
  <c r="AJ37" i="24"/>
  <c r="AB25" i="24"/>
  <c r="BP12" i="24"/>
  <c r="BJ12" i="24"/>
  <c r="BP9" i="24"/>
  <c r="BP10" i="24"/>
  <c r="BP11" i="24"/>
  <c r="AJ62" i="24"/>
  <c r="AJ63" i="24"/>
  <c r="AJ61" i="24"/>
  <c r="P24" i="24"/>
  <c r="P23" i="24"/>
  <c r="P22" i="24"/>
  <c r="AJ24" i="24"/>
  <c r="AJ23" i="24"/>
  <c r="AJ22" i="24"/>
  <c r="BP5" i="23"/>
  <c r="AV5" i="23"/>
  <c r="AJ36" i="23"/>
  <c r="AJ37" i="23"/>
  <c r="BN50" i="23"/>
  <c r="BP57" i="23"/>
  <c r="BP44" i="23"/>
  <c r="Z61" i="23"/>
  <c r="AB57" i="23"/>
  <c r="AB44" i="23"/>
  <c r="N49" i="23"/>
  <c r="BP6" i="23"/>
  <c r="P23" i="23"/>
  <c r="BN63" i="23"/>
  <c r="BN10" i="23"/>
  <c r="BN61" i="23"/>
  <c r="AL18" i="23"/>
  <c r="N61" i="23"/>
  <c r="BB50" i="23"/>
  <c r="BP58" i="23"/>
  <c r="P50" i="23"/>
  <c r="R45" i="23"/>
  <c r="R48" i="23" s="1"/>
  <c r="BF18" i="23"/>
  <c r="N62" i="23"/>
  <c r="BD22" i="23"/>
  <c r="Z63" i="23"/>
  <c r="AB58" i="23"/>
  <c r="AB62" i="23" s="1"/>
  <c r="BB49" i="23"/>
  <c r="P48" i="23"/>
  <c r="BN9" i="23"/>
  <c r="Z49" i="23"/>
  <c r="Z48" i="23"/>
  <c r="BD23" i="23"/>
  <c r="BF19" i="23"/>
  <c r="BF25" i="23" s="1"/>
  <c r="R58" i="23"/>
  <c r="R63" i="23" s="1"/>
  <c r="BF45" i="23"/>
  <c r="AZ51" i="23" s="1"/>
  <c r="AB5" i="23"/>
  <c r="BP31" i="23"/>
  <c r="Z10" i="23"/>
  <c r="AL5" i="23"/>
  <c r="Z9" i="23"/>
  <c r="AB6" i="23"/>
  <c r="AB11" i="23" s="1"/>
  <c r="BB22" i="22"/>
  <c r="AJ48" i="22"/>
  <c r="BF64" i="23"/>
  <c r="AZ64" i="23"/>
  <c r="BF63" i="23"/>
  <c r="BF61" i="23"/>
  <c r="BF62" i="23"/>
  <c r="BL37" i="23"/>
  <c r="BL35" i="23"/>
  <c r="BP32" i="23"/>
  <c r="BL36" i="23"/>
  <c r="R51" i="23"/>
  <c r="BB36" i="23"/>
  <c r="BB35" i="23"/>
  <c r="BB37" i="23"/>
  <c r="BF32" i="23"/>
  <c r="N36" i="23"/>
  <c r="N37" i="23"/>
  <c r="R32" i="23"/>
  <c r="N35" i="23"/>
  <c r="AB51" i="23"/>
  <c r="AB50" i="23"/>
  <c r="AB48" i="23"/>
  <c r="AB49" i="23"/>
  <c r="V51" i="23"/>
  <c r="BP18" i="23"/>
  <c r="BF48" i="23"/>
  <c r="AJ49" i="23"/>
  <c r="AJ50" i="23"/>
  <c r="AJ48" i="23"/>
  <c r="X37" i="23"/>
  <c r="X35" i="23"/>
  <c r="AB32" i="23"/>
  <c r="X36" i="23"/>
  <c r="R11" i="23"/>
  <c r="R10" i="23"/>
  <c r="R9" i="23"/>
  <c r="L12" i="23"/>
  <c r="BP12" i="23"/>
  <c r="BJ12" i="23"/>
  <c r="BP11" i="23"/>
  <c r="BP10" i="23"/>
  <c r="BP9" i="23"/>
  <c r="BP64" i="23"/>
  <c r="BP63" i="23"/>
  <c r="BP61" i="23"/>
  <c r="BP62" i="23"/>
  <c r="BJ64" i="23"/>
  <c r="P36" i="23"/>
  <c r="P35" i="23"/>
  <c r="P37" i="23"/>
  <c r="AH63" i="23"/>
  <c r="AH61" i="23"/>
  <c r="AH62" i="23"/>
  <c r="AL58" i="23"/>
  <c r="AT50" i="23"/>
  <c r="AT48" i="23"/>
  <c r="AT49" i="23"/>
  <c r="BL24" i="23"/>
  <c r="BL23" i="23"/>
  <c r="BL22" i="23"/>
  <c r="BP19" i="23"/>
  <c r="BB11" i="23"/>
  <c r="BB10" i="23"/>
  <c r="BB9" i="23"/>
  <c r="BF6" i="23"/>
  <c r="AL38" i="23"/>
  <c r="AF38" i="23"/>
  <c r="AL36" i="23"/>
  <c r="AL37" i="23"/>
  <c r="AL35" i="23"/>
  <c r="AR24" i="23"/>
  <c r="AR23" i="23"/>
  <c r="AR22" i="23"/>
  <c r="AV19" i="23"/>
  <c r="AT11" i="23"/>
  <c r="AT10" i="23"/>
  <c r="AT9" i="23"/>
  <c r="R25" i="23"/>
  <c r="L25" i="23"/>
  <c r="R24" i="23"/>
  <c r="R23" i="23"/>
  <c r="R22" i="23"/>
  <c r="AV6" i="23"/>
  <c r="AV45" i="23"/>
  <c r="AT63" i="23"/>
  <c r="AT61" i="23"/>
  <c r="AT62" i="23"/>
  <c r="AV58" i="23"/>
  <c r="AB18" i="23"/>
  <c r="AH24" i="23"/>
  <c r="AH23" i="23"/>
  <c r="AH22" i="23"/>
  <c r="AL19" i="23"/>
  <c r="Z36" i="23"/>
  <c r="Z35" i="23"/>
  <c r="Z37" i="23"/>
  <c r="BD36" i="23"/>
  <c r="BD37" i="23"/>
  <c r="BD35" i="23"/>
  <c r="BF31" i="23"/>
  <c r="R31" i="23"/>
  <c r="AJ62" i="23"/>
  <c r="AJ63" i="23"/>
  <c r="AJ61" i="23"/>
  <c r="AV44" i="23"/>
  <c r="X24" i="23"/>
  <c r="X23" i="23"/>
  <c r="X22" i="23"/>
  <c r="AB19" i="23"/>
  <c r="BF5" i="23"/>
  <c r="AH50" i="23"/>
  <c r="AH48" i="23"/>
  <c r="AL45" i="23"/>
  <c r="AH49" i="23"/>
  <c r="BP51" i="23"/>
  <c r="BP50" i="23"/>
  <c r="BP48" i="23"/>
  <c r="BP49" i="23"/>
  <c r="BJ51" i="23"/>
  <c r="AV37" i="23"/>
  <c r="AV35" i="23"/>
  <c r="AP38" i="23"/>
  <c r="AV38" i="23"/>
  <c r="AV36" i="23"/>
  <c r="BN36" i="23"/>
  <c r="BN37" i="23"/>
  <c r="BN35" i="23"/>
  <c r="AV18" i="23"/>
  <c r="AH11" i="23"/>
  <c r="AH10" i="23"/>
  <c r="AH9" i="23"/>
  <c r="AL6" i="23"/>
  <c r="Z23" i="22"/>
  <c r="AL31" i="22"/>
  <c r="AT24" i="22"/>
  <c r="AJ50" i="22"/>
  <c r="BF57" i="22"/>
  <c r="Z22" i="22"/>
  <c r="AJ35" i="22"/>
  <c r="AB31" i="22"/>
  <c r="BF5" i="22"/>
  <c r="AV57" i="22"/>
  <c r="R44" i="22"/>
  <c r="AB19" i="22"/>
  <c r="AB23" i="22" s="1"/>
  <c r="AL32" i="22"/>
  <c r="AL37" i="22" s="1"/>
  <c r="BP19" i="22"/>
  <c r="BP23" i="22" s="1"/>
  <c r="BN24" i="22"/>
  <c r="BP44" i="22"/>
  <c r="BB23" i="22"/>
  <c r="BF18" i="22"/>
  <c r="AJ61" i="22"/>
  <c r="BF19" i="22"/>
  <c r="AZ25" i="22" s="1"/>
  <c r="AL18" i="22"/>
  <c r="BN22" i="22"/>
  <c r="AJ63" i="22"/>
  <c r="AB44" i="22"/>
  <c r="AV18" i="22"/>
  <c r="R19" i="22"/>
  <c r="L25" i="22" s="1"/>
  <c r="N23" i="22"/>
  <c r="N22" i="22"/>
  <c r="BD9" i="22"/>
  <c r="AT23" i="22"/>
  <c r="AT22" i="22"/>
  <c r="BP57" i="22"/>
  <c r="BD10" i="22"/>
  <c r="BF6" i="22"/>
  <c r="BF11" i="22" s="1"/>
  <c r="BP38" i="22"/>
  <c r="BP37" i="22"/>
  <c r="BJ38" i="22"/>
  <c r="BP35" i="22"/>
  <c r="BP36" i="22"/>
  <c r="BB63" i="22"/>
  <c r="BB61" i="22"/>
  <c r="BB62" i="22"/>
  <c r="BF58" i="22"/>
  <c r="BB50" i="22"/>
  <c r="BB48" i="22"/>
  <c r="BB49" i="22"/>
  <c r="BF45" i="22"/>
  <c r="BB37" i="22"/>
  <c r="BB36" i="22"/>
  <c r="BB35" i="22"/>
  <c r="BF32" i="22"/>
  <c r="AT62" i="22"/>
  <c r="AT63" i="22"/>
  <c r="AT61" i="22"/>
  <c r="AT49" i="22"/>
  <c r="AT50" i="22"/>
  <c r="AT48" i="22"/>
  <c r="AT36" i="22"/>
  <c r="AT35" i="22"/>
  <c r="AT37" i="22"/>
  <c r="AV32" i="22"/>
  <c r="Z50" i="22"/>
  <c r="Z48" i="22"/>
  <c r="Z49" i="22"/>
  <c r="AB38" i="22"/>
  <c r="AB37" i="22"/>
  <c r="V38" i="22"/>
  <c r="AB36" i="22"/>
  <c r="AB35" i="22"/>
  <c r="BN63" i="22"/>
  <c r="BN61" i="22"/>
  <c r="BN62" i="22"/>
  <c r="AB57" i="22"/>
  <c r="AV58" i="22"/>
  <c r="BP31" i="22"/>
  <c r="Z37" i="22"/>
  <c r="Z36" i="22"/>
  <c r="Z35" i="22"/>
  <c r="BN11" i="22"/>
  <c r="BN10" i="22"/>
  <c r="BN9" i="22"/>
  <c r="BP6" i="22"/>
  <c r="N37" i="22"/>
  <c r="N36" i="22"/>
  <c r="N35" i="22"/>
  <c r="R32" i="22"/>
  <c r="BN50" i="22"/>
  <c r="BN48" i="22"/>
  <c r="BN49" i="22"/>
  <c r="BP45" i="22"/>
  <c r="N63" i="22"/>
  <c r="N61" i="22"/>
  <c r="N62" i="22"/>
  <c r="R58" i="22"/>
  <c r="AH62" i="22"/>
  <c r="AL58" i="22"/>
  <c r="AH63" i="22"/>
  <c r="AH61" i="22"/>
  <c r="AJ24" i="22"/>
  <c r="AJ23" i="22"/>
  <c r="AJ22" i="22"/>
  <c r="AV31" i="22"/>
  <c r="BF31" i="22"/>
  <c r="BP64" i="22"/>
  <c r="BP63" i="22"/>
  <c r="BP61" i="22"/>
  <c r="BJ64" i="22"/>
  <c r="BP62" i="22"/>
  <c r="AV45" i="22"/>
  <c r="AL36" i="22"/>
  <c r="X62" i="22"/>
  <c r="AB58" i="22"/>
  <c r="X61" i="22"/>
  <c r="X63" i="22"/>
  <c r="BN37" i="22"/>
  <c r="BN36" i="22"/>
  <c r="BN35" i="22"/>
  <c r="AL19" i="22"/>
  <c r="N50" i="22"/>
  <c r="N48" i="22"/>
  <c r="N49" i="22"/>
  <c r="R45" i="22"/>
  <c r="AH49" i="22"/>
  <c r="AL45" i="22"/>
  <c r="AH50" i="22"/>
  <c r="AH48" i="22"/>
  <c r="R31" i="22"/>
  <c r="X49" i="22"/>
  <c r="AB45" i="22"/>
  <c r="X50" i="22"/>
  <c r="X48" i="22"/>
  <c r="Z63" i="22"/>
  <c r="Z61" i="22"/>
  <c r="Z62" i="22"/>
  <c r="BP5" i="22"/>
  <c r="AP25" i="22"/>
  <c r="AV25" i="22"/>
  <c r="AV24" i="22"/>
  <c r="AV23" i="22"/>
  <c r="AV22" i="22"/>
  <c r="AV18" i="21"/>
  <c r="BD36" i="21"/>
  <c r="P35" i="21"/>
  <c r="BF31" i="21"/>
  <c r="AL31" i="21"/>
  <c r="AT22" i="21"/>
  <c r="BB10" i="21"/>
  <c r="AV19" i="21"/>
  <c r="AV24" i="21" s="1"/>
  <c r="BD9" i="21"/>
  <c r="P63" i="21"/>
  <c r="AJ63" i="21"/>
  <c r="R58" i="21"/>
  <c r="L64" i="21" s="1"/>
  <c r="AJ36" i="21"/>
  <c r="AJ35" i="21"/>
  <c r="AB57" i="21"/>
  <c r="BP44" i="21"/>
  <c r="AB44" i="21"/>
  <c r="AL5" i="21"/>
  <c r="AV31" i="21"/>
  <c r="AV57" i="21"/>
  <c r="BF18" i="21"/>
  <c r="R18" i="21"/>
  <c r="AV5" i="21"/>
  <c r="BP18" i="21"/>
  <c r="BF49" i="21"/>
  <c r="AZ51" i="21"/>
  <c r="BF50" i="21"/>
  <c r="BF48" i="21"/>
  <c r="BF51" i="21"/>
  <c r="AL37" i="21"/>
  <c r="AF38" i="21"/>
  <c r="AL36" i="21"/>
  <c r="AL35" i="21"/>
  <c r="AL38" i="21"/>
  <c r="AR63" i="21"/>
  <c r="AR61" i="21"/>
  <c r="AV58" i="21"/>
  <c r="AR62" i="21"/>
  <c r="BP31" i="21"/>
  <c r="Z37" i="21"/>
  <c r="Z36" i="21"/>
  <c r="Z35" i="21"/>
  <c r="AB32" i="21"/>
  <c r="Z50" i="21"/>
  <c r="Z48" i="21"/>
  <c r="Z49" i="21"/>
  <c r="BF62" i="21"/>
  <c r="AZ64" i="21"/>
  <c r="BF63" i="21"/>
  <c r="BF61" i="21"/>
  <c r="BF64" i="21"/>
  <c r="R62" i="21"/>
  <c r="AH9" i="21"/>
  <c r="AH10" i="21"/>
  <c r="AH11" i="21"/>
  <c r="AL6" i="21"/>
  <c r="AR36" i="21"/>
  <c r="AV32" i="21"/>
  <c r="AR37" i="21"/>
  <c r="AR35" i="21"/>
  <c r="AH49" i="21"/>
  <c r="AL45" i="21"/>
  <c r="AH50" i="21"/>
  <c r="AH48" i="21"/>
  <c r="BN63" i="21"/>
  <c r="BN61" i="21"/>
  <c r="BN62" i="21"/>
  <c r="AT49" i="21"/>
  <c r="AT50" i="21"/>
  <c r="AT48" i="21"/>
  <c r="BF36" i="21"/>
  <c r="BF37" i="21"/>
  <c r="BF38" i="21"/>
  <c r="R37" i="21"/>
  <c r="AT62" i="21"/>
  <c r="AT63" i="21"/>
  <c r="AT61" i="21"/>
  <c r="BL23" i="21"/>
  <c r="BL22" i="21"/>
  <c r="BP19" i="21"/>
  <c r="BL24" i="21"/>
  <c r="BN24" i="21"/>
  <c r="BN23" i="21"/>
  <c r="BN22" i="21"/>
  <c r="BB24" i="21"/>
  <c r="BB23" i="21"/>
  <c r="BB22" i="21"/>
  <c r="BF19" i="21"/>
  <c r="N24" i="21"/>
  <c r="N23" i="21"/>
  <c r="N22" i="21"/>
  <c r="R19" i="21"/>
  <c r="BL11" i="21"/>
  <c r="BL10" i="21"/>
  <c r="BL9" i="21"/>
  <c r="BP6" i="21"/>
  <c r="AH62" i="21"/>
  <c r="AL58" i="21"/>
  <c r="AH63" i="21"/>
  <c r="AH61" i="21"/>
  <c r="BL48" i="21"/>
  <c r="BL49" i="21"/>
  <c r="BL50" i="21"/>
  <c r="BP45" i="21"/>
  <c r="BN37" i="21"/>
  <c r="BN36" i="21"/>
  <c r="BN35" i="21"/>
  <c r="AF25" i="21"/>
  <c r="AL25" i="21"/>
  <c r="AL24" i="21"/>
  <c r="AL23" i="21"/>
  <c r="AL22" i="21"/>
  <c r="BF12" i="21"/>
  <c r="AZ12" i="21"/>
  <c r="BF9" i="21"/>
  <c r="BF10" i="21"/>
  <c r="BF11" i="21"/>
  <c r="AB45" i="21"/>
  <c r="X24" i="21"/>
  <c r="X23" i="21"/>
  <c r="X22" i="21"/>
  <c r="AB19" i="21"/>
  <c r="R49" i="21"/>
  <c r="L51" i="21"/>
  <c r="R50" i="21"/>
  <c r="R48" i="21"/>
  <c r="R51" i="21"/>
  <c r="Z63" i="21"/>
  <c r="Z61" i="21"/>
  <c r="Z62" i="21"/>
  <c r="AB58" i="21"/>
  <c r="BJ38" i="21"/>
  <c r="BP36" i="21"/>
  <c r="BP38" i="21"/>
  <c r="BP37" i="21"/>
  <c r="BP35" i="21"/>
  <c r="AV45" i="21"/>
  <c r="AR10" i="21"/>
  <c r="AR11" i="21"/>
  <c r="AV6" i="21"/>
  <c r="AR9" i="21"/>
  <c r="BN50" i="21"/>
  <c r="BN48" i="21"/>
  <c r="BN49" i="21"/>
  <c r="BP58" i="21"/>
  <c r="Z24" i="21"/>
  <c r="Z23" i="21"/>
  <c r="Z22" i="21"/>
  <c r="BD24" i="21"/>
  <c r="BD22" i="21"/>
  <c r="BD23" i="21"/>
  <c r="P22" i="21"/>
  <c r="P23" i="21"/>
  <c r="P24" i="21"/>
  <c r="AT36" i="21"/>
  <c r="AT35" i="21"/>
  <c r="AT37" i="21"/>
  <c r="AB18" i="20"/>
  <c r="Z23" i="20"/>
  <c r="R58" i="20"/>
  <c r="L64" i="20" s="1"/>
  <c r="Z24" i="20"/>
  <c r="AV44" i="20"/>
  <c r="AB19" i="20"/>
  <c r="AB22" i="20" s="1"/>
  <c r="BF57" i="20"/>
  <c r="AV32" i="20"/>
  <c r="AV38" i="20" s="1"/>
  <c r="AH10" i="20"/>
  <c r="AH35" i="20"/>
  <c r="AH37" i="20"/>
  <c r="BB62" i="20"/>
  <c r="N48" i="20"/>
  <c r="BF45" i="20"/>
  <c r="BF50" i="20" s="1"/>
  <c r="AH9" i="20"/>
  <c r="BB24" i="20"/>
  <c r="AL5" i="20"/>
  <c r="AL32" i="20"/>
  <c r="AL37" i="20" s="1"/>
  <c r="N23" i="20"/>
  <c r="R44" i="20"/>
  <c r="AL31" i="20"/>
  <c r="R57" i="20"/>
  <c r="BB63" i="20"/>
  <c r="AR35" i="20"/>
  <c r="BB23" i="20"/>
  <c r="BF44" i="20"/>
  <c r="R18" i="20"/>
  <c r="R45" i="20"/>
  <c r="R50" i="20" s="1"/>
  <c r="AB57" i="20"/>
  <c r="AB31" i="20"/>
  <c r="N61" i="20"/>
  <c r="N49" i="20"/>
  <c r="BB48" i="20"/>
  <c r="N22" i="20"/>
  <c r="BF18" i="20"/>
  <c r="AV31" i="20"/>
  <c r="BB49" i="20"/>
  <c r="N24" i="20"/>
  <c r="BF31" i="20"/>
  <c r="BP31" i="20"/>
  <c r="AB5" i="20"/>
  <c r="AL57" i="20"/>
  <c r="AB44" i="20"/>
  <c r="BP57" i="20"/>
  <c r="BP38" i="20"/>
  <c r="BP37" i="20"/>
  <c r="BP35" i="20"/>
  <c r="BJ38" i="20"/>
  <c r="BP36" i="20"/>
  <c r="BP51" i="20"/>
  <c r="BP50" i="20"/>
  <c r="BP48" i="20"/>
  <c r="BP49" i="20"/>
  <c r="BJ51" i="20"/>
  <c r="R64" i="20"/>
  <c r="R63" i="20"/>
  <c r="R61" i="20"/>
  <c r="R62" i="20"/>
  <c r="AH50" i="20"/>
  <c r="AH48" i="20"/>
  <c r="AH49" i="20"/>
  <c r="AL45" i="20"/>
  <c r="BF64" i="20"/>
  <c r="AZ64" i="20"/>
  <c r="BF63" i="20"/>
  <c r="BF61" i="20"/>
  <c r="BF62" i="20"/>
  <c r="R51" i="20"/>
  <c r="X62" i="20"/>
  <c r="AB58" i="20"/>
  <c r="X63" i="20"/>
  <c r="X61" i="20"/>
  <c r="Z9" i="20"/>
  <c r="Z11" i="20"/>
  <c r="Z10" i="20"/>
  <c r="AL19" i="20"/>
  <c r="AH24" i="20"/>
  <c r="AH22" i="20"/>
  <c r="AH23" i="20"/>
  <c r="AR11" i="20"/>
  <c r="AR10" i="20"/>
  <c r="AR9" i="20"/>
  <c r="AV6" i="20"/>
  <c r="AL12" i="20"/>
  <c r="AL10" i="20"/>
  <c r="AF12" i="20"/>
  <c r="AL9" i="20"/>
  <c r="AL11" i="20"/>
  <c r="AB6" i="20"/>
  <c r="P37" i="20"/>
  <c r="P35" i="20"/>
  <c r="P36" i="20"/>
  <c r="AH63" i="20"/>
  <c r="AH61" i="20"/>
  <c r="AL58" i="20"/>
  <c r="AH62" i="20"/>
  <c r="AT50" i="20"/>
  <c r="AT48" i="20"/>
  <c r="AT49" i="20"/>
  <c r="Z36" i="20"/>
  <c r="Z35" i="20"/>
  <c r="Z37" i="20"/>
  <c r="AV45" i="20"/>
  <c r="AV64" i="20"/>
  <c r="AV62" i="20"/>
  <c r="AV63" i="20"/>
  <c r="AV61" i="20"/>
  <c r="AP64" i="20"/>
  <c r="AR24" i="20"/>
  <c r="AR23" i="20"/>
  <c r="AR22" i="20"/>
  <c r="AV19" i="20"/>
  <c r="AJ62" i="20"/>
  <c r="AJ63" i="20"/>
  <c r="AJ61" i="20"/>
  <c r="AJ24" i="20"/>
  <c r="AJ22" i="20"/>
  <c r="AJ23" i="20"/>
  <c r="BF5" i="20"/>
  <c r="BP25" i="20"/>
  <c r="BJ25" i="20"/>
  <c r="BP24" i="20"/>
  <c r="BP23" i="20"/>
  <c r="BP22" i="20"/>
  <c r="R31" i="20"/>
  <c r="BN36" i="20"/>
  <c r="BN37" i="20"/>
  <c r="BN35" i="20"/>
  <c r="BL62" i="20"/>
  <c r="BP58" i="20"/>
  <c r="BL63" i="20"/>
  <c r="BL61" i="20"/>
  <c r="BD37" i="20"/>
  <c r="BD35" i="20"/>
  <c r="BD36" i="20"/>
  <c r="AT63" i="20"/>
  <c r="AT61" i="20"/>
  <c r="AT62" i="20"/>
  <c r="BN62" i="20"/>
  <c r="BN61" i="20"/>
  <c r="BN63" i="20"/>
  <c r="X49" i="20"/>
  <c r="AB45" i="20"/>
  <c r="X48" i="20"/>
  <c r="X50" i="20"/>
  <c r="BP5" i="20"/>
  <c r="BN49" i="20"/>
  <c r="BN48" i="20"/>
  <c r="BN50" i="20"/>
  <c r="BP44" i="20"/>
  <c r="AP38" i="20"/>
  <c r="Z62" i="20"/>
  <c r="Z61" i="20"/>
  <c r="Z63" i="20"/>
  <c r="AB32" i="20"/>
  <c r="BN10" i="20"/>
  <c r="BN11" i="20"/>
  <c r="BN9" i="20"/>
  <c r="BP6" i="20"/>
  <c r="AV18" i="20"/>
  <c r="AL18" i="20"/>
  <c r="BB11" i="20"/>
  <c r="BB9" i="20"/>
  <c r="BB10" i="20"/>
  <c r="BF6" i="20"/>
  <c r="BB36" i="20"/>
  <c r="BB35" i="20"/>
  <c r="BB37" i="20"/>
  <c r="BF32" i="20"/>
  <c r="AZ25" i="20"/>
  <c r="BF24" i="20"/>
  <c r="BF22" i="20"/>
  <c r="BF23" i="20"/>
  <c r="BF25" i="20"/>
  <c r="L25" i="20"/>
  <c r="R24" i="20"/>
  <c r="R22" i="20"/>
  <c r="R25" i="20"/>
  <c r="R23" i="20"/>
  <c r="AV5" i="20"/>
  <c r="N36" i="20"/>
  <c r="R32" i="20"/>
  <c r="N37" i="20"/>
  <c r="N35" i="20"/>
  <c r="AT19" i="19"/>
  <c r="AT22" i="19" s="1"/>
  <c r="AR32" i="19"/>
  <c r="AR36" i="19" s="1"/>
  <c r="AT31" i="19"/>
  <c r="AV31" i="19" s="1"/>
  <c r="Z18" i="19"/>
  <c r="BD31" i="19"/>
  <c r="AT32" i="19"/>
  <c r="BD44" i="19"/>
  <c r="BF44" i="19" s="1"/>
  <c r="AR57" i="19"/>
  <c r="AR18" i="19"/>
  <c r="Z19" i="19"/>
  <c r="Z22" i="19" s="1"/>
  <c r="N31" i="19"/>
  <c r="N45" i="19"/>
  <c r="R45" i="19" s="1"/>
  <c r="R48" i="19" s="1"/>
  <c r="AT57" i="19"/>
  <c r="BN18" i="19"/>
  <c r="AT58" i="19"/>
  <c r="AT61" i="19" s="1"/>
  <c r="AR44" i="19"/>
  <c r="AT18" i="19"/>
  <c r="AV18" i="19" s="1"/>
  <c r="N19" i="19"/>
  <c r="N23" i="19" s="1"/>
  <c r="BN19" i="19"/>
  <c r="BN23" i="19" s="1"/>
  <c r="Z31" i="19"/>
  <c r="BN31" i="19"/>
  <c r="Z32" i="19"/>
  <c r="Z35" i="19" s="1"/>
  <c r="BN32" i="19"/>
  <c r="BN36" i="19" s="1"/>
  <c r="P44" i="19"/>
  <c r="AT44" i="19"/>
  <c r="AJ45" i="19"/>
  <c r="AJ49" i="19" s="1"/>
  <c r="AH58" i="19"/>
  <c r="AH63" i="19" s="1"/>
  <c r="BD5" i="19"/>
  <c r="BD6" i="19"/>
  <c r="BD11" i="19" s="1"/>
  <c r="N18" i="19"/>
  <c r="AT45" i="19"/>
  <c r="AT49" i="19" s="1"/>
  <c r="AJ58" i="19"/>
  <c r="AJ62" i="19" s="1"/>
  <c r="BN5" i="19"/>
  <c r="BN6" i="19"/>
  <c r="BN11" i="19" s="1"/>
  <c r="AH44" i="19"/>
  <c r="AL44" i="19" s="1"/>
  <c r="BL48" i="19"/>
  <c r="BD24" i="19"/>
  <c r="BD23" i="19"/>
  <c r="BD22" i="19"/>
  <c r="BL11" i="19"/>
  <c r="BL10" i="19"/>
  <c r="BL9" i="19"/>
  <c r="BB11" i="19"/>
  <c r="BB10" i="19"/>
  <c r="BB9" i="19"/>
  <c r="P24" i="19"/>
  <c r="P23" i="19"/>
  <c r="P22" i="19"/>
  <c r="AJ19" i="19"/>
  <c r="AJ18" i="19"/>
  <c r="X24" i="19"/>
  <c r="AR49" i="19"/>
  <c r="X62" i="19"/>
  <c r="X63" i="19"/>
  <c r="X61" i="19"/>
  <c r="BL5" i="19"/>
  <c r="P18" i="19"/>
  <c r="AH18" i="19"/>
  <c r="BB18" i="19"/>
  <c r="AH19" i="19"/>
  <c r="BB19" i="19"/>
  <c r="X23" i="19"/>
  <c r="X44" i="19"/>
  <c r="AB44" i="19" s="1"/>
  <c r="X45" i="19"/>
  <c r="BL44" i="19"/>
  <c r="BN45" i="19"/>
  <c r="BP45" i="19" s="1"/>
  <c r="BN44" i="19"/>
  <c r="Z45" i="19"/>
  <c r="AJ32" i="19"/>
  <c r="AJ31" i="19"/>
  <c r="AH32" i="19"/>
  <c r="AH31" i="19"/>
  <c r="BB5" i="19"/>
  <c r="BD18" i="19"/>
  <c r="AT23" i="19"/>
  <c r="BL23" i="19"/>
  <c r="P32" i="19"/>
  <c r="R32" i="19" s="1"/>
  <c r="P31" i="19"/>
  <c r="BB32" i="19"/>
  <c r="BB31" i="19"/>
  <c r="AH45" i="19"/>
  <c r="AR63" i="19"/>
  <c r="AR61" i="19"/>
  <c r="AR62" i="19"/>
  <c r="AR24" i="19"/>
  <c r="AR23" i="19"/>
  <c r="AR22" i="19"/>
  <c r="BL22" i="19"/>
  <c r="X36" i="19"/>
  <c r="X37" i="19"/>
  <c r="BL36" i="19"/>
  <c r="BD37" i="19"/>
  <c r="BD35" i="19"/>
  <c r="N35" i="19"/>
  <c r="BL35" i="19"/>
  <c r="N37" i="19"/>
  <c r="BL37" i="19"/>
  <c r="AR50" i="19"/>
  <c r="AR48" i="19"/>
  <c r="N50" i="19"/>
  <c r="BL49" i="19"/>
  <c r="X18" i="19"/>
  <c r="BL18" i="19"/>
  <c r="P50" i="19"/>
  <c r="P48" i="19"/>
  <c r="BD45" i="19"/>
  <c r="BB45" i="19"/>
  <c r="N44" i="19"/>
  <c r="P58" i="19"/>
  <c r="N58" i="19"/>
  <c r="BD58" i="19"/>
  <c r="BB58" i="19"/>
  <c r="N57" i="19"/>
  <c r="R57" i="19" s="1"/>
  <c r="BD57" i="19"/>
  <c r="BF57" i="19" s="1"/>
  <c r="X57" i="19"/>
  <c r="Z58" i="19"/>
  <c r="BL57" i="19"/>
  <c r="BN58" i="19"/>
  <c r="BN57" i="19"/>
  <c r="Z57" i="19"/>
  <c r="BL58" i="19"/>
  <c r="AH57" i="19"/>
  <c r="AL57" i="19" s="1"/>
  <c r="X31" i="19"/>
  <c r="BL31" i="19"/>
  <c r="BN57" i="18"/>
  <c r="BL58" i="18"/>
  <c r="BL63" i="18" s="1"/>
  <c r="BF5" i="18"/>
  <c r="AL5" i="18"/>
  <c r="AB44" i="18"/>
  <c r="R57" i="18"/>
  <c r="AT57" i="18"/>
  <c r="AV57" i="18" s="1"/>
  <c r="BL44" i="18"/>
  <c r="BP44" i="18" s="1"/>
  <c r="BF44" i="18"/>
  <c r="AT44" i="18"/>
  <c r="AR45" i="18"/>
  <c r="AR50" i="18" s="1"/>
  <c r="AH45" i="18"/>
  <c r="AH50" i="18" s="1"/>
  <c r="AH44" i="18"/>
  <c r="AJ45" i="18"/>
  <c r="AJ50" i="18" s="1"/>
  <c r="BN32" i="18"/>
  <c r="BN37" i="18" s="1"/>
  <c r="BN31" i="18"/>
  <c r="BP31" i="18" s="1"/>
  <c r="BL32" i="18"/>
  <c r="BL37" i="18" s="1"/>
  <c r="BB31" i="18"/>
  <c r="BF31" i="18" s="1"/>
  <c r="Z31" i="18"/>
  <c r="AB31" i="18" s="1"/>
  <c r="X32" i="18"/>
  <c r="X37" i="18" s="1"/>
  <c r="BN18" i="18"/>
  <c r="AR18" i="18"/>
  <c r="AV18" i="18" s="1"/>
  <c r="Z18" i="18"/>
  <c r="AB18" i="18" s="1"/>
  <c r="X19" i="18"/>
  <c r="X24" i="18" s="1"/>
  <c r="P19" i="18"/>
  <c r="P24" i="18" s="1"/>
  <c r="N18" i="18"/>
  <c r="R18" i="18" s="1"/>
  <c r="BL18" i="18"/>
  <c r="BB23" i="18"/>
  <c r="BB18" i="18"/>
  <c r="BF18" i="18" s="1"/>
  <c r="N24" i="18"/>
  <c r="N22" i="18"/>
  <c r="AR5" i="18"/>
  <c r="BN24" i="18"/>
  <c r="AB57" i="18"/>
  <c r="BP57" i="18"/>
  <c r="BF6" i="18"/>
  <c r="BF12" i="18" s="1"/>
  <c r="BB36" i="18"/>
  <c r="Z9" i="18"/>
  <c r="BP5" i="18"/>
  <c r="BP6" i="18"/>
  <c r="BJ12" i="18" s="1"/>
  <c r="BB9" i="18"/>
  <c r="AJ10" i="18"/>
  <c r="BB22" i="18"/>
  <c r="AJ23" i="18"/>
  <c r="Z24" i="18"/>
  <c r="R31" i="18"/>
  <c r="N36" i="18"/>
  <c r="BL10" i="18"/>
  <c r="Z11" i="18"/>
  <c r="BN22" i="18"/>
  <c r="BB24" i="18"/>
  <c r="Z36" i="18"/>
  <c r="AL57" i="18"/>
  <c r="BF57" i="18"/>
  <c r="BL11" i="18"/>
  <c r="BD49" i="18"/>
  <c r="X62" i="18"/>
  <c r="AB5" i="18"/>
  <c r="AB6" i="18"/>
  <c r="AB12" i="18" s="1"/>
  <c r="X9" i="18"/>
  <c r="BB10" i="18"/>
  <c r="AJ11" i="18"/>
  <c r="BL22" i="18"/>
  <c r="N23" i="18"/>
  <c r="AJ24" i="18"/>
  <c r="AV31" i="18"/>
  <c r="BL36" i="18"/>
  <c r="X50" i="18"/>
  <c r="BF58" i="18"/>
  <c r="BF62" i="18" s="1"/>
  <c r="Z62" i="18"/>
  <c r="BN62" i="18"/>
  <c r="BN9" i="18"/>
  <c r="X10" i="18"/>
  <c r="BP19" i="18"/>
  <c r="BP25" i="18" s="1"/>
  <c r="Z22" i="18"/>
  <c r="BL23" i="18"/>
  <c r="AB58" i="18"/>
  <c r="AB64" i="18" s="1"/>
  <c r="BD61" i="18"/>
  <c r="AJ62" i="18"/>
  <c r="BD63" i="18"/>
  <c r="BN10" i="18"/>
  <c r="AL18" i="18"/>
  <c r="AL31" i="18"/>
  <c r="BD35" i="18"/>
  <c r="AJ36" i="18"/>
  <c r="R44" i="18"/>
  <c r="AL44" i="18"/>
  <c r="AT49" i="18"/>
  <c r="N62" i="18"/>
  <c r="BB62" i="18"/>
  <c r="BP12" i="18"/>
  <c r="BP10" i="18"/>
  <c r="P36" i="18"/>
  <c r="R32" i="18"/>
  <c r="P35" i="18"/>
  <c r="BL49" i="18"/>
  <c r="BP45" i="18"/>
  <c r="BL48" i="18"/>
  <c r="P62" i="18"/>
  <c r="R58" i="18"/>
  <c r="P63" i="18"/>
  <c r="AV6" i="18"/>
  <c r="AR9" i="18"/>
  <c r="BD9" i="18"/>
  <c r="AR10" i="18"/>
  <c r="BD10" i="18"/>
  <c r="BD23" i="18"/>
  <c r="BD22" i="18"/>
  <c r="BD36" i="18"/>
  <c r="BF32" i="18"/>
  <c r="P37" i="18"/>
  <c r="AL6" i="18"/>
  <c r="AH9" i="18"/>
  <c r="AT9" i="18"/>
  <c r="AH10" i="18"/>
  <c r="AT10" i="18"/>
  <c r="AR24" i="18"/>
  <c r="AR23" i="18"/>
  <c r="AR22" i="18"/>
  <c r="AV19" i="18"/>
  <c r="AR36" i="18"/>
  <c r="AV32" i="18"/>
  <c r="AR35" i="18"/>
  <c r="AJ49" i="18"/>
  <c r="AR62" i="18"/>
  <c r="AV58" i="18"/>
  <c r="AR63" i="18"/>
  <c r="AH24" i="18"/>
  <c r="AH23" i="18"/>
  <c r="AH22" i="18"/>
  <c r="AL19" i="18"/>
  <c r="P22" i="18"/>
  <c r="AT22" i="18"/>
  <c r="AR37" i="18"/>
  <c r="X49" i="18"/>
  <c r="AB45" i="18"/>
  <c r="BL50" i="18"/>
  <c r="P61" i="18"/>
  <c r="AH35" i="18"/>
  <c r="AT35" i="18"/>
  <c r="AH37" i="18"/>
  <c r="AT37" i="18"/>
  <c r="N48" i="18"/>
  <c r="Z48" i="18"/>
  <c r="BB48" i="18"/>
  <c r="BN48" i="18"/>
  <c r="N50" i="18"/>
  <c r="Z50" i="18"/>
  <c r="BB50" i="18"/>
  <c r="BN50" i="18"/>
  <c r="AH61" i="18"/>
  <c r="AT61" i="18"/>
  <c r="AH63" i="18"/>
  <c r="AT63" i="18"/>
  <c r="AJ35" i="18"/>
  <c r="BL35" i="18"/>
  <c r="P48" i="18"/>
  <c r="BD48" i="18"/>
  <c r="X61" i="18"/>
  <c r="AJ61" i="18"/>
  <c r="AL32" i="18"/>
  <c r="N35" i="18"/>
  <c r="Z35" i="18"/>
  <c r="BB35" i="18"/>
  <c r="R45" i="18"/>
  <c r="BF45" i="18"/>
  <c r="AT48" i="18"/>
  <c r="AL58" i="18"/>
  <c r="N61" i="18"/>
  <c r="Z61" i="18"/>
  <c r="BB61" i="18"/>
  <c r="BN61" i="18"/>
  <c r="AP12" i="27" l="1"/>
  <c r="AV12" i="27"/>
  <c r="AV9" i="27"/>
  <c r="AV11" i="27"/>
  <c r="AV10" i="27"/>
  <c r="AT23" i="18"/>
  <c r="AB22" i="24"/>
  <c r="V25" i="24"/>
  <c r="AB51" i="25"/>
  <c r="BD24" i="18"/>
  <c r="AJ48" i="18"/>
  <c r="AV5" i="18"/>
  <c r="V25" i="20"/>
  <c r="AV37" i="20"/>
  <c r="AV23" i="21"/>
  <c r="R38" i="21"/>
  <c r="R36" i="21"/>
  <c r="BF35" i="21"/>
  <c r="R63" i="21"/>
  <c r="AB24" i="24"/>
  <c r="BF37" i="24"/>
  <c r="BF50" i="24"/>
  <c r="AP25" i="24"/>
  <c r="BF51" i="25"/>
  <c r="AZ51" i="25"/>
  <c r="BF35" i="25"/>
  <c r="AB49" i="25"/>
  <c r="R37" i="26"/>
  <c r="R23" i="26"/>
  <c r="L38" i="21"/>
  <c r="BF63" i="25"/>
  <c r="BF37" i="25"/>
  <c r="R36" i="26"/>
  <c r="P49" i="18"/>
  <c r="AV25" i="21"/>
  <c r="BF36" i="25"/>
  <c r="R38" i="26"/>
  <c r="R22" i="26"/>
  <c r="R51" i="27"/>
  <c r="L51" i="27"/>
  <c r="R50" i="27"/>
  <c r="AZ64" i="27"/>
  <c r="BF64" i="27"/>
  <c r="BF62" i="27"/>
  <c r="AF25" i="27"/>
  <c r="AL24" i="27"/>
  <c r="AL23" i="27"/>
  <c r="AL22" i="27"/>
  <c r="AL25" i="27"/>
  <c r="AF51" i="27"/>
  <c r="AL49" i="27"/>
  <c r="AL51" i="27"/>
  <c r="AL50" i="27"/>
  <c r="AL48" i="27"/>
  <c r="AV25" i="27"/>
  <c r="AV24" i="27"/>
  <c r="AV22" i="27"/>
  <c r="AV23" i="27"/>
  <c r="AP25" i="27"/>
  <c r="BP38" i="27"/>
  <c r="BP35" i="27"/>
  <c r="BP36" i="27"/>
  <c r="BJ38" i="27"/>
  <c r="BP37" i="27"/>
  <c r="AB48" i="27"/>
  <c r="AB49" i="27"/>
  <c r="V51" i="27"/>
  <c r="AB50" i="27"/>
  <c r="AB51" i="27"/>
  <c r="BJ51" i="27"/>
  <c r="BP50" i="27"/>
  <c r="BP51" i="27"/>
  <c r="BP48" i="27"/>
  <c r="BP49" i="27"/>
  <c r="AV48" i="27"/>
  <c r="AP51" i="27"/>
  <c r="AV51" i="27"/>
  <c r="AV49" i="27"/>
  <c r="AV50" i="27"/>
  <c r="AV64" i="27"/>
  <c r="AV62" i="27"/>
  <c r="AP64" i="27"/>
  <c r="AV63" i="27"/>
  <c r="AV61" i="27"/>
  <c r="BP64" i="27"/>
  <c r="BP63" i="27"/>
  <c r="BP61" i="27"/>
  <c r="BJ64" i="27"/>
  <c r="BP62" i="27"/>
  <c r="BF11" i="27"/>
  <c r="BF10" i="27"/>
  <c r="BF9" i="27"/>
  <c r="BF12" i="27"/>
  <c r="AZ12" i="27"/>
  <c r="AB64" i="27"/>
  <c r="AB63" i="27"/>
  <c r="AB61" i="27"/>
  <c r="V64" i="27"/>
  <c r="AB62" i="27"/>
  <c r="AL63" i="27"/>
  <c r="AL61" i="27"/>
  <c r="AF64" i="27"/>
  <c r="AL62" i="27"/>
  <c r="AL64" i="27"/>
  <c r="AZ38" i="27"/>
  <c r="BF37" i="27"/>
  <c r="BF35" i="27"/>
  <c r="BF36" i="27"/>
  <c r="BF38" i="27"/>
  <c r="BJ12" i="27"/>
  <c r="BP11" i="27"/>
  <c r="BP10" i="27"/>
  <c r="BP9" i="27"/>
  <c r="BP12" i="27"/>
  <c r="AB36" i="27"/>
  <c r="V38" i="27"/>
  <c r="AB35" i="27"/>
  <c r="AB38" i="27"/>
  <c r="AB37" i="27"/>
  <c r="L38" i="27"/>
  <c r="R37" i="27"/>
  <c r="R35" i="27"/>
  <c r="R38" i="27"/>
  <c r="R36" i="27"/>
  <c r="AB24" i="26"/>
  <c r="AB22" i="26"/>
  <c r="BJ12" i="26"/>
  <c r="BP11" i="26"/>
  <c r="BP10" i="26"/>
  <c r="BP9" i="26"/>
  <c r="BP12" i="26"/>
  <c r="AV25" i="26"/>
  <c r="AP25" i="26"/>
  <c r="AV24" i="26"/>
  <c r="AV23" i="26"/>
  <c r="AV22" i="26"/>
  <c r="AV64" i="26"/>
  <c r="AV62" i="26"/>
  <c r="AP64" i="26"/>
  <c r="AV63" i="26"/>
  <c r="AV61" i="26"/>
  <c r="AL37" i="26"/>
  <c r="AL35" i="26"/>
  <c r="AF38" i="26"/>
  <c r="AL36" i="26"/>
  <c r="AL38" i="26"/>
  <c r="BF49" i="26"/>
  <c r="AZ51" i="26"/>
  <c r="BF50" i="26"/>
  <c r="BF48" i="26"/>
  <c r="BF51" i="26"/>
  <c r="BF62" i="26"/>
  <c r="AZ64" i="26"/>
  <c r="BF63" i="26"/>
  <c r="BF61" i="26"/>
  <c r="BF64" i="26"/>
  <c r="AB64" i="26"/>
  <c r="AB63" i="26"/>
  <c r="AB61" i="26"/>
  <c r="V64" i="26"/>
  <c r="AB62" i="26"/>
  <c r="V12" i="26"/>
  <c r="AB11" i="26"/>
  <c r="AB10" i="26"/>
  <c r="AB9" i="26"/>
  <c r="AB12" i="26"/>
  <c r="BP51" i="26"/>
  <c r="BP50" i="26"/>
  <c r="BP48" i="26"/>
  <c r="BJ51" i="26"/>
  <c r="BP49" i="26"/>
  <c r="AB51" i="26"/>
  <c r="AB50" i="26"/>
  <c r="AB48" i="26"/>
  <c r="V51" i="26"/>
  <c r="AB49" i="26"/>
  <c r="AL50" i="26"/>
  <c r="AL48" i="26"/>
  <c r="AF51" i="26"/>
  <c r="AL49" i="26"/>
  <c r="AL51" i="26"/>
  <c r="AL63" i="26"/>
  <c r="AL61" i="26"/>
  <c r="AF64" i="26"/>
  <c r="AL62" i="26"/>
  <c r="AL64" i="26"/>
  <c r="AV38" i="26"/>
  <c r="AV36" i="26"/>
  <c r="AP38" i="26"/>
  <c r="AV35" i="26"/>
  <c r="AV37" i="26"/>
  <c r="R49" i="26"/>
  <c r="L51" i="26"/>
  <c r="R50" i="26"/>
  <c r="R48" i="26"/>
  <c r="R51" i="26"/>
  <c r="R62" i="26"/>
  <c r="L64" i="26"/>
  <c r="R63" i="26"/>
  <c r="R61" i="26"/>
  <c r="R64" i="26"/>
  <c r="BF62" i="25"/>
  <c r="R48" i="25"/>
  <c r="BF64" i="25"/>
  <c r="AV49" i="25"/>
  <c r="R50" i="25"/>
  <c r="R64" i="25"/>
  <c r="R49" i="25"/>
  <c r="L51" i="25"/>
  <c r="R63" i="25"/>
  <c r="AP51" i="25"/>
  <c r="BP50" i="25"/>
  <c r="BP49" i="25"/>
  <c r="BJ51" i="25"/>
  <c r="AV50" i="25"/>
  <c r="AV51" i="25"/>
  <c r="BP48" i="25"/>
  <c r="R61" i="25"/>
  <c r="R62" i="25"/>
  <c r="V25" i="25"/>
  <c r="AB22" i="25"/>
  <c r="AB25" i="25"/>
  <c r="AB23" i="25"/>
  <c r="AB24" i="25"/>
  <c r="AF51" i="25"/>
  <c r="AL49" i="25"/>
  <c r="AL48" i="25"/>
  <c r="AL50" i="25"/>
  <c r="AL51" i="25"/>
  <c r="AF64" i="25"/>
  <c r="AL62" i="25"/>
  <c r="AL63" i="25"/>
  <c r="AL64" i="25"/>
  <c r="AL61" i="25"/>
  <c r="AP64" i="25"/>
  <c r="AV61" i="25"/>
  <c r="AV63" i="25"/>
  <c r="AV64" i="25"/>
  <c r="AV62" i="25"/>
  <c r="AB38" i="25"/>
  <c r="AB37" i="25"/>
  <c r="AB36" i="25"/>
  <c r="AB35" i="25"/>
  <c r="V38" i="25"/>
  <c r="BP64" i="25"/>
  <c r="BP61" i="25"/>
  <c r="BJ64" i="25"/>
  <c r="BP63" i="25"/>
  <c r="BP62" i="25"/>
  <c r="AF38" i="25"/>
  <c r="AL36" i="25"/>
  <c r="AL35" i="25"/>
  <c r="AL37" i="25"/>
  <c r="AL38" i="25"/>
  <c r="AB62" i="25"/>
  <c r="AB61" i="25"/>
  <c r="AB64" i="25"/>
  <c r="AB63" i="25"/>
  <c r="V64" i="25"/>
  <c r="AL24" i="25"/>
  <c r="AL23" i="25"/>
  <c r="AL22" i="25"/>
  <c r="AF25" i="25"/>
  <c r="AL25" i="25"/>
  <c r="AV37" i="25"/>
  <c r="AV35" i="25"/>
  <c r="AP38" i="25"/>
  <c r="AV38" i="25"/>
  <c r="AV36" i="25"/>
  <c r="AP25" i="25"/>
  <c r="AV25" i="25"/>
  <c r="AV23" i="25"/>
  <c r="AV22" i="25"/>
  <c r="AV24" i="25"/>
  <c r="BP35" i="25"/>
  <c r="BP38" i="25"/>
  <c r="BJ38" i="25"/>
  <c r="BP37" i="25"/>
  <c r="BP36" i="25"/>
  <c r="BF35" i="24"/>
  <c r="AV24" i="24"/>
  <c r="AV22" i="24"/>
  <c r="BF25" i="24"/>
  <c r="BF24" i="24"/>
  <c r="AZ25" i="24"/>
  <c r="BF22" i="24"/>
  <c r="BF23" i="24"/>
  <c r="AL63" i="24"/>
  <c r="AL61" i="24"/>
  <c r="AF64" i="24"/>
  <c r="AL62" i="24"/>
  <c r="AL64" i="24"/>
  <c r="AF38" i="24"/>
  <c r="AL36" i="24"/>
  <c r="AL35" i="24"/>
  <c r="AL37" i="24"/>
  <c r="AL38" i="24"/>
  <c r="AL25" i="24"/>
  <c r="AL24" i="24"/>
  <c r="AL23" i="24"/>
  <c r="AL22" i="24"/>
  <c r="AF25" i="24"/>
  <c r="BP38" i="24"/>
  <c r="BP37" i="24"/>
  <c r="BJ38" i="24"/>
  <c r="BP35" i="24"/>
  <c r="BP36" i="24"/>
  <c r="AF51" i="24"/>
  <c r="AL49" i="24"/>
  <c r="AL50" i="24"/>
  <c r="AL51" i="24"/>
  <c r="AL48" i="24"/>
  <c r="AV64" i="24"/>
  <c r="AV62" i="24"/>
  <c r="AP64" i="24"/>
  <c r="AV63" i="24"/>
  <c r="AV61" i="24"/>
  <c r="AV38" i="24"/>
  <c r="AV36" i="24"/>
  <c r="AV35" i="24"/>
  <c r="AV37" i="24"/>
  <c r="AP38" i="24"/>
  <c r="AV51" i="24"/>
  <c r="AV49" i="24"/>
  <c r="AP51" i="24"/>
  <c r="AV48" i="24"/>
  <c r="AV50" i="24"/>
  <c r="L64" i="23"/>
  <c r="AB63" i="23"/>
  <c r="V12" i="23"/>
  <c r="BF23" i="23"/>
  <c r="R49" i="23"/>
  <c r="BF24" i="23"/>
  <c r="L51" i="23"/>
  <c r="AB10" i="23"/>
  <c r="R61" i="23"/>
  <c r="AB61" i="23"/>
  <c r="AB9" i="23"/>
  <c r="AZ25" i="23"/>
  <c r="R50" i="23"/>
  <c r="R64" i="23"/>
  <c r="AB64" i="23"/>
  <c r="R62" i="23"/>
  <c r="V64" i="23"/>
  <c r="AB12" i="23"/>
  <c r="BF22" i="23"/>
  <c r="BF49" i="23"/>
  <c r="BF51" i="23"/>
  <c r="BF50" i="23"/>
  <c r="AB22" i="22"/>
  <c r="AB24" i="22"/>
  <c r="V25" i="22"/>
  <c r="BF22" i="22"/>
  <c r="BP24" i="22"/>
  <c r="AF12" i="23"/>
  <c r="AL12" i="23"/>
  <c r="AL11" i="23"/>
  <c r="AL10" i="23"/>
  <c r="AL9" i="23"/>
  <c r="AL51" i="23"/>
  <c r="AF51" i="23"/>
  <c r="AL49" i="23"/>
  <c r="AL50" i="23"/>
  <c r="AL48" i="23"/>
  <c r="V25" i="23"/>
  <c r="AB24" i="23"/>
  <c r="AB23" i="23"/>
  <c r="AB22" i="23"/>
  <c r="AB25" i="23"/>
  <c r="AV51" i="23"/>
  <c r="AV49" i="23"/>
  <c r="AV50" i="23"/>
  <c r="AV48" i="23"/>
  <c r="AP51" i="23"/>
  <c r="AZ12" i="23"/>
  <c r="BF11" i="23"/>
  <c r="BF10" i="23"/>
  <c r="BF9" i="23"/>
  <c r="BF12" i="23"/>
  <c r="BP24" i="23"/>
  <c r="BJ25" i="23"/>
  <c r="BP23" i="23"/>
  <c r="BP22" i="23"/>
  <c r="BP25" i="23"/>
  <c r="BP36" i="23"/>
  <c r="BP38" i="23"/>
  <c r="BP35" i="23"/>
  <c r="BJ38" i="23"/>
  <c r="BP37" i="23"/>
  <c r="BF38" i="23"/>
  <c r="AZ38" i="23"/>
  <c r="BF37" i="23"/>
  <c r="BF35" i="23"/>
  <c r="BF36" i="23"/>
  <c r="AL25" i="23"/>
  <c r="AF25" i="23"/>
  <c r="AL24" i="23"/>
  <c r="AL23" i="23"/>
  <c r="AL22" i="23"/>
  <c r="AV11" i="23"/>
  <c r="AV10" i="23"/>
  <c r="AV9" i="23"/>
  <c r="AV12" i="23"/>
  <c r="AP12" i="23"/>
  <c r="AB36" i="23"/>
  <c r="AB38" i="23"/>
  <c r="AB37" i="23"/>
  <c r="V38" i="23"/>
  <c r="AB35" i="23"/>
  <c r="AV64" i="23"/>
  <c r="AV62" i="23"/>
  <c r="AV63" i="23"/>
  <c r="AV61" i="23"/>
  <c r="AP64" i="23"/>
  <c r="AV25" i="23"/>
  <c r="AP25" i="23"/>
  <c r="AV24" i="23"/>
  <c r="AV23" i="23"/>
  <c r="AV22" i="23"/>
  <c r="AL64" i="23"/>
  <c r="AF64" i="23"/>
  <c r="AL62" i="23"/>
  <c r="AL63" i="23"/>
  <c r="AL61" i="23"/>
  <c r="R38" i="23"/>
  <c r="L38" i="23"/>
  <c r="R37" i="23"/>
  <c r="R35" i="23"/>
  <c r="R36" i="23"/>
  <c r="AB25" i="22"/>
  <c r="BF24" i="22"/>
  <c r="BP25" i="22"/>
  <c r="BJ25" i="22"/>
  <c r="AL35" i="22"/>
  <c r="AF38" i="22"/>
  <c r="AL38" i="22"/>
  <c r="BF25" i="22"/>
  <c r="BP22" i="22"/>
  <c r="BF23" i="22"/>
  <c r="AZ12" i="22"/>
  <c r="R22" i="22"/>
  <c r="R23" i="22"/>
  <c r="R25" i="22"/>
  <c r="R24" i="22"/>
  <c r="BF12" i="22"/>
  <c r="BF9" i="22"/>
  <c r="BF10" i="22"/>
  <c r="AV51" i="22"/>
  <c r="AV49" i="22"/>
  <c r="AP51" i="22"/>
  <c r="AV48" i="22"/>
  <c r="AV50" i="22"/>
  <c r="R62" i="22"/>
  <c r="L64" i="22"/>
  <c r="R63" i="22"/>
  <c r="R61" i="22"/>
  <c r="R64" i="22"/>
  <c r="BP51" i="22"/>
  <c r="BP50" i="22"/>
  <c r="BP48" i="22"/>
  <c r="BJ51" i="22"/>
  <c r="BP49" i="22"/>
  <c r="AV38" i="22"/>
  <c r="AV36" i="22"/>
  <c r="AV35" i="22"/>
  <c r="AP38" i="22"/>
  <c r="AV37" i="22"/>
  <c r="AL63" i="22"/>
  <c r="AL61" i="22"/>
  <c r="AF64" i="22"/>
  <c r="AL62" i="22"/>
  <c r="AL64" i="22"/>
  <c r="BF36" i="22"/>
  <c r="BF35" i="22"/>
  <c r="AZ38" i="22"/>
  <c r="BF37" i="22"/>
  <c r="BF38" i="22"/>
  <c r="BF49" i="22"/>
  <c r="AZ51" i="22"/>
  <c r="BF50" i="22"/>
  <c r="BF48" i="22"/>
  <c r="BF51" i="22"/>
  <c r="BF62" i="22"/>
  <c r="AZ64" i="22"/>
  <c r="BF63" i="22"/>
  <c r="BF61" i="22"/>
  <c r="BF64" i="22"/>
  <c r="R49" i="22"/>
  <c r="L51" i="22"/>
  <c r="R50" i="22"/>
  <c r="R48" i="22"/>
  <c r="R51" i="22"/>
  <c r="AL25" i="22"/>
  <c r="AF25" i="22"/>
  <c r="AL24" i="22"/>
  <c r="AL23" i="22"/>
  <c r="AL22" i="22"/>
  <c r="AV64" i="22"/>
  <c r="AV62" i="22"/>
  <c r="AP64" i="22"/>
  <c r="AV63" i="22"/>
  <c r="AV61" i="22"/>
  <c r="AL50" i="22"/>
  <c r="AL48" i="22"/>
  <c r="AF51" i="22"/>
  <c r="AL49" i="22"/>
  <c r="AL51" i="22"/>
  <c r="AB64" i="22"/>
  <c r="AB63" i="22"/>
  <c r="AB61" i="22"/>
  <c r="V64" i="22"/>
  <c r="AB62" i="22"/>
  <c r="R36" i="22"/>
  <c r="R35" i="22"/>
  <c r="L38" i="22"/>
  <c r="R37" i="22"/>
  <c r="R38" i="22"/>
  <c r="BJ12" i="22"/>
  <c r="BP9" i="22"/>
  <c r="BP12" i="22"/>
  <c r="BP11" i="22"/>
  <c r="BP10" i="22"/>
  <c r="AB51" i="22"/>
  <c r="AB50" i="22"/>
  <c r="AB48" i="22"/>
  <c r="V51" i="22"/>
  <c r="AB49" i="22"/>
  <c r="AP25" i="21"/>
  <c r="R64" i="21"/>
  <c r="AV22" i="21"/>
  <c r="R61" i="21"/>
  <c r="AV11" i="21"/>
  <c r="AV10" i="21"/>
  <c r="AV9" i="21"/>
  <c r="AP12" i="21"/>
  <c r="AV12" i="21"/>
  <c r="BJ51" i="21"/>
  <c r="BP50" i="21"/>
  <c r="BP49" i="21"/>
  <c r="BP51" i="21"/>
  <c r="BP48" i="21"/>
  <c r="L25" i="21"/>
  <c r="R25" i="21"/>
  <c r="R24" i="21"/>
  <c r="R23" i="21"/>
  <c r="R22" i="21"/>
  <c r="V38" i="21"/>
  <c r="AB38" i="21"/>
  <c r="AB37" i="21"/>
  <c r="AB35" i="21"/>
  <c r="AB36" i="21"/>
  <c r="BP64" i="21"/>
  <c r="BP63" i="21"/>
  <c r="BP61" i="21"/>
  <c r="BJ64" i="21"/>
  <c r="BP62" i="21"/>
  <c r="AP51" i="21"/>
  <c r="AV50" i="21"/>
  <c r="AV51" i="21"/>
  <c r="AV49" i="21"/>
  <c r="AV48" i="21"/>
  <c r="AL12" i="21"/>
  <c r="AL11" i="21"/>
  <c r="AL10" i="21"/>
  <c r="AL9" i="21"/>
  <c r="AF12" i="21"/>
  <c r="BP10" i="21"/>
  <c r="BP12" i="21"/>
  <c r="BP11" i="21"/>
  <c r="BJ12" i="21"/>
  <c r="BP9" i="21"/>
  <c r="AZ25" i="21"/>
  <c r="BF24" i="21"/>
  <c r="BF25" i="21"/>
  <c r="BF23" i="21"/>
  <c r="BF22" i="21"/>
  <c r="AB64" i="21"/>
  <c r="AB63" i="21"/>
  <c r="AB61" i="21"/>
  <c r="V64" i="21"/>
  <c r="AB62" i="21"/>
  <c r="BJ25" i="21"/>
  <c r="BP25" i="21"/>
  <c r="BP24" i="21"/>
  <c r="BP22" i="21"/>
  <c r="BP23" i="21"/>
  <c r="AL50" i="21"/>
  <c r="AL48" i="21"/>
  <c r="AF51" i="21"/>
  <c r="AL49" i="21"/>
  <c r="AL51" i="21"/>
  <c r="AP38" i="21"/>
  <c r="AV37" i="21"/>
  <c r="AV35" i="21"/>
  <c r="AV38" i="21"/>
  <c r="AV36" i="21"/>
  <c r="V25" i="21"/>
  <c r="AB25" i="21"/>
  <c r="AB22" i="21"/>
  <c r="AB23" i="21"/>
  <c r="AB24" i="21"/>
  <c r="V51" i="21"/>
  <c r="AB49" i="21"/>
  <c r="AB48" i="21"/>
  <c r="AB51" i="21"/>
  <c r="AB50" i="21"/>
  <c r="AL63" i="21"/>
  <c r="AL61" i="21"/>
  <c r="AF64" i="21"/>
  <c r="AL62" i="21"/>
  <c r="AL64" i="21"/>
  <c r="AV64" i="21"/>
  <c r="AV62" i="21"/>
  <c r="AP64" i="21"/>
  <c r="AV63" i="21"/>
  <c r="AV61" i="21"/>
  <c r="AV36" i="20"/>
  <c r="AB24" i="20"/>
  <c r="AV35" i="20"/>
  <c r="AL35" i="20"/>
  <c r="AB25" i="20"/>
  <c r="BF49" i="20"/>
  <c r="AB23" i="20"/>
  <c r="L51" i="20"/>
  <c r="AL36" i="20"/>
  <c r="BF51" i="20"/>
  <c r="AZ51" i="20"/>
  <c r="R49" i="20"/>
  <c r="AL38" i="20"/>
  <c r="AF38" i="20"/>
  <c r="BF48" i="20"/>
  <c r="R48" i="20"/>
  <c r="L38" i="20"/>
  <c r="R37" i="20"/>
  <c r="R35" i="20"/>
  <c r="R38" i="20"/>
  <c r="R36" i="20"/>
  <c r="BJ12" i="20"/>
  <c r="BP11" i="20"/>
  <c r="BP10" i="20"/>
  <c r="BP9" i="20"/>
  <c r="BP12" i="20"/>
  <c r="AV25" i="20"/>
  <c r="AV23" i="20"/>
  <c r="AV22" i="20"/>
  <c r="AV24" i="20"/>
  <c r="AP25" i="20"/>
  <c r="BF11" i="20"/>
  <c r="BF10" i="20"/>
  <c r="BF9" i="20"/>
  <c r="BF12" i="20"/>
  <c r="AZ12" i="20"/>
  <c r="BP64" i="20"/>
  <c r="BP63" i="20"/>
  <c r="BP61" i="20"/>
  <c r="BP62" i="20"/>
  <c r="BJ64" i="20"/>
  <c r="AB64" i="20"/>
  <c r="AB63" i="20"/>
  <c r="AB61" i="20"/>
  <c r="AB62" i="20"/>
  <c r="V64" i="20"/>
  <c r="AF51" i="20"/>
  <c r="AL49" i="20"/>
  <c r="AL51" i="20"/>
  <c r="AL48" i="20"/>
  <c r="AL50" i="20"/>
  <c r="AF25" i="20"/>
  <c r="AL25" i="20"/>
  <c r="AL24" i="20"/>
  <c r="AL23" i="20"/>
  <c r="AL22" i="20"/>
  <c r="V12" i="20"/>
  <c r="AB11" i="20"/>
  <c r="AB10" i="20"/>
  <c r="AB9" i="20"/>
  <c r="AB12" i="20"/>
  <c r="AB38" i="20"/>
  <c r="AB37" i="20"/>
  <c r="AB35" i="20"/>
  <c r="AB36" i="20"/>
  <c r="V38" i="20"/>
  <c r="AZ38" i="20"/>
  <c r="BF37" i="20"/>
  <c r="BF35" i="20"/>
  <c r="BF38" i="20"/>
  <c r="BF36" i="20"/>
  <c r="AB51" i="20"/>
  <c r="AB50" i="20"/>
  <c r="AB48" i="20"/>
  <c r="V51" i="20"/>
  <c r="AB49" i="20"/>
  <c r="AV51" i="20"/>
  <c r="AV49" i="20"/>
  <c r="AV48" i="20"/>
  <c r="AP51" i="20"/>
  <c r="AV50" i="20"/>
  <c r="AL64" i="20"/>
  <c r="AF64" i="20"/>
  <c r="AL62" i="20"/>
  <c r="AL63" i="20"/>
  <c r="AL61" i="20"/>
  <c r="AP12" i="20"/>
  <c r="AV12" i="20"/>
  <c r="AV11" i="20"/>
  <c r="AV9" i="20"/>
  <c r="AV10" i="20"/>
  <c r="R51" i="19"/>
  <c r="R44" i="19"/>
  <c r="AR35" i="19"/>
  <c r="AV19" i="19"/>
  <c r="AV22" i="19" s="1"/>
  <c r="AT62" i="19"/>
  <c r="AB32" i="19"/>
  <c r="AB38" i="19" s="1"/>
  <c r="L51" i="19"/>
  <c r="AH61" i="19"/>
  <c r="AT24" i="19"/>
  <c r="BN22" i="19"/>
  <c r="AV57" i="19"/>
  <c r="AJ61" i="19"/>
  <c r="N48" i="19"/>
  <c r="AJ63" i="19"/>
  <c r="BP18" i="19"/>
  <c r="R49" i="19"/>
  <c r="R50" i="19"/>
  <c r="AB31" i="19"/>
  <c r="AB18" i="19"/>
  <c r="N49" i="19"/>
  <c r="AJ50" i="19"/>
  <c r="R31" i="19"/>
  <c r="Z23" i="19"/>
  <c r="AB19" i="19"/>
  <c r="AB24" i="19" s="1"/>
  <c r="Z24" i="19"/>
  <c r="BF31" i="19"/>
  <c r="AR37" i="19"/>
  <c r="BP5" i="19"/>
  <c r="AL58" i="19"/>
  <c r="AL61" i="19" s="1"/>
  <c r="AH62" i="19"/>
  <c r="AT63" i="19"/>
  <c r="AV58" i="19"/>
  <c r="AV63" i="19" s="1"/>
  <c r="AT36" i="19"/>
  <c r="AT37" i="19"/>
  <c r="AT35" i="19"/>
  <c r="AT48" i="19"/>
  <c r="BP32" i="19"/>
  <c r="BP37" i="19" s="1"/>
  <c r="N24" i="19"/>
  <c r="R19" i="19"/>
  <c r="R24" i="19" s="1"/>
  <c r="BF5" i="19"/>
  <c r="AJ48" i="19"/>
  <c r="AV32" i="19"/>
  <c r="AV38" i="19" s="1"/>
  <c r="BN24" i="19"/>
  <c r="BP19" i="19"/>
  <c r="BP25" i="19" s="1"/>
  <c r="BP6" i="19"/>
  <c r="BP11" i="19" s="1"/>
  <c r="BN35" i="19"/>
  <c r="N22" i="19"/>
  <c r="R18" i="19"/>
  <c r="AT50" i="19"/>
  <c r="AV44" i="19"/>
  <c r="BP57" i="19"/>
  <c r="BD10" i="19"/>
  <c r="BD9" i="19"/>
  <c r="AV45" i="19"/>
  <c r="BP31" i="19"/>
  <c r="BF6" i="19"/>
  <c r="BF12" i="19" s="1"/>
  <c r="BN37" i="19"/>
  <c r="BN9" i="19"/>
  <c r="BN10" i="19"/>
  <c r="Z37" i="19"/>
  <c r="Z36" i="19"/>
  <c r="BB50" i="19"/>
  <c r="BB48" i="19"/>
  <c r="BF45" i="19"/>
  <c r="BB49" i="19"/>
  <c r="BB24" i="19"/>
  <c r="BF19" i="19"/>
  <c r="BB23" i="19"/>
  <c r="BB22" i="19"/>
  <c r="Z63" i="19"/>
  <c r="Z61" i="19"/>
  <c r="Z62" i="19"/>
  <c r="BD50" i="19"/>
  <c r="BD48" i="19"/>
  <c r="BD49" i="19"/>
  <c r="AB57" i="19"/>
  <c r="BB63" i="19"/>
  <c r="BB61" i="19"/>
  <c r="BB62" i="19"/>
  <c r="BF58" i="19"/>
  <c r="BP51" i="19"/>
  <c r="BP50" i="19"/>
  <c r="BP48" i="19"/>
  <c r="BJ51" i="19"/>
  <c r="BP49" i="19"/>
  <c r="AJ36" i="19"/>
  <c r="AJ35" i="19"/>
  <c r="AJ37" i="19"/>
  <c r="BP44" i="19"/>
  <c r="BF18" i="19"/>
  <c r="AJ24" i="19"/>
  <c r="AJ22" i="19"/>
  <c r="AJ23" i="19"/>
  <c r="BN63" i="19"/>
  <c r="BN61" i="19"/>
  <c r="BN62" i="19"/>
  <c r="BD63" i="19"/>
  <c r="BD61" i="19"/>
  <c r="BD62" i="19"/>
  <c r="AB36" i="19"/>
  <c r="AH49" i="19"/>
  <c r="AL45" i="19"/>
  <c r="AH50" i="19"/>
  <c r="AH48" i="19"/>
  <c r="P37" i="19"/>
  <c r="P35" i="19"/>
  <c r="P36" i="19"/>
  <c r="AL31" i="19"/>
  <c r="Z50" i="19"/>
  <c r="Z48" i="19"/>
  <c r="Z49" i="19"/>
  <c r="X49" i="19"/>
  <c r="AB45" i="19"/>
  <c r="X48" i="19"/>
  <c r="X50" i="19"/>
  <c r="AL18" i="19"/>
  <c r="N63" i="19"/>
  <c r="N61" i="19"/>
  <c r="N62" i="19"/>
  <c r="R58" i="19"/>
  <c r="AH37" i="19"/>
  <c r="AH35" i="19"/>
  <c r="AL32" i="19"/>
  <c r="AH36" i="19"/>
  <c r="BL62" i="19"/>
  <c r="BP58" i="19"/>
  <c r="BL61" i="19"/>
  <c r="BL63" i="19"/>
  <c r="P63" i="19"/>
  <c r="P61" i="19"/>
  <c r="P62" i="19"/>
  <c r="AV23" i="19"/>
  <c r="BB35" i="19"/>
  <c r="BB36" i="19"/>
  <c r="BB37" i="19"/>
  <c r="BF32" i="19"/>
  <c r="BN50" i="19"/>
  <c r="BN48" i="19"/>
  <c r="BN49" i="19"/>
  <c r="R38" i="19"/>
  <c r="R35" i="19"/>
  <c r="R36" i="19"/>
  <c r="L38" i="19"/>
  <c r="R37" i="19"/>
  <c r="AH23" i="19"/>
  <c r="AH24" i="19"/>
  <c r="AL19" i="19"/>
  <c r="AH22" i="19"/>
  <c r="AB58" i="19"/>
  <c r="AB32" i="18"/>
  <c r="AB38" i="18" s="1"/>
  <c r="X35" i="18"/>
  <c r="X36" i="18"/>
  <c r="AB19" i="18"/>
  <c r="BN35" i="18"/>
  <c r="BF63" i="18"/>
  <c r="X23" i="18"/>
  <c r="BL62" i="18"/>
  <c r="BP58" i="18"/>
  <c r="BP64" i="18" s="1"/>
  <c r="BL61" i="18"/>
  <c r="AH48" i="18"/>
  <c r="AZ64" i="18"/>
  <c r="BF61" i="18"/>
  <c r="V25" i="18"/>
  <c r="AH49" i="18"/>
  <c r="R19" i="18"/>
  <c r="R25" i="18" s="1"/>
  <c r="BF64" i="18"/>
  <c r="AB62" i="18"/>
  <c r="V64" i="18"/>
  <c r="AB63" i="18"/>
  <c r="AR48" i="18"/>
  <c r="AV45" i="18"/>
  <c r="AV49" i="18" s="1"/>
  <c r="AR49" i="18"/>
  <c r="AL45" i="18"/>
  <c r="AF51" i="18" s="1"/>
  <c r="BP32" i="18"/>
  <c r="BJ38" i="18" s="1"/>
  <c r="BN36" i="18"/>
  <c r="BP18" i="18"/>
  <c r="X22" i="18"/>
  <c r="P23" i="18"/>
  <c r="BF25" i="18"/>
  <c r="BF23" i="18"/>
  <c r="AZ25" i="18"/>
  <c r="BF24" i="18"/>
  <c r="AZ12" i="18"/>
  <c r="AB11" i="18"/>
  <c r="V12" i="18"/>
  <c r="AB10" i="18"/>
  <c r="AB23" i="18"/>
  <c r="BF10" i="18"/>
  <c r="BF9" i="18"/>
  <c r="BP22" i="18"/>
  <c r="BP35" i="18"/>
  <c r="BP11" i="18"/>
  <c r="BP23" i="18"/>
  <c r="AB24" i="18"/>
  <c r="BF11" i="18"/>
  <c r="AB61" i="18"/>
  <c r="BP9" i="18"/>
  <c r="AB36" i="18"/>
  <c r="AB37" i="18"/>
  <c r="BP24" i="18"/>
  <c r="R22" i="18"/>
  <c r="AB9" i="18"/>
  <c r="BJ25" i="18"/>
  <c r="L51" i="18"/>
  <c r="R50" i="18"/>
  <c r="R48" i="18"/>
  <c r="R49" i="18"/>
  <c r="R51" i="18"/>
  <c r="AB51" i="18"/>
  <c r="AB50" i="18"/>
  <c r="AB48" i="18"/>
  <c r="V51" i="18"/>
  <c r="AB49" i="18"/>
  <c r="AP25" i="18"/>
  <c r="AV25" i="18"/>
  <c r="AV22" i="18"/>
  <c r="AV23" i="18"/>
  <c r="AV24" i="18"/>
  <c r="BF36" i="18"/>
  <c r="BF38" i="18"/>
  <c r="AZ38" i="18"/>
  <c r="BF37" i="18"/>
  <c r="BF35" i="18"/>
  <c r="AV12" i="18"/>
  <c r="AV11" i="18"/>
  <c r="AV10" i="18"/>
  <c r="AV9" i="18"/>
  <c r="AP12" i="18"/>
  <c r="R62" i="18"/>
  <c r="R64" i="18"/>
  <c r="L64" i="18"/>
  <c r="R63" i="18"/>
  <c r="R61" i="18"/>
  <c r="AL63" i="18"/>
  <c r="AL61" i="18"/>
  <c r="AL64" i="18"/>
  <c r="AF64" i="18"/>
  <c r="AL62" i="18"/>
  <c r="AL25" i="18"/>
  <c r="AF25" i="18"/>
  <c r="AL24" i="18"/>
  <c r="AL23" i="18"/>
  <c r="AL22" i="18"/>
  <c r="BP51" i="18"/>
  <c r="BP50" i="18"/>
  <c r="BP48" i="18"/>
  <c r="BJ51" i="18"/>
  <c r="BP49" i="18"/>
  <c r="AP64" i="18"/>
  <c r="AV63" i="18"/>
  <c r="AV61" i="18"/>
  <c r="AV64" i="18"/>
  <c r="AV62" i="18"/>
  <c r="AL49" i="18"/>
  <c r="AL50" i="18"/>
  <c r="AP38" i="18"/>
  <c r="AV37" i="18"/>
  <c r="AV35" i="18"/>
  <c r="AV38" i="18"/>
  <c r="AV36" i="18"/>
  <c r="AL37" i="18"/>
  <c r="AL35" i="18"/>
  <c r="AL38" i="18"/>
  <c r="AF38" i="18"/>
  <c r="AL36" i="18"/>
  <c r="AZ51" i="18"/>
  <c r="BF50" i="18"/>
  <c r="BF48" i="18"/>
  <c r="BF49" i="18"/>
  <c r="BF51" i="18"/>
  <c r="AL9" i="18"/>
  <c r="AL11" i="18"/>
  <c r="AL12" i="18"/>
  <c r="AF12" i="18"/>
  <c r="AL10" i="18"/>
  <c r="R36" i="18"/>
  <c r="R38" i="18"/>
  <c r="L38" i="18"/>
  <c r="R37" i="18"/>
  <c r="R35" i="18"/>
  <c r="BN58" i="17"/>
  <c r="BN61" i="17" s="1"/>
  <c r="BL58" i="17"/>
  <c r="BL63" i="17" s="1"/>
  <c r="BN57" i="17"/>
  <c r="BL57" i="17"/>
  <c r="BP57" i="17" s="1"/>
  <c r="BP56" i="17"/>
  <c r="BJ60" i="17" s="1"/>
  <c r="BN45" i="17"/>
  <c r="BN48" i="17" s="1"/>
  <c r="BL45" i="17"/>
  <c r="BL50" i="17" s="1"/>
  <c r="BN44" i="17"/>
  <c r="BL44" i="17"/>
  <c r="BP43" i="17"/>
  <c r="BJ47" i="17" s="1"/>
  <c r="BN32" i="17"/>
  <c r="BN35" i="17" s="1"/>
  <c r="BL32" i="17"/>
  <c r="BL36" i="17" s="1"/>
  <c r="BN31" i="17"/>
  <c r="BL31" i="17"/>
  <c r="BP31" i="17" s="1"/>
  <c r="BP30" i="17"/>
  <c r="BJ34" i="17" s="1"/>
  <c r="BN19" i="17"/>
  <c r="BN22" i="17" s="1"/>
  <c r="BL19" i="17"/>
  <c r="BL23" i="17" s="1"/>
  <c r="BN18" i="17"/>
  <c r="BL18" i="17"/>
  <c r="BP18" i="17" s="1"/>
  <c r="BP17" i="17"/>
  <c r="BJ21" i="17" s="1"/>
  <c r="BN6" i="17"/>
  <c r="BN9" i="17" s="1"/>
  <c r="BL6" i="17"/>
  <c r="BL11" i="17" s="1"/>
  <c r="BN5" i="17"/>
  <c r="BL5" i="17"/>
  <c r="BP5" i="17" s="1"/>
  <c r="BP4" i="17"/>
  <c r="BJ8" i="17" s="1"/>
  <c r="H7" i="17"/>
  <c r="G7" i="17"/>
  <c r="H6" i="17"/>
  <c r="G6" i="17"/>
  <c r="BP44" i="17" l="1"/>
  <c r="AB23" i="19"/>
  <c r="AV24" i="19"/>
  <c r="BJ38" i="19"/>
  <c r="AP64" i="19"/>
  <c r="AL62" i="19"/>
  <c r="AP25" i="19"/>
  <c r="AV25" i="19"/>
  <c r="BJ12" i="19"/>
  <c r="AB37" i="19"/>
  <c r="V25" i="19"/>
  <c r="AB35" i="19"/>
  <c r="AZ12" i="19"/>
  <c r="AB22" i="19"/>
  <c r="V38" i="19"/>
  <c r="AV62" i="19"/>
  <c r="R23" i="19"/>
  <c r="AV61" i="19"/>
  <c r="BJ25" i="19"/>
  <c r="AV64" i="19"/>
  <c r="AB25" i="19"/>
  <c r="BP9" i="19"/>
  <c r="BP10" i="19"/>
  <c r="BP22" i="19"/>
  <c r="AP38" i="19"/>
  <c r="BP12" i="19"/>
  <c r="BP23" i="19"/>
  <c r="BP36" i="19"/>
  <c r="AF64" i="19"/>
  <c r="R22" i="19"/>
  <c r="AL64" i="19"/>
  <c r="L25" i="19"/>
  <c r="BP38" i="19"/>
  <c r="AL63" i="19"/>
  <c r="BF9" i="19"/>
  <c r="AV36" i="19"/>
  <c r="R25" i="19"/>
  <c r="BF10" i="19"/>
  <c r="AV37" i="19"/>
  <c r="BF11" i="19"/>
  <c r="BP24" i="19"/>
  <c r="AV35" i="19"/>
  <c r="BP35" i="19"/>
  <c r="AV51" i="19"/>
  <c r="AV50" i="19"/>
  <c r="AV49" i="19"/>
  <c r="AP51" i="19"/>
  <c r="AV48" i="19"/>
  <c r="AF25" i="19"/>
  <c r="AL22" i="19"/>
  <c r="AL24" i="19"/>
  <c r="AL23" i="19"/>
  <c r="AL25" i="19"/>
  <c r="BF37" i="19"/>
  <c r="BF38" i="19"/>
  <c r="BF35" i="19"/>
  <c r="AZ38" i="19"/>
  <c r="BF36" i="19"/>
  <c r="BF49" i="19"/>
  <c r="BF50" i="19"/>
  <c r="BF48" i="19"/>
  <c r="BF51" i="19"/>
  <c r="AZ51" i="19"/>
  <c r="BF62" i="19"/>
  <c r="BF64" i="19"/>
  <c r="AZ64" i="19"/>
  <c r="BF61" i="19"/>
  <c r="BF63" i="19"/>
  <c r="R62" i="19"/>
  <c r="R64" i="19"/>
  <c r="L64" i="19"/>
  <c r="R63" i="19"/>
  <c r="R61" i="19"/>
  <c r="AL50" i="19"/>
  <c r="AL48" i="19"/>
  <c r="AF51" i="19"/>
  <c r="AL49" i="19"/>
  <c r="AL51" i="19"/>
  <c r="AB64" i="19"/>
  <c r="AB63" i="19"/>
  <c r="AB61" i="19"/>
  <c r="V64" i="19"/>
  <c r="AB62" i="19"/>
  <c r="BP64" i="19"/>
  <c r="BP63" i="19"/>
  <c r="BP61" i="19"/>
  <c r="BJ64" i="19"/>
  <c r="BP62" i="19"/>
  <c r="AL37" i="19"/>
  <c r="AF38" i="19"/>
  <c r="AL35" i="19"/>
  <c r="AL36" i="19"/>
  <c r="AL38" i="19"/>
  <c r="AB51" i="19"/>
  <c r="AB50" i="19"/>
  <c r="AB48" i="19"/>
  <c r="V51" i="19"/>
  <c r="AB49" i="19"/>
  <c r="AZ25" i="19"/>
  <c r="BF25" i="19"/>
  <c r="BF22" i="19"/>
  <c r="BF23" i="19"/>
  <c r="BF24" i="19"/>
  <c r="BP37" i="18"/>
  <c r="V38" i="18"/>
  <c r="AB35" i="18"/>
  <c r="AB25" i="18"/>
  <c r="AB22" i="18"/>
  <c r="BP36" i="18"/>
  <c r="BP62" i="18"/>
  <c r="BJ64" i="18"/>
  <c r="BP61" i="18"/>
  <c r="BP63" i="18"/>
  <c r="AL48" i="18"/>
  <c r="L25" i="18"/>
  <c r="R24" i="18"/>
  <c r="R23" i="18"/>
  <c r="AV50" i="18"/>
  <c r="AV48" i="18"/>
  <c r="AV51" i="18"/>
  <c r="AP51" i="18"/>
  <c r="AL51" i="18"/>
  <c r="BP38" i="18"/>
  <c r="BL49" i="17"/>
  <c r="BN36" i="17"/>
  <c r="BN10" i="17"/>
  <c r="BP58" i="17"/>
  <c r="BL62" i="17"/>
  <c r="BN63" i="17"/>
  <c r="BL61" i="17"/>
  <c r="BN62" i="17"/>
  <c r="BN49" i="17"/>
  <c r="BN23" i="17"/>
  <c r="BN50" i="17"/>
  <c r="BL48" i="17"/>
  <c r="BP45" i="17"/>
  <c r="BL35" i="17"/>
  <c r="BP32" i="17"/>
  <c r="BL37" i="17"/>
  <c r="BN37" i="17"/>
  <c r="BL22" i="17"/>
  <c r="BP19" i="17"/>
  <c r="BL24" i="17"/>
  <c r="BN24" i="17"/>
  <c r="BL10" i="17"/>
  <c r="BN11" i="17"/>
  <c r="BL9" i="17"/>
  <c r="BP6" i="17"/>
  <c r="BJ64" i="17" l="1"/>
  <c r="BP62" i="17"/>
  <c r="BP63" i="17"/>
  <c r="BP64" i="17"/>
  <c r="BP61" i="17"/>
  <c r="BP51" i="17"/>
  <c r="BP48" i="17"/>
  <c r="BJ51" i="17"/>
  <c r="BP49" i="17"/>
  <c r="BP50" i="17"/>
  <c r="BJ38" i="17"/>
  <c r="BP36" i="17"/>
  <c r="BP38" i="17"/>
  <c r="BP35" i="17"/>
  <c r="BP37" i="17"/>
  <c r="BJ25" i="17"/>
  <c r="BP23" i="17"/>
  <c r="BP24" i="17"/>
  <c r="BP25" i="17"/>
  <c r="BP22" i="17"/>
  <c r="BP12" i="17"/>
  <c r="BP9" i="17"/>
  <c r="BJ12" i="17"/>
  <c r="BP10" i="17"/>
  <c r="BP11" i="17"/>
  <c r="BB5" i="17" l="1"/>
  <c r="BB6" i="17"/>
  <c r="BD58" i="17"/>
  <c r="BD61" i="17" s="1"/>
  <c r="BB58" i="17"/>
  <c r="BB61" i="17" s="1"/>
  <c r="BD57" i="17"/>
  <c r="BB57" i="17"/>
  <c r="BF56" i="17"/>
  <c r="AZ60" i="17" s="1"/>
  <c r="BD45" i="17"/>
  <c r="BD48" i="17" s="1"/>
  <c r="BB45" i="17"/>
  <c r="BB48" i="17" s="1"/>
  <c r="BD44" i="17"/>
  <c r="BB44" i="17"/>
  <c r="BF43" i="17"/>
  <c r="AZ47" i="17" s="1"/>
  <c r="BD32" i="17"/>
  <c r="BD35" i="17" s="1"/>
  <c r="BB32" i="17"/>
  <c r="BB35" i="17" s="1"/>
  <c r="BD31" i="17"/>
  <c r="BB31" i="17"/>
  <c r="BF30" i="17"/>
  <c r="AZ34" i="17" s="1"/>
  <c r="BD19" i="17"/>
  <c r="BD22" i="17" s="1"/>
  <c r="BB19" i="17"/>
  <c r="BB22" i="17" s="1"/>
  <c r="BD18" i="17"/>
  <c r="BB18" i="17"/>
  <c r="BF17" i="17"/>
  <c r="AZ21" i="17" s="1"/>
  <c r="BD6" i="17"/>
  <c r="BD9" i="17" s="1"/>
  <c r="BD5" i="17"/>
  <c r="BF4" i="17"/>
  <c r="AZ8" i="17" s="1"/>
  <c r="AT58" i="17"/>
  <c r="AT61" i="17" s="1"/>
  <c r="AR58" i="17"/>
  <c r="AR61" i="17" s="1"/>
  <c r="AT57" i="17"/>
  <c r="AR57" i="17"/>
  <c r="AV56" i="17"/>
  <c r="AP60" i="17" s="1"/>
  <c r="AT45" i="17"/>
  <c r="AT48" i="17" s="1"/>
  <c r="AR45" i="17"/>
  <c r="AR48" i="17" s="1"/>
  <c r="AT44" i="17"/>
  <c r="AR44" i="17"/>
  <c r="AV43" i="17"/>
  <c r="AP47" i="17" s="1"/>
  <c r="AT32" i="17"/>
  <c r="AT35" i="17" s="1"/>
  <c r="AR32" i="17"/>
  <c r="AR35" i="17" s="1"/>
  <c r="AT31" i="17"/>
  <c r="AR31" i="17"/>
  <c r="AV30" i="17"/>
  <c r="AP34" i="17" s="1"/>
  <c r="AT19" i="17"/>
  <c r="AR19" i="17"/>
  <c r="AR22" i="17" s="1"/>
  <c r="AT18" i="17"/>
  <c r="AR18" i="17"/>
  <c r="AV17" i="17"/>
  <c r="AP21" i="17" s="1"/>
  <c r="AT6" i="17"/>
  <c r="AT9" i="17" s="1"/>
  <c r="AR6" i="17"/>
  <c r="AR10" i="17" s="1"/>
  <c r="AT5" i="17"/>
  <c r="AR5" i="17"/>
  <c r="AV4" i="17"/>
  <c r="AP8" i="17" s="1"/>
  <c r="AJ58" i="17"/>
  <c r="AJ61" i="17" s="1"/>
  <c r="AH58" i="17"/>
  <c r="AH63" i="17" s="1"/>
  <c r="AJ57" i="17"/>
  <c r="AH57" i="17"/>
  <c r="AL57" i="17" s="1"/>
  <c r="AL56" i="17"/>
  <c r="AF60" i="17" s="1"/>
  <c r="AJ45" i="17"/>
  <c r="AJ48" i="17" s="1"/>
  <c r="AH45" i="17"/>
  <c r="AH50" i="17" s="1"/>
  <c r="AJ44" i="17"/>
  <c r="AH44" i="17"/>
  <c r="AL43" i="17"/>
  <c r="AF47" i="17" s="1"/>
  <c r="AJ32" i="17"/>
  <c r="AJ35" i="17" s="1"/>
  <c r="AH32" i="17"/>
  <c r="AH35" i="17" s="1"/>
  <c r="AJ31" i="17"/>
  <c r="AH31" i="17"/>
  <c r="AL30" i="17"/>
  <c r="AF34" i="17" s="1"/>
  <c r="AJ19" i="17"/>
  <c r="AJ23" i="17" s="1"/>
  <c r="AH19" i="17"/>
  <c r="AH22" i="17" s="1"/>
  <c r="AJ18" i="17"/>
  <c r="AH18" i="17"/>
  <c r="AL17" i="17"/>
  <c r="AF21" i="17" s="1"/>
  <c r="AJ6" i="17"/>
  <c r="AJ11" i="17" s="1"/>
  <c r="AH6" i="17"/>
  <c r="AH9" i="17" s="1"/>
  <c r="AJ5" i="17"/>
  <c r="AH5" i="17"/>
  <c r="AL4" i="17"/>
  <c r="AF8" i="17" s="1"/>
  <c r="Z58" i="17"/>
  <c r="Z61" i="17" s="1"/>
  <c r="X58" i="17"/>
  <c r="X63" i="17" s="1"/>
  <c r="Z57" i="17"/>
  <c r="X57" i="17"/>
  <c r="AB56" i="17"/>
  <c r="V60" i="17" s="1"/>
  <c r="Z45" i="17"/>
  <c r="Z49" i="17" s="1"/>
  <c r="X45" i="17"/>
  <c r="X48" i="17" s="1"/>
  <c r="Z44" i="17"/>
  <c r="X44" i="17"/>
  <c r="AB43" i="17"/>
  <c r="V47" i="17" s="1"/>
  <c r="Z32" i="17"/>
  <c r="Z35" i="17" s="1"/>
  <c r="X32" i="17"/>
  <c r="X35" i="17" s="1"/>
  <c r="Z31" i="17"/>
  <c r="X31" i="17"/>
  <c r="AB30" i="17"/>
  <c r="V34" i="17" s="1"/>
  <c r="Z19" i="17"/>
  <c r="Z22" i="17" s="1"/>
  <c r="X19" i="17"/>
  <c r="X22" i="17" s="1"/>
  <c r="Z18" i="17"/>
  <c r="X18" i="17"/>
  <c r="AB17" i="17"/>
  <c r="V21" i="17" s="1"/>
  <c r="Z6" i="17"/>
  <c r="Z11" i="17" s="1"/>
  <c r="X6" i="17"/>
  <c r="X11" i="17" s="1"/>
  <c r="Z5" i="17"/>
  <c r="X5" i="17"/>
  <c r="AB4" i="17"/>
  <c r="V8" i="17" s="1"/>
  <c r="P58" i="17"/>
  <c r="P63" i="17" s="1"/>
  <c r="N58" i="17"/>
  <c r="N61" i="17" s="1"/>
  <c r="P57" i="17"/>
  <c r="N57" i="17"/>
  <c r="R56" i="17"/>
  <c r="L60" i="17" s="1"/>
  <c r="P45" i="17"/>
  <c r="P48" i="17" s="1"/>
  <c r="N45" i="17"/>
  <c r="N48" i="17" s="1"/>
  <c r="P44" i="17"/>
  <c r="N44" i="17"/>
  <c r="R43" i="17"/>
  <c r="L47" i="17" s="1"/>
  <c r="P32" i="17"/>
  <c r="P36" i="17" s="1"/>
  <c r="N32" i="17"/>
  <c r="N35" i="17" s="1"/>
  <c r="P31" i="17"/>
  <c r="N31" i="17"/>
  <c r="R30" i="17"/>
  <c r="L34" i="17" s="1"/>
  <c r="N18" i="17"/>
  <c r="P19" i="17"/>
  <c r="P22" i="17" s="1"/>
  <c r="N19" i="17"/>
  <c r="N22" i="17" s="1"/>
  <c r="P18" i="17"/>
  <c r="R17" i="17"/>
  <c r="L21" i="17" s="1"/>
  <c r="AV18" i="17" l="1"/>
  <c r="BF44" i="17"/>
  <c r="AV44" i="17"/>
  <c r="R18" i="17"/>
  <c r="BD50" i="17"/>
  <c r="AH49" i="17"/>
  <c r="AH37" i="17"/>
  <c r="X23" i="17"/>
  <c r="BD37" i="17"/>
  <c r="R57" i="17"/>
  <c r="R44" i="17"/>
  <c r="AB44" i="17"/>
  <c r="X49" i="17"/>
  <c r="AL18" i="17"/>
  <c r="AH23" i="17"/>
  <c r="AL44" i="17"/>
  <c r="BB23" i="17"/>
  <c r="BD49" i="17"/>
  <c r="N49" i="17"/>
  <c r="BF31" i="17"/>
  <c r="BB37" i="17"/>
  <c r="BF32" i="17"/>
  <c r="BF38" i="17" s="1"/>
  <c r="AB31" i="17"/>
  <c r="AV5" i="17"/>
  <c r="BF5" i="17"/>
  <c r="AT10" i="17"/>
  <c r="BF6" i="17"/>
  <c r="BF9" i="17" s="1"/>
  <c r="BF18" i="17"/>
  <c r="BD36" i="17"/>
  <c r="BF57" i="17"/>
  <c r="BD10" i="17"/>
  <c r="BB24" i="17"/>
  <c r="BB36" i="17"/>
  <c r="AV19" i="17"/>
  <c r="AP25" i="17" s="1"/>
  <c r="AV32" i="17"/>
  <c r="AV35" i="17" s="1"/>
  <c r="AR37" i="17"/>
  <c r="AR23" i="17"/>
  <c r="AV31" i="17"/>
  <c r="AT37" i="17"/>
  <c r="AR49" i="17"/>
  <c r="AV57" i="17"/>
  <c r="AT62" i="17"/>
  <c r="AR24" i="17"/>
  <c r="AR36" i="17"/>
  <c r="AT49" i="17"/>
  <c r="AT36" i="17"/>
  <c r="AT50" i="17"/>
  <c r="AJ36" i="17"/>
  <c r="AL32" i="17"/>
  <c r="AF38" i="17" s="1"/>
  <c r="AL31" i="17"/>
  <c r="AJ37" i="17"/>
  <c r="AL5" i="17"/>
  <c r="AJ10" i="17"/>
  <c r="AH24" i="17"/>
  <c r="AH36" i="17"/>
  <c r="AJ49" i="17"/>
  <c r="AJ50" i="17"/>
  <c r="AJ62" i="17"/>
  <c r="Z37" i="17"/>
  <c r="AB5" i="17"/>
  <c r="Z10" i="17"/>
  <c r="X24" i="17"/>
  <c r="X36" i="17"/>
  <c r="Z50" i="17"/>
  <c r="Z36" i="17"/>
  <c r="AB18" i="17"/>
  <c r="AB32" i="17"/>
  <c r="AB38" i="17" s="1"/>
  <c r="X37" i="17"/>
  <c r="AB57" i="17"/>
  <c r="Z62" i="17"/>
  <c r="BF12" i="17"/>
  <c r="BF19" i="17"/>
  <c r="BB11" i="17"/>
  <c r="BD24" i="17"/>
  <c r="BF58" i="17"/>
  <c r="BB63" i="17"/>
  <c r="BB10" i="17"/>
  <c r="BD11" i="17"/>
  <c r="BD23" i="17"/>
  <c r="BF45" i="17"/>
  <c r="BB50" i="17"/>
  <c r="BB62" i="17"/>
  <c r="BD63" i="17"/>
  <c r="BB9" i="17"/>
  <c r="BB49" i="17"/>
  <c r="BD62" i="17"/>
  <c r="AR9" i="17"/>
  <c r="AV6" i="17"/>
  <c r="AR11" i="17"/>
  <c r="AT24" i="17"/>
  <c r="AV58" i="17"/>
  <c r="AR63" i="17"/>
  <c r="AT11" i="17"/>
  <c r="AT23" i="17"/>
  <c r="AP38" i="17"/>
  <c r="AV45" i="17"/>
  <c r="AR50" i="17"/>
  <c r="AR62" i="17"/>
  <c r="AT63" i="17"/>
  <c r="AT22" i="17"/>
  <c r="AJ22" i="17"/>
  <c r="AL35" i="17"/>
  <c r="AJ9" i="17"/>
  <c r="AL19" i="17"/>
  <c r="AH48" i="17"/>
  <c r="AL6" i="17"/>
  <c r="AH11" i="17"/>
  <c r="AJ24" i="17"/>
  <c r="AL37" i="17"/>
  <c r="AH10" i="17"/>
  <c r="AL45" i="17"/>
  <c r="AH62" i="17"/>
  <c r="AJ63" i="17"/>
  <c r="AH61" i="17"/>
  <c r="AL58" i="17"/>
  <c r="X61" i="17"/>
  <c r="Z9" i="17"/>
  <c r="AB6" i="17"/>
  <c r="Z24" i="17"/>
  <c r="Z48" i="17"/>
  <c r="X10" i="17"/>
  <c r="Z23" i="17"/>
  <c r="AB45" i="17"/>
  <c r="X50" i="17"/>
  <c r="X62" i="17"/>
  <c r="Z63" i="17"/>
  <c r="X9" i="17"/>
  <c r="AB19" i="17"/>
  <c r="AB58" i="17"/>
  <c r="P62" i="17"/>
  <c r="P61" i="17"/>
  <c r="R58" i="17"/>
  <c r="N63" i="17"/>
  <c r="N62" i="17"/>
  <c r="N50" i="17"/>
  <c r="R45" i="17"/>
  <c r="P50" i="17"/>
  <c r="P49" i="17"/>
  <c r="R31" i="17"/>
  <c r="R32" i="17"/>
  <c r="N37" i="17"/>
  <c r="N36" i="17"/>
  <c r="P37" i="17"/>
  <c r="P35" i="17"/>
  <c r="P23" i="17"/>
  <c r="R19" i="17"/>
  <c r="N24" i="17"/>
  <c r="N23" i="17"/>
  <c r="P24" i="17"/>
  <c r="AB35" i="17" l="1"/>
  <c r="AV25" i="17"/>
  <c r="AV24" i="17"/>
  <c r="AV23" i="17"/>
  <c r="AZ38" i="17"/>
  <c r="V38" i="17"/>
  <c r="AB36" i="17"/>
  <c r="AB37" i="17"/>
  <c r="AV22" i="17"/>
  <c r="BF36" i="17"/>
  <c r="BF35" i="17"/>
  <c r="BF37" i="17"/>
  <c r="BF10" i="17"/>
  <c r="BF11" i="17"/>
  <c r="AZ12" i="17"/>
  <c r="AV37" i="17"/>
  <c r="AV38" i="17"/>
  <c r="AV36" i="17"/>
  <c r="AL38" i="17"/>
  <c r="AL36" i="17"/>
  <c r="AZ64" i="17"/>
  <c r="BF62" i="17"/>
  <c r="BF63" i="17"/>
  <c r="BF64" i="17"/>
  <c r="BF61" i="17"/>
  <c r="BF22" i="17"/>
  <c r="AZ25" i="17"/>
  <c r="BF23" i="17"/>
  <c r="BF24" i="17"/>
  <c r="BF25" i="17"/>
  <c r="BF49" i="17"/>
  <c r="BF50" i="17"/>
  <c r="BF51" i="17"/>
  <c r="BF48" i="17"/>
  <c r="AZ51" i="17"/>
  <c r="AV50" i="17"/>
  <c r="AV51" i="17"/>
  <c r="AV48" i="17"/>
  <c r="AP51" i="17"/>
  <c r="AV49" i="17"/>
  <c r="AV63" i="17"/>
  <c r="AP64" i="17"/>
  <c r="AV62" i="17"/>
  <c r="AV64" i="17"/>
  <c r="AV61" i="17"/>
  <c r="AP12" i="17"/>
  <c r="AV10" i="17"/>
  <c r="AV11" i="17"/>
  <c r="AV12" i="17"/>
  <c r="AV9" i="17"/>
  <c r="AL64" i="17"/>
  <c r="AL61" i="17"/>
  <c r="AF64" i="17"/>
  <c r="AL62" i="17"/>
  <c r="AL63" i="17"/>
  <c r="AF51" i="17"/>
  <c r="AL49" i="17"/>
  <c r="AL51" i="17"/>
  <c r="AL48" i="17"/>
  <c r="AL50" i="17"/>
  <c r="AL25" i="17"/>
  <c r="AF25" i="17"/>
  <c r="AL24" i="17"/>
  <c r="AL22" i="17"/>
  <c r="AL23" i="17"/>
  <c r="AL12" i="17"/>
  <c r="AL9" i="17"/>
  <c r="AL11" i="17"/>
  <c r="AF12" i="17"/>
  <c r="AL10" i="17"/>
  <c r="V51" i="17"/>
  <c r="AB49" i="17"/>
  <c r="AB50" i="17"/>
  <c r="AB51" i="17"/>
  <c r="AB48" i="17"/>
  <c r="AB9" i="17"/>
  <c r="V12" i="17"/>
  <c r="AB10" i="17"/>
  <c r="AB11" i="17"/>
  <c r="AB12" i="17"/>
  <c r="AB64" i="17"/>
  <c r="AB61" i="17"/>
  <c r="V64" i="17"/>
  <c r="AB62" i="17"/>
  <c r="AB63" i="17"/>
  <c r="V25" i="17"/>
  <c r="AB23" i="17"/>
  <c r="AB24" i="17"/>
  <c r="AB25" i="17"/>
  <c r="AB22" i="17"/>
  <c r="R64" i="17"/>
  <c r="R61" i="17"/>
  <c r="L64" i="17"/>
  <c r="R62" i="17"/>
  <c r="R63" i="17"/>
  <c r="R51" i="17"/>
  <c r="L51" i="17"/>
  <c r="R49" i="17"/>
  <c r="R50" i="17"/>
  <c r="R48" i="17"/>
  <c r="R37" i="17"/>
  <c r="L38" i="17"/>
  <c r="R38" i="17"/>
  <c r="R35" i="17"/>
  <c r="R36" i="17"/>
  <c r="L25" i="17"/>
  <c r="R23" i="17"/>
  <c r="R25" i="17"/>
  <c r="R22" i="17"/>
  <c r="R24" i="17"/>
  <c r="Y35" i="15" l="1"/>
  <c r="P6" i="17"/>
  <c r="P11" i="17" s="1"/>
  <c r="P5" i="17"/>
  <c r="N6" i="17"/>
  <c r="N9" i="17" s="1"/>
  <c r="N5" i="17"/>
  <c r="P9" i="17" l="1"/>
  <c r="P10" i="17"/>
  <c r="N11" i="17"/>
  <c r="N10" i="17"/>
  <c r="R4" i="17"/>
  <c r="L8" i="17" s="1"/>
  <c r="R6" i="17"/>
  <c r="Y36" i="15"/>
  <c r="L12" i="17" l="1"/>
  <c r="R12" i="17"/>
  <c r="R11" i="17"/>
  <c r="R9" i="17"/>
  <c r="R10" i="17"/>
  <c r="H32" i="17"/>
  <c r="G32" i="17"/>
  <c r="H31" i="17"/>
  <c r="G31" i="17"/>
  <c r="H30" i="17"/>
  <c r="G30" i="17"/>
  <c r="H29" i="17"/>
  <c r="G29" i="17"/>
  <c r="H28" i="17"/>
  <c r="G28" i="17"/>
  <c r="H27" i="17"/>
  <c r="G27" i="17"/>
  <c r="H26" i="17"/>
  <c r="G26" i="17"/>
  <c r="H25" i="17"/>
  <c r="G25" i="17"/>
  <c r="H24" i="17"/>
  <c r="G24" i="17"/>
  <c r="H23" i="17"/>
  <c r="G23" i="17"/>
  <c r="H22" i="17"/>
  <c r="G22" i="17"/>
  <c r="H21" i="17"/>
  <c r="G21" i="17"/>
  <c r="H20" i="17"/>
  <c r="G20" i="17"/>
  <c r="H19" i="17"/>
  <c r="G19" i="17"/>
  <c r="H18" i="17"/>
  <c r="G18" i="17"/>
  <c r="H17" i="17"/>
  <c r="G17" i="17"/>
  <c r="H16" i="17"/>
  <c r="G16" i="17"/>
  <c r="H15" i="17"/>
  <c r="G15" i="17"/>
  <c r="H14" i="17"/>
  <c r="G14" i="17"/>
  <c r="H13" i="17"/>
  <c r="G13" i="17"/>
  <c r="H12" i="17"/>
  <c r="G12" i="17"/>
  <c r="H11" i="17"/>
  <c r="G11" i="17"/>
  <c r="H10" i="17"/>
  <c r="G10" i="17"/>
  <c r="H9" i="17"/>
  <c r="G9" i="17"/>
  <c r="H8" i="17"/>
  <c r="G8" i="17"/>
  <c r="H5" i="17"/>
  <c r="G5" i="17"/>
  <c r="H4" i="17"/>
  <c r="G4" i="17"/>
  <c r="H3" i="17"/>
  <c r="G3" i="17"/>
  <c r="G595" i="16"/>
  <c r="G594" i="16"/>
  <c r="G593" i="16"/>
  <c r="G592" i="16"/>
  <c r="G591" i="16"/>
  <c r="G590" i="16"/>
  <c r="G589" i="16"/>
  <c r="G588" i="16"/>
  <c r="G587" i="16"/>
  <c r="G586" i="16"/>
  <c r="G585" i="16"/>
  <c r="G584" i="16"/>
  <c r="G583" i="16"/>
  <c r="G582" i="16"/>
  <c r="G581" i="16"/>
  <c r="G580" i="16"/>
  <c r="G579" i="16"/>
  <c r="G578" i="16"/>
  <c r="G577" i="16"/>
  <c r="G576" i="16"/>
  <c r="G575" i="16"/>
  <c r="G574" i="16"/>
  <c r="G573" i="16"/>
  <c r="G572" i="16"/>
  <c r="G571" i="16"/>
  <c r="G570" i="16"/>
  <c r="G569" i="16"/>
  <c r="G568" i="16"/>
  <c r="G567" i="16"/>
  <c r="G566" i="16"/>
  <c r="G565" i="16"/>
  <c r="G564" i="16"/>
  <c r="G563" i="16"/>
  <c r="G562" i="16"/>
  <c r="G561" i="16"/>
  <c r="G560" i="16"/>
  <c r="G559" i="16"/>
  <c r="G558" i="16"/>
  <c r="G557" i="16"/>
  <c r="G556" i="16"/>
  <c r="G555" i="16"/>
  <c r="G554" i="16"/>
  <c r="G553" i="16"/>
  <c r="G552" i="16"/>
  <c r="G551" i="16"/>
  <c r="G550" i="16"/>
  <c r="G549" i="16"/>
  <c r="G548" i="16"/>
  <c r="G547" i="16"/>
  <c r="G546" i="16"/>
  <c r="G545" i="16"/>
  <c r="G544" i="16"/>
  <c r="G543" i="16"/>
  <c r="G542" i="16"/>
  <c r="G541" i="16"/>
  <c r="G540" i="16"/>
  <c r="G539" i="16"/>
  <c r="G538" i="16"/>
  <c r="G537" i="16"/>
  <c r="G536" i="16"/>
  <c r="G535" i="16"/>
  <c r="G534" i="16"/>
  <c r="G533" i="16"/>
  <c r="G532" i="16"/>
  <c r="G531" i="16"/>
  <c r="G530" i="16"/>
  <c r="G529" i="16"/>
  <c r="G528" i="16"/>
  <c r="G527" i="16"/>
  <c r="G526" i="16"/>
  <c r="G525" i="16"/>
  <c r="G524" i="16"/>
  <c r="G523" i="16"/>
  <c r="G522" i="16"/>
  <c r="G521" i="16"/>
  <c r="G520" i="16"/>
  <c r="G519" i="16"/>
  <c r="G518" i="16"/>
  <c r="G517" i="16"/>
  <c r="G516" i="16"/>
  <c r="G515" i="16"/>
  <c r="G514" i="16"/>
  <c r="G513" i="16"/>
  <c r="G512" i="16"/>
  <c r="G511" i="16"/>
  <c r="G510" i="16"/>
  <c r="G509" i="16"/>
  <c r="G508" i="16"/>
  <c r="G507" i="16"/>
  <c r="G506" i="16"/>
  <c r="G505" i="16"/>
  <c r="G504" i="16"/>
  <c r="G503" i="16"/>
  <c r="G502" i="16"/>
  <c r="G501" i="16"/>
  <c r="G500" i="16"/>
  <c r="G499" i="16"/>
  <c r="G498" i="16"/>
  <c r="G497" i="16"/>
  <c r="G496" i="16"/>
  <c r="G495" i="16"/>
  <c r="G494" i="16"/>
  <c r="G493" i="16"/>
  <c r="G492" i="16"/>
  <c r="G491" i="16"/>
  <c r="G490" i="16"/>
  <c r="G489" i="16"/>
  <c r="G488" i="16"/>
  <c r="G487" i="16"/>
  <c r="G486" i="16"/>
  <c r="G485" i="16"/>
  <c r="G484" i="16"/>
  <c r="G483" i="16"/>
  <c r="G482" i="16"/>
  <c r="G481" i="16"/>
  <c r="G480" i="16"/>
  <c r="G479" i="16"/>
  <c r="G478" i="16"/>
  <c r="G477" i="16"/>
  <c r="G476" i="16"/>
  <c r="G475" i="16"/>
  <c r="G474" i="16"/>
  <c r="G473" i="16"/>
  <c r="G472" i="16"/>
  <c r="G471" i="16"/>
  <c r="G470" i="16"/>
  <c r="G469" i="16"/>
  <c r="G468" i="16"/>
  <c r="G467" i="16"/>
  <c r="G466" i="16"/>
  <c r="G465" i="16"/>
  <c r="G464" i="16"/>
  <c r="G463" i="16"/>
  <c r="G462" i="16"/>
  <c r="G461" i="16"/>
  <c r="G460" i="16"/>
  <c r="G459" i="16"/>
  <c r="G458" i="16"/>
  <c r="G457" i="16"/>
  <c r="G456" i="16"/>
  <c r="G455" i="16"/>
  <c r="G454" i="16"/>
  <c r="G453" i="16"/>
  <c r="G452" i="16"/>
  <c r="G451" i="16"/>
  <c r="G450" i="16"/>
  <c r="G449" i="16"/>
  <c r="G448" i="16"/>
  <c r="G447" i="16"/>
  <c r="G446" i="16"/>
  <c r="G445" i="16"/>
  <c r="G444" i="16"/>
  <c r="G443" i="16"/>
  <c r="G442" i="16"/>
  <c r="G441" i="16"/>
  <c r="G440" i="16"/>
  <c r="G439" i="16"/>
  <c r="G438" i="16"/>
  <c r="G437" i="16"/>
  <c r="G436" i="16"/>
  <c r="G435" i="16"/>
  <c r="G434" i="16"/>
  <c r="G433" i="16"/>
  <c r="G432" i="16"/>
  <c r="G431" i="16"/>
  <c r="G430" i="16"/>
  <c r="G429" i="16"/>
  <c r="G428" i="16"/>
  <c r="G427" i="16"/>
  <c r="G426" i="16"/>
  <c r="G425" i="16"/>
  <c r="G424" i="16"/>
  <c r="G423" i="16"/>
  <c r="G422" i="16"/>
  <c r="G421" i="16"/>
  <c r="G420" i="16"/>
  <c r="G419" i="16"/>
  <c r="G418" i="16"/>
  <c r="G417" i="16"/>
  <c r="G416" i="16"/>
  <c r="G415" i="16"/>
  <c r="G414" i="16"/>
  <c r="G413" i="16"/>
  <c r="G412" i="16"/>
  <c r="G411" i="16"/>
  <c r="G410" i="16"/>
  <c r="G409" i="16"/>
  <c r="G408" i="16"/>
  <c r="G407" i="16"/>
  <c r="G406" i="16"/>
  <c r="G405" i="16"/>
  <c r="G404" i="16"/>
  <c r="G403" i="16"/>
  <c r="G402" i="16"/>
  <c r="G401" i="16"/>
  <c r="G400" i="16"/>
  <c r="G399" i="16"/>
  <c r="G398" i="16"/>
  <c r="G397" i="16"/>
  <c r="G396" i="16"/>
  <c r="G395" i="16"/>
  <c r="G394" i="16"/>
  <c r="G393" i="16"/>
  <c r="G392" i="16"/>
  <c r="G391" i="16"/>
  <c r="G390" i="16"/>
  <c r="G389" i="16"/>
  <c r="G388" i="16"/>
  <c r="G387" i="16"/>
  <c r="G386" i="16"/>
  <c r="G385" i="16"/>
  <c r="G384" i="16"/>
  <c r="G383" i="16"/>
  <c r="G382" i="16"/>
  <c r="G381" i="16"/>
  <c r="G380" i="16"/>
  <c r="G379" i="16"/>
  <c r="G378" i="16"/>
  <c r="G377" i="16"/>
  <c r="G376" i="16"/>
  <c r="G375" i="16"/>
  <c r="G374" i="16"/>
  <c r="G373" i="16"/>
  <c r="G372" i="16"/>
  <c r="G371" i="16"/>
  <c r="G370" i="16"/>
  <c r="G369" i="16"/>
  <c r="G368" i="16"/>
  <c r="G367" i="16"/>
  <c r="G366" i="16"/>
  <c r="G365" i="16"/>
  <c r="G364" i="16"/>
  <c r="G363" i="16"/>
  <c r="G362" i="16"/>
  <c r="G361" i="16"/>
  <c r="G360" i="16"/>
  <c r="G359" i="16"/>
  <c r="G358" i="16"/>
  <c r="G357" i="16"/>
  <c r="G356" i="16"/>
  <c r="G355" i="16"/>
  <c r="G354" i="16"/>
  <c r="G353" i="16"/>
  <c r="G352" i="16"/>
  <c r="G351" i="16"/>
  <c r="G350" i="16"/>
  <c r="G349" i="16"/>
  <c r="G348" i="16"/>
  <c r="G347" i="16"/>
  <c r="G346" i="16"/>
  <c r="G345" i="16"/>
  <c r="G344" i="16"/>
  <c r="G343" i="16"/>
  <c r="G342" i="16"/>
  <c r="G341" i="16"/>
  <c r="G340" i="16"/>
  <c r="G339" i="16"/>
  <c r="G338" i="16"/>
  <c r="G337" i="16"/>
  <c r="G336" i="16"/>
  <c r="G335" i="16"/>
  <c r="G334" i="16"/>
  <c r="G333" i="16"/>
  <c r="G332" i="16"/>
  <c r="G331" i="16"/>
  <c r="G330" i="16"/>
  <c r="G329" i="16"/>
  <c r="G328" i="16"/>
  <c r="G327" i="16"/>
  <c r="G326" i="16"/>
  <c r="G325" i="16"/>
  <c r="G324" i="16"/>
  <c r="G323" i="16"/>
  <c r="G322" i="16"/>
  <c r="G321" i="16"/>
  <c r="G320" i="16"/>
  <c r="G319" i="16"/>
  <c r="G318" i="16"/>
  <c r="G317" i="16"/>
  <c r="G316" i="16"/>
  <c r="G315" i="16"/>
  <c r="G314" i="16"/>
  <c r="G313" i="16"/>
  <c r="G312" i="16"/>
  <c r="G311" i="16"/>
  <c r="G310" i="16"/>
  <c r="G309" i="16"/>
  <c r="G308" i="16"/>
  <c r="G307" i="16"/>
  <c r="G306" i="16"/>
  <c r="G305" i="16"/>
  <c r="G304" i="16"/>
  <c r="G303" i="16"/>
  <c r="G302" i="16"/>
  <c r="G301" i="16"/>
  <c r="G300" i="16"/>
  <c r="G299" i="16"/>
  <c r="G298" i="16"/>
  <c r="G297" i="16"/>
  <c r="G296" i="16"/>
  <c r="G295" i="16"/>
  <c r="G294" i="16"/>
  <c r="G293" i="16"/>
  <c r="G292" i="16"/>
  <c r="G291" i="16"/>
  <c r="G290" i="16"/>
  <c r="G289" i="16"/>
  <c r="G288" i="16"/>
  <c r="G287" i="16"/>
  <c r="G286" i="16"/>
  <c r="G285" i="16"/>
  <c r="G284" i="16"/>
  <c r="G283" i="16"/>
  <c r="G282" i="16"/>
  <c r="G281" i="16"/>
  <c r="G280" i="16"/>
  <c r="G279" i="16"/>
  <c r="G278" i="16"/>
  <c r="G277" i="16"/>
  <c r="G276" i="16"/>
  <c r="G275" i="16"/>
  <c r="G274" i="16"/>
  <c r="G273" i="16"/>
  <c r="G272" i="16"/>
  <c r="G271" i="16"/>
  <c r="G270" i="16"/>
  <c r="G269" i="16"/>
  <c r="G268" i="16"/>
  <c r="G267" i="16"/>
  <c r="G266" i="16"/>
  <c r="G265" i="16"/>
  <c r="G264" i="16"/>
  <c r="G263" i="16"/>
  <c r="G262" i="16"/>
  <c r="G261" i="16"/>
  <c r="G260" i="16"/>
  <c r="G259" i="16"/>
  <c r="G258" i="16"/>
  <c r="G257" i="16"/>
  <c r="G256" i="16"/>
  <c r="G255" i="16"/>
  <c r="G254" i="16"/>
  <c r="G253" i="16"/>
  <c r="G252" i="16"/>
  <c r="G251" i="16"/>
  <c r="G250" i="16"/>
  <c r="G249" i="16"/>
  <c r="G248" i="16"/>
  <c r="G247" i="16"/>
  <c r="G246" i="16"/>
  <c r="G245" i="16"/>
  <c r="G244" i="16"/>
  <c r="G243" i="16"/>
  <c r="G242" i="16"/>
  <c r="G241" i="16"/>
  <c r="G240" i="16"/>
  <c r="G239" i="16"/>
  <c r="G238" i="16"/>
  <c r="G237" i="16"/>
  <c r="G236" i="16"/>
  <c r="G235" i="16"/>
  <c r="G234" i="16"/>
  <c r="G233" i="16"/>
  <c r="G232" i="16"/>
  <c r="G231" i="16"/>
  <c r="G230" i="16"/>
  <c r="G229" i="16"/>
  <c r="G228" i="16"/>
  <c r="G227" i="16"/>
  <c r="G226" i="16"/>
  <c r="G225" i="16"/>
  <c r="G224" i="16"/>
  <c r="G223" i="16"/>
  <c r="G222" i="16"/>
  <c r="G221" i="16"/>
  <c r="G220" i="16"/>
  <c r="G219" i="16"/>
  <c r="G218" i="16"/>
  <c r="G217" i="16"/>
  <c r="G216" i="16"/>
  <c r="G215" i="16"/>
  <c r="G214" i="16"/>
  <c r="G213" i="16"/>
  <c r="G212" i="16"/>
  <c r="G211" i="16"/>
  <c r="G210" i="16"/>
  <c r="G209" i="16"/>
  <c r="G208" i="16"/>
  <c r="G207" i="16"/>
  <c r="G206" i="16"/>
  <c r="G205" i="16"/>
  <c r="G204" i="16"/>
  <c r="G203" i="16"/>
  <c r="G202" i="16"/>
  <c r="G201" i="16"/>
  <c r="G200" i="16"/>
  <c r="G199" i="16"/>
  <c r="G198" i="16"/>
  <c r="G197" i="16"/>
  <c r="G196" i="16"/>
  <c r="G195" i="16"/>
  <c r="G194" i="16"/>
  <c r="G193" i="16"/>
  <c r="G192" i="16"/>
  <c r="G191" i="16"/>
  <c r="G190" i="16"/>
  <c r="G189" i="16"/>
  <c r="G188" i="16"/>
  <c r="G187" i="16"/>
  <c r="G186" i="16"/>
  <c r="G185" i="16"/>
  <c r="G184" i="16"/>
  <c r="G183" i="16"/>
  <c r="G182" i="16"/>
  <c r="G181" i="16"/>
  <c r="G180" i="16"/>
  <c r="G179" i="16"/>
  <c r="G178" i="16"/>
  <c r="G177" i="16"/>
  <c r="G176" i="16"/>
  <c r="G175" i="16"/>
  <c r="G174" i="16"/>
  <c r="G173" i="16"/>
  <c r="G172" i="16"/>
  <c r="G171" i="16"/>
  <c r="G170" i="16"/>
  <c r="G169" i="16"/>
  <c r="G168" i="16"/>
  <c r="G167" i="16"/>
  <c r="G166" i="16"/>
  <c r="G165" i="16"/>
  <c r="G164" i="16"/>
  <c r="G163" i="16"/>
  <c r="G162" i="16"/>
  <c r="G161" i="16"/>
  <c r="G160" i="16"/>
  <c r="G159" i="16"/>
  <c r="G158" i="16"/>
  <c r="G157" i="16"/>
  <c r="G156" i="16"/>
  <c r="G155" i="16"/>
  <c r="G154" i="16"/>
  <c r="G153" i="16"/>
  <c r="G152" i="16"/>
  <c r="G151" i="16"/>
  <c r="G150" i="16"/>
  <c r="G149" i="16"/>
  <c r="G148" i="16"/>
  <c r="G147" i="16"/>
  <c r="G146" i="16"/>
  <c r="G145" i="16"/>
  <c r="G144" i="16"/>
  <c r="G143" i="16"/>
  <c r="G142" i="16"/>
  <c r="G141" i="16"/>
  <c r="G140" i="16"/>
  <c r="G139" i="16"/>
  <c r="G138" i="16"/>
  <c r="G137" i="16"/>
  <c r="G136" i="16"/>
  <c r="G135" i="16"/>
  <c r="G134" i="16"/>
  <c r="G133" i="16"/>
  <c r="G132" i="16"/>
  <c r="G131" i="16"/>
  <c r="G130" i="16"/>
  <c r="G129" i="16"/>
  <c r="G128" i="16"/>
  <c r="G127" i="16"/>
  <c r="G126" i="16"/>
  <c r="G125" i="16"/>
  <c r="G124" i="16"/>
  <c r="G123" i="16"/>
  <c r="G122" i="16"/>
  <c r="G121" i="16"/>
  <c r="G120" i="16"/>
  <c r="G119" i="16"/>
  <c r="G118" i="16"/>
  <c r="G117" i="16"/>
  <c r="G116" i="16"/>
  <c r="G115" i="16"/>
  <c r="G114" i="16"/>
  <c r="G113" i="16"/>
  <c r="G112" i="16"/>
  <c r="G111" i="16"/>
  <c r="G110" i="16"/>
  <c r="G109" i="16"/>
  <c r="G108" i="16"/>
  <c r="G107" i="16"/>
  <c r="G106" i="16"/>
  <c r="G105" i="16"/>
  <c r="G104" i="16"/>
  <c r="G103" i="16"/>
  <c r="G102" i="16"/>
  <c r="G101" i="16"/>
  <c r="G100" i="16"/>
  <c r="G99" i="16"/>
  <c r="G98" i="16"/>
  <c r="G97" i="16"/>
  <c r="G96" i="16"/>
  <c r="G95" i="16"/>
  <c r="G94" i="16"/>
  <c r="G93" i="16"/>
  <c r="G92" i="16"/>
  <c r="G91" i="16"/>
  <c r="G90" i="16"/>
  <c r="G89" i="16"/>
  <c r="G88" i="16"/>
  <c r="G87" i="16"/>
  <c r="G86" i="16"/>
  <c r="G85" i="16"/>
  <c r="G84" i="16"/>
  <c r="G83" i="16"/>
  <c r="G82" i="16"/>
  <c r="G81" i="16"/>
  <c r="G80" i="16"/>
  <c r="G79" i="16"/>
  <c r="G78" i="16"/>
  <c r="G77" i="16"/>
  <c r="G76" i="16"/>
  <c r="G75" i="16"/>
  <c r="G74" i="16"/>
  <c r="G73" i="16"/>
  <c r="G72" i="16"/>
  <c r="G71" i="16"/>
  <c r="G70" i="16"/>
  <c r="G69" i="16"/>
  <c r="G68" i="16"/>
  <c r="G67" i="16"/>
  <c r="G66" i="16"/>
  <c r="G65" i="16"/>
  <c r="G64" i="16"/>
  <c r="G63" i="16"/>
  <c r="G62" i="16"/>
  <c r="G61" i="16"/>
  <c r="G60" i="16"/>
  <c r="G59" i="16"/>
  <c r="G58" i="16"/>
  <c r="G57" i="16"/>
  <c r="G56" i="16"/>
  <c r="G55" i="16"/>
  <c r="G54" i="16"/>
  <c r="G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G16" i="16"/>
  <c r="G15" i="16"/>
  <c r="G14" i="16"/>
  <c r="G13" i="16"/>
  <c r="G12" i="16"/>
  <c r="G11" i="16"/>
  <c r="G10" i="16"/>
  <c r="G9" i="16"/>
  <c r="G8" i="16"/>
  <c r="G7" i="16"/>
  <c r="G6" i="16"/>
  <c r="G5" i="16"/>
  <c r="G4" i="16"/>
  <c r="G3" i="16"/>
  <c r="G2" i="16"/>
  <c r="I6" i="16" l="1"/>
  <c r="AB30" i="15" s="1"/>
  <c r="I3" i="16"/>
  <c r="Y30" i="15" s="1"/>
  <c r="F5" i="15"/>
  <c r="H5" i="15" s="1"/>
  <c r="F6" i="15"/>
  <c r="H6" i="15" s="1"/>
  <c r="N5" i="15" s="1"/>
  <c r="I6" i="15"/>
  <c r="N6" i="15" s="1"/>
  <c r="D7" i="15"/>
  <c r="B5" i="15" s="1"/>
  <c r="E7" i="15"/>
  <c r="F7" i="15"/>
  <c r="I19" i="15"/>
  <c r="G19" i="15" s="1"/>
  <c r="I20" i="15"/>
  <c r="G20" i="15" s="1"/>
  <c r="I21" i="15"/>
  <c r="G21" i="15" s="1"/>
  <c r="I22" i="15"/>
  <c r="D13" i="15" s="1"/>
  <c r="D12" i="15" s="1"/>
  <c r="I23" i="15"/>
  <c r="G23" i="15" s="1"/>
  <c r="I24" i="15"/>
  <c r="G24" i="15" s="1"/>
  <c r="I25" i="15"/>
  <c r="G25" i="15" s="1"/>
  <c r="I26" i="15"/>
  <c r="G26" i="15" s="1"/>
  <c r="I27" i="15"/>
  <c r="G27" i="15" s="1"/>
  <c r="AE31" i="15"/>
  <c r="AE36" i="15" s="1"/>
  <c r="I35" i="15"/>
  <c r="K34" i="15" s="1"/>
  <c r="J35" i="15"/>
  <c r="AB35" i="15"/>
  <c r="M36" i="15"/>
  <c r="AB36" i="15"/>
  <c r="Y37" i="15"/>
  <c r="AB37" i="15"/>
  <c r="K5" i="15" l="1"/>
  <c r="K6" i="15"/>
  <c r="N7" i="15" s="1"/>
  <c r="I5" i="15"/>
  <c r="M6" i="15" s="1"/>
  <c r="O6" i="15" s="1"/>
  <c r="AE37" i="15"/>
  <c r="AE30" i="15"/>
  <c r="AE38" i="15" s="1"/>
  <c r="K33" i="15"/>
  <c r="K35" i="15" s="1"/>
  <c r="E13" i="15"/>
  <c r="E12" i="15" s="1"/>
  <c r="H7" i="15"/>
  <c r="M5" i="15"/>
  <c r="O5" i="15" s="1"/>
  <c r="G22" i="15"/>
  <c r="P30" i="15" s="1" a="1"/>
  <c r="P30" i="15" s="1"/>
  <c r="AE35" i="15"/>
  <c r="C13" i="15"/>
  <c r="C12" i="15" s="1"/>
  <c r="I7" i="15"/>
  <c r="B6" i="15"/>
  <c r="B7" i="15" s="1"/>
  <c r="BN415" i="11"/>
  <c r="BO415" i="11" s="1"/>
  <c r="BN413" i="11"/>
  <c r="BO413" i="11" s="1"/>
  <c r="BN411" i="11"/>
  <c r="BO411" i="11" s="1"/>
  <c r="BO409" i="11"/>
  <c r="K7" i="15" l="1"/>
  <c r="M7" i="15"/>
  <c r="O7" i="15" s="1"/>
  <c r="P34" i="15" a="1"/>
  <c r="P34" i="15" s="1"/>
  <c r="Q34" i="15" s="1"/>
  <c r="P37" i="15" a="1"/>
  <c r="P37" i="15" s="1"/>
  <c r="Q37" i="15" s="1"/>
  <c r="O34" i="15" a="1"/>
  <c r="O34" i="15" s="1"/>
  <c r="R34" i="15" s="1"/>
  <c r="P32" i="15" a="1"/>
  <c r="P32" i="15" s="1"/>
  <c r="Q32" i="15" s="1"/>
  <c r="O36" i="15" a="1"/>
  <c r="O36" i="15" s="1"/>
  <c r="R36" i="15" s="1"/>
  <c r="P35" i="15" a="1"/>
  <c r="P35" i="15" s="1"/>
  <c r="Q35" i="15" s="1"/>
  <c r="O31" i="15" a="1"/>
  <c r="O31" i="15" s="1"/>
  <c r="T31" i="15" s="1"/>
  <c r="Q30" i="15"/>
  <c r="V30" i="15"/>
  <c r="S30" i="15" s="1"/>
  <c r="V34" i="15"/>
  <c r="S34" i="15" s="1"/>
  <c r="P33" i="15" a="1"/>
  <c r="P33" i="15" s="1"/>
  <c r="O38" i="15" a="1"/>
  <c r="O38" i="15" s="1"/>
  <c r="P38" i="15" a="1"/>
  <c r="P38" i="15" s="1"/>
  <c r="O33" i="15" a="1"/>
  <c r="O33" i="15" s="1"/>
  <c r="P36" i="15" a="1"/>
  <c r="P36" i="15" s="1"/>
  <c r="P31" i="15" a="1"/>
  <c r="P31" i="15" s="1"/>
  <c r="O32" i="15" a="1"/>
  <c r="O32" i="15" s="1"/>
  <c r="V37" i="15"/>
  <c r="S37" i="15" s="1"/>
  <c r="O30" i="15" a="1"/>
  <c r="O30" i="15" s="1"/>
  <c r="O35" i="15" a="1"/>
  <c r="O35" i="15" s="1"/>
  <c r="O37" i="15" a="1"/>
  <c r="O37" i="15" s="1"/>
  <c r="BN323" i="11"/>
  <c r="BO323" i="11" s="1"/>
  <c r="BN325" i="11"/>
  <c r="BO325" i="11" s="1"/>
  <c r="BN327" i="11"/>
  <c r="BO327" i="11" s="1"/>
  <c r="BO365" i="11"/>
  <c r="BN367" i="11"/>
  <c r="BO367" i="11" s="1"/>
  <c r="BN369" i="11"/>
  <c r="BO369" i="11" s="1"/>
  <c r="BN371" i="11"/>
  <c r="BO371" i="11" s="1"/>
  <c r="V32" i="15" l="1"/>
  <c r="S32" i="15" s="1"/>
  <c r="T34" i="15"/>
  <c r="T36" i="15"/>
  <c r="R31" i="15"/>
  <c r="V35" i="15"/>
  <c r="S35" i="15" s="1"/>
  <c r="U30" i="15"/>
  <c r="Q38" i="15"/>
  <c r="V38" i="15"/>
  <c r="U37" i="15"/>
  <c r="T37" i="15"/>
  <c r="R37" i="15"/>
  <c r="Q31" i="15"/>
  <c r="V31" i="15"/>
  <c r="T38" i="15"/>
  <c r="R38" i="15"/>
  <c r="U34" i="15"/>
  <c r="R32" i="15"/>
  <c r="T32" i="15"/>
  <c r="V36" i="15"/>
  <c r="Q36" i="15"/>
  <c r="Q33" i="15"/>
  <c r="V33" i="15"/>
  <c r="T35" i="15"/>
  <c r="R35" i="15"/>
  <c r="T30" i="15"/>
  <c r="R30" i="15"/>
  <c r="R33" i="15"/>
  <c r="T33" i="15"/>
  <c r="U32" i="15"/>
  <c r="U35" i="15" l="1"/>
  <c r="S36" i="15"/>
  <c r="U36" i="15"/>
  <c r="S33" i="15"/>
  <c r="U33" i="15"/>
  <c r="S31" i="15"/>
  <c r="U31" i="15"/>
  <c r="S38" i="15"/>
  <c r="U38" i="15"/>
  <c r="BN283" i="11"/>
  <c r="BO283" i="11" s="1"/>
  <c r="BN281" i="11"/>
  <c r="BO281" i="11" s="1"/>
  <c r="BN279" i="11"/>
  <c r="BO279" i="11" s="1"/>
  <c r="BN239" i="11"/>
  <c r="BO239" i="11" s="1"/>
  <c r="BN237" i="11"/>
  <c r="BO237" i="11" s="1"/>
  <c r="BN235" i="11"/>
  <c r="BO235" i="11" s="1"/>
  <c r="BN195" i="11"/>
  <c r="BO195" i="11" s="1"/>
  <c r="BN193" i="11"/>
  <c r="BO193" i="11" s="1"/>
  <c r="BN191" i="11"/>
  <c r="BO191" i="11" s="1"/>
  <c r="BN151" i="11"/>
  <c r="BO151" i="11" s="1"/>
  <c r="BN149" i="11"/>
  <c r="BO149" i="11" s="1"/>
  <c r="BN147" i="11"/>
  <c r="BO147" i="11" s="1"/>
  <c r="BN107" i="11"/>
  <c r="BO107" i="11" s="1"/>
  <c r="BN105" i="11"/>
  <c r="BO105" i="11" s="1"/>
  <c r="BN103" i="11"/>
  <c r="BO103" i="11" s="1"/>
  <c r="L50" i="14" l="1"/>
  <c r="L49" i="14"/>
  <c r="L48" i="14"/>
  <c r="L47" i="14"/>
  <c r="C7" i="10"/>
  <c r="C6" i="10"/>
  <c r="C5" i="10"/>
  <c r="C4" i="10"/>
  <c r="C8" i="10" l="1"/>
  <c r="F121" i="10" l="1" a="1"/>
  <c r="O121" i="10" s="1"/>
  <c r="F122" i="10" a="1"/>
  <c r="G122" i="10" s="1"/>
  <c r="F123" i="10" a="1"/>
  <c r="F123" i="10" s="1"/>
  <c r="E123" i="10" s="1"/>
  <c r="F124" i="10" a="1"/>
  <c r="G124" i="10" s="1"/>
  <c r="F125" i="10" a="1"/>
  <c r="F125" i="10" s="1"/>
  <c r="E125" i="10" s="1"/>
  <c r="F126" i="10" a="1"/>
  <c r="F127" i="10" a="1"/>
  <c r="Z127" i="10" s="1"/>
  <c r="F128" i="10" a="1"/>
  <c r="H128" i="10" s="1"/>
  <c r="F129" i="10" a="1"/>
  <c r="F129" i="10" s="1"/>
  <c r="E129" i="10" s="1"/>
  <c r="F130" i="10" a="1"/>
  <c r="G130" i="10" s="1"/>
  <c r="F131" i="10" a="1"/>
  <c r="F131" i="10" s="1"/>
  <c r="E131" i="10" s="1"/>
  <c r="F132" i="10" a="1"/>
  <c r="K132" i="10" s="1"/>
  <c r="F133" i="10" a="1"/>
  <c r="K133" i="10" s="1"/>
  <c r="F134" i="10" a="1"/>
  <c r="F135" i="10" a="1"/>
  <c r="J135" i="10" s="1"/>
  <c r="F136" i="10" a="1"/>
  <c r="H136" i="10" s="1"/>
  <c r="F137" i="10" a="1"/>
  <c r="F137" i="10" s="1"/>
  <c r="E137" i="10" s="1"/>
  <c r="F138" i="10" a="1"/>
  <c r="I138" i="10" s="1"/>
  <c r="F139" i="10" a="1"/>
  <c r="F140" i="10" a="1"/>
  <c r="P140" i="10" s="1"/>
  <c r="F141" i="10" a="1"/>
  <c r="O141" i="10" s="1"/>
  <c r="F142" i="10" a="1"/>
  <c r="G142" i="10" s="1"/>
  <c r="F143" i="10" a="1"/>
  <c r="F143" i="10" s="1"/>
  <c r="E143" i="10" s="1"/>
  <c r="F144" i="10" a="1"/>
  <c r="S144" i="10" s="1"/>
  <c r="F145" i="10" a="1"/>
  <c r="F145" i="10" s="1"/>
  <c r="E145" i="10" s="1"/>
  <c r="F146" i="10" a="1"/>
  <c r="H146" i="10" s="1"/>
  <c r="F147" i="10" a="1"/>
  <c r="F147" i="10" s="1"/>
  <c r="E147" i="10" s="1"/>
  <c r="F148" i="10" a="1"/>
  <c r="H148" i="10" s="1"/>
  <c r="F120" i="10" a="1"/>
  <c r="F120" i="10" s="1"/>
  <c r="E120" i="10" s="1"/>
  <c r="F89" i="10" a="1"/>
  <c r="H89" i="10" s="1"/>
  <c r="F90" i="10" a="1"/>
  <c r="G90" i="10" s="1"/>
  <c r="F91" i="10" a="1"/>
  <c r="F91" i="10" s="1"/>
  <c r="E91" i="10" s="1"/>
  <c r="F92" i="10" a="1"/>
  <c r="G92" i="10" s="1"/>
  <c r="F93" i="10" a="1"/>
  <c r="F93" i="10" s="1"/>
  <c r="E93" i="10" s="1"/>
  <c r="F94" i="10" a="1"/>
  <c r="M94" i="10" s="1"/>
  <c r="F95" i="10" a="1"/>
  <c r="M95" i="10" s="1"/>
  <c r="F96" i="10" a="1"/>
  <c r="H96" i="10" s="1"/>
  <c r="F97" i="10" a="1"/>
  <c r="I97" i="10" s="1"/>
  <c r="F98" i="10" a="1"/>
  <c r="G98" i="10" s="1"/>
  <c r="F99" i="10" a="1"/>
  <c r="J99" i="10" s="1"/>
  <c r="F100" i="10" a="1"/>
  <c r="P100" i="10" s="1"/>
  <c r="F101" i="10" a="1"/>
  <c r="F102" i="10" a="1"/>
  <c r="I102" i="10" s="1"/>
  <c r="F103" i="10" a="1"/>
  <c r="G103" i="10" s="1"/>
  <c r="F104" i="10" a="1"/>
  <c r="I104" i="10" s="1"/>
  <c r="F105" i="10" a="1"/>
  <c r="H105" i="10" s="1"/>
  <c r="F106" i="10" a="1"/>
  <c r="J106" i="10" s="1"/>
  <c r="F107" i="10" a="1"/>
  <c r="G107" i="10" s="1"/>
  <c r="F108" i="10" a="1"/>
  <c r="F108" i="10" s="1"/>
  <c r="E108" i="10" s="1"/>
  <c r="F109" i="10" a="1"/>
  <c r="G109" i="10" s="1"/>
  <c r="F110" i="10" a="1"/>
  <c r="F110" i="10" s="1"/>
  <c r="E110" i="10" s="1"/>
  <c r="F111" i="10" a="1"/>
  <c r="I111" i="10" s="1"/>
  <c r="F112" i="10" a="1"/>
  <c r="H112" i="10" s="1"/>
  <c r="F113" i="10" a="1"/>
  <c r="K113" i="10" s="1"/>
  <c r="F114" i="10" a="1"/>
  <c r="H114" i="10" s="1"/>
  <c r="F115" i="10" a="1"/>
  <c r="F115" i="10" s="1"/>
  <c r="E115" i="10" s="1"/>
  <c r="F116" i="10" a="1"/>
  <c r="H116" i="10" s="1"/>
  <c r="F88" i="10" a="1"/>
  <c r="F88" i="10" s="1"/>
  <c r="E88" i="10" s="1"/>
  <c r="F23" i="10" a="1"/>
  <c r="F23" i="10" s="1"/>
  <c r="E23" i="10" s="1"/>
  <c r="F24" i="10" a="1"/>
  <c r="M24" i="10" s="1"/>
  <c r="F25" i="10" a="1"/>
  <c r="M25" i="10" s="1"/>
  <c r="F26" i="10" a="1"/>
  <c r="I26" i="10" s="1"/>
  <c r="F27" i="10" a="1"/>
  <c r="G27" i="10" s="1"/>
  <c r="F28" i="10" a="1"/>
  <c r="M28" i="10" s="1"/>
  <c r="F29" i="10" a="1"/>
  <c r="M29" i="10" s="1"/>
  <c r="F30" i="10" a="1"/>
  <c r="I30" i="10" s="1"/>
  <c r="F31" i="10" a="1"/>
  <c r="G31" i="10" s="1"/>
  <c r="F32" i="10" a="1"/>
  <c r="K32" i="10" s="1"/>
  <c r="F33" i="10" a="1"/>
  <c r="F34" i="10" a="1"/>
  <c r="I34" i="10" s="1"/>
  <c r="F35" i="10" a="1"/>
  <c r="K35" i="10" s="1"/>
  <c r="F36" i="10" a="1"/>
  <c r="I36" i="10" s="1"/>
  <c r="F37" i="10" a="1"/>
  <c r="I37" i="10" s="1"/>
  <c r="F38" i="10" a="1"/>
  <c r="G38" i="10" s="1"/>
  <c r="F39" i="10" a="1"/>
  <c r="H39" i="10" s="1"/>
  <c r="F40" i="10" a="1"/>
  <c r="F40" i="10" s="1"/>
  <c r="E40" i="10" s="1"/>
  <c r="F41" i="10" a="1"/>
  <c r="G41" i="10" s="1"/>
  <c r="F42" i="10" a="1"/>
  <c r="F42" i="10" s="1"/>
  <c r="E42" i="10" s="1"/>
  <c r="F43" i="10" a="1"/>
  <c r="K43" i="10" s="1"/>
  <c r="F44" i="10" a="1"/>
  <c r="J44" i="10" s="1"/>
  <c r="F45" i="10" a="1"/>
  <c r="G45" i="10" s="1"/>
  <c r="F46" i="10" a="1"/>
  <c r="F46" i="10" s="1"/>
  <c r="E46" i="10" s="1"/>
  <c r="F47" i="10" a="1"/>
  <c r="G47" i="10" s="1"/>
  <c r="F48" i="10" a="1"/>
  <c r="F48" i="10" s="1"/>
  <c r="E48" i="10" s="1"/>
  <c r="F49" i="10" a="1"/>
  <c r="F49" i="10" s="1"/>
  <c r="E49" i="10" s="1"/>
  <c r="F50" i="10" a="1"/>
  <c r="G50" i="10" s="1"/>
  <c r="F22" i="10" a="1"/>
  <c r="G22" i="10" s="1"/>
  <c r="F82" i="10" a="1"/>
  <c r="F82" i="10" s="1"/>
  <c r="E82" i="10" s="1"/>
  <c r="F83" i="10" a="1"/>
  <c r="H83" i="10" s="1"/>
  <c r="F55" i="10" a="1"/>
  <c r="G55" i="10" s="1"/>
  <c r="F56" i="10" a="1"/>
  <c r="F56" i="10" s="1"/>
  <c r="E56" i="10" s="1"/>
  <c r="F57" i="10" a="1"/>
  <c r="G57" i="10" s="1"/>
  <c r="F58" i="10" a="1"/>
  <c r="G58" i="10" s="1"/>
  <c r="F59" i="10" a="1"/>
  <c r="G59" i="10" s="1"/>
  <c r="F60" i="10" a="1"/>
  <c r="G60" i="10" s="1"/>
  <c r="F61" i="10" a="1"/>
  <c r="G61" i="10" s="1"/>
  <c r="F62" i="10" a="1"/>
  <c r="G62" i="10" s="1"/>
  <c r="F63" i="10" a="1"/>
  <c r="G63" i="10" s="1"/>
  <c r="F64" i="10" a="1"/>
  <c r="G64" i="10" s="1"/>
  <c r="F65" i="10" a="1"/>
  <c r="F65" i="10" s="1"/>
  <c r="E65" i="10" s="1"/>
  <c r="F66" i="10" a="1"/>
  <c r="H66" i="10" s="1"/>
  <c r="F67" i="10" a="1"/>
  <c r="G67" i="10" s="1"/>
  <c r="F68" i="10" a="1"/>
  <c r="F68" i="10" s="1"/>
  <c r="E68" i="10" s="1"/>
  <c r="F69" i="10" a="1"/>
  <c r="H69" i="10" s="1"/>
  <c r="F70" i="10" a="1"/>
  <c r="G70" i="10" s="1"/>
  <c r="F71" i="10" a="1"/>
  <c r="U71" i="10" s="1"/>
  <c r="F72" i="10" a="1"/>
  <c r="F73" i="10" a="1"/>
  <c r="H73" i="10" s="1"/>
  <c r="F74" i="10" a="1"/>
  <c r="G74" i="10" s="1"/>
  <c r="F75" i="10" a="1"/>
  <c r="H75" i="10" s="1"/>
  <c r="F76" i="10" a="1"/>
  <c r="F76" i="10" s="1"/>
  <c r="E76" i="10" s="1"/>
  <c r="F77" i="10" a="1"/>
  <c r="H77" i="10" s="1"/>
  <c r="F78" i="10" a="1"/>
  <c r="F78" i="10" s="1"/>
  <c r="E78" i="10" s="1"/>
  <c r="F79" i="10" a="1"/>
  <c r="O79" i="10" s="1"/>
  <c r="F80" i="10" a="1"/>
  <c r="J80" i="10" s="1"/>
  <c r="F81" i="10" a="1"/>
  <c r="H81" i="10" s="1"/>
  <c r="F54" i="10" a="1"/>
  <c r="I54" i="10" s="1"/>
  <c r="Z89" i="10" l="1"/>
  <c r="X142" i="10"/>
  <c r="P98" i="10"/>
  <c r="H107" i="10"/>
  <c r="N89" i="10"/>
  <c r="J137" i="10"/>
  <c r="U107" i="10"/>
  <c r="Y89" i="10"/>
  <c r="I142" i="10"/>
  <c r="W136" i="10"/>
  <c r="J129" i="10"/>
  <c r="T107" i="10"/>
  <c r="T105" i="10"/>
  <c r="O89" i="10"/>
  <c r="G143" i="10"/>
  <c r="O142" i="10"/>
  <c r="U137" i="10"/>
  <c r="X136" i="10"/>
  <c r="K136" i="10"/>
  <c r="S133" i="10"/>
  <c r="V125" i="10"/>
  <c r="W143" i="10"/>
  <c r="Q136" i="10"/>
  <c r="Y124" i="10"/>
  <c r="V143" i="10"/>
  <c r="T142" i="10"/>
  <c r="V137" i="10"/>
  <c r="Y136" i="10"/>
  <c r="O136" i="10"/>
  <c r="Z131" i="10"/>
  <c r="Y125" i="10"/>
  <c r="O124" i="10"/>
  <c r="K109" i="10"/>
  <c r="N143" i="10"/>
  <c r="U142" i="10"/>
  <c r="M142" i="10"/>
  <c r="Z137" i="10"/>
  <c r="K137" i="10"/>
  <c r="M131" i="10"/>
  <c r="O129" i="10"/>
  <c r="P128" i="10"/>
  <c r="S124" i="10"/>
  <c r="H124" i="10"/>
  <c r="S105" i="10"/>
  <c r="U22" i="10"/>
  <c r="K39" i="10"/>
  <c r="O108" i="10"/>
  <c r="O107" i="10"/>
  <c r="M105" i="10"/>
  <c r="S103" i="10"/>
  <c r="P90" i="10"/>
  <c r="U89" i="10"/>
  <c r="J89" i="10"/>
  <c r="S148" i="10"/>
  <c r="P142" i="10"/>
  <c r="H142" i="10"/>
  <c r="S136" i="10"/>
  <c r="G136" i="10"/>
  <c r="R131" i="10"/>
  <c r="O125" i="10"/>
  <c r="U124" i="10"/>
  <c r="M124" i="10"/>
  <c r="Z123" i="10"/>
  <c r="M22" i="10"/>
  <c r="X48" i="10"/>
  <c r="Y45" i="10"/>
  <c r="M107" i="10"/>
  <c r="Y105" i="10"/>
  <c r="K105" i="10"/>
  <c r="R103" i="10"/>
  <c r="S89" i="10"/>
  <c r="I89" i="10"/>
  <c r="K148" i="10"/>
  <c r="Q143" i="10"/>
  <c r="O137" i="10"/>
  <c r="O131" i="10"/>
  <c r="Z129" i="10"/>
  <c r="T128" i="10"/>
  <c r="K125" i="10"/>
  <c r="T124" i="10"/>
  <c r="K124" i="10"/>
  <c r="T96" i="10"/>
  <c r="L96" i="10"/>
  <c r="K111" i="10"/>
  <c r="P109" i="10"/>
  <c r="U108" i="10"/>
  <c r="X107" i="10"/>
  <c r="P107" i="10"/>
  <c r="I107" i="10"/>
  <c r="U106" i="10"/>
  <c r="Z104" i="10"/>
  <c r="R104" i="10"/>
  <c r="H104" i="10"/>
  <c r="S102" i="10"/>
  <c r="H102" i="10"/>
  <c r="W97" i="10"/>
  <c r="J97" i="10"/>
  <c r="U96" i="10"/>
  <c r="O96" i="10"/>
  <c r="G96" i="10"/>
  <c r="J93" i="10"/>
  <c r="T92" i="10"/>
  <c r="I92" i="10"/>
  <c r="G146" i="10"/>
  <c r="R143" i="10"/>
  <c r="J143" i="10"/>
  <c r="X130" i="10"/>
  <c r="H130" i="10"/>
  <c r="M123" i="10"/>
  <c r="M122" i="10"/>
  <c r="Y102" i="10"/>
  <c r="O102" i="10"/>
  <c r="P92" i="10"/>
  <c r="X104" i="10"/>
  <c r="P104" i="10"/>
  <c r="Z93" i="10"/>
  <c r="X111" i="10"/>
  <c r="V104" i="10"/>
  <c r="M104" i="10"/>
  <c r="Z103" i="10"/>
  <c r="M103" i="10"/>
  <c r="U102" i="10"/>
  <c r="M102" i="10"/>
  <c r="Q97" i="10"/>
  <c r="Y96" i="10"/>
  <c r="Q96" i="10"/>
  <c r="K96" i="10"/>
  <c r="U93" i="10"/>
  <c r="Y92" i="10"/>
  <c r="O92" i="10"/>
  <c r="Z91" i="10"/>
  <c r="S146" i="10"/>
  <c r="Q137" i="10"/>
  <c r="W131" i="10"/>
  <c r="G131" i="10"/>
  <c r="P130" i="10"/>
  <c r="L128" i="10"/>
  <c r="S125" i="10"/>
  <c r="J125" i="10"/>
  <c r="X124" i="10"/>
  <c r="P124" i="10"/>
  <c r="I124" i="10"/>
  <c r="W123" i="10"/>
  <c r="X122" i="10"/>
  <c r="Z121" i="10"/>
  <c r="R97" i="10"/>
  <c r="W146" i="10"/>
  <c r="S130" i="10"/>
  <c r="O113" i="10"/>
  <c r="S111" i="10"/>
  <c r="U109" i="10"/>
  <c r="Z108" i="10"/>
  <c r="Y107" i="10"/>
  <c r="S107" i="10"/>
  <c r="K107" i="10"/>
  <c r="Z106" i="10"/>
  <c r="T104" i="10"/>
  <c r="K104" i="10"/>
  <c r="Y103" i="10"/>
  <c r="J103" i="10"/>
  <c r="T102" i="10"/>
  <c r="K102" i="10"/>
  <c r="Z97" i="10"/>
  <c r="K97" i="10"/>
  <c r="W96" i="10"/>
  <c r="P96" i="10"/>
  <c r="I96" i="10"/>
  <c r="O93" i="10"/>
  <c r="U92" i="10"/>
  <c r="K92" i="10"/>
  <c r="O91" i="10"/>
  <c r="O146" i="10"/>
  <c r="S143" i="10"/>
  <c r="M143" i="10"/>
  <c r="Y142" i="10"/>
  <c r="S142" i="10"/>
  <c r="K142" i="10"/>
  <c r="T136" i="10"/>
  <c r="L136" i="10"/>
  <c r="P132" i="10"/>
  <c r="M130" i="10"/>
  <c r="U129" i="10"/>
  <c r="W128" i="10"/>
  <c r="I128" i="10"/>
  <c r="Z125" i="10"/>
  <c r="Q125" i="10"/>
  <c r="I125" i="10"/>
  <c r="O123" i="10"/>
  <c r="P122" i="10"/>
  <c r="I101" i="10"/>
  <c r="N101" i="10"/>
  <c r="O101" i="10"/>
  <c r="Y101" i="10"/>
  <c r="R22" i="10"/>
  <c r="U39" i="10"/>
  <c r="S113" i="10"/>
  <c r="P111" i="10"/>
  <c r="Z101" i="10"/>
  <c r="H94" i="10"/>
  <c r="O94" i="10"/>
  <c r="U94" i="10"/>
  <c r="I94" i="10"/>
  <c r="P94" i="10"/>
  <c r="X94" i="10"/>
  <c r="K94" i="10"/>
  <c r="S94" i="10"/>
  <c r="Y94" i="10"/>
  <c r="H144" i="10"/>
  <c r="G144" i="10"/>
  <c r="W144" i="10"/>
  <c r="K144" i="10"/>
  <c r="O144" i="10"/>
  <c r="Z133" i="10"/>
  <c r="U132" i="10"/>
  <c r="G95" i="10"/>
  <c r="N95" i="10"/>
  <c r="U95" i="10"/>
  <c r="I95" i="10"/>
  <c r="O95" i="10"/>
  <c r="W95" i="10"/>
  <c r="J95" i="10"/>
  <c r="R95" i="10"/>
  <c r="Y95" i="10"/>
  <c r="F141" i="10"/>
  <c r="E141" i="10" s="1"/>
  <c r="I141" i="10"/>
  <c r="S141" i="10"/>
  <c r="J141" i="10"/>
  <c r="U141" i="10"/>
  <c r="N141" i="10"/>
  <c r="Y141" i="10"/>
  <c r="T111" i="10"/>
  <c r="Z95" i="10"/>
  <c r="T94" i="10"/>
  <c r="G39" i="10"/>
  <c r="S39" i="10"/>
  <c r="F113" i="10"/>
  <c r="E113" i="10" s="1"/>
  <c r="G113" i="10"/>
  <c r="W113" i="10"/>
  <c r="G111" i="10"/>
  <c r="O111" i="10"/>
  <c r="W111" i="10"/>
  <c r="G100" i="10"/>
  <c r="I100" i="10"/>
  <c r="T100" i="10"/>
  <c r="K100" i="10"/>
  <c r="U100" i="10"/>
  <c r="O100" i="10"/>
  <c r="Y100" i="10"/>
  <c r="S95" i="10"/>
  <c r="Z141" i="10"/>
  <c r="G140" i="10"/>
  <c r="I140" i="10"/>
  <c r="T140" i="10"/>
  <c r="K140" i="10"/>
  <c r="U140" i="10"/>
  <c r="O140" i="10"/>
  <c r="Y140" i="10"/>
  <c r="F133" i="10"/>
  <c r="E133" i="10" s="1"/>
  <c r="N133" i="10"/>
  <c r="U133" i="10"/>
  <c r="I133" i="10"/>
  <c r="O133" i="10"/>
  <c r="V133" i="10"/>
  <c r="J133" i="10"/>
  <c r="Q133" i="10"/>
  <c r="Y133" i="10"/>
  <c r="G132" i="10"/>
  <c r="L132" i="10"/>
  <c r="Q132" i="10"/>
  <c r="W132" i="10"/>
  <c r="H132" i="10"/>
  <c r="M132" i="10"/>
  <c r="S132" i="10"/>
  <c r="X132" i="10"/>
  <c r="I132" i="10"/>
  <c r="O132" i="10"/>
  <c r="T132" i="10"/>
  <c r="Y132" i="10"/>
  <c r="F121" i="10"/>
  <c r="E121" i="10" s="1"/>
  <c r="I121" i="10"/>
  <c r="S121" i="10"/>
  <c r="J121" i="10"/>
  <c r="U121" i="10"/>
  <c r="N121" i="10"/>
  <c r="Y121" i="10"/>
  <c r="J108" i="10"/>
  <c r="W107" i="10"/>
  <c r="Q107" i="10"/>
  <c r="L107" i="10"/>
  <c r="O106" i="10"/>
  <c r="X105" i="10"/>
  <c r="P105" i="10"/>
  <c r="I105" i="10"/>
  <c r="Y104" i="10"/>
  <c r="U104" i="10"/>
  <c r="Q104" i="10"/>
  <c r="L104" i="10"/>
  <c r="G104" i="10"/>
  <c r="W103" i="10"/>
  <c r="O103" i="10"/>
  <c r="I103" i="10"/>
  <c r="X102" i="10"/>
  <c r="P102" i="10"/>
  <c r="Z99" i="10"/>
  <c r="K98" i="10"/>
  <c r="V97" i="10"/>
  <c r="O97" i="10"/>
  <c r="G97" i="10"/>
  <c r="X96" i="10"/>
  <c r="S96" i="10"/>
  <c r="M96" i="10"/>
  <c r="J91" i="10"/>
  <c r="K90" i="10"/>
  <c r="W89" i="10"/>
  <c r="R89" i="10"/>
  <c r="M89" i="10"/>
  <c r="G89" i="10"/>
  <c r="W148" i="10"/>
  <c r="G148" i="10"/>
  <c r="Z143" i="10"/>
  <c r="U143" i="10"/>
  <c r="O143" i="10"/>
  <c r="I143" i="10"/>
  <c r="S129" i="10"/>
  <c r="I129" i="10"/>
  <c r="U128" i="10"/>
  <c r="O128" i="10"/>
  <c r="G128" i="10"/>
  <c r="U125" i="10"/>
  <c r="N125" i="10"/>
  <c r="W124" i="10"/>
  <c r="Q124" i="10"/>
  <c r="L124" i="10"/>
  <c r="U123" i="10"/>
  <c r="J123" i="10"/>
  <c r="U122" i="10"/>
  <c r="K122" i="10"/>
  <c r="U105" i="10"/>
  <c r="O105" i="10"/>
  <c r="U103" i="10"/>
  <c r="N103" i="10"/>
  <c r="U97" i="10"/>
  <c r="M97" i="10"/>
  <c r="F97" i="10"/>
  <c r="E97" i="10" s="1"/>
  <c r="V89" i="10"/>
  <c r="Q89" i="10"/>
  <c r="K89" i="10"/>
  <c r="F89" i="10"/>
  <c r="E89" i="10" s="1"/>
  <c r="Y143" i="10"/>
  <c r="R123" i="10"/>
  <c r="G123" i="10"/>
  <c r="S122" i="10"/>
  <c r="H122" i="10"/>
  <c r="W104" i="10"/>
  <c r="S104" i="10"/>
  <c r="O104" i="10"/>
  <c r="U98" i="10"/>
  <c r="U91" i="10"/>
  <c r="U90" i="10"/>
  <c r="O148" i="10"/>
  <c r="K146" i="10"/>
  <c r="U136" i="10"/>
  <c r="P136" i="10"/>
  <c r="I136" i="10"/>
  <c r="U131" i="10"/>
  <c r="J131" i="10"/>
  <c r="U130" i="10"/>
  <c r="K130" i="10"/>
  <c r="Y129" i="10"/>
  <c r="N129" i="10"/>
  <c r="Y128" i="10"/>
  <c r="Q128" i="10"/>
  <c r="K128" i="10"/>
  <c r="Y147" i="10"/>
  <c r="U147" i="10"/>
  <c r="Q147" i="10"/>
  <c r="M147" i="10"/>
  <c r="I147" i="10"/>
  <c r="H139" i="10"/>
  <c r="L139" i="10"/>
  <c r="P139" i="10"/>
  <c r="T139" i="10"/>
  <c r="X139" i="10"/>
  <c r="U138" i="10"/>
  <c r="P138" i="10"/>
  <c r="K138" i="10"/>
  <c r="F134" i="10"/>
  <c r="E134" i="10" s="1"/>
  <c r="J134" i="10"/>
  <c r="N134" i="10"/>
  <c r="R134" i="10"/>
  <c r="V134" i="10"/>
  <c r="Z134" i="10"/>
  <c r="G134" i="10"/>
  <c r="L134" i="10"/>
  <c r="Q134" i="10"/>
  <c r="W134" i="10"/>
  <c r="I134" i="10"/>
  <c r="O134" i="10"/>
  <c r="T134" i="10"/>
  <c r="Y134" i="10"/>
  <c r="H127" i="10"/>
  <c r="L127" i="10"/>
  <c r="P127" i="10"/>
  <c r="T127" i="10"/>
  <c r="X127" i="10"/>
  <c r="F127" i="10"/>
  <c r="E127" i="10" s="1"/>
  <c r="K127" i="10"/>
  <c r="Q127" i="10"/>
  <c r="V127" i="10"/>
  <c r="G127" i="10"/>
  <c r="M127" i="10"/>
  <c r="R127" i="10"/>
  <c r="W127" i="10"/>
  <c r="I127" i="10"/>
  <c r="N127" i="10"/>
  <c r="S127" i="10"/>
  <c r="Y127" i="10"/>
  <c r="F126" i="10"/>
  <c r="E126" i="10" s="1"/>
  <c r="J126" i="10"/>
  <c r="N126" i="10"/>
  <c r="R126" i="10"/>
  <c r="V126" i="10"/>
  <c r="Z126" i="10"/>
  <c r="G126" i="10"/>
  <c r="L126" i="10"/>
  <c r="Q126" i="10"/>
  <c r="W126" i="10"/>
  <c r="H126" i="10"/>
  <c r="M126" i="10"/>
  <c r="S126" i="10"/>
  <c r="X126" i="10"/>
  <c r="I126" i="10"/>
  <c r="O126" i="10"/>
  <c r="T126" i="10"/>
  <c r="Y126" i="10"/>
  <c r="Z148" i="10"/>
  <c r="V148" i="10"/>
  <c r="R148" i="10"/>
  <c r="N148" i="10"/>
  <c r="J148" i="10"/>
  <c r="F148" i="10"/>
  <c r="E148" i="10" s="1"/>
  <c r="X147" i="10"/>
  <c r="T147" i="10"/>
  <c r="P147" i="10"/>
  <c r="L147" i="10"/>
  <c r="H147" i="10"/>
  <c r="Z146" i="10"/>
  <c r="V146" i="10"/>
  <c r="R146" i="10"/>
  <c r="N146" i="10"/>
  <c r="J146" i="10"/>
  <c r="F146" i="10"/>
  <c r="E146" i="10" s="1"/>
  <c r="X145" i="10"/>
  <c r="T145" i="10"/>
  <c r="P145" i="10"/>
  <c r="L145" i="10"/>
  <c r="H145" i="10"/>
  <c r="Z144" i="10"/>
  <c r="V144" i="10"/>
  <c r="R144" i="10"/>
  <c r="N144" i="10"/>
  <c r="J144" i="10"/>
  <c r="F144" i="10"/>
  <c r="E144" i="10" s="1"/>
  <c r="X143" i="10"/>
  <c r="T143" i="10"/>
  <c r="P143" i="10"/>
  <c r="K143" i="10"/>
  <c r="W142" i="10"/>
  <c r="Q142" i="10"/>
  <c r="L142" i="10"/>
  <c r="W141" i="10"/>
  <c r="R141" i="10"/>
  <c r="M141" i="10"/>
  <c r="G141" i="10"/>
  <c r="X140" i="10"/>
  <c r="S140" i="10"/>
  <c r="M140" i="10"/>
  <c r="H140" i="10"/>
  <c r="Y139" i="10"/>
  <c r="S139" i="10"/>
  <c r="N139" i="10"/>
  <c r="I139" i="10"/>
  <c r="Y138" i="10"/>
  <c r="T138" i="10"/>
  <c r="O138" i="10"/>
  <c r="H137" i="10"/>
  <c r="L137" i="10"/>
  <c r="P137" i="10"/>
  <c r="T137" i="10"/>
  <c r="X137" i="10"/>
  <c r="W135" i="10"/>
  <c r="M135" i="10"/>
  <c r="X134" i="10"/>
  <c r="M134" i="10"/>
  <c r="U127" i="10"/>
  <c r="U126" i="10"/>
  <c r="Y145" i="10"/>
  <c r="U145" i="10"/>
  <c r="Q145" i="10"/>
  <c r="M145" i="10"/>
  <c r="I145" i="10"/>
  <c r="F138" i="10"/>
  <c r="E138" i="10" s="1"/>
  <c r="J138" i="10"/>
  <c r="N138" i="10"/>
  <c r="R138" i="10"/>
  <c r="V138" i="10"/>
  <c r="Z138" i="10"/>
  <c r="Z135" i="10"/>
  <c r="O135" i="10"/>
  <c r="W147" i="10"/>
  <c r="S147" i="10"/>
  <c r="O147" i="10"/>
  <c r="K147" i="10"/>
  <c r="G147" i="10"/>
  <c r="Y146" i="10"/>
  <c r="U146" i="10"/>
  <c r="Q146" i="10"/>
  <c r="M146" i="10"/>
  <c r="I146" i="10"/>
  <c r="H143" i="10"/>
  <c r="L143" i="10"/>
  <c r="F142" i="10"/>
  <c r="E142" i="10" s="1"/>
  <c r="J142" i="10"/>
  <c r="N142" i="10"/>
  <c r="R142" i="10"/>
  <c r="V142" i="10"/>
  <c r="Z142" i="10"/>
  <c r="V141" i="10"/>
  <c r="Q141" i="10"/>
  <c r="K141" i="10"/>
  <c r="W140" i="10"/>
  <c r="Q140" i="10"/>
  <c r="L140" i="10"/>
  <c r="W139" i="10"/>
  <c r="R139" i="10"/>
  <c r="M139" i="10"/>
  <c r="G139" i="10"/>
  <c r="X138" i="10"/>
  <c r="S138" i="10"/>
  <c r="M138" i="10"/>
  <c r="H138" i="10"/>
  <c r="Y137" i="10"/>
  <c r="S137" i="10"/>
  <c r="N137" i="10"/>
  <c r="I137" i="10"/>
  <c r="U135" i="10"/>
  <c r="U134" i="10"/>
  <c r="K134" i="10"/>
  <c r="O127" i="10"/>
  <c r="P126" i="10"/>
  <c r="Z139" i="10"/>
  <c r="U139" i="10"/>
  <c r="O139" i="10"/>
  <c r="J139" i="10"/>
  <c r="H135" i="10"/>
  <c r="L135" i="10"/>
  <c r="P135" i="10"/>
  <c r="T135" i="10"/>
  <c r="X135" i="10"/>
  <c r="F135" i="10"/>
  <c r="E135" i="10" s="1"/>
  <c r="K135" i="10"/>
  <c r="Q135" i="10"/>
  <c r="V135" i="10"/>
  <c r="I135" i="10"/>
  <c r="N135" i="10"/>
  <c r="S135" i="10"/>
  <c r="Y135" i="10"/>
  <c r="P134" i="10"/>
  <c r="Y148" i="10"/>
  <c r="U148" i="10"/>
  <c r="Q148" i="10"/>
  <c r="M148" i="10"/>
  <c r="I148" i="10"/>
  <c r="W145" i="10"/>
  <c r="S145" i="10"/>
  <c r="O145" i="10"/>
  <c r="K145" i="10"/>
  <c r="G145" i="10"/>
  <c r="Y144" i="10"/>
  <c r="U144" i="10"/>
  <c r="Q144" i="10"/>
  <c r="M144" i="10"/>
  <c r="I144" i="10"/>
  <c r="X148" i="10"/>
  <c r="T148" i="10"/>
  <c r="P148" i="10"/>
  <c r="L148" i="10"/>
  <c r="Z147" i="10"/>
  <c r="V147" i="10"/>
  <c r="R147" i="10"/>
  <c r="N147" i="10"/>
  <c r="J147" i="10"/>
  <c r="X146" i="10"/>
  <c r="T146" i="10"/>
  <c r="P146" i="10"/>
  <c r="L146" i="10"/>
  <c r="Z145" i="10"/>
  <c r="V145" i="10"/>
  <c r="R145" i="10"/>
  <c r="N145" i="10"/>
  <c r="J145" i="10"/>
  <c r="X144" i="10"/>
  <c r="T144" i="10"/>
  <c r="P144" i="10"/>
  <c r="L144" i="10"/>
  <c r="H141" i="10"/>
  <c r="L141" i="10"/>
  <c r="P141" i="10"/>
  <c r="T141" i="10"/>
  <c r="X141" i="10"/>
  <c r="F140" i="10"/>
  <c r="E140" i="10" s="1"/>
  <c r="J140" i="10"/>
  <c r="N140" i="10"/>
  <c r="R140" i="10"/>
  <c r="V140" i="10"/>
  <c r="Z140" i="10"/>
  <c r="V139" i="10"/>
  <c r="Q139" i="10"/>
  <c r="K139" i="10"/>
  <c r="F139" i="10"/>
  <c r="E139" i="10" s="1"/>
  <c r="W138" i="10"/>
  <c r="Q138" i="10"/>
  <c r="L138" i="10"/>
  <c r="G138" i="10"/>
  <c r="W137" i="10"/>
  <c r="R137" i="10"/>
  <c r="M137" i="10"/>
  <c r="G137" i="10"/>
  <c r="R135" i="10"/>
  <c r="G135" i="10"/>
  <c r="S134" i="10"/>
  <c r="H134" i="10"/>
  <c r="J127" i="10"/>
  <c r="K126" i="10"/>
  <c r="Z136" i="10"/>
  <c r="V136" i="10"/>
  <c r="R136" i="10"/>
  <c r="M136" i="10"/>
  <c r="H133" i="10"/>
  <c r="L133" i="10"/>
  <c r="P133" i="10"/>
  <c r="T133" i="10"/>
  <c r="X133" i="10"/>
  <c r="F132" i="10"/>
  <c r="E132" i="10" s="1"/>
  <c r="J132" i="10"/>
  <c r="N132" i="10"/>
  <c r="R132" i="10"/>
  <c r="V132" i="10"/>
  <c r="Z132" i="10"/>
  <c r="V131" i="10"/>
  <c r="Q131" i="10"/>
  <c r="K131" i="10"/>
  <c r="W130" i="10"/>
  <c r="Q130" i="10"/>
  <c r="L130" i="10"/>
  <c r="W129" i="10"/>
  <c r="R129" i="10"/>
  <c r="M129" i="10"/>
  <c r="G129" i="10"/>
  <c r="X128" i="10"/>
  <c r="S128" i="10"/>
  <c r="M128" i="10"/>
  <c r="H125" i="10"/>
  <c r="L125" i="10"/>
  <c r="P125" i="10"/>
  <c r="T125" i="10"/>
  <c r="X125" i="10"/>
  <c r="F124" i="10"/>
  <c r="E124" i="10" s="1"/>
  <c r="J124" i="10"/>
  <c r="N124" i="10"/>
  <c r="R124" i="10"/>
  <c r="V124" i="10"/>
  <c r="Z124" i="10"/>
  <c r="V123" i="10"/>
  <c r="Q123" i="10"/>
  <c r="K123" i="10"/>
  <c r="W122" i="10"/>
  <c r="Q122" i="10"/>
  <c r="L122" i="10"/>
  <c r="W121" i="10"/>
  <c r="R121" i="10"/>
  <c r="M121" i="10"/>
  <c r="G121" i="10"/>
  <c r="H131" i="10"/>
  <c r="L131" i="10"/>
  <c r="P131" i="10"/>
  <c r="T131" i="10"/>
  <c r="X131" i="10"/>
  <c r="F130" i="10"/>
  <c r="E130" i="10" s="1"/>
  <c r="J130" i="10"/>
  <c r="N130" i="10"/>
  <c r="R130" i="10"/>
  <c r="V130" i="10"/>
  <c r="Z130" i="10"/>
  <c r="V129" i="10"/>
  <c r="Q129" i="10"/>
  <c r="K129" i="10"/>
  <c r="H123" i="10"/>
  <c r="L123" i="10"/>
  <c r="P123" i="10"/>
  <c r="T123" i="10"/>
  <c r="X123" i="10"/>
  <c r="F122" i="10"/>
  <c r="E122" i="10" s="1"/>
  <c r="J122" i="10"/>
  <c r="N122" i="10"/>
  <c r="R122" i="10"/>
  <c r="V122" i="10"/>
  <c r="Z122" i="10"/>
  <c r="V121" i="10"/>
  <c r="Q121" i="10"/>
  <c r="K121" i="10"/>
  <c r="F136" i="10"/>
  <c r="E136" i="10" s="1"/>
  <c r="J136" i="10"/>
  <c r="N136" i="10"/>
  <c r="W133" i="10"/>
  <c r="R133" i="10"/>
  <c r="M133" i="10"/>
  <c r="G133" i="10"/>
  <c r="Y131" i="10"/>
  <c r="S131" i="10"/>
  <c r="N131" i="10"/>
  <c r="I131" i="10"/>
  <c r="Y130" i="10"/>
  <c r="T130" i="10"/>
  <c r="O130" i="10"/>
  <c r="I130" i="10"/>
  <c r="H129" i="10"/>
  <c r="L129" i="10"/>
  <c r="P129" i="10"/>
  <c r="T129" i="10"/>
  <c r="X129" i="10"/>
  <c r="F128" i="10"/>
  <c r="E128" i="10" s="1"/>
  <c r="J128" i="10"/>
  <c r="N128" i="10"/>
  <c r="R128" i="10"/>
  <c r="V128" i="10"/>
  <c r="Z128" i="10"/>
  <c r="W125" i="10"/>
  <c r="R125" i="10"/>
  <c r="M125" i="10"/>
  <c r="G125" i="10"/>
  <c r="Y123" i="10"/>
  <c r="S123" i="10"/>
  <c r="N123" i="10"/>
  <c r="I123" i="10"/>
  <c r="Y122" i="10"/>
  <c r="T122" i="10"/>
  <c r="O122" i="10"/>
  <c r="I122" i="10"/>
  <c r="H121" i="10"/>
  <c r="L121" i="10"/>
  <c r="P121" i="10"/>
  <c r="T121" i="10"/>
  <c r="X121" i="10"/>
  <c r="Y120" i="10"/>
  <c r="U120" i="10"/>
  <c r="Q120" i="10"/>
  <c r="M120" i="10"/>
  <c r="I120" i="10"/>
  <c r="X120" i="10"/>
  <c r="T120" i="10"/>
  <c r="P120" i="10"/>
  <c r="L120" i="10"/>
  <c r="H120" i="10"/>
  <c r="W120" i="10"/>
  <c r="S120" i="10"/>
  <c r="O120" i="10"/>
  <c r="K120" i="10"/>
  <c r="G120" i="10"/>
  <c r="Z120" i="10"/>
  <c r="V120" i="10"/>
  <c r="R120" i="10"/>
  <c r="N120" i="10"/>
  <c r="J120" i="10"/>
  <c r="Y112" i="10"/>
  <c r="U112" i="10"/>
  <c r="Q112" i="10"/>
  <c r="M112" i="10"/>
  <c r="I112" i="10"/>
  <c r="W116" i="10"/>
  <c r="S116" i="10"/>
  <c r="O116" i="10"/>
  <c r="K116" i="10"/>
  <c r="G116" i="10"/>
  <c r="Y115" i="10"/>
  <c r="U115" i="10"/>
  <c r="Q115" i="10"/>
  <c r="M115" i="10"/>
  <c r="I115" i="10"/>
  <c r="W112" i="10"/>
  <c r="S112" i="10"/>
  <c r="O112" i="10"/>
  <c r="K112" i="10"/>
  <c r="G112" i="10"/>
  <c r="Y111" i="10"/>
  <c r="U111" i="10"/>
  <c r="Q111" i="10"/>
  <c r="L111" i="10"/>
  <c r="W110" i="10"/>
  <c r="R110" i="10"/>
  <c r="M110" i="10"/>
  <c r="G110" i="10"/>
  <c r="X109" i="10"/>
  <c r="S109" i="10"/>
  <c r="M109" i="10"/>
  <c r="H109" i="10"/>
  <c r="Y108" i="10"/>
  <c r="S108" i="10"/>
  <c r="N108" i="10"/>
  <c r="I108" i="10"/>
  <c r="H106" i="10"/>
  <c r="L106" i="10"/>
  <c r="P106" i="10"/>
  <c r="T106" i="10"/>
  <c r="X106" i="10"/>
  <c r="F105" i="10"/>
  <c r="E105" i="10" s="1"/>
  <c r="J105" i="10"/>
  <c r="N105" i="10"/>
  <c r="R105" i="10"/>
  <c r="V105" i="10"/>
  <c r="Z105" i="10"/>
  <c r="S101" i="10"/>
  <c r="O99" i="10"/>
  <c r="W114" i="10"/>
  <c r="S114" i="10"/>
  <c r="O114" i="10"/>
  <c r="K114" i="10"/>
  <c r="G114" i="10"/>
  <c r="Y113" i="10"/>
  <c r="U113" i="10"/>
  <c r="Q113" i="10"/>
  <c r="M113" i="10"/>
  <c r="I113" i="10"/>
  <c r="Z116" i="10"/>
  <c r="V116" i="10"/>
  <c r="R116" i="10"/>
  <c r="N116" i="10"/>
  <c r="J116" i="10"/>
  <c r="F116" i="10"/>
  <c r="E116" i="10" s="1"/>
  <c r="X115" i="10"/>
  <c r="T115" i="10"/>
  <c r="P115" i="10"/>
  <c r="L115" i="10"/>
  <c r="H115" i="10"/>
  <c r="Z114" i="10"/>
  <c r="V114" i="10"/>
  <c r="R114" i="10"/>
  <c r="N114" i="10"/>
  <c r="J114" i="10"/>
  <c r="F114" i="10"/>
  <c r="E114" i="10" s="1"/>
  <c r="X113" i="10"/>
  <c r="T113" i="10"/>
  <c r="P113" i="10"/>
  <c r="L113" i="10"/>
  <c r="H113" i="10"/>
  <c r="Z112" i="10"/>
  <c r="V112" i="10"/>
  <c r="R112" i="10"/>
  <c r="N112" i="10"/>
  <c r="J112" i="10"/>
  <c r="F112" i="10"/>
  <c r="E112" i="10" s="1"/>
  <c r="F111" i="10"/>
  <c r="E111" i="10" s="1"/>
  <c r="J111" i="10"/>
  <c r="N111" i="10"/>
  <c r="V110" i="10"/>
  <c r="Q110" i="10"/>
  <c r="K110" i="10"/>
  <c r="W109" i="10"/>
  <c r="Q109" i="10"/>
  <c r="L109" i="10"/>
  <c r="W108" i="10"/>
  <c r="R108" i="10"/>
  <c r="M108" i="10"/>
  <c r="G108" i="10"/>
  <c r="Y106" i="10"/>
  <c r="S106" i="10"/>
  <c r="N106" i="10"/>
  <c r="I106" i="10"/>
  <c r="H101" i="10"/>
  <c r="L101" i="10"/>
  <c r="P101" i="10"/>
  <c r="T101" i="10"/>
  <c r="X101" i="10"/>
  <c r="G101" i="10"/>
  <c r="M101" i="10"/>
  <c r="R101" i="10"/>
  <c r="W101" i="10"/>
  <c r="F101" i="10"/>
  <c r="E101" i="10" s="1"/>
  <c r="K101" i="10"/>
  <c r="Q101" i="10"/>
  <c r="V101" i="10"/>
  <c r="Y116" i="10"/>
  <c r="U116" i="10"/>
  <c r="Q116" i="10"/>
  <c r="M116" i="10"/>
  <c r="I116" i="10"/>
  <c r="W115" i="10"/>
  <c r="K115" i="10"/>
  <c r="Y114" i="10"/>
  <c r="Q114" i="10"/>
  <c r="I114" i="10"/>
  <c r="H110" i="10"/>
  <c r="L110" i="10"/>
  <c r="P110" i="10"/>
  <c r="T110" i="10"/>
  <c r="X110" i="10"/>
  <c r="F109" i="10"/>
  <c r="E109" i="10" s="1"/>
  <c r="J109" i="10"/>
  <c r="N109" i="10"/>
  <c r="R109" i="10"/>
  <c r="V109" i="10"/>
  <c r="Z109" i="10"/>
  <c r="V108" i="10"/>
  <c r="Q108" i="10"/>
  <c r="K108" i="10"/>
  <c r="W106" i="10"/>
  <c r="R106" i="10"/>
  <c r="M106" i="10"/>
  <c r="G106" i="10"/>
  <c r="H99" i="10"/>
  <c r="L99" i="10"/>
  <c r="P99" i="10"/>
  <c r="T99" i="10"/>
  <c r="X99" i="10"/>
  <c r="I99" i="10"/>
  <c r="N99" i="10"/>
  <c r="S99" i="10"/>
  <c r="Y99" i="10"/>
  <c r="F99" i="10"/>
  <c r="E99" i="10" s="1"/>
  <c r="K99" i="10"/>
  <c r="Q99" i="10"/>
  <c r="V99" i="10"/>
  <c r="G99" i="10"/>
  <c r="M99" i="10"/>
  <c r="R99" i="10"/>
  <c r="W99" i="10"/>
  <c r="S115" i="10"/>
  <c r="O115" i="10"/>
  <c r="G115" i="10"/>
  <c r="U114" i="10"/>
  <c r="M114" i="10"/>
  <c r="Z110" i="10"/>
  <c r="U110" i="10"/>
  <c r="O110" i="10"/>
  <c r="J110" i="10"/>
  <c r="X116" i="10"/>
  <c r="T116" i="10"/>
  <c r="P116" i="10"/>
  <c r="L116" i="10"/>
  <c r="Z115" i="10"/>
  <c r="V115" i="10"/>
  <c r="R115" i="10"/>
  <c r="N115" i="10"/>
  <c r="J115" i="10"/>
  <c r="X114" i="10"/>
  <c r="T114" i="10"/>
  <c r="P114" i="10"/>
  <c r="L114" i="10"/>
  <c r="Z113" i="10"/>
  <c r="V113" i="10"/>
  <c r="R113" i="10"/>
  <c r="N113" i="10"/>
  <c r="J113" i="10"/>
  <c r="X112" i="10"/>
  <c r="T112" i="10"/>
  <c r="P112" i="10"/>
  <c r="L112" i="10"/>
  <c r="Z111" i="10"/>
  <c r="V111" i="10"/>
  <c r="R111" i="10"/>
  <c r="M111" i="10"/>
  <c r="H111" i="10"/>
  <c r="Y110" i="10"/>
  <c r="S110" i="10"/>
  <c r="N110" i="10"/>
  <c r="I110" i="10"/>
  <c r="Y109" i="10"/>
  <c r="T109" i="10"/>
  <c r="O109" i="10"/>
  <c r="I109" i="10"/>
  <c r="H108" i="10"/>
  <c r="L108" i="10"/>
  <c r="P108" i="10"/>
  <c r="T108" i="10"/>
  <c r="X108" i="10"/>
  <c r="F107" i="10"/>
  <c r="E107" i="10" s="1"/>
  <c r="J107" i="10"/>
  <c r="N107" i="10"/>
  <c r="R107" i="10"/>
  <c r="V107" i="10"/>
  <c r="Z107" i="10"/>
  <c r="V106" i="10"/>
  <c r="Q106" i="10"/>
  <c r="K106" i="10"/>
  <c r="F106" i="10"/>
  <c r="E106" i="10" s="1"/>
  <c r="W105" i="10"/>
  <c r="Q105" i="10"/>
  <c r="L105" i="10"/>
  <c r="G105" i="10"/>
  <c r="U101" i="10"/>
  <c r="J101" i="10"/>
  <c r="U99" i="10"/>
  <c r="H103" i="10"/>
  <c r="L103" i="10"/>
  <c r="P103" i="10"/>
  <c r="T103" i="10"/>
  <c r="X103" i="10"/>
  <c r="F102" i="10"/>
  <c r="E102" i="10" s="1"/>
  <c r="J102" i="10"/>
  <c r="N102" i="10"/>
  <c r="R102" i="10"/>
  <c r="V102" i="10"/>
  <c r="Z102" i="10"/>
  <c r="W100" i="10"/>
  <c r="Q100" i="10"/>
  <c r="L100" i="10"/>
  <c r="X98" i="10"/>
  <c r="S98" i="10"/>
  <c r="M98" i="10"/>
  <c r="H98" i="10"/>
  <c r="Y97" i="10"/>
  <c r="S97" i="10"/>
  <c r="N97" i="10"/>
  <c r="H95" i="10"/>
  <c r="L95" i="10"/>
  <c r="P95" i="10"/>
  <c r="T95" i="10"/>
  <c r="X95" i="10"/>
  <c r="F94" i="10"/>
  <c r="E94" i="10" s="1"/>
  <c r="J94" i="10"/>
  <c r="N94" i="10"/>
  <c r="R94" i="10"/>
  <c r="V94" i="10"/>
  <c r="Z94" i="10"/>
  <c r="V93" i="10"/>
  <c r="Q93" i="10"/>
  <c r="K93" i="10"/>
  <c r="W92" i="10"/>
  <c r="Q92" i="10"/>
  <c r="L92" i="10"/>
  <c r="W91" i="10"/>
  <c r="R91" i="10"/>
  <c r="M91" i="10"/>
  <c r="G91" i="10"/>
  <c r="X90" i="10"/>
  <c r="S90" i="10"/>
  <c r="M90" i="10"/>
  <c r="H90" i="10"/>
  <c r="F100" i="10"/>
  <c r="E100" i="10" s="1"/>
  <c r="J100" i="10"/>
  <c r="N100" i="10"/>
  <c r="R100" i="10"/>
  <c r="V100" i="10"/>
  <c r="Z100" i="10"/>
  <c r="W98" i="10"/>
  <c r="Q98" i="10"/>
  <c r="L98" i="10"/>
  <c r="H93" i="10"/>
  <c r="L93" i="10"/>
  <c r="P93" i="10"/>
  <c r="T93" i="10"/>
  <c r="X93" i="10"/>
  <c r="F92" i="10"/>
  <c r="E92" i="10" s="1"/>
  <c r="J92" i="10"/>
  <c r="N92" i="10"/>
  <c r="R92" i="10"/>
  <c r="V92" i="10"/>
  <c r="Z92" i="10"/>
  <c r="V91" i="10"/>
  <c r="Q91" i="10"/>
  <c r="K91" i="10"/>
  <c r="W90" i="10"/>
  <c r="Q90" i="10"/>
  <c r="L90" i="10"/>
  <c r="F98" i="10"/>
  <c r="E98" i="10" s="1"/>
  <c r="J98" i="10"/>
  <c r="N98" i="10"/>
  <c r="R98" i="10"/>
  <c r="V98" i="10"/>
  <c r="Z98" i="10"/>
  <c r="Y93" i="10"/>
  <c r="S93" i="10"/>
  <c r="N93" i="10"/>
  <c r="I93" i="10"/>
  <c r="H91" i="10"/>
  <c r="L91" i="10"/>
  <c r="P91" i="10"/>
  <c r="T91" i="10"/>
  <c r="X91" i="10"/>
  <c r="F90" i="10"/>
  <c r="E90" i="10" s="1"/>
  <c r="J90" i="10"/>
  <c r="N90" i="10"/>
  <c r="R90" i="10"/>
  <c r="V90" i="10"/>
  <c r="Z90" i="10"/>
  <c r="F104" i="10"/>
  <c r="E104" i="10" s="1"/>
  <c r="J104" i="10"/>
  <c r="N104" i="10"/>
  <c r="V103" i="10"/>
  <c r="Q103" i="10"/>
  <c r="K103" i="10"/>
  <c r="F103" i="10"/>
  <c r="E103" i="10" s="1"/>
  <c r="W102" i="10"/>
  <c r="Q102" i="10"/>
  <c r="L102" i="10"/>
  <c r="G102" i="10"/>
  <c r="X100" i="10"/>
  <c r="S100" i="10"/>
  <c r="M100" i="10"/>
  <c r="H100" i="10"/>
  <c r="Y98" i="10"/>
  <c r="T98" i="10"/>
  <c r="O98" i="10"/>
  <c r="I98" i="10"/>
  <c r="H97" i="10"/>
  <c r="L97" i="10"/>
  <c r="P97" i="10"/>
  <c r="T97" i="10"/>
  <c r="X97" i="10"/>
  <c r="F96" i="10"/>
  <c r="E96" i="10" s="1"/>
  <c r="J96" i="10"/>
  <c r="N96" i="10"/>
  <c r="R96" i="10"/>
  <c r="V96" i="10"/>
  <c r="Z96" i="10"/>
  <c r="V95" i="10"/>
  <c r="Q95" i="10"/>
  <c r="K95" i="10"/>
  <c r="F95" i="10"/>
  <c r="E95" i="10" s="1"/>
  <c r="W94" i="10"/>
  <c r="Q94" i="10"/>
  <c r="L94" i="10"/>
  <c r="G94" i="10"/>
  <c r="W93" i="10"/>
  <c r="R93" i="10"/>
  <c r="M93" i="10"/>
  <c r="G93" i="10"/>
  <c r="X92" i="10"/>
  <c r="S92" i="10"/>
  <c r="M92" i="10"/>
  <c r="H92" i="10"/>
  <c r="Y91" i="10"/>
  <c r="S91" i="10"/>
  <c r="N91" i="10"/>
  <c r="I91" i="10"/>
  <c r="Y90" i="10"/>
  <c r="T90" i="10"/>
  <c r="O90" i="10"/>
  <c r="I90" i="10"/>
  <c r="X89" i="10"/>
  <c r="T89" i="10"/>
  <c r="P89" i="10"/>
  <c r="L89" i="10"/>
  <c r="Y88" i="10"/>
  <c r="U88" i="10"/>
  <c r="Q88" i="10"/>
  <c r="M88" i="10"/>
  <c r="I88" i="10"/>
  <c r="X88" i="10"/>
  <c r="T88" i="10"/>
  <c r="P88" i="10"/>
  <c r="L88" i="10"/>
  <c r="H88" i="10"/>
  <c r="W88" i="10"/>
  <c r="S88" i="10"/>
  <c r="O88" i="10"/>
  <c r="K88" i="10"/>
  <c r="G88" i="10"/>
  <c r="Z88" i="10"/>
  <c r="V88" i="10"/>
  <c r="R88" i="10"/>
  <c r="N88" i="10"/>
  <c r="J88" i="10"/>
  <c r="W36" i="10"/>
  <c r="O40" i="10"/>
  <c r="G36" i="10"/>
  <c r="O48" i="10"/>
  <c r="Z46" i="10"/>
  <c r="S36" i="10"/>
  <c r="M27" i="10"/>
  <c r="J48" i="10"/>
  <c r="S46" i="10"/>
  <c r="R40" i="10"/>
  <c r="M36" i="10"/>
  <c r="R46" i="10"/>
  <c r="T45" i="10"/>
  <c r="Z40" i="10"/>
  <c r="J40" i="10"/>
  <c r="S32" i="10"/>
  <c r="T48" i="10"/>
  <c r="M46" i="10"/>
  <c r="K45" i="10"/>
  <c r="Z42" i="10"/>
  <c r="U40" i="10"/>
  <c r="G40" i="10"/>
  <c r="P39" i="10"/>
  <c r="O36" i="10"/>
  <c r="O32" i="10"/>
  <c r="U26" i="10"/>
  <c r="U23" i="10"/>
  <c r="X47" i="10"/>
  <c r="K47" i="10"/>
  <c r="M45" i="10"/>
  <c r="M37" i="10"/>
  <c r="U47" i="10"/>
  <c r="P47" i="10"/>
  <c r="U42" i="10"/>
  <c r="M32" i="10"/>
  <c r="U30" i="10"/>
  <c r="M23" i="10"/>
  <c r="Z22" i="10"/>
  <c r="J22" i="10"/>
  <c r="M47" i="10"/>
  <c r="Y46" i="10"/>
  <c r="J46" i="10"/>
  <c r="S45" i="10"/>
  <c r="J42" i="10"/>
  <c r="W40" i="10"/>
  <c r="M40" i="10"/>
  <c r="X39" i="10"/>
  <c r="M39" i="10"/>
  <c r="W32" i="10"/>
  <c r="G32" i="10"/>
  <c r="M30" i="10"/>
  <c r="Y50" i="10"/>
  <c r="I50" i="10"/>
  <c r="U49" i="10"/>
  <c r="O49" i="10"/>
  <c r="G49" i="10"/>
  <c r="V48" i="10"/>
  <c r="M48" i="10"/>
  <c r="K41" i="10"/>
  <c r="R38" i="10"/>
  <c r="I35" i="10"/>
  <c r="I31" i="10"/>
  <c r="O30" i="10"/>
  <c r="U29" i="10"/>
  <c r="U27" i="10"/>
  <c r="K24" i="10"/>
  <c r="Q23" i="10"/>
  <c r="Y35" i="10"/>
  <c r="Y31" i="10"/>
  <c r="Y22" i="10"/>
  <c r="Q22" i="10"/>
  <c r="I22" i="10"/>
  <c r="U50" i="10"/>
  <c r="Y49" i="10"/>
  <c r="Q49" i="10"/>
  <c r="K49" i="10"/>
  <c r="Z48" i="10"/>
  <c r="R48" i="10"/>
  <c r="G48" i="10"/>
  <c r="S47" i="10"/>
  <c r="H47" i="10"/>
  <c r="W46" i="10"/>
  <c r="O46" i="10"/>
  <c r="I46" i="10"/>
  <c r="X45" i="10"/>
  <c r="P45" i="10"/>
  <c r="I45" i="10"/>
  <c r="U37" i="10"/>
  <c r="U36" i="10"/>
  <c r="K36" i="10"/>
  <c r="U35" i="10"/>
  <c r="U34" i="10"/>
  <c r="U32" i="10"/>
  <c r="U31" i="10"/>
  <c r="W30" i="10"/>
  <c r="G30" i="10"/>
  <c r="U28" i="10"/>
  <c r="U24" i="10"/>
  <c r="Y23" i="10"/>
  <c r="I23" i="10"/>
  <c r="T49" i="10"/>
  <c r="L49" i="10"/>
  <c r="V22" i="10"/>
  <c r="N22" i="10"/>
  <c r="F22" i="10"/>
  <c r="E22" i="10" s="1"/>
  <c r="Q50" i="10"/>
  <c r="W49" i="10"/>
  <c r="P49" i="10"/>
  <c r="I49" i="10"/>
  <c r="U46" i="10"/>
  <c r="N46" i="10"/>
  <c r="G46" i="10"/>
  <c r="U45" i="10"/>
  <c r="O45" i="10"/>
  <c r="H45" i="10"/>
  <c r="U41" i="10"/>
  <c r="Y38" i="10"/>
  <c r="O35" i="10"/>
  <c r="Q31" i="10"/>
  <c r="S24" i="10"/>
  <c r="W48" i="10"/>
  <c r="S48" i="10"/>
  <c r="N48" i="10"/>
  <c r="I48" i="10"/>
  <c r="Y47" i="10"/>
  <c r="T47" i="10"/>
  <c r="O47" i="10"/>
  <c r="I47" i="10"/>
  <c r="S44" i="10"/>
  <c r="I44" i="10"/>
  <c r="T43" i="10"/>
  <c r="I43" i="10"/>
  <c r="O42" i="10"/>
  <c r="P41" i="10"/>
  <c r="Y40" i="10"/>
  <c r="S40" i="10"/>
  <c r="N40" i="10"/>
  <c r="I40" i="10"/>
  <c r="Y39" i="10"/>
  <c r="T39" i="10"/>
  <c r="O39" i="10"/>
  <c r="I39" i="10"/>
  <c r="Z38" i="10"/>
  <c r="S38" i="10"/>
  <c r="K38" i="10"/>
  <c r="Q37" i="10"/>
  <c r="Y36" i="10"/>
  <c r="Q36" i="10"/>
  <c r="W35" i="10"/>
  <c r="M35" i="10"/>
  <c r="W34" i="10"/>
  <c r="G34" i="10"/>
  <c r="K28" i="10"/>
  <c r="Q27" i="10"/>
  <c r="W26" i="10"/>
  <c r="G26" i="10"/>
  <c r="S23" i="10"/>
  <c r="K23" i="10"/>
  <c r="P43" i="10"/>
  <c r="M50" i="10"/>
  <c r="X49" i="10"/>
  <c r="S49" i="10"/>
  <c r="M49" i="10"/>
  <c r="H49" i="10"/>
  <c r="Y48" i="10"/>
  <c r="U48" i="10"/>
  <c r="Q48" i="10"/>
  <c r="K48" i="10"/>
  <c r="W47" i="10"/>
  <c r="Q47" i="10"/>
  <c r="L47" i="10"/>
  <c r="Y44" i="10"/>
  <c r="N44" i="10"/>
  <c r="Y43" i="10"/>
  <c r="O43" i="10"/>
  <c r="V40" i="10"/>
  <c r="Q40" i="10"/>
  <c r="K40" i="10"/>
  <c r="W39" i="10"/>
  <c r="Q39" i="10"/>
  <c r="L39" i="10"/>
  <c r="W38" i="10"/>
  <c r="O38" i="10"/>
  <c r="Y37" i="10"/>
  <c r="K37" i="10"/>
  <c r="Q35" i="10"/>
  <c r="G35" i="10"/>
  <c r="O34" i="10"/>
  <c r="M31" i="10"/>
  <c r="S28" i="10"/>
  <c r="Y27" i="10"/>
  <c r="I27" i="10"/>
  <c r="O26" i="10"/>
  <c r="U25" i="10"/>
  <c r="W23" i="10"/>
  <c r="O23" i="10"/>
  <c r="G23" i="10"/>
  <c r="Z44" i="10"/>
  <c r="O44" i="10"/>
  <c r="U44" i="10"/>
  <c r="U43" i="10"/>
  <c r="U38" i="10"/>
  <c r="M38" i="10"/>
  <c r="M34" i="10"/>
  <c r="M26" i="10"/>
  <c r="Z50" i="10"/>
  <c r="V50" i="10"/>
  <c r="R50" i="10"/>
  <c r="N50" i="10"/>
  <c r="J50" i="10"/>
  <c r="F50" i="10"/>
  <c r="E50" i="10" s="1"/>
  <c r="H44" i="10"/>
  <c r="L44" i="10"/>
  <c r="P44" i="10"/>
  <c r="T44" i="10"/>
  <c r="X44" i="10"/>
  <c r="F43" i="10"/>
  <c r="E43" i="10" s="1"/>
  <c r="J43" i="10"/>
  <c r="N43" i="10"/>
  <c r="R43" i="10"/>
  <c r="V43" i="10"/>
  <c r="Z43" i="10"/>
  <c r="V42" i="10"/>
  <c r="Q42" i="10"/>
  <c r="K42" i="10"/>
  <c r="W41" i="10"/>
  <c r="Q41" i="10"/>
  <c r="L41" i="10"/>
  <c r="F33" i="10"/>
  <c r="E33" i="10" s="1"/>
  <c r="J33" i="10"/>
  <c r="N33" i="10"/>
  <c r="R33" i="10"/>
  <c r="V33" i="10"/>
  <c r="Z33" i="10"/>
  <c r="H33" i="10"/>
  <c r="L33" i="10"/>
  <c r="P33" i="10"/>
  <c r="T33" i="10"/>
  <c r="X33" i="10"/>
  <c r="I33" i="10"/>
  <c r="Q33" i="10"/>
  <c r="Y33" i="10"/>
  <c r="K33" i="10"/>
  <c r="S33" i="10"/>
  <c r="G33" i="10"/>
  <c r="O33" i="10"/>
  <c r="W33" i="10"/>
  <c r="H42" i="10"/>
  <c r="L42" i="10"/>
  <c r="P42" i="10"/>
  <c r="T42" i="10"/>
  <c r="X42" i="10"/>
  <c r="F41" i="10"/>
  <c r="E41" i="10" s="1"/>
  <c r="J41" i="10"/>
  <c r="N41" i="10"/>
  <c r="R41" i="10"/>
  <c r="V41" i="10"/>
  <c r="Z41" i="10"/>
  <c r="X50" i="10"/>
  <c r="T50" i="10"/>
  <c r="P50" i="10"/>
  <c r="L50" i="10"/>
  <c r="H50" i="10"/>
  <c r="Z49" i="10"/>
  <c r="V49" i="10"/>
  <c r="R49" i="10"/>
  <c r="N49" i="10"/>
  <c r="J49" i="10"/>
  <c r="H48" i="10"/>
  <c r="L48" i="10"/>
  <c r="P48" i="10"/>
  <c r="F47" i="10"/>
  <c r="E47" i="10" s="1"/>
  <c r="J47" i="10"/>
  <c r="N47" i="10"/>
  <c r="R47" i="10"/>
  <c r="V47" i="10"/>
  <c r="Z47" i="10"/>
  <c r="V46" i="10"/>
  <c r="Q46" i="10"/>
  <c r="K46" i="10"/>
  <c r="W45" i="10"/>
  <c r="Q45" i="10"/>
  <c r="L45" i="10"/>
  <c r="W44" i="10"/>
  <c r="R44" i="10"/>
  <c r="M44" i="10"/>
  <c r="G44" i="10"/>
  <c r="X43" i="10"/>
  <c r="S43" i="10"/>
  <c r="M43" i="10"/>
  <c r="H43" i="10"/>
  <c r="Y42" i="10"/>
  <c r="S42" i="10"/>
  <c r="N42" i="10"/>
  <c r="I42" i="10"/>
  <c r="Y41" i="10"/>
  <c r="T41" i="10"/>
  <c r="O41" i="10"/>
  <c r="I41" i="10"/>
  <c r="H40" i="10"/>
  <c r="L40" i="10"/>
  <c r="P40" i="10"/>
  <c r="T40" i="10"/>
  <c r="X40" i="10"/>
  <c r="F39" i="10"/>
  <c r="E39" i="10" s="1"/>
  <c r="J39" i="10"/>
  <c r="N39" i="10"/>
  <c r="R39" i="10"/>
  <c r="V39" i="10"/>
  <c r="Z39" i="10"/>
  <c r="V38" i="10"/>
  <c r="Q38" i="10"/>
  <c r="S37" i="10"/>
  <c r="U33" i="10"/>
  <c r="W50" i="10"/>
  <c r="S50" i="10"/>
  <c r="O50" i="10"/>
  <c r="K50" i="10"/>
  <c r="H46" i="10"/>
  <c r="L46" i="10"/>
  <c r="P46" i="10"/>
  <c r="T46" i="10"/>
  <c r="X46" i="10"/>
  <c r="F45" i="10"/>
  <c r="E45" i="10" s="1"/>
  <c r="J45" i="10"/>
  <c r="N45" i="10"/>
  <c r="R45" i="10"/>
  <c r="V45" i="10"/>
  <c r="Z45" i="10"/>
  <c r="V44" i="10"/>
  <c r="Q44" i="10"/>
  <c r="K44" i="10"/>
  <c r="F44" i="10"/>
  <c r="E44" i="10" s="1"/>
  <c r="W43" i="10"/>
  <c r="Q43" i="10"/>
  <c r="L43" i="10"/>
  <c r="G43" i="10"/>
  <c r="W42" i="10"/>
  <c r="R42" i="10"/>
  <c r="M42" i="10"/>
  <c r="G42" i="10"/>
  <c r="X41" i="10"/>
  <c r="S41" i="10"/>
  <c r="M41" i="10"/>
  <c r="H41" i="10"/>
  <c r="H38" i="10"/>
  <c r="L38" i="10"/>
  <c r="F38" i="10"/>
  <c r="E38" i="10" s="1"/>
  <c r="J38" i="10"/>
  <c r="N38" i="10"/>
  <c r="I38" i="10"/>
  <c r="P38" i="10"/>
  <c r="T38" i="10"/>
  <c r="X38" i="10"/>
  <c r="F37" i="10"/>
  <c r="E37" i="10" s="1"/>
  <c r="J37" i="10"/>
  <c r="N37" i="10"/>
  <c r="R37" i="10"/>
  <c r="V37" i="10"/>
  <c r="Z37" i="10"/>
  <c r="H37" i="10"/>
  <c r="L37" i="10"/>
  <c r="P37" i="10"/>
  <c r="T37" i="10"/>
  <c r="X37" i="10"/>
  <c r="G37" i="10"/>
  <c r="O37" i="10"/>
  <c r="W37" i="10"/>
  <c r="M33" i="10"/>
  <c r="F29" i="10"/>
  <c r="E29" i="10" s="1"/>
  <c r="J29" i="10"/>
  <c r="N29" i="10"/>
  <c r="R29" i="10"/>
  <c r="V29" i="10"/>
  <c r="Z29" i="10"/>
  <c r="H29" i="10"/>
  <c r="L29" i="10"/>
  <c r="P29" i="10"/>
  <c r="T29" i="10"/>
  <c r="X29" i="10"/>
  <c r="I29" i="10"/>
  <c r="Q29" i="10"/>
  <c r="Y29" i="10"/>
  <c r="K29" i="10"/>
  <c r="S29" i="10"/>
  <c r="G29" i="10"/>
  <c r="O29" i="10"/>
  <c r="W29" i="10"/>
  <c r="F25" i="10"/>
  <c r="E25" i="10" s="1"/>
  <c r="J25" i="10"/>
  <c r="N25" i="10"/>
  <c r="R25" i="10"/>
  <c r="V25" i="10"/>
  <c r="Z25" i="10"/>
  <c r="H25" i="10"/>
  <c r="L25" i="10"/>
  <c r="P25" i="10"/>
  <c r="T25" i="10"/>
  <c r="X25" i="10"/>
  <c r="I25" i="10"/>
  <c r="Q25" i="10"/>
  <c r="Y25" i="10"/>
  <c r="K25" i="10"/>
  <c r="S25" i="10"/>
  <c r="G25" i="10"/>
  <c r="O25" i="10"/>
  <c r="W25" i="10"/>
  <c r="H36" i="10"/>
  <c r="L36" i="10"/>
  <c r="P36" i="10"/>
  <c r="T36" i="10"/>
  <c r="X36" i="10"/>
  <c r="F36" i="10"/>
  <c r="E36" i="10" s="1"/>
  <c r="J36" i="10"/>
  <c r="N36" i="10"/>
  <c r="R36" i="10"/>
  <c r="V36" i="10"/>
  <c r="Z36" i="10"/>
  <c r="S35" i="10"/>
  <c r="Y34" i="10"/>
  <c r="Q34" i="10"/>
  <c r="H32" i="10"/>
  <c r="L32" i="10"/>
  <c r="P32" i="10"/>
  <c r="T32" i="10"/>
  <c r="X32" i="10"/>
  <c r="F32" i="10"/>
  <c r="E32" i="10" s="1"/>
  <c r="J32" i="10"/>
  <c r="N32" i="10"/>
  <c r="R32" i="10"/>
  <c r="V32" i="10"/>
  <c r="Z32" i="10"/>
  <c r="S31" i="10"/>
  <c r="K31" i="10"/>
  <c r="Y30" i="10"/>
  <c r="Q30" i="10"/>
  <c r="H28" i="10"/>
  <c r="L28" i="10"/>
  <c r="P28" i="10"/>
  <c r="T28" i="10"/>
  <c r="X28" i="10"/>
  <c r="F28" i="10"/>
  <c r="E28" i="10" s="1"/>
  <c r="J28" i="10"/>
  <c r="N28" i="10"/>
  <c r="R28" i="10"/>
  <c r="V28" i="10"/>
  <c r="Z28" i="10"/>
  <c r="S27" i="10"/>
  <c r="K27" i="10"/>
  <c r="Y26" i="10"/>
  <c r="Q26" i="10"/>
  <c r="H24" i="10"/>
  <c r="L24" i="10"/>
  <c r="P24" i="10"/>
  <c r="T24" i="10"/>
  <c r="X24" i="10"/>
  <c r="F24" i="10"/>
  <c r="E24" i="10" s="1"/>
  <c r="J24" i="10"/>
  <c r="N24" i="10"/>
  <c r="R24" i="10"/>
  <c r="V24" i="10"/>
  <c r="Z24" i="10"/>
  <c r="H34" i="10"/>
  <c r="L34" i="10"/>
  <c r="P34" i="10"/>
  <c r="T34" i="10"/>
  <c r="X34" i="10"/>
  <c r="F34" i="10"/>
  <c r="E34" i="10" s="1"/>
  <c r="J34" i="10"/>
  <c r="N34" i="10"/>
  <c r="R34" i="10"/>
  <c r="V34" i="10"/>
  <c r="Z34" i="10"/>
  <c r="Y32" i="10"/>
  <c r="Q32" i="10"/>
  <c r="I32" i="10"/>
  <c r="W31" i="10"/>
  <c r="O31" i="10"/>
  <c r="H30" i="10"/>
  <c r="L30" i="10"/>
  <c r="P30" i="10"/>
  <c r="T30" i="10"/>
  <c r="X30" i="10"/>
  <c r="F30" i="10"/>
  <c r="E30" i="10" s="1"/>
  <c r="J30" i="10"/>
  <c r="N30" i="10"/>
  <c r="R30" i="10"/>
  <c r="V30" i="10"/>
  <c r="Z30" i="10"/>
  <c r="Y28" i="10"/>
  <c r="Q28" i="10"/>
  <c r="I28" i="10"/>
  <c r="W27" i="10"/>
  <c r="O27" i="10"/>
  <c r="H26" i="10"/>
  <c r="L26" i="10"/>
  <c r="P26" i="10"/>
  <c r="T26" i="10"/>
  <c r="X26" i="10"/>
  <c r="F26" i="10"/>
  <c r="E26" i="10" s="1"/>
  <c r="J26" i="10"/>
  <c r="N26" i="10"/>
  <c r="R26" i="10"/>
  <c r="V26" i="10"/>
  <c r="Z26" i="10"/>
  <c r="Y24" i="10"/>
  <c r="Q24" i="10"/>
  <c r="I24" i="10"/>
  <c r="F35" i="10"/>
  <c r="E35" i="10" s="1"/>
  <c r="J35" i="10"/>
  <c r="N35" i="10"/>
  <c r="R35" i="10"/>
  <c r="V35" i="10"/>
  <c r="Z35" i="10"/>
  <c r="H35" i="10"/>
  <c r="L35" i="10"/>
  <c r="P35" i="10"/>
  <c r="T35" i="10"/>
  <c r="X35" i="10"/>
  <c r="S34" i="10"/>
  <c r="K34" i="10"/>
  <c r="F31" i="10"/>
  <c r="E31" i="10" s="1"/>
  <c r="J31" i="10"/>
  <c r="N31" i="10"/>
  <c r="R31" i="10"/>
  <c r="V31" i="10"/>
  <c r="Z31" i="10"/>
  <c r="H31" i="10"/>
  <c r="L31" i="10"/>
  <c r="P31" i="10"/>
  <c r="T31" i="10"/>
  <c r="X31" i="10"/>
  <c r="S30" i="10"/>
  <c r="K30" i="10"/>
  <c r="W28" i="10"/>
  <c r="O28" i="10"/>
  <c r="G28" i="10"/>
  <c r="F27" i="10"/>
  <c r="E27" i="10" s="1"/>
  <c r="J27" i="10"/>
  <c r="N27" i="10"/>
  <c r="R27" i="10"/>
  <c r="V27" i="10"/>
  <c r="Z27" i="10"/>
  <c r="H27" i="10"/>
  <c r="L27" i="10"/>
  <c r="P27" i="10"/>
  <c r="T27" i="10"/>
  <c r="X27" i="10"/>
  <c r="S26" i="10"/>
  <c r="K26" i="10"/>
  <c r="W24" i="10"/>
  <c r="O24" i="10"/>
  <c r="G24" i="10"/>
  <c r="X23" i="10"/>
  <c r="T23" i="10"/>
  <c r="P23" i="10"/>
  <c r="L23" i="10"/>
  <c r="H23" i="10"/>
  <c r="Z23" i="10"/>
  <c r="V23" i="10"/>
  <c r="R23" i="10"/>
  <c r="N23" i="10"/>
  <c r="J23" i="10"/>
  <c r="X22" i="10"/>
  <c r="T22" i="10"/>
  <c r="P22" i="10"/>
  <c r="L22" i="10"/>
  <c r="H22" i="10"/>
  <c r="W22" i="10"/>
  <c r="S22" i="10"/>
  <c r="O22" i="10"/>
  <c r="K22" i="10"/>
  <c r="X63" i="10"/>
  <c r="P63" i="10"/>
  <c r="Q63" i="10"/>
  <c r="K66" i="10"/>
  <c r="Q64" i="10"/>
  <c r="Z63" i="10"/>
  <c r="H63" i="10"/>
  <c r="U56" i="10"/>
  <c r="Z66" i="10"/>
  <c r="Z64" i="10"/>
  <c r="J60" i="10"/>
  <c r="P64" i="10"/>
  <c r="U60" i="10"/>
  <c r="T56" i="10"/>
  <c r="Z60" i="10"/>
  <c r="O70" i="10"/>
  <c r="F64" i="10"/>
  <c r="E64" i="10" s="1"/>
  <c r="P60" i="10"/>
  <c r="L56" i="10"/>
  <c r="G81" i="10"/>
  <c r="U70" i="10"/>
  <c r="O66" i="10"/>
  <c r="R63" i="10"/>
  <c r="J63" i="10"/>
  <c r="Y62" i="10"/>
  <c r="J62" i="10"/>
  <c r="V60" i="10"/>
  <c r="L60" i="10"/>
  <c r="Z59" i="10"/>
  <c r="Q59" i="10"/>
  <c r="H59" i="10"/>
  <c r="P57" i="10"/>
  <c r="M56" i="10"/>
  <c r="X59" i="10"/>
  <c r="P59" i="10"/>
  <c r="R62" i="10"/>
  <c r="Q60" i="10"/>
  <c r="F60" i="10"/>
  <c r="E60" i="10" s="1"/>
  <c r="V59" i="10"/>
  <c r="L59" i="10"/>
  <c r="T62" i="10"/>
  <c r="L81" i="10"/>
  <c r="V66" i="10"/>
  <c r="V63" i="10"/>
  <c r="L63" i="10"/>
  <c r="Z62" i="10"/>
  <c r="M62" i="10"/>
  <c r="R59" i="10"/>
  <c r="J59" i="10"/>
  <c r="Z57" i="10"/>
  <c r="W76" i="10"/>
  <c r="Q77" i="10"/>
  <c r="R76" i="10"/>
  <c r="X75" i="10"/>
  <c r="Z70" i="10"/>
  <c r="K70" i="10"/>
  <c r="W69" i="10"/>
  <c r="L69" i="10"/>
  <c r="U66" i="10"/>
  <c r="J66" i="10"/>
  <c r="U63" i="10"/>
  <c r="M63" i="10"/>
  <c r="F63" i="10"/>
  <c r="E63" i="10" s="1"/>
  <c r="X62" i="10"/>
  <c r="P62" i="10"/>
  <c r="I62" i="10"/>
  <c r="U59" i="10"/>
  <c r="M59" i="10"/>
  <c r="F59" i="10"/>
  <c r="E59" i="10" s="1"/>
  <c r="V57" i="10"/>
  <c r="L57" i="10"/>
  <c r="Y56" i="10"/>
  <c r="Q56" i="10"/>
  <c r="I56" i="10"/>
  <c r="W81" i="10"/>
  <c r="Q81" i="10"/>
  <c r="G77" i="10"/>
  <c r="M76" i="10"/>
  <c r="S75" i="10"/>
  <c r="V70" i="10"/>
  <c r="J70" i="10"/>
  <c r="T69" i="10"/>
  <c r="K69" i="10"/>
  <c r="Q66" i="10"/>
  <c r="F66" i="10"/>
  <c r="E66" i="10" s="1"/>
  <c r="V64" i="10"/>
  <c r="L64" i="10"/>
  <c r="U62" i="10"/>
  <c r="N62" i="10"/>
  <c r="H62" i="10"/>
  <c r="U57" i="10"/>
  <c r="J57" i="10"/>
  <c r="X56" i="10"/>
  <c r="P56" i="10"/>
  <c r="H56" i="10"/>
  <c r="Y69" i="10"/>
  <c r="P69" i="10"/>
  <c r="G76" i="10"/>
  <c r="M75" i="10"/>
  <c r="Q69" i="10"/>
  <c r="I69" i="10"/>
  <c r="U64" i="10"/>
  <c r="J64" i="10"/>
  <c r="Q57" i="10"/>
  <c r="F57" i="10"/>
  <c r="E57" i="10" s="1"/>
  <c r="Z74" i="10"/>
  <c r="U74" i="10"/>
  <c r="O74" i="10"/>
  <c r="J74" i="10"/>
  <c r="P67" i="10"/>
  <c r="Y58" i="10"/>
  <c r="U58" i="10"/>
  <c r="Q58" i="10"/>
  <c r="M58" i="10"/>
  <c r="I58" i="10"/>
  <c r="T79" i="10"/>
  <c r="M79" i="10"/>
  <c r="U77" i="10"/>
  <c r="K77" i="10"/>
  <c r="V74" i="10"/>
  <c r="Q74" i="10"/>
  <c r="K74" i="10"/>
  <c r="F74" i="10"/>
  <c r="E74" i="10" s="1"/>
  <c r="W73" i="10"/>
  <c r="Q73" i="10"/>
  <c r="L73" i="10"/>
  <c r="G73" i="10"/>
  <c r="G68" i="10"/>
  <c r="S67" i="10"/>
  <c r="H67" i="10"/>
  <c r="W66" i="10"/>
  <c r="R66" i="10"/>
  <c r="M66" i="10"/>
  <c r="G66" i="10"/>
  <c r="X65" i="10"/>
  <c r="P65" i="10"/>
  <c r="H65" i="10"/>
  <c r="X64" i="10"/>
  <c r="R64" i="10"/>
  <c r="M64" i="10"/>
  <c r="H64" i="10"/>
  <c r="Y63" i="10"/>
  <c r="T63" i="10"/>
  <c r="N63" i="10"/>
  <c r="I63" i="10"/>
  <c r="V61" i="10"/>
  <c r="Q61" i="10"/>
  <c r="L61" i="10"/>
  <c r="F61" i="10"/>
  <c r="E61" i="10" s="1"/>
  <c r="X60" i="10"/>
  <c r="R60" i="10"/>
  <c r="M60" i="10"/>
  <c r="H60" i="10"/>
  <c r="Y59" i="10"/>
  <c r="T59" i="10"/>
  <c r="N59" i="10"/>
  <c r="I59" i="10"/>
  <c r="Z58" i="10"/>
  <c r="V58" i="10"/>
  <c r="R58" i="10"/>
  <c r="N58" i="10"/>
  <c r="J58" i="10"/>
  <c r="F58" i="10"/>
  <c r="E58" i="10" s="1"/>
  <c r="X57" i="10"/>
  <c r="R57" i="10"/>
  <c r="M57" i="10"/>
  <c r="H57" i="10"/>
  <c r="V55" i="10"/>
  <c r="Q55" i="10"/>
  <c r="L55" i="10"/>
  <c r="F55" i="10"/>
  <c r="E55" i="10" s="1"/>
  <c r="U79" i="10"/>
  <c r="W68" i="10"/>
  <c r="Z61" i="10"/>
  <c r="U61" i="10"/>
  <c r="P61" i="10"/>
  <c r="J61" i="10"/>
  <c r="Z55" i="10"/>
  <c r="U55" i="10"/>
  <c r="P55" i="10"/>
  <c r="J55" i="10"/>
  <c r="Y74" i="10"/>
  <c r="S74" i="10"/>
  <c r="N74" i="10"/>
  <c r="I74" i="10"/>
  <c r="Y73" i="10"/>
  <c r="T73" i="10"/>
  <c r="O73" i="10"/>
  <c r="I73" i="10"/>
  <c r="R68" i="10"/>
  <c r="X67" i="10"/>
  <c r="M67" i="10"/>
  <c r="T65" i="10"/>
  <c r="L65" i="10"/>
  <c r="Y61" i="10"/>
  <c r="T61" i="10"/>
  <c r="N61" i="10"/>
  <c r="I61" i="10"/>
  <c r="X58" i="10"/>
  <c r="T58" i="10"/>
  <c r="P58" i="10"/>
  <c r="L58" i="10"/>
  <c r="H58" i="10"/>
  <c r="W56" i="10"/>
  <c r="S56" i="10"/>
  <c r="O56" i="10"/>
  <c r="K56" i="10"/>
  <c r="G56" i="10"/>
  <c r="Y55" i="10"/>
  <c r="T55" i="10"/>
  <c r="N55" i="10"/>
  <c r="I55" i="10"/>
  <c r="U73" i="10"/>
  <c r="P73" i="10"/>
  <c r="K73" i="10"/>
  <c r="U65" i="10"/>
  <c r="M65" i="10"/>
  <c r="P77" i="10"/>
  <c r="W77" i="10"/>
  <c r="L77" i="10"/>
  <c r="W74" i="10"/>
  <c r="R74" i="10"/>
  <c r="M74" i="10"/>
  <c r="X73" i="10"/>
  <c r="S73" i="10"/>
  <c r="M73" i="10"/>
  <c r="Q70" i="10"/>
  <c r="F70" i="10"/>
  <c r="E70" i="10" s="1"/>
  <c r="U69" i="10"/>
  <c r="O69" i="10"/>
  <c r="G69" i="10"/>
  <c r="M68" i="10"/>
  <c r="U67" i="10"/>
  <c r="K67" i="10"/>
  <c r="Y66" i="10"/>
  <c r="S66" i="10"/>
  <c r="N66" i="10"/>
  <c r="I66" i="10"/>
  <c r="Y65" i="10"/>
  <c r="Q65" i="10"/>
  <c r="I65" i="10"/>
  <c r="Y64" i="10"/>
  <c r="T64" i="10"/>
  <c r="N64" i="10"/>
  <c r="I64" i="10"/>
  <c r="V62" i="10"/>
  <c r="Q62" i="10"/>
  <c r="L62" i="10"/>
  <c r="F62" i="10"/>
  <c r="E62" i="10" s="1"/>
  <c r="X61" i="10"/>
  <c r="R61" i="10"/>
  <c r="M61" i="10"/>
  <c r="H61" i="10"/>
  <c r="Y60" i="10"/>
  <c r="T60" i="10"/>
  <c r="N60" i="10"/>
  <c r="I60" i="10"/>
  <c r="W58" i="10"/>
  <c r="S58" i="10"/>
  <c r="O58" i="10"/>
  <c r="K58" i="10"/>
  <c r="Y57" i="10"/>
  <c r="T57" i="10"/>
  <c r="N57" i="10"/>
  <c r="I57" i="10"/>
  <c r="Z56" i="10"/>
  <c r="V56" i="10"/>
  <c r="R56" i="10"/>
  <c r="N56" i="10"/>
  <c r="J56" i="10"/>
  <c r="X55" i="10"/>
  <c r="R55" i="10"/>
  <c r="M55" i="10"/>
  <c r="H55" i="10"/>
  <c r="W82" i="10"/>
  <c r="S82" i="10"/>
  <c r="O82" i="10"/>
  <c r="K82" i="10"/>
  <c r="G82" i="10"/>
  <c r="W83" i="10"/>
  <c r="S83" i="10"/>
  <c r="O83" i="10"/>
  <c r="K83" i="10"/>
  <c r="G83" i="10"/>
  <c r="Y82" i="10"/>
  <c r="U82" i="10"/>
  <c r="Q82" i="10"/>
  <c r="M82" i="10"/>
  <c r="I82" i="10"/>
  <c r="Z83" i="10"/>
  <c r="V83" i="10"/>
  <c r="R83" i="10"/>
  <c r="N83" i="10"/>
  <c r="J83" i="10"/>
  <c r="F83" i="10"/>
  <c r="E83" i="10" s="1"/>
  <c r="X82" i="10"/>
  <c r="T82" i="10"/>
  <c r="P82" i="10"/>
  <c r="L82" i="10"/>
  <c r="H82" i="10"/>
  <c r="Y83" i="10"/>
  <c r="U83" i="10"/>
  <c r="Q83" i="10"/>
  <c r="M83" i="10"/>
  <c r="I83" i="10"/>
  <c r="X83" i="10"/>
  <c r="T83" i="10"/>
  <c r="P83" i="10"/>
  <c r="L83" i="10"/>
  <c r="Z82" i="10"/>
  <c r="V82" i="10"/>
  <c r="R82" i="10"/>
  <c r="N82" i="10"/>
  <c r="J82" i="10"/>
  <c r="W80" i="10"/>
  <c r="R80" i="10"/>
  <c r="M80" i="10"/>
  <c r="H72" i="10"/>
  <c r="L72" i="10"/>
  <c r="P72" i="10"/>
  <c r="T72" i="10"/>
  <c r="X72" i="10"/>
  <c r="I72" i="10"/>
  <c r="N72" i="10"/>
  <c r="S72" i="10"/>
  <c r="Y72" i="10"/>
  <c r="F72" i="10"/>
  <c r="E72" i="10" s="1"/>
  <c r="K72" i="10"/>
  <c r="Q72" i="10"/>
  <c r="V72" i="10"/>
  <c r="G72" i="10"/>
  <c r="M72" i="10"/>
  <c r="R72" i="10"/>
  <c r="W72" i="10"/>
  <c r="X81" i="10"/>
  <c r="S81" i="10"/>
  <c r="M81" i="10"/>
  <c r="Y80" i="10"/>
  <c r="S80" i="10"/>
  <c r="N80" i="10"/>
  <c r="G80" i="10"/>
  <c r="F79" i="10"/>
  <c r="E79" i="10" s="1"/>
  <c r="J79" i="10"/>
  <c r="N79" i="10"/>
  <c r="R79" i="10"/>
  <c r="V79" i="10"/>
  <c r="Z79" i="10"/>
  <c r="G79" i="10"/>
  <c r="L79" i="10"/>
  <c r="Q79" i="10"/>
  <c r="W79" i="10"/>
  <c r="H79" i="10"/>
  <c r="Q78" i="10"/>
  <c r="J72" i="10"/>
  <c r="K71" i="10"/>
  <c r="H78" i="10"/>
  <c r="L78" i="10"/>
  <c r="P78" i="10"/>
  <c r="T78" i="10"/>
  <c r="X78" i="10"/>
  <c r="G78" i="10"/>
  <c r="M78" i="10"/>
  <c r="R78" i="10"/>
  <c r="W78" i="10"/>
  <c r="I78" i="10"/>
  <c r="N78" i="10"/>
  <c r="S78" i="10"/>
  <c r="Y78" i="10"/>
  <c r="Z72" i="10"/>
  <c r="F81" i="10"/>
  <c r="E81" i="10" s="1"/>
  <c r="J81" i="10"/>
  <c r="N81" i="10"/>
  <c r="R81" i="10"/>
  <c r="V81" i="10"/>
  <c r="Z81" i="10"/>
  <c r="V80" i="10"/>
  <c r="Q80" i="10"/>
  <c r="Y79" i="10"/>
  <c r="S79" i="10"/>
  <c r="K79" i="10"/>
  <c r="V78" i="10"/>
  <c r="K78" i="10"/>
  <c r="U72" i="10"/>
  <c r="H80" i="10"/>
  <c r="L80" i="10"/>
  <c r="F80" i="10"/>
  <c r="E80" i="10" s="1"/>
  <c r="K80" i="10"/>
  <c r="P80" i="10"/>
  <c r="T80" i="10"/>
  <c r="X80" i="10"/>
  <c r="Z78" i="10"/>
  <c r="O78" i="10"/>
  <c r="F71" i="10"/>
  <c r="E71" i="10" s="1"/>
  <c r="J71" i="10"/>
  <c r="N71" i="10"/>
  <c r="R71" i="10"/>
  <c r="V71" i="10"/>
  <c r="Z71" i="10"/>
  <c r="I71" i="10"/>
  <c r="O71" i="10"/>
  <c r="T71" i="10"/>
  <c r="Y71" i="10"/>
  <c r="G71" i="10"/>
  <c r="L71" i="10"/>
  <c r="Q71" i="10"/>
  <c r="W71" i="10"/>
  <c r="H71" i="10"/>
  <c r="M71" i="10"/>
  <c r="S71" i="10"/>
  <c r="X71" i="10"/>
  <c r="U81" i="10"/>
  <c r="P81" i="10"/>
  <c r="K81" i="10"/>
  <c r="Y81" i="10"/>
  <c r="T81" i="10"/>
  <c r="O81" i="10"/>
  <c r="I81" i="10"/>
  <c r="Z80" i="10"/>
  <c r="U80" i="10"/>
  <c r="O80" i="10"/>
  <c r="I80" i="10"/>
  <c r="X79" i="10"/>
  <c r="P79" i="10"/>
  <c r="I79" i="10"/>
  <c r="U78" i="10"/>
  <c r="J78" i="10"/>
  <c r="O72" i="10"/>
  <c r="P71" i="10"/>
  <c r="Y77" i="10"/>
  <c r="T77" i="10"/>
  <c r="O77" i="10"/>
  <c r="I77" i="10"/>
  <c r="Z76" i="10"/>
  <c r="U76" i="10"/>
  <c r="O76" i="10"/>
  <c r="J76" i="10"/>
  <c r="F75" i="10"/>
  <c r="E75" i="10" s="1"/>
  <c r="J75" i="10"/>
  <c r="N75" i="10"/>
  <c r="R75" i="10"/>
  <c r="V75" i="10"/>
  <c r="Z75" i="10"/>
  <c r="Y70" i="10"/>
  <c r="S70" i="10"/>
  <c r="N70" i="10"/>
  <c r="I70" i="10"/>
  <c r="Z68" i="10"/>
  <c r="U68" i="10"/>
  <c r="O68" i="10"/>
  <c r="J68" i="10"/>
  <c r="X77" i="10"/>
  <c r="S77" i="10"/>
  <c r="M77" i="10"/>
  <c r="Y76" i="10"/>
  <c r="S76" i="10"/>
  <c r="N76" i="10"/>
  <c r="I76" i="10"/>
  <c r="Y75" i="10"/>
  <c r="T75" i="10"/>
  <c r="O75" i="10"/>
  <c r="I75" i="10"/>
  <c r="H74" i="10"/>
  <c r="L74" i="10"/>
  <c r="P74" i="10"/>
  <c r="T74" i="10"/>
  <c r="X74" i="10"/>
  <c r="F73" i="10"/>
  <c r="E73" i="10" s="1"/>
  <c r="J73" i="10"/>
  <c r="N73" i="10"/>
  <c r="R73" i="10"/>
  <c r="V73" i="10"/>
  <c r="Z73" i="10"/>
  <c r="W70" i="10"/>
  <c r="R70" i="10"/>
  <c r="M70" i="10"/>
  <c r="X69" i="10"/>
  <c r="S69" i="10"/>
  <c r="M69" i="10"/>
  <c r="Y68" i="10"/>
  <c r="S68" i="10"/>
  <c r="N68" i="10"/>
  <c r="I68" i="10"/>
  <c r="Y67" i="10"/>
  <c r="T67" i="10"/>
  <c r="O67" i="10"/>
  <c r="I67" i="10"/>
  <c r="F77" i="10"/>
  <c r="E77" i="10" s="1"/>
  <c r="J77" i="10"/>
  <c r="N77" i="10"/>
  <c r="R77" i="10"/>
  <c r="V77" i="10"/>
  <c r="Z77" i="10"/>
  <c r="V76" i="10"/>
  <c r="Q76" i="10"/>
  <c r="K76" i="10"/>
  <c r="W75" i="10"/>
  <c r="Q75" i="10"/>
  <c r="L75" i="10"/>
  <c r="G75" i="10"/>
  <c r="H70" i="10"/>
  <c r="L70" i="10"/>
  <c r="P70" i="10"/>
  <c r="T70" i="10"/>
  <c r="X70" i="10"/>
  <c r="F69" i="10"/>
  <c r="E69" i="10" s="1"/>
  <c r="J69" i="10"/>
  <c r="N69" i="10"/>
  <c r="R69" i="10"/>
  <c r="V69" i="10"/>
  <c r="Z69" i="10"/>
  <c r="V68" i="10"/>
  <c r="Q68" i="10"/>
  <c r="K68" i="10"/>
  <c r="W67" i="10"/>
  <c r="Q67" i="10"/>
  <c r="L67" i="10"/>
  <c r="H76" i="10"/>
  <c r="L76" i="10"/>
  <c r="P76" i="10"/>
  <c r="T76" i="10"/>
  <c r="X76" i="10"/>
  <c r="U75" i="10"/>
  <c r="P75" i="10"/>
  <c r="K75" i="10"/>
  <c r="H68" i="10"/>
  <c r="L68" i="10"/>
  <c r="P68" i="10"/>
  <c r="T68" i="10"/>
  <c r="X68" i="10"/>
  <c r="F67" i="10"/>
  <c r="E67" i="10" s="1"/>
  <c r="J67" i="10"/>
  <c r="N67" i="10"/>
  <c r="R67" i="10"/>
  <c r="V67" i="10"/>
  <c r="Z67" i="10"/>
  <c r="W65" i="10"/>
  <c r="S65" i="10"/>
  <c r="O65" i="10"/>
  <c r="K65" i="10"/>
  <c r="G65" i="10"/>
  <c r="W63" i="10"/>
  <c r="S63" i="10"/>
  <c r="O63" i="10"/>
  <c r="K63" i="10"/>
  <c r="W61" i="10"/>
  <c r="S61" i="10"/>
  <c r="O61" i="10"/>
  <c r="K61" i="10"/>
  <c r="W59" i="10"/>
  <c r="S59" i="10"/>
  <c r="O59" i="10"/>
  <c r="K59" i="10"/>
  <c r="W57" i="10"/>
  <c r="S57" i="10"/>
  <c r="O57" i="10"/>
  <c r="K57" i="10"/>
  <c r="W55" i="10"/>
  <c r="S55" i="10"/>
  <c r="O55" i="10"/>
  <c r="K55" i="10"/>
  <c r="X66" i="10"/>
  <c r="T66" i="10"/>
  <c r="P66" i="10"/>
  <c r="L66" i="10"/>
  <c r="Z65" i="10"/>
  <c r="V65" i="10"/>
  <c r="R65" i="10"/>
  <c r="N65" i="10"/>
  <c r="J65" i="10"/>
  <c r="W64" i="10"/>
  <c r="S64" i="10"/>
  <c r="O64" i="10"/>
  <c r="K64" i="10"/>
  <c r="W62" i="10"/>
  <c r="S62" i="10"/>
  <c r="O62" i="10"/>
  <c r="K62" i="10"/>
  <c r="W60" i="10"/>
  <c r="S60" i="10"/>
  <c r="O60" i="10"/>
  <c r="K60" i="10"/>
  <c r="X54" i="10"/>
  <c r="T54" i="10"/>
  <c r="P54" i="10"/>
  <c r="L54" i="10"/>
  <c r="H54" i="10"/>
  <c r="W54" i="10"/>
  <c r="S54" i="10"/>
  <c r="O54" i="10"/>
  <c r="K54" i="10"/>
  <c r="G54" i="10"/>
  <c r="Z54" i="10"/>
  <c r="V54" i="10"/>
  <c r="R54" i="10"/>
  <c r="N54" i="10"/>
  <c r="J54" i="10"/>
  <c r="F54" i="10"/>
  <c r="E54" i="10" s="1"/>
  <c r="Y54" i="10"/>
  <c r="U54" i="10"/>
  <c r="Q54" i="10"/>
  <c r="M54" i="10"/>
  <c r="E44" i="11" l="1" a="1"/>
  <c r="E44" i="11" s="1"/>
  <c r="H44" i="11" a="1"/>
  <c r="H44" i="11" s="1"/>
  <c r="O44" i="11" a="1"/>
  <c r="O44" i="11" s="1"/>
  <c r="R44" i="11" a="1"/>
  <c r="R44" i="11" s="1"/>
  <c r="U44" i="11" a="1"/>
  <c r="U44" i="11" s="1"/>
  <c r="X44" i="11" a="1"/>
  <c r="X44" i="11" s="1"/>
  <c r="J45" i="11" a="1"/>
  <c r="J45" i="11" s="1"/>
  <c r="M45" i="11" a="1"/>
  <c r="M45" i="11" s="1"/>
  <c r="P45" i="11" a="1"/>
  <c r="P45" i="11" s="1"/>
  <c r="S45" i="11" a="1"/>
  <c r="S45" i="11" s="1"/>
  <c r="E46" i="11" a="1"/>
  <c r="E46" i="11" s="1"/>
  <c r="H46" i="11" a="1"/>
  <c r="H46" i="11" s="1"/>
  <c r="K46" i="11" a="1"/>
  <c r="K46" i="11" s="1"/>
  <c r="N46" i="11" a="1"/>
  <c r="N46" i="11" s="1"/>
  <c r="U46" i="11" a="1"/>
  <c r="U46" i="11" s="1"/>
  <c r="X46" i="11" a="1"/>
  <c r="X46" i="11" s="1"/>
  <c r="F47" i="11" a="1"/>
  <c r="F47" i="11" s="1"/>
  <c r="I47" i="11" a="1"/>
  <c r="I47" i="11" s="1"/>
  <c r="P47" i="11" a="1"/>
  <c r="P47" i="11" s="1"/>
  <c r="S47" i="11" a="1"/>
  <c r="S47" i="11" s="1"/>
  <c r="V47" i="11" a="1"/>
  <c r="V47" i="11" s="1"/>
  <c r="Y47" i="11" a="1"/>
  <c r="Y47" i="11" s="1"/>
  <c r="K48" i="11" a="1"/>
  <c r="K48" i="11" s="1"/>
  <c r="N48" i="11" a="1"/>
  <c r="N48" i="11" s="1"/>
  <c r="Q48" i="11" a="1"/>
  <c r="Q48" i="11" s="1"/>
  <c r="T48" i="11" a="1"/>
  <c r="T48" i="11" s="1"/>
  <c r="F49" i="11" a="1"/>
  <c r="F49" i="11" s="1"/>
  <c r="I49" i="11" a="1"/>
  <c r="I49" i="11" s="1"/>
  <c r="L49" i="11" a="1"/>
  <c r="L49" i="11" s="1"/>
  <c r="O49" i="11" a="1"/>
  <c r="O49" i="11" s="1"/>
  <c r="V49" i="11" a="1"/>
  <c r="V49" i="11" s="1"/>
  <c r="Y49" i="11" a="1"/>
  <c r="Y49" i="11" s="1"/>
  <c r="J50" i="11" a="1"/>
  <c r="J50" i="11" s="1"/>
  <c r="N50" i="11" a="1"/>
  <c r="N50" i="11" s="1"/>
  <c r="Q50" i="11" a="1"/>
  <c r="Q50" i="11" s="1"/>
  <c r="T50" i="11" a="1"/>
  <c r="T50" i="11" s="1"/>
  <c r="E51" i="11" a="1"/>
  <c r="E51" i="11" s="1"/>
  <c r="I51" i="11" a="1"/>
  <c r="I51" i="11" s="1"/>
  <c r="L51" i="11" a="1"/>
  <c r="L51" i="11" s="1"/>
  <c r="O51" i="11" a="1"/>
  <c r="O51" i="11" s="1"/>
  <c r="U51" i="11" a="1"/>
  <c r="U51" i="11" s="1"/>
  <c r="Y51" i="11" a="1"/>
  <c r="Y51" i="11" s="1"/>
  <c r="G52" i="11" a="1"/>
  <c r="G52" i="11" s="1"/>
  <c r="J52" i="11" a="1"/>
  <c r="J52" i="11" s="1"/>
  <c r="N52" i="11" a="1"/>
  <c r="N52" i="11" s="1"/>
  <c r="R52" i="11" a="1"/>
  <c r="R52" i="11" s="1"/>
  <c r="V52" i="11" a="1"/>
  <c r="V52" i="11" s="1"/>
  <c r="E21" i="11" a="1"/>
  <c r="E21" i="11" s="1"/>
  <c r="H21" i="11" a="1"/>
  <c r="H21" i="11" s="1"/>
  <c r="O21" i="11" a="1"/>
  <c r="O21" i="11" s="1"/>
  <c r="R21" i="11" a="1"/>
  <c r="R21" i="11" s="1"/>
  <c r="U21" i="11" a="1"/>
  <c r="U21" i="11" s="1"/>
  <c r="X21" i="11" a="1"/>
  <c r="X21" i="11" s="1"/>
  <c r="J22" i="11" a="1"/>
  <c r="J22" i="11" s="1"/>
  <c r="M22" i="11" a="1"/>
  <c r="M22" i="11" s="1"/>
  <c r="P22" i="11" a="1"/>
  <c r="P22" i="11" s="1"/>
  <c r="S22" i="11" a="1"/>
  <c r="S22" i="11" s="1"/>
  <c r="E23" i="11" a="1"/>
  <c r="E23" i="11" s="1"/>
  <c r="H23" i="11" a="1"/>
  <c r="H23" i="11" s="1"/>
  <c r="K23" i="11" a="1"/>
  <c r="K23" i="11" s="1"/>
  <c r="F44" i="11" a="1"/>
  <c r="F44" i="11" s="1"/>
  <c r="I44" i="11" a="1"/>
  <c r="I44" i="11" s="1"/>
  <c r="L44" i="11" a="1"/>
  <c r="L44" i="11" s="1"/>
  <c r="S44" i="11" a="1"/>
  <c r="S44" i="11" s="1"/>
  <c r="V44" i="11" a="1"/>
  <c r="V44" i="11" s="1"/>
  <c r="Y44" i="11" a="1"/>
  <c r="Y44" i="11" s="1"/>
  <c r="G45" i="11" a="1"/>
  <c r="G45" i="11" s="1"/>
  <c r="N45" i="11" a="1"/>
  <c r="N45" i="11" s="1"/>
  <c r="Q45" i="11" a="1"/>
  <c r="Q45" i="11" s="1"/>
  <c r="T45" i="11" a="1"/>
  <c r="T45" i="11" s="1"/>
  <c r="W45" i="11" a="1"/>
  <c r="W45" i="11" s="1"/>
  <c r="I46" i="11" a="1"/>
  <c r="I46" i="11" s="1"/>
  <c r="L46" i="11" a="1"/>
  <c r="L46" i="11" s="1"/>
  <c r="O46" i="11" a="1"/>
  <c r="O46" i="11" s="1"/>
  <c r="R46" i="11" a="1"/>
  <c r="R46" i="11" s="1"/>
  <c r="Y46" i="11" a="1"/>
  <c r="Y46" i="11" s="1"/>
  <c r="G47" i="11" a="1"/>
  <c r="G47" i="11" s="1"/>
  <c r="J47" i="11" a="1"/>
  <c r="J47" i="11" s="1"/>
  <c r="M47" i="11" a="1"/>
  <c r="M47" i="11" s="1"/>
  <c r="T47" i="11" a="1"/>
  <c r="T47" i="11" s="1"/>
  <c r="W47" i="11" a="1"/>
  <c r="W47" i="11" s="1"/>
  <c r="E48" i="11" a="1"/>
  <c r="E48" i="11" s="1"/>
  <c r="H48" i="11" a="1"/>
  <c r="H48" i="11" s="1"/>
  <c r="O48" i="11" a="1"/>
  <c r="O48" i="11" s="1"/>
  <c r="R48" i="11" a="1"/>
  <c r="R48" i="11" s="1"/>
  <c r="U48" i="11" a="1"/>
  <c r="U48" i="11" s="1"/>
  <c r="X48" i="11" a="1"/>
  <c r="X48" i="11" s="1"/>
  <c r="J49" i="11" a="1"/>
  <c r="J49" i="11" s="1"/>
  <c r="M49" i="11" a="1"/>
  <c r="M49" i="11" s="1"/>
  <c r="P49" i="11" a="1"/>
  <c r="P49" i="11" s="1"/>
  <c r="S49" i="11" a="1"/>
  <c r="S49" i="11" s="1"/>
  <c r="E50" i="11" a="1"/>
  <c r="E50" i="11" s="1"/>
  <c r="H50" i="11" a="1"/>
  <c r="H50" i="11" s="1"/>
  <c r="K50" i="11" a="1"/>
  <c r="K50" i="11" s="1"/>
  <c r="O50" i="11" a="1"/>
  <c r="O50" i="11" s="1"/>
  <c r="U50" i="11" a="1"/>
  <c r="U50" i="11" s="1"/>
  <c r="X50" i="11" a="1"/>
  <c r="X50" i="11" s="1"/>
  <c r="F51" i="11" a="1"/>
  <c r="F51" i="11" s="1"/>
  <c r="J51" i="11" a="1"/>
  <c r="J51" i="11" s="1"/>
  <c r="P51" i="11" a="1"/>
  <c r="P51" i="11" s="1"/>
  <c r="S51" i="11" a="1"/>
  <c r="S51" i="11" s="1"/>
  <c r="V51" i="11" a="1"/>
  <c r="V51" i="11" s="1"/>
  <c r="E52" i="11" a="1"/>
  <c r="E52" i="11" s="1"/>
  <c r="K52" i="11" a="1"/>
  <c r="K52" i="11" s="1"/>
  <c r="O52" i="11" a="1"/>
  <c r="O52" i="11" s="1"/>
  <c r="S52" i="11" a="1"/>
  <c r="S52" i="11" s="1"/>
  <c r="W52" i="11" a="1"/>
  <c r="W52" i="11" s="1"/>
  <c r="F21" i="11" a="1"/>
  <c r="F21" i="11" s="1"/>
  <c r="I21" i="11" a="1"/>
  <c r="I21" i="11" s="1"/>
  <c r="L21" i="11" a="1"/>
  <c r="L21" i="11" s="1"/>
  <c r="S21" i="11" a="1"/>
  <c r="S21" i="11" s="1"/>
  <c r="V21" i="11" a="1"/>
  <c r="V21" i="11" s="1"/>
  <c r="Y21" i="11" a="1"/>
  <c r="Y21" i="11" s="1"/>
  <c r="G22" i="11" a="1"/>
  <c r="G22" i="11" s="1"/>
  <c r="N22" i="11" a="1"/>
  <c r="N22" i="11" s="1"/>
  <c r="Q22" i="11" a="1"/>
  <c r="Q22" i="11" s="1"/>
  <c r="T22" i="11" a="1"/>
  <c r="T22" i="11" s="1"/>
  <c r="W22" i="11" a="1"/>
  <c r="W22" i="11" s="1"/>
  <c r="I23" i="11" a="1"/>
  <c r="I23" i="11" s="1"/>
  <c r="L23" i="11" a="1"/>
  <c r="L23" i="11" s="1"/>
  <c r="K44" i="11" a="1"/>
  <c r="K44" i="11" s="1"/>
  <c r="N44" i="11" a="1"/>
  <c r="N44" i="11" s="1"/>
  <c r="Q44" i="11" a="1"/>
  <c r="Q44" i="11" s="1"/>
  <c r="T44" i="11" a="1"/>
  <c r="T44" i="11" s="1"/>
  <c r="F45" i="11" a="1"/>
  <c r="F45" i="11" s="1"/>
  <c r="I45" i="11" a="1"/>
  <c r="I45" i="11" s="1"/>
  <c r="L45" i="11" a="1"/>
  <c r="L45" i="11" s="1"/>
  <c r="O45" i="11" a="1"/>
  <c r="O45" i="11" s="1"/>
  <c r="V45" i="11" a="1"/>
  <c r="V45" i="11" s="1"/>
  <c r="Y45" i="11" a="1"/>
  <c r="Y45" i="11" s="1"/>
  <c r="G46" i="11" a="1"/>
  <c r="G46" i="11" s="1"/>
  <c r="J46" i="11" a="1"/>
  <c r="J46" i="11" s="1"/>
  <c r="Q46" i="11" a="1"/>
  <c r="Q46" i="11" s="1"/>
  <c r="T46" i="11" a="1"/>
  <c r="T46" i="11" s="1"/>
  <c r="W46" i="11" a="1"/>
  <c r="W46" i="11" s="1"/>
  <c r="E47" i="11" a="1"/>
  <c r="E47" i="11" s="1"/>
  <c r="L47" i="11" a="1"/>
  <c r="L47" i="11" s="1"/>
  <c r="O47" i="11" a="1"/>
  <c r="O47" i="11" s="1"/>
  <c r="R47" i="11" a="1"/>
  <c r="R47" i="11" s="1"/>
  <c r="U47" i="11" a="1"/>
  <c r="U47" i="11" s="1"/>
  <c r="G48" i="11" a="1"/>
  <c r="G48" i="11" s="1"/>
  <c r="J48" i="11" a="1"/>
  <c r="J48" i="11" s="1"/>
  <c r="M48" i="11" a="1"/>
  <c r="M48" i="11" s="1"/>
  <c r="P48" i="11" a="1"/>
  <c r="P48" i="11" s="1"/>
  <c r="W48" i="11" a="1"/>
  <c r="W48" i="11" s="1"/>
  <c r="E49" i="11" a="1"/>
  <c r="E49" i="11" s="1"/>
  <c r="H49" i="11" a="1"/>
  <c r="H49" i="11" s="1"/>
  <c r="K49" i="11" a="1"/>
  <c r="K49" i="11" s="1"/>
  <c r="R49" i="11" a="1"/>
  <c r="R49" i="11" s="1"/>
  <c r="U49" i="11" a="1"/>
  <c r="U49" i="11" s="1"/>
  <c r="X49" i="11" a="1"/>
  <c r="X49" i="11" s="1"/>
  <c r="G50" i="11" a="1"/>
  <c r="G50" i="11" s="1"/>
  <c r="M50" i="11" a="1"/>
  <c r="M50" i="11" s="1"/>
  <c r="P50" i="11" a="1"/>
  <c r="P50" i="11" s="1"/>
  <c r="S50" i="11" a="1"/>
  <c r="S50" i="11" s="1"/>
  <c r="W50" i="11" a="1"/>
  <c r="W50" i="11" s="1"/>
  <c r="H51" i="11" a="1"/>
  <c r="H51" i="11" s="1"/>
  <c r="K51" i="11" a="1"/>
  <c r="K51" i="11" s="1"/>
  <c r="N51" i="11" a="1"/>
  <c r="N51" i="11" s="1"/>
  <c r="R51" i="11" a="1"/>
  <c r="R51" i="11" s="1"/>
  <c r="X51" i="11" a="1"/>
  <c r="X51" i="11" s="1"/>
  <c r="F52" i="11" a="1"/>
  <c r="F52" i="11" s="1"/>
  <c r="I52" i="11" a="1"/>
  <c r="I52" i="11" s="1"/>
  <c r="M52" i="11" a="1"/>
  <c r="M52" i="11" s="1"/>
  <c r="Q52" i="11" a="1"/>
  <c r="Q52" i="11" s="1"/>
  <c r="U52" i="11" a="1"/>
  <c r="U52" i="11" s="1"/>
  <c r="Y52" i="11" a="1"/>
  <c r="Y52" i="11" s="1"/>
  <c r="K21" i="11" a="1"/>
  <c r="K21" i="11" s="1"/>
  <c r="N21" i="11" a="1"/>
  <c r="N21" i="11" s="1"/>
  <c r="Q21" i="11" a="1"/>
  <c r="Q21" i="11" s="1"/>
  <c r="T21" i="11" a="1"/>
  <c r="T21" i="11" s="1"/>
  <c r="F22" i="11" a="1"/>
  <c r="F22" i="11" s="1"/>
  <c r="I22" i="11" a="1"/>
  <c r="I22" i="11" s="1"/>
  <c r="L22" i="11" a="1"/>
  <c r="L22" i="11" s="1"/>
  <c r="O22" i="11" a="1"/>
  <c r="O22" i="11" s="1"/>
  <c r="V22" i="11" a="1"/>
  <c r="V22" i="11" s="1"/>
  <c r="Y22" i="11" a="1"/>
  <c r="Y22" i="11" s="1"/>
  <c r="G23" i="11" a="1"/>
  <c r="G23" i="11" s="1"/>
  <c r="J23" i="11" a="1"/>
  <c r="J23" i="11" s="1"/>
  <c r="Q23" i="11" a="1"/>
  <c r="Q23" i="11" s="1"/>
  <c r="M44" i="11" a="1"/>
  <c r="M44" i="11" s="1"/>
  <c r="E45" i="11" a="1"/>
  <c r="E45" i="11" s="1"/>
  <c r="R45" i="11" a="1"/>
  <c r="R45" i="11" s="1"/>
  <c r="V46" i="11" a="1"/>
  <c r="V46" i="11" s="1"/>
  <c r="N47" i="11" a="1"/>
  <c r="N47" i="11" s="1"/>
  <c r="F48" i="11" a="1"/>
  <c r="F48" i="11" s="1"/>
  <c r="S48" i="11" a="1"/>
  <c r="S48" i="11" s="1"/>
  <c r="W49" i="11" a="1"/>
  <c r="W49" i="11" s="1"/>
  <c r="G51" i="11" a="1"/>
  <c r="G51" i="11" s="1"/>
  <c r="T51" i="11" a="1"/>
  <c r="T51" i="11" s="1"/>
  <c r="L52" i="11" a="1"/>
  <c r="L52" i="11" s="1"/>
  <c r="G21" i="11" a="1"/>
  <c r="G21" i="11" s="1"/>
  <c r="K22" i="11" a="1"/>
  <c r="K22" i="11" s="1"/>
  <c r="X22" i="11" a="1"/>
  <c r="X22" i="11" s="1"/>
  <c r="N23" i="11" a="1"/>
  <c r="N23" i="11" s="1"/>
  <c r="R23" i="11" a="1"/>
  <c r="R23" i="11" s="1"/>
  <c r="Y23" i="11" a="1"/>
  <c r="Y23" i="11" s="1"/>
  <c r="G24" i="11" a="1"/>
  <c r="G24" i="11" s="1"/>
  <c r="J24" i="11" a="1"/>
  <c r="J24" i="11" s="1"/>
  <c r="M24" i="11" a="1"/>
  <c r="M24" i="11" s="1"/>
  <c r="T24" i="11" a="1"/>
  <c r="T24" i="11" s="1"/>
  <c r="W24" i="11" a="1"/>
  <c r="W24" i="11" s="1"/>
  <c r="E25" i="11" a="1"/>
  <c r="E25" i="11" s="1"/>
  <c r="H25" i="11" a="1"/>
  <c r="H25" i="11" s="1"/>
  <c r="O25" i="11" a="1"/>
  <c r="O25" i="11" s="1"/>
  <c r="R25" i="11" a="1"/>
  <c r="R25" i="11" s="1"/>
  <c r="U25" i="11" a="1"/>
  <c r="U25" i="11" s="1"/>
  <c r="X25" i="11" a="1"/>
  <c r="X25" i="11" s="1"/>
  <c r="J26" i="11" a="1"/>
  <c r="J26" i="11" s="1"/>
  <c r="M26" i="11" a="1"/>
  <c r="M26" i="11" s="1"/>
  <c r="P26" i="11" a="1"/>
  <c r="P26" i="11" s="1"/>
  <c r="S26" i="11" a="1"/>
  <c r="S26" i="11" s="1"/>
  <c r="E27" i="11" a="1"/>
  <c r="E27" i="11" s="1"/>
  <c r="H27" i="11" a="1"/>
  <c r="H27" i="11" s="1"/>
  <c r="K27" i="11" a="1"/>
  <c r="K27" i="11" s="1"/>
  <c r="N27" i="11" a="1"/>
  <c r="N27" i="11" s="1"/>
  <c r="U27" i="11" a="1"/>
  <c r="U27" i="11" s="1"/>
  <c r="X27" i="11" a="1"/>
  <c r="X27" i="11" s="1"/>
  <c r="F28" i="11" a="1"/>
  <c r="F28" i="11" s="1"/>
  <c r="I28" i="11" a="1"/>
  <c r="I28" i="11" s="1"/>
  <c r="P28" i="11" a="1"/>
  <c r="P28" i="11" s="1"/>
  <c r="S28" i="11" a="1"/>
  <c r="S28" i="11" s="1"/>
  <c r="V28" i="11" a="1"/>
  <c r="V28" i="11" s="1"/>
  <c r="Y28" i="11" a="1"/>
  <c r="Y28" i="11" s="1"/>
  <c r="J29" i="11" a="1"/>
  <c r="J29" i="11" s="1"/>
  <c r="P29" i="11" a="1"/>
  <c r="P29" i="11" s="1"/>
  <c r="S29" i="11" a="1"/>
  <c r="S29" i="11" s="1"/>
  <c r="V29" i="11" a="1"/>
  <c r="V29" i="11" s="1"/>
  <c r="E30" i="11" a="1"/>
  <c r="E30" i="11" s="1"/>
  <c r="K30" i="11" a="1"/>
  <c r="K30" i="11" s="1"/>
  <c r="N30" i="11" a="1"/>
  <c r="N30" i="11" s="1"/>
  <c r="Q30" i="11" a="1"/>
  <c r="Q30" i="11" s="1"/>
  <c r="U30" i="11" a="1"/>
  <c r="U30" i="11" s="1"/>
  <c r="F31" i="11" a="1"/>
  <c r="F31" i="11" s="1"/>
  <c r="I31" i="11" a="1"/>
  <c r="I31" i="11" s="1"/>
  <c r="L31" i="11" a="1"/>
  <c r="L31" i="11" s="1"/>
  <c r="P31" i="11" a="1"/>
  <c r="P31" i="11" s="1"/>
  <c r="V31" i="11" a="1"/>
  <c r="V31" i="11" s="1"/>
  <c r="Y31" i="11" a="1"/>
  <c r="Y31" i="11" s="1"/>
  <c r="G32" i="11" a="1"/>
  <c r="G32" i="11" s="1"/>
  <c r="K32" i="11" a="1"/>
  <c r="K32" i="11" s="1"/>
  <c r="Q32" i="11" a="1"/>
  <c r="Q32" i="11" s="1"/>
  <c r="T32" i="11" a="1"/>
  <c r="T32" i="11" s="1"/>
  <c r="W32" i="11" a="1"/>
  <c r="W32" i="11" s="1"/>
  <c r="F33" i="11" a="1"/>
  <c r="F33" i="11" s="1"/>
  <c r="P44" i="11" a="1"/>
  <c r="P44" i="11" s="1"/>
  <c r="H45" i="11" a="1"/>
  <c r="H45" i="11" s="1"/>
  <c r="U45" i="11" a="1"/>
  <c r="U45" i="11" s="1"/>
  <c r="M46" i="11" a="1"/>
  <c r="M46" i="11" s="1"/>
  <c r="Q47" i="11" a="1"/>
  <c r="Q47" i="11" s="1"/>
  <c r="I48" i="11" a="1"/>
  <c r="I48" i="11" s="1"/>
  <c r="V48" i="11" a="1"/>
  <c r="V48" i="11" s="1"/>
  <c r="N49" i="11" a="1"/>
  <c r="N49" i="11" s="1"/>
  <c r="F50" i="11" a="1"/>
  <c r="F50" i="11" s="1"/>
  <c r="R50" i="11" a="1"/>
  <c r="R50" i="11" s="1"/>
  <c r="W51" i="11" a="1"/>
  <c r="W51" i="11" s="1"/>
  <c r="P52" i="11" a="1"/>
  <c r="P52" i="11" s="1"/>
  <c r="J21" i="11" a="1"/>
  <c r="J21" i="11" s="1"/>
  <c r="W21" i="11" a="1"/>
  <c r="W21" i="11" s="1"/>
  <c r="F23" i="11" a="1"/>
  <c r="F23" i="11" s="1"/>
  <c r="O23" i="11" a="1"/>
  <c r="O23" i="11" s="1"/>
  <c r="S23" i="11" a="1"/>
  <c r="S23" i="11" s="1"/>
  <c r="V23" i="11" a="1"/>
  <c r="V23" i="11" s="1"/>
  <c r="H24" i="11" a="1"/>
  <c r="H24" i="11" s="1"/>
  <c r="K24" i="11" a="1"/>
  <c r="K24" i="11" s="1"/>
  <c r="N24" i="11" a="1"/>
  <c r="N24" i="11" s="1"/>
  <c r="Q24" i="11" a="1"/>
  <c r="Q24" i="11" s="1"/>
  <c r="X24" i="11" a="1"/>
  <c r="X24" i="11" s="1"/>
  <c r="F25" i="11" a="1"/>
  <c r="F25" i="11" s="1"/>
  <c r="I25" i="11" a="1"/>
  <c r="I25" i="11" s="1"/>
  <c r="L25" i="11" a="1"/>
  <c r="L25" i="11" s="1"/>
  <c r="S25" i="11" a="1"/>
  <c r="S25" i="11" s="1"/>
  <c r="V25" i="11" a="1"/>
  <c r="V25" i="11" s="1"/>
  <c r="Y25" i="11" a="1"/>
  <c r="Y25" i="11" s="1"/>
  <c r="G26" i="11" a="1"/>
  <c r="G26" i="11" s="1"/>
  <c r="N26" i="11" a="1"/>
  <c r="N26" i="11" s="1"/>
  <c r="Q26" i="11" a="1"/>
  <c r="Q26" i="11" s="1"/>
  <c r="T26" i="11" a="1"/>
  <c r="T26" i="11" s="1"/>
  <c r="W26" i="11" a="1"/>
  <c r="W26" i="11" s="1"/>
  <c r="I27" i="11" a="1"/>
  <c r="I27" i="11" s="1"/>
  <c r="L27" i="11" a="1"/>
  <c r="L27" i="11" s="1"/>
  <c r="O27" i="11" a="1"/>
  <c r="O27" i="11" s="1"/>
  <c r="R27" i="11" a="1"/>
  <c r="R27" i="11" s="1"/>
  <c r="Y27" i="11" a="1"/>
  <c r="Y27" i="11" s="1"/>
  <c r="G28" i="11" a="1"/>
  <c r="G28" i="11" s="1"/>
  <c r="J28" i="11" a="1"/>
  <c r="J28" i="11" s="1"/>
  <c r="M28" i="11" a="1"/>
  <c r="M28" i="11" s="1"/>
  <c r="T28" i="11" a="1"/>
  <c r="T28" i="11" s="1"/>
  <c r="W28" i="11" a="1"/>
  <c r="W28" i="11" s="1"/>
  <c r="E29" i="11" a="1"/>
  <c r="E29" i="11" s="1"/>
  <c r="H29" i="11" a="1"/>
  <c r="H29" i="11" s="1"/>
  <c r="M29" i="11" a="1"/>
  <c r="M29" i="11" s="1"/>
  <c r="Q29" i="11" a="1"/>
  <c r="Q29" i="11" s="1"/>
  <c r="T29" i="11" a="1"/>
  <c r="T29" i="11" s="1"/>
  <c r="W29" i="11" a="1"/>
  <c r="W29" i="11" s="1"/>
  <c r="H30" i="11" a="1"/>
  <c r="H30" i="11" s="1"/>
  <c r="L30" i="11" a="1"/>
  <c r="L30" i="11" s="1"/>
  <c r="O30" i="11" a="1"/>
  <c r="O30" i="11" s="1"/>
  <c r="R30" i="11" a="1"/>
  <c r="R30" i="11" s="1"/>
  <c r="X30" i="11" a="1"/>
  <c r="X30" i="11" s="1"/>
  <c r="G31" i="11" a="1"/>
  <c r="G31" i="11" s="1"/>
  <c r="J31" i="11" a="1"/>
  <c r="J31" i="11" s="1"/>
  <c r="M31" i="11" a="1"/>
  <c r="M31" i="11" s="1"/>
  <c r="S31" i="11" a="1"/>
  <c r="S31" i="11" s="1"/>
  <c r="W31" i="11" a="1"/>
  <c r="W31" i="11" s="1"/>
  <c r="E32" i="11" a="1"/>
  <c r="E32" i="11" s="1"/>
  <c r="H32" i="11" a="1"/>
  <c r="H32" i="11" s="1"/>
  <c r="N32" i="11" a="1"/>
  <c r="N32" i="11" s="1"/>
  <c r="R32" i="11" a="1"/>
  <c r="R32" i="11" s="1"/>
  <c r="U32" i="11" a="1"/>
  <c r="U32" i="11" s="1"/>
  <c r="J44" i="11" a="1"/>
  <c r="J44" i="11" s="1"/>
  <c r="W44" i="11" a="1"/>
  <c r="W44" i="11" s="1"/>
  <c r="F46" i="11" a="1"/>
  <c r="F46" i="11" s="1"/>
  <c r="S46" i="11" a="1"/>
  <c r="S46" i="11" s="1"/>
  <c r="K47" i="11" a="1"/>
  <c r="K47" i="11" s="1"/>
  <c r="X47" i="11" a="1"/>
  <c r="X47" i="11" s="1"/>
  <c r="G49" i="11" a="1"/>
  <c r="G49" i="11" s="1"/>
  <c r="T49" i="11" a="1"/>
  <c r="T49" i="11" s="1"/>
  <c r="L50" i="11" a="1"/>
  <c r="L50" i="11" s="1"/>
  <c r="Y50" i="11" a="1"/>
  <c r="Y50" i="11" s="1"/>
  <c r="Q51" i="11" a="1"/>
  <c r="Q51" i="11" s="1"/>
  <c r="H52" i="11" a="1"/>
  <c r="H52" i="11" s="1"/>
  <c r="X52" i="11" a="1"/>
  <c r="X52" i="11" s="1"/>
  <c r="P21" i="11" a="1"/>
  <c r="P21" i="11" s="1"/>
  <c r="H22" i="11" a="1"/>
  <c r="H22" i="11" s="1"/>
  <c r="U22" i="11" a="1"/>
  <c r="U22" i="11" s="1"/>
  <c r="M23" i="11" a="1"/>
  <c r="M23" i="11" s="1"/>
  <c r="U23" i="11" a="1"/>
  <c r="U23" i="11" s="1"/>
  <c r="X23" i="11" a="1"/>
  <c r="X23" i="11" s="1"/>
  <c r="F24" i="11" a="1"/>
  <c r="F24" i="11" s="1"/>
  <c r="I24" i="11" a="1"/>
  <c r="I24" i="11" s="1"/>
  <c r="P24" i="11" a="1"/>
  <c r="P24" i="11" s="1"/>
  <c r="S24" i="11" a="1"/>
  <c r="S24" i="11" s="1"/>
  <c r="V24" i="11" a="1"/>
  <c r="V24" i="11" s="1"/>
  <c r="Y24" i="11" a="1"/>
  <c r="Y24" i="11" s="1"/>
  <c r="K25" i="11" a="1"/>
  <c r="K25" i="11" s="1"/>
  <c r="N25" i="11" a="1"/>
  <c r="N25" i="11" s="1"/>
  <c r="Q25" i="11" a="1"/>
  <c r="Q25" i="11" s="1"/>
  <c r="T25" i="11" a="1"/>
  <c r="T25" i="11" s="1"/>
  <c r="F26" i="11" a="1"/>
  <c r="F26" i="11" s="1"/>
  <c r="I26" i="11" a="1"/>
  <c r="I26" i="11" s="1"/>
  <c r="L26" i="11" a="1"/>
  <c r="L26" i="11" s="1"/>
  <c r="O26" i="11" a="1"/>
  <c r="O26" i="11" s="1"/>
  <c r="V26" i="11" a="1"/>
  <c r="V26" i="11" s="1"/>
  <c r="Y26" i="11" a="1"/>
  <c r="Y26" i="11" s="1"/>
  <c r="G27" i="11" a="1"/>
  <c r="G27" i="11" s="1"/>
  <c r="J27" i="11" a="1"/>
  <c r="J27" i="11" s="1"/>
  <c r="Q27" i="11" a="1"/>
  <c r="Q27" i="11" s="1"/>
  <c r="T27" i="11" a="1"/>
  <c r="T27" i="11" s="1"/>
  <c r="W27" i="11" a="1"/>
  <c r="W27" i="11" s="1"/>
  <c r="E28" i="11" a="1"/>
  <c r="E28" i="11" s="1"/>
  <c r="L28" i="11" a="1"/>
  <c r="L28" i="11" s="1"/>
  <c r="O28" i="11" a="1"/>
  <c r="O28" i="11" s="1"/>
  <c r="R28" i="11" a="1"/>
  <c r="R28" i="11" s="1"/>
  <c r="U28" i="11" a="1"/>
  <c r="U28" i="11" s="1"/>
  <c r="G29" i="11" a="1"/>
  <c r="G29" i="11" s="1"/>
  <c r="I29" i="11" a="1"/>
  <c r="I29" i="11" s="1"/>
  <c r="L29" i="11" a="1"/>
  <c r="L29" i="11" s="1"/>
  <c r="O29" i="11" a="1"/>
  <c r="O29" i="11" s="1"/>
  <c r="U29" i="11" a="1"/>
  <c r="U29" i="11" s="1"/>
  <c r="Y29" i="11" a="1"/>
  <c r="Y29" i="11" s="1"/>
  <c r="G30" i="11" a="1"/>
  <c r="G30" i="11" s="1"/>
  <c r="J30" i="11" a="1"/>
  <c r="J30" i="11" s="1"/>
  <c r="P30" i="11" a="1"/>
  <c r="P30" i="11" s="1"/>
  <c r="T30" i="11" a="1"/>
  <c r="T30" i="11" s="1"/>
  <c r="W30" i="11" a="1"/>
  <c r="W30" i="11" s="1"/>
  <c r="E31" i="11" a="1"/>
  <c r="E31" i="11" s="1"/>
  <c r="K31" i="11" a="1"/>
  <c r="K31" i="11" s="1"/>
  <c r="O31" i="11" a="1"/>
  <c r="O31" i="11" s="1"/>
  <c r="R31" i="11" a="1"/>
  <c r="R31" i="11" s="1"/>
  <c r="U31" i="11" a="1"/>
  <c r="U31" i="11" s="1"/>
  <c r="F32" i="11" a="1"/>
  <c r="F32" i="11" s="1"/>
  <c r="J32" i="11" a="1"/>
  <c r="J32" i="11" s="1"/>
  <c r="M32" i="11" a="1"/>
  <c r="M32" i="11" s="1"/>
  <c r="P32" i="11" a="1"/>
  <c r="P32" i="11" s="1"/>
  <c r="V32" i="11" a="1"/>
  <c r="V32" i="11" s="1"/>
  <c r="E33" i="11" a="1"/>
  <c r="E33" i="11" s="1"/>
  <c r="H33" i="11" a="1"/>
  <c r="H33" i="11" s="1"/>
  <c r="K45" i="11" a="1"/>
  <c r="K45" i="11" s="1"/>
  <c r="I50" i="11" a="1"/>
  <c r="I50" i="11" s="1"/>
  <c r="T52" i="11" a="1"/>
  <c r="T52" i="11" s="1"/>
  <c r="E24" i="11" a="1"/>
  <c r="E24" i="11" s="1"/>
  <c r="R24" i="11" a="1"/>
  <c r="R24" i="11" s="1"/>
  <c r="J25" i="11" a="1"/>
  <c r="J25" i="11" s="1"/>
  <c r="W25" i="11" a="1"/>
  <c r="W25" i="11" s="1"/>
  <c r="F27" i="11" a="1"/>
  <c r="F27" i="11" s="1"/>
  <c r="S27" i="11" a="1"/>
  <c r="S27" i="11" s="1"/>
  <c r="K28" i="11" a="1"/>
  <c r="K28" i="11" s="1"/>
  <c r="X28" i="11" a="1"/>
  <c r="X28" i="11" s="1"/>
  <c r="N29" i="11" a="1"/>
  <c r="N29" i="11" s="1"/>
  <c r="F30" i="11" a="1"/>
  <c r="F30" i="11" s="1"/>
  <c r="S30" i="11" a="1"/>
  <c r="S30" i="11" s="1"/>
  <c r="X31" i="11" a="1"/>
  <c r="X31" i="11" s="1"/>
  <c r="O32" i="11" a="1"/>
  <c r="O32" i="11" s="1"/>
  <c r="Y32" i="11" a="1"/>
  <c r="Y32" i="11" s="1"/>
  <c r="I33" i="11" a="1"/>
  <c r="I33" i="11" s="1"/>
  <c r="M33" i="11" a="1"/>
  <c r="M33" i="11" s="1"/>
  <c r="P33" i="11" a="1"/>
  <c r="P33" i="11" s="1"/>
  <c r="S33" i="11" a="1"/>
  <c r="S33" i="11" s="1"/>
  <c r="Y33" i="11" a="1"/>
  <c r="Y33" i="11" s="1"/>
  <c r="H34" i="11" a="1"/>
  <c r="H34" i="11" s="1"/>
  <c r="K34" i="11" a="1"/>
  <c r="K34" i="11" s="1"/>
  <c r="N34" i="11" a="1"/>
  <c r="N34" i="11" s="1"/>
  <c r="T34" i="11" a="1"/>
  <c r="T34" i="11" s="1"/>
  <c r="X34" i="11" a="1"/>
  <c r="X34" i="11" s="1"/>
  <c r="F35" i="11" a="1"/>
  <c r="F35" i="11" s="1"/>
  <c r="I35" i="11" a="1"/>
  <c r="I35" i="11" s="1"/>
  <c r="O35" i="11" a="1"/>
  <c r="O35" i="11" s="1"/>
  <c r="S35" i="11" a="1"/>
  <c r="S35" i="11" s="1"/>
  <c r="V35" i="11" a="1"/>
  <c r="V35" i="11" s="1"/>
  <c r="Y35" i="11" a="1"/>
  <c r="Y35" i="11" s="1"/>
  <c r="J36" i="11" a="1"/>
  <c r="J36" i="11" s="1"/>
  <c r="N36" i="11" a="1"/>
  <c r="N36" i="11" s="1"/>
  <c r="Q36" i="11" a="1"/>
  <c r="Q36" i="11" s="1"/>
  <c r="T36" i="11" a="1"/>
  <c r="T36" i="11" s="1"/>
  <c r="E37" i="11" a="1"/>
  <c r="E37" i="11" s="1"/>
  <c r="I37" i="11" a="1"/>
  <c r="I37" i="11" s="1"/>
  <c r="L37" i="11" a="1"/>
  <c r="L37" i="11" s="1"/>
  <c r="Q37" i="11" a="1"/>
  <c r="Q37" i="11" s="1"/>
  <c r="T37" i="11" a="1"/>
  <c r="T37" i="11" s="1"/>
  <c r="Y37" i="11" a="1"/>
  <c r="Y37" i="11" s="1"/>
  <c r="G38" i="11" a="1"/>
  <c r="G38" i="11" s="1"/>
  <c r="L38" i="11" a="1"/>
  <c r="L38" i="11" s="1"/>
  <c r="O38" i="11" a="1"/>
  <c r="O38" i="11" s="1"/>
  <c r="T38" i="11" a="1"/>
  <c r="T38" i="11" s="1"/>
  <c r="W38" i="11" a="1"/>
  <c r="W38" i="11" s="1"/>
  <c r="G39" i="11" a="1"/>
  <c r="G39" i="11" s="1"/>
  <c r="J39" i="11" a="1"/>
  <c r="J39" i="11" s="1"/>
  <c r="O39" i="11" a="1"/>
  <c r="O39" i="11" s="1"/>
  <c r="R39" i="11" a="1"/>
  <c r="R39" i="11" s="1"/>
  <c r="W39" i="11" a="1"/>
  <c r="W39" i="11" s="1"/>
  <c r="E40" i="11" a="1"/>
  <c r="E40" i="11" s="1"/>
  <c r="J40" i="11" a="1"/>
  <c r="J40" i="11" s="1"/>
  <c r="M40" i="11" a="1"/>
  <c r="M40" i="11" s="1"/>
  <c r="R40" i="11" a="1"/>
  <c r="R40" i="11" s="1"/>
  <c r="U40" i="11" a="1"/>
  <c r="U40" i="11" s="1"/>
  <c r="E41" i="11" a="1"/>
  <c r="E41" i="11" s="1"/>
  <c r="H41" i="11" a="1"/>
  <c r="H41" i="11" s="1"/>
  <c r="M41" i="11" a="1"/>
  <c r="M41" i="11" s="1"/>
  <c r="P41" i="11" a="1"/>
  <c r="P41" i="11" s="1"/>
  <c r="U41" i="11" a="1"/>
  <c r="U41" i="11" s="1"/>
  <c r="X45" i="11" a="1"/>
  <c r="X45" i="11" s="1"/>
  <c r="L48" i="11" a="1"/>
  <c r="L48" i="11" s="1"/>
  <c r="V50" i="11" a="1"/>
  <c r="V50" i="11" s="1"/>
  <c r="M21" i="11" a="1"/>
  <c r="M21" i="11" s="1"/>
  <c r="P23" i="11" a="1"/>
  <c r="P23" i="11" s="1"/>
  <c r="U24" i="11" a="1"/>
  <c r="U24" i="11" s="1"/>
  <c r="M25" i="11" a="1"/>
  <c r="M25" i="11" s="1"/>
  <c r="E26" i="11" a="1"/>
  <c r="E26" i="11" s="1"/>
  <c r="R26" i="11" a="1"/>
  <c r="R26" i="11" s="1"/>
  <c r="V27" i="11" a="1"/>
  <c r="V27" i="11" s="1"/>
  <c r="N28" i="11" a="1"/>
  <c r="N28" i="11" s="1"/>
  <c r="F29" i="11" a="1"/>
  <c r="F29" i="11" s="1"/>
  <c r="R29" i="11" a="1"/>
  <c r="R29" i="11" s="1"/>
  <c r="I30" i="11" a="1"/>
  <c r="I30" i="11" s="1"/>
  <c r="V30" i="11" a="1"/>
  <c r="V30" i="11" s="1"/>
  <c r="N31" i="11" a="1"/>
  <c r="N31" i="11" s="1"/>
  <c r="S32" i="11" a="1"/>
  <c r="S32" i="11" s="1"/>
  <c r="J33" i="11" a="1"/>
  <c r="J33" i="11" s="1"/>
  <c r="N33" i="11" a="1"/>
  <c r="N33" i="11" s="1"/>
  <c r="T33" i="11" a="1"/>
  <c r="T33" i="11" s="1"/>
  <c r="W33" i="11" a="1"/>
  <c r="W33" i="11" s="1"/>
  <c r="E34" i="11" a="1"/>
  <c r="E34" i="11" s="1"/>
  <c r="I34" i="11" a="1"/>
  <c r="I34" i="11" s="1"/>
  <c r="O34" i="11" a="1"/>
  <c r="O34" i="11" s="1"/>
  <c r="R34" i="11" a="1"/>
  <c r="R34" i="11" s="1"/>
  <c r="U34" i="11" a="1"/>
  <c r="U34" i="11" s="1"/>
  <c r="Y34" i="11" a="1"/>
  <c r="Y34" i="11" s="1"/>
  <c r="J35" i="11" a="1"/>
  <c r="J35" i="11" s="1"/>
  <c r="M35" i="11" a="1"/>
  <c r="M35" i="11" s="1"/>
  <c r="P35" i="11" a="1"/>
  <c r="P35" i="11" s="1"/>
  <c r="T35" i="11" a="1"/>
  <c r="T35" i="11" s="1"/>
  <c r="E36" i="11" a="1"/>
  <c r="E36" i="11" s="1"/>
  <c r="H36" i="11" a="1"/>
  <c r="H36" i="11" s="1"/>
  <c r="K36" i="11" a="1"/>
  <c r="K36" i="11" s="1"/>
  <c r="O36" i="11" a="1"/>
  <c r="O36" i="11" s="1"/>
  <c r="U36" i="11" a="1"/>
  <c r="U36" i="11" s="1"/>
  <c r="X36" i="11" a="1"/>
  <c r="X36" i="11" s="1"/>
  <c r="F37" i="11" a="1"/>
  <c r="F37" i="11" s="1"/>
  <c r="J37" i="11" a="1"/>
  <c r="J37" i="11" s="1"/>
  <c r="O37" i="11" a="1"/>
  <c r="O37" i="11" s="1"/>
  <c r="R37" i="11" a="1"/>
  <c r="R37" i="11" s="1"/>
  <c r="W37" i="11" a="1"/>
  <c r="W37" i="11" s="1"/>
  <c r="E38" i="11" a="1"/>
  <c r="E38" i="11" s="1"/>
  <c r="J38" i="11" a="1"/>
  <c r="J38" i="11" s="1"/>
  <c r="M38" i="11" a="1"/>
  <c r="M38" i="11" s="1"/>
  <c r="R38" i="11" a="1"/>
  <c r="R38" i="11" s="1"/>
  <c r="U38" i="11" a="1"/>
  <c r="U38" i="11" s="1"/>
  <c r="E39" i="11" a="1"/>
  <c r="E39" i="11" s="1"/>
  <c r="H39" i="11" a="1"/>
  <c r="H39" i="11" s="1"/>
  <c r="M39" i="11" a="1"/>
  <c r="M39" i="11" s="1"/>
  <c r="P39" i="11" a="1"/>
  <c r="P39" i="11" s="1"/>
  <c r="U39" i="11" a="1"/>
  <c r="U39" i="11" s="1"/>
  <c r="X39" i="11" a="1"/>
  <c r="X39" i="11" s="1"/>
  <c r="H40" i="11" a="1"/>
  <c r="H40" i="11" s="1"/>
  <c r="K40" i="11" a="1"/>
  <c r="K40" i="11" s="1"/>
  <c r="P40" i="11" a="1"/>
  <c r="P40" i="11" s="1"/>
  <c r="S40" i="11" a="1"/>
  <c r="S40" i="11" s="1"/>
  <c r="X40" i="11" a="1"/>
  <c r="X40" i="11" s="1"/>
  <c r="F41" i="11" a="1"/>
  <c r="F41" i="11" s="1"/>
  <c r="K41" i="11" a="1"/>
  <c r="K41" i="11" s="1"/>
  <c r="N41" i="11" a="1"/>
  <c r="N41" i="11" s="1"/>
  <c r="S41" i="11" a="1"/>
  <c r="S41" i="11" s="1"/>
  <c r="V41" i="11" a="1"/>
  <c r="V41" i="11" s="1"/>
  <c r="H47" i="11" a="1"/>
  <c r="H47" i="11" s="1"/>
  <c r="Q49" i="11" a="1"/>
  <c r="Q49" i="11" s="1"/>
  <c r="R22" i="11" a="1"/>
  <c r="R22" i="11" s="1"/>
  <c r="W23" i="11" a="1"/>
  <c r="W23" i="11" s="1"/>
  <c r="O24" i="11" a="1"/>
  <c r="O24" i="11" s="1"/>
  <c r="G25" i="11" a="1"/>
  <c r="G25" i="11" s="1"/>
  <c r="K26" i="11" a="1"/>
  <c r="K26" i="11" s="1"/>
  <c r="X26" i="11" a="1"/>
  <c r="X26" i="11" s="1"/>
  <c r="P27" i="11" a="1"/>
  <c r="P27" i="11" s="1"/>
  <c r="H28" i="11" a="1"/>
  <c r="H28" i="11" s="1"/>
  <c r="K29" i="11" a="1"/>
  <c r="K29" i="11" s="1"/>
  <c r="X29" i="11" a="1"/>
  <c r="X29" i="11" s="1"/>
  <c r="H31" i="11" a="1"/>
  <c r="H31" i="11" s="1"/>
  <c r="T31" i="11" a="1"/>
  <c r="T31" i="11" s="1"/>
  <c r="L32" i="11" a="1"/>
  <c r="L32" i="11" s="1"/>
  <c r="X32" i="11" a="1"/>
  <c r="X32" i="11" s="1"/>
  <c r="L33" i="11" a="1"/>
  <c r="L33" i="11" s="1"/>
  <c r="O33" i="11" a="1"/>
  <c r="O33" i="11" s="1"/>
  <c r="R33" i="11" a="1"/>
  <c r="R33" i="11" s="1"/>
  <c r="V33" i="11" a="1"/>
  <c r="V33" i="11" s="1"/>
  <c r="G34" i="11" a="1"/>
  <c r="G34" i="11" s="1"/>
  <c r="J34" i="11" a="1"/>
  <c r="J34" i="11" s="1"/>
  <c r="M34" i="11" a="1"/>
  <c r="M34" i="11" s="1"/>
  <c r="Q34" i="11" a="1"/>
  <c r="Q34" i="11" s="1"/>
  <c r="W34" i="11" a="1"/>
  <c r="W34" i="11" s="1"/>
  <c r="E35" i="11" a="1"/>
  <c r="E35" i="11" s="1"/>
  <c r="H35" i="11" a="1"/>
  <c r="H35" i="11" s="1"/>
  <c r="L35" i="11" a="1"/>
  <c r="L35" i="11" s="1"/>
  <c r="R35" i="11" a="1"/>
  <c r="R35" i="11" s="1"/>
  <c r="U35" i="11" a="1"/>
  <c r="U35" i="11" s="1"/>
  <c r="X35" i="11" a="1"/>
  <c r="X35" i="11" s="1"/>
  <c r="G36" i="11" a="1"/>
  <c r="G36" i="11" s="1"/>
  <c r="M36" i="11" a="1"/>
  <c r="M36" i="11" s="1"/>
  <c r="P36" i="11" a="1"/>
  <c r="P36" i="11" s="1"/>
  <c r="S36" i="11" a="1"/>
  <c r="S36" i="11" s="1"/>
  <c r="W36" i="11" a="1"/>
  <c r="W36" i="11" s="1"/>
  <c r="H37" i="11" a="1"/>
  <c r="H37" i="11" s="1"/>
  <c r="K37" i="11" a="1"/>
  <c r="K37" i="11" s="1"/>
  <c r="N37" i="11" a="1"/>
  <c r="N37" i="11" s="1"/>
  <c r="S37" i="11" a="1"/>
  <c r="S37" i="11" s="1"/>
  <c r="V37" i="11" a="1"/>
  <c r="V37" i="11" s="1"/>
  <c r="F38" i="11" a="1"/>
  <c r="F38" i="11" s="1"/>
  <c r="I38" i="11" a="1"/>
  <c r="I38" i="11" s="1"/>
  <c r="N38" i="11" a="1"/>
  <c r="N38" i="11" s="1"/>
  <c r="Q38" i="11" a="1"/>
  <c r="Q38" i="11" s="1"/>
  <c r="V38" i="11" a="1"/>
  <c r="V38" i="11" s="1"/>
  <c r="Y38" i="11" a="1"/>
  <c r="Y38" i="11" s="1"/>
  <c r="I39" i="11" a="1"/>
  <c r="I39" i="11" s="1"/>
  <c r="L39" i="11" a="1"/>
  <c r="L39" i="11" s="1"/>
  <c r="Q39" i="11" a="1"/>
  <c r="Q39" i="11" s="1"/>
  <c r="T39" i="11" a="1"/>
  <c r="T39" i="11" s="1"/>
  <c r="Y39" i="11" a="1"/>
  <c r="Y39" i="11" s="1"/>
  <c r="G40" i="11" a="1"/>
  <c r="G40" i="11" s="1"/>
  <c r="L40" i="11" a="1"/>
  <c r="L40" i="11" s="1"/>
  <c r="O40" i="11" a="1"/>
  <c r="O40" i="11" s="1"/>
  <c r="T40" i="11" a="1"/>
  <c r="T40" i="11" s="1"/>
  <c r="W40" i="11" a="1"/>
  <c r="W40" i="11" s="1"/>
  <c r="G41" i="11" a="1"/>
  <c r="G41" i="11" s="1"/>
  <c r="J41" i="11" a="1"/>
  <c r="J41" i="11" s="1"/>
  <c r="O41" i="11" a="1"/>
  <c r="O41" i="11" s="1"/>
  <c r="R41" i="11" a="1"/>
  <c r="R41" i="11" s="1"/>
  <c r="W41" i="11" a="1"/>
  <c r="W41" i="11" s="1"/>
  <c r="E42" i="11" a="1"/>
  <c r="E42" i="11" s="1"/>
  <c r="J42" i="11" a="1"/>
  <c r="J42" i="11" s="1"/>
  <c r="M42" i="11" a="1"/>
  <c r="M42" i="11" s="1"/>
  <c r="G44" i="11" a="1"/>
  <c r="G44" i="11" s="1"/>
  <c r="E22" i="11" a="1"/>
  <c r="E22" i="11" s="1"/>
  <c r="P25" i="11" a="1"/>
  <c r="P25" i="11" s="1"/>
  <c r="M30" i="11" a="1"/>
  <c r="M30" i="11" s="1"/>
  <c r="Q33" i="11" a="1"/>
  <c r="Q33" i="11" s="1"/>
  <c r="V34" i="11" a="1"/>
  <c r="V34" i="11" s="1"/>
  <c r="N35" i="11" a="1"/>
  <c r="N35" i="11" s="1"/>
  <c r="F36" i="11" a="1"/>
  <c r="F36" i="11" s="1"/>
  <c r="R36" i="11" a="1"/>
  <c r="R36" i="11" s="1"/>
  <c r="U37" i="11" a="1"/>
  <c r="U37" i="11" s="1"/>
  <c r="K38" i="11" a="1"/>
  <c r="K38" i="11" s="1"/>
  <c r="K39" i="11" a="1"/>
  <c r="K39" i="11" s="1"/>
  <c r="V39" i="11" a="1"/>
  <c r="V39" i="11" s="1"/>
  <c r="V40" i="11" a="1"/>
  <c r="V40" i="11" s="1"/>
  <c r="L41" i="11" a="1"/>
  <c r="L41" i="11" s="1"/>
  <c r="I42" i="11" a="1"/>
  <c r="I42" i="11" s="1"/>
  <c r="L42" i="11" a="1"/>
  <c r="L42" i="11" s="1"/>
  <c r="R42" i="11" a="1"/>
  <c r="R42" i="11" s="1"/>
  <c r="U42" i="11" a="1"/>
  <c r="U42" i="11" s="1"/>
  <c r="E43" i="11" a="1"/>
  <c r="E43" i="11" s="1"/>
  <c r="H43" i="11" a="1"/>
  <c r="H43" i="11" s="1"/>
  <c r="M43" i="11" a="1"/>
  <c r="M43" i="11" s="1"/>
  <c r="P43" i="11" a="1"/>
  <c r="P43" i="11" s="1"/>
  <c r="U43" i="11" a="1"/>
  <c r="U43" i="11" s="1"/>
  <c r="X43" i="11" a="1"/>
  <c r="X43" i="11" s="1"/>
  <c r="F14" i="11" a="1"/>
  <c r="F14" i="11" s="1"/>
  <c r="J14" i="11" a="1"/>
  <c r="J14" i="11" s="1"/>
  <c r="N14" i="11" a="1"/>
  <c r="N14" i="11" s="1"/>
  <c r="R14" i="11" a="1"/>
  <c r="R14" i="11" s="1"/>
  <c r="V14" i="11" a="1"/>
  <c r="V14" i="11" s="1"/>
  <c r="E15" i="11" a="1"/>
  <c r="E15" i="11" s="1"/>
  <c r="I15" i="11" a="1"/>
  <c r="I15" i="11" s="1"/>
  <c r="M15" i="11" a="1"/>
  <c r="M15" i="11" s="1"/>
  <c r="Q15" i="11" a="1"/>
  <c r="Q15" i="11" s="1"/>
  <c r="U15" i="11" a="1"/>
  <c r="U15" i="11" s="1"/>
  <c r="Y15" i="11" a="1"/>
  <c r="Y15" i="11" s="1"/>
  <c r="H16" i="11" a="1"/>
  <c r="H16" i="11" s="1"/>
  <c r="L16" i="11" a="1"/>
  <c r="L16" i="11" s="1"/>
  <c r="P16" i="11" a="1"/>
  <c r="P16" i="11" s="1"/>
  <c r="T16" i="11" a="1"/>
  <c r="T16" i="11" s="1"/>
  <c r="X16" i="11" a="1"/>
  <c r="X16" i="11" s="1"/>
  <c r="G17" i="11" a="1"/>
  <c r="G17" i="11" s="1"/>
  <c r="K17" i="11" a="1"/>
  <c r="K17" i="11" s="1"/>
  <c r="O17" i="11" a="1"/>
  <c r="O17" i="11" s="1"/>
  <c r="S17" i="11" a="1"/>
  <c r="S17" i="11" s="1"/>
  <c r="W17" i="11" a="1"/>
  <c r="W17" i="11" s="1"/>
  <c r="F18" i="11" a="1"/>
  <c r="F18" i="11" s="1"/>
  <c r="J18" i="11" a="1"/>
  <c r="J18" i="11" s="1"/>
  <c r="N18" i="11" a="1"/>
  <c r="N18" i="11" s="1"/>
  <c r="R18" i="11" a="1"/>
  <c r="R18" i="11" s="1"/>
  <c r="V18" i="11" a="1"/>
  <c r="V18" i="11" s="1"/>
  <c r="E19" i="11" a="1"/>
  <c r="E19" i="11" s="1"/>
  <c r="I19" i="11" a="1"/>
  <c r="I19" i="11" s="1"/>
  <c r="M19" i="11" a="1"/>
  <c r="M19" i="11" s="1"/>
  <c r="Q19" i="11" a="1"/>
  <c r="Q19" i="11" s="1"/>
  <c r="U19" i="11" a="1"/>
  <c r="U19" i="11" s="1"/>
  <c r="Y19" i="11" a="1"/>
  <c r="Y19" i="11" s="1"/>
  <c r="H20" i="11" a="1"/>
  <c r="H20" i="11" s="1"/>
  <c r="L20" i="11" a="1"/>
  <c r="L20" i="11" s="1"/>
  <c r="P20" i="11" a="1"/>
  <c r="P20" i="11" s="1"/>
  <c r="T20" i="11" a="1"/>
  <c r="T20" i="11" s="1"/>
  <c r="X20" i="11" a="1"/>
  <c r="X20" i="11" s="1"/>
  <c r="W13" i="11" a="1"/>
  <c r="W13" i="11" s="1"/>
  <c r="S13" i="11" a="1"/>
  <c r="S13" i="11" s="1"/>
  <c r="O13" i="11" a="1"/>
  <c r="O13" i="11" s="1"/>
  <c r="K13" i="11" a="1"/>
  <c r="K13" i="11" s="1"/>
  <c r="G13" i="11" a="1"/>
  <c r="G13" i="11" s="1"/>
  <c r="O20" i="11" a="1"/>
  <c r="O20" i="11" s="1"/>
  <c r="T13" i="11" a="1"/>
  <c r="T13" i="11" s="1"/>
  <c r="P46" i="11" a="1"/>
  <c r="P46" i="11" s="1"/>
  <c r="T23" i="11" a="1"/>
  <c r="T23" i="11" s="1"/>
  <c r="H26" i="11" a="1"/>
  <c r="H26" i="11" s="1"/>
  <c r="Q28" i="11" a="1"/>
  <c r="Q28" i="11" s="1"/>
  <c r="Y30" i="11" a="1"/>
  <c r="Y30" i="11" s="1"/>
  <c r="G33" i="11" a="1"/>
  <c r="G33" i="11" s="1"/>
  <c r="U33" i="11" a="1"/>
  <c r="U33" i="11" s="1"/>
  <c r="L34" i="11" a="1"/>
  <c r="L34" i="11" s="1"/>
  <c r="Q35" i="11" a="1"/>
  <c r="Q35" i="11" s="1"/>
  <c r="I36" i="11" a="1"/>
  <c r="I36" i="11" s="1"/>
  <c r="V36" i="11" a="1"/>
  <c r="V36" i="11" s="1"/>
  <c r="M37" i="11" a="1"/>
  <c r="M37" i="11" s="1"/>
  <c r="X37" i="11" a="1"/>
  <c r="X37" i="11" s="1"/>
  <c r="X38" i="11" a="1"/>
  <c r="X38" i="11" s="1"/>
  <c r="N39" i="11" a="1"/>
  <c r="N39" i="11" s="1"/>
  <c r="N40" i="11" a="1"/>
  <c r="N40" i="11" s="1"/>
  <c r="Y40" i="11" a="1"/>
  <c r="Y40" i="11" s="1"/>
  <c r="X41" i="11" a="1"/>
  <c r="X41" i="11" s="1"/>
  <c r="F42" i="11" a="1"/>
  <c r="F42" i="11" s="1"/>
  <c r="P42" i="11" a="1"/>
  <c r="P42" i="11" s="1"/>
  <c r="S42" i="11" a="1"/>
  <c r="S42" i="11" s="1"/>
  <c r="X42" i="11" a="1"/>
  <c r="X42" i="11" s="1"/>
  <c r="F43" i="11" a="1"/>
  <c r="F43" i="11" s="1"/>
  <c r="K43" i="11" a="1"/>
  <c r="K43" i="11" s="1"/>
  <c r="N43" i="11" a="1"/>
  <c r="N43" i="11" s="1"/>
  <c r="S43" i="11" a="1"/>
  <c r="S43" i="11" s="1"/>
  <c r="V43" i="11" a="1"/>
  <c r="V43" i="11" s="1"/>
  <c r="G14" i="11" a="1"/>
  <c r="G14" i="11" s="1"/>
  <c r="K14" i="11" a="1"/>
  <c r="K14" i="11" s="1"/>
  <c r="O14" i="11" a="1"/>
  <c r="O14" i="11" s="1"/>
  <c r="S14" i="11" a="1"/>
  <c r="S14" i="11" s="1"/>
  <c r="W14" i="11" a="1"/>
  <c r="W14" i="11" s="1"/>
  <c r="F15" i="11" a="1"/>
  <c r="F15" i="11" s="1"/>
  <c r="J15" i="11" a="1"/>
  <c r="J15" i="11" s="1"/>
  <c r="N15" i="11" a="1"/>
  <c r="N15" i="11" s="1"/>
  <c r="R15" i="11" a="1"/>
  <c r="R15" i="11" s="1"/>
  <c r="V15" i="11" a="1"/>
  <c r="V15" i="11" s="1"/>
  <c r="E16" i="11" a="1"/>
  <c r="E16" i="11" s="1"/>
  <c r="I16" i="11" a="1"/>
  <c r="I16" i="11" s="1"/>
  <c r="M16" i="11" a="1"/>
  <c r="M16" i="11" s="1"/>
  <c r="Q16" i="11" a="1"/>
  <c r="Q16" i="11" s="1"/>
  <c r="U16" i="11" a="1"/>
  <c r="U16" i="11" s="1"/>
  <c r="Y16" i="11" a="1"/>
  <c r="Y16" i="11" s="1"/>
  <c r="H17" i="11" a="1"/>
  <c r="H17" i="11" s="1"/>
  <c r="L17" i="11" a="1"/>
  <c r="L17" i="11" s="1"/>
  <c r="P17" i="11" a="1"/>
  <c r="P17" i="11" s="1"/>
  <c r="T17" i="11" a="1"/>
  <c r="T17" i="11" s="1"/>
  <c r="X17" i="11" a="1"/>
  <c r="X17" i="11" s="1"/>
  <c r="G18" i="11" a="1"/>
  <c r="G18" i="11" s="1"/>
  <c r="K18" i="11" a="1"/>
  <c r="K18" i="11" s="1"/>
  <c r="O18" i="11" a="1"/>
  <c r="O18" i="11" s="1"/>
  <c r="S18" i="11" a="1"/>
  <c r="S18" i="11" s="1"/>
  <c r="W18" i="11" a="1"/>
  <c r="W18" i="11" s="1"/>
  <c r="F19" i="11" a="1"/>
  <c r="F19" i="11" s="1"/>
  <c r="J19" i="11" a="1"/>
  <c r="J19" i="11" s="1"/>
  <c r="N19" i="11" a="1"/>
  <c r="N19" i="11" s="1"/>
  <c r="R19" i="11" a="1"/>
  <c r="R19" i="11" s="1"/>
  <c r="V19" i="11" a="1"/>
  <c r="V19" i="11" s="1"/>
  <c r="E20" i="11" a="1"/>
  <c r="E20" i="11" s="1"/>
  <c r="I20" i="11" a="1"/>
  <c r="I20" i="11" s="1"/>
  <c r="M20" i="11" a="1"/>
  <c r="M20" i="11" s="1"/>
  <c r="Q20" i="11" a="1"/>
  <c r="Q20" i="11" s="1"/>
  <c r="U20" i="11" a="1"/>
  <c r="U20" i="11" s="1"/>
  <c r="Y20" i="11" a="1"/>
  <c r="Y20" i="11" s="1"/>
  <c r="V13" i="11" a="1"/>
  <c r="V13" i="11" s="1"/>
  <c r="R13" i="11" a="1"/>
  <c r="R13" i="11" s="1"/>
  <c r="N13" i="11" a="1"/>
  <c r="N13" i="11" s="1"/>
  <c r="J13" i="11" a="1"/>
  <c r="J13" i="11" s="1"/>
  <c r="F13" i="11" a="1"/>
  <c r="F13" i="11" s="1"/>
  <c r="Q13" i="11" a="1"/>
  <c r="Q13" i="11" s="1"/>
  <c r="I13" i="11" a="1"/>
  <c r="I13" i="11" s="1"/>
  <c r="X19" i="11" a="1"/>
  <c r="X19" i="11" s="1"/>
  <c r="S20" i="11" a="1"/>
  <c r="S20" i="11" s="1"/>
  <c r="P13" i="11" a="1"/>
  <c r="P13" i="11" s="1"/>
  <c r="Y48" i="11" a="1"/>
  <c r="Y48" i="11" s="1"/>
  <c r="L24" i="11" a="1"/>
  <c r="L24" i="11" s="1"/>
  <c r="U26" i="11" a="1"/>
  <c r="U26" i="11" s="1"/>
  <c r="Q31" i="11" a="1"/>
  <c r="Q31" i="11" s="1"/>
  <c r="K33" i="11" a="1"/>
  <c r="K33" i="11" s="1"/>
  <c r="X33" i="11" a="1"/>
  <c r="X33" i="11" s="1"/>
  <c r="P34" i="11" a="1"/>
  <c r="P34" i="11" s="1"/>
  <c r="G35" i="11" a="1"/>
  <c r="G35" i="11" s="1"/>
  <c r="L36" i="11" a="1"/>
  <c r="L36" i="11" s="1"/>
  <c r="Y36" i="11" a="1"/>
  <c r="Y36" i="11" s="1"/>
  <c r="P37" i="11" a="1"/>
  <c r="P37" i="11" s="1"/>
  <c r="P38" i="11" a="1"/>
  <c r="P38" i="11" s="1"/>
  <c r="F39" i="11" a="1"/>
  <c r="F39" i="11" s="1"/>
  <c r="F40" i="11" a="1"/>
  <c r="F40" i="11" s="1"/>
  <c r="Q40" i="11" a="1"/>
  <c r="Q40" i="11" s="1"/>
  <c r="Q41" i="11" a="1"/>
  <c r="Q41" i="11" s="1"/>
  <c r="G42" i="11" a="1"/>
  <c r="G42" i="11" s="1"/>
  <c r="K42" i="11" a="1"/>
  <c r="K42" i="11" s="1"/>
  <c r="N42" i="11" a="1"/>
  <c r="N42" i="11" s="1"/>
  <c r="Q42" i="11" a="1"/>
  <c r="Q42" i="11" s="1"/>
  <c r="V42" i="11" a="1"/>
  <c r="V42" i="11" s="1"/>
  <c r="Y42" i="11" a="1"/>
  <c r="Y42" i="11" s="1"/>
  <c r="I43" i="11" a="1"/>
  <c r="I43" i="11" s="1"/>
  <c r="L43" i="11" a="1"/>
  <c r="L43" i="11" s="1"/>
  <c r="Q43" i="11" a="1"/>
  <c r="Q43" i="11" s="1"/>
  <c r="T43" i="11" a="1"/>
  <c r="T43" i="11" s="1"/>
  <c r="Y43" i="11" a="1"/>
  <c r="Y43" i="11" s="1"/>
  <c r="H14" i="11" a="1"/>
  <c r="H14" i="11" s="1"/>
  <c r="L14" i="11" a="1"/>
  <c r="L14" i="11" s="1"/>
  <c r="P14" i="11" a="1"/>
  <c r="P14" i="11" s="1"/>
  <c r="T14" i="11" a="1"/>
  <c r="T14" i="11" s="1"/>
  <c r="X14" i="11" a="1"/>
  <c r="X14" i="11" s="1"/>
  <c r="G15" i="11" a="1"/>
  <c r="G15" i="11" s="1"/>
  <c r="K15" i="11" a="1"/>
  <c r="K15" i="11" s="1"/>
  <c r="O15" i="11" a="1"/>
  <c r="O15" i="11" s="1"/>
  <c r="S15" i="11" a="1"/>
  <c r="S15" i="11" s="1"/>
  <c r="W15" i="11" a="1"/>
  <c r="W15" i="11" s="1"/>
  <c r="F16" i="11" a="1"/>
  <c r="F16" i="11" s="1"/>
  <c r="J16" i="11" a="1"/>
  <c r="J16" i="11" s="1"/>
  <c r="N16" i="11" a="1"/>
  <c r="N16" i="11" s="1"/>
  <c r="R16" i="11" a="1"/>
  <c r="R16" i="11" s="1"/>
  <c r="V16" i="11" a="1"/>
  <c r="V16" i="11" s="1"/>
  <c r="E17" i="11" a="1"/>
  <c r="E17" i="11" s="1"/>
  <c r="I17" i="11" a="1"/>
  <c r="I17" i="11" s="1"/>
  <c r="M17" i="11" a="1"/>
  <c r="M17" i="11" s="1"/>
  <c r="Q17" i="11" a="1"/>
  <c r="Q17" i="11" s="1"/>
  <c r="U17" i="11" a="1"/>
  <c r="U17" i="11" s="1"/>
  <c r="Y17" i="11" a="1"/>
  <c r="Y17" i="11" s="1"/>
  <c r="H18" i="11" a="1"/>
  <c r="H18" i="11" s="1"/>
  <c r="L18" i="11" a="1"/>
  <c r="L18" i="11" s="1"/>
  <c r="P18" i="11" a="1"/>
  <c r="P18" i="11" s="1"/>
  <c r="T18" i="11" a="1"/>
  <c r="T18" i="11" s="1"/>
  <c r="X18" i="11" a="1"/>
  <c r="X18" i="11" s="1"/>
  <c r="G19" i="11" a="1"/>
  <c r="G19" i="11" s="1"/>
  <c r="K19" i="11" a="1"/>
  <c r="K19" i="11" s="1"/>
  <c r="O19" i="11" a="1"/>
  <c r="O19" i="11" s="1"/>
  <c r="S19" i="11" a="1"/>
  <c r="S19" i="11" s="1"/>
  <c r="W19" i="11" a="1"/>
  <c r="W19" i="11" s="1"/>
  <c r="F20" i="11" a="1"/>
  <c r="F20" i="11" s="1"/>
  <c r="J20" i="11" a="1"/>
  <c r="J20" i="11" s="1"/>
  <c r="N20" i="11" a="1"/>
  <c r="N20" i="11" s="1"/>
  <c r="R20" i="11" a="1"/>
  <c r="R20" i="11" s="1"/>
  <c r="V20" i="11" a="1"/>
  <c r="V20" i="11" s="1"/>
  <c r="Y13" i="11" a="1"/>
  <c r="Y13" i="11" s="1"/>
  <c r="U13" i="11" a="1"/>
  <c r="U13" i="11" s="1"/>
  <c r="M13" i="11" a="1"/>
  <c r="M13" i="11" s="1"/>
  <c r="E13" i="11" a="1"/>
  <c r="E13" i="11" s="1"/>
  <c r="G20" i="11" a="1"/>
  <c r="G20" i="11" s="1"/>
  <c r="X13" i="11" a="1"/>
  <c r="X13" i="11" s="1"/>
  <c r="H13" i="11" a="1"/>
  <c r="H13" i="11" s="1"/>
  <c r="M51" i="11" a="1"/>
  <c r="M51" i="11" s="1"/>
  <c r="M27" i="11" a="1"/>
  <c r="M27" i="11" s="1"/>
  <c r="I32" i="11" a="1"/>
  <c r="I32" i="11" s="1"/>
  <c r="F34" i="11" a="1"/>
  <c r="F34" i="11" s="1"/>
  <c r="S34" i="11" a="1"/>
  <c r="S34" i="11" s="1"/>
  <c r="K35" i="11" a="1"/>
  <c r="K35" i="11" s="1"/>
  <c r="W35" i="11" a="1"/>
  <c r="W35" i="11" s="1"/>
  <c r="G37" i="11" a="1"/>
  <c r="G37" i="11" s="1"/>
  <c r="H38" i="11" a="1"/>
  <c r="H38" i="11" s="1"/>
  <c r="S38" i="11" a="1"/>
  <c r="S38" i="11" s="1"/>
  <c r="S39" i="11" a="1"/>
  <c r="S39" i="11" s="1"/>
  <c r="I40" i="11" a="1"/>
  <c r="I40" i="11" s="1"/>
  <c r="I41" i="11" a="1"/>
  <c r="I41" i="11" s="1"/>
  <c r="T41" i="11" a="1"/>
  <c r="T41" i="11" s="1"/>
  <c r="Y41" i="11" a="1"/>
  <c r="Y41" i="11" s="1"/>
  <c r="H42" i="11" a="1"/>
  <c r="H42" i="11" s="1"/>
  <c r="O42" i="11" a="1"/>
  <c r="O42" i="11" s="1"/>
  <c r="T42" i="11" a="1"/>
  <c r="T42" i="11" s="1"/>
  <c r="W42" i="11" a="1"/>
  <c r="W42" i="11" s="1"/>
  <c r="G43" i="11" a="1"/>
  <c r="G43" i="11" s="1"/>
  <c r="J43" i="11" a="1"/>
  <c r="J43" i="11" s="1"/>
  <c r="O43" i="11" a="1"/>
  <c r="O43" i="11" s="1"/>
  <c r="R43" i="11" a="1"/>
  <c r="R43" i="11" s="1"/>
  <c r="W43" i="11" a="1"/>
  <c r="W43" i="11" s="1"/>
  <c r="E14" i="11" a="1"/>
  <c r="E14" i="11" s="1"/>
  <c r="I14" i="11" a="1"/>
  <c r="I14" i="11" s="1"/>
  <c r="M14" i="11" a="1"/>
  <c r="M14" i="11" s="1"/>
  <c r="Q14" i="11" a="1"/>
  <c r="Q14" i="11" s="1"/>
  <c r="U14" i="11" a="1"/>
  <c r="U14" i="11" s="1"/>
  <c r="Y14" i="11" a="1"/>
  <c r="Y14" i="11" s="1"/>
  <c r="H15" i="11" a="1"/>
  <c r="H15" i="11" s="1"/>
  <c r="L15" i="11" a="1"/>
  <c r="L15" i="11" s="1"/>
  <c r="P15" i="11" a="1"/>
  <c r="P15" i="11" s="1"/>
  <c r="T15" i="11" a="1"/>
  <c r="T15" i="11" s="1"/>
  <c r="X15" i="11" a="1"/>
  <c r="X15" i="11" s="1"/>
  <c r="G16" i="11" a="1"/>
  <c r="G16" i="11" s="1"/>
  <c r="K16" i="11" a="1"/>
  <c r="K16" i="11" s="1"/>
  <c r="O16" i="11" a="1"/>
  <c r="O16" i="11" s="1"/>
  <c r="S16" i="11" a="1"/>
  <c r="S16" i="11" s="1"/>
  <c r="W16" i="11" a="1"/>
  <c r="W16" i="11" s="1"/>
  <c r="F17" i="11" a="1"/>
  <c r="F17" i="11" s="1"/>
  <c r="J17" i="11" a="1"/>
  <c r="J17" i="11" s="1"/>
  <c r="N17" i="11" a="1"/>
  <c r="N17" i="11" s="1"/>
  <c r="R17" i="11" a="1"/>
  <c r="R17" i="11" s="1"/>
  <c r="V17" i="11" a="1"/>
  <c r="V17" i="11" s="1"/>
  <c r="E18" i="11" a="1"/>
  <c r="E18" i="11" s="1"/>
  <c r="I18" i="11" a="1"/>
  <c r="I18" i="11" s="1"/>
  <c r="M18" i="11" a="1"/>
  <c r="M18" i="11" s="1"/>
  <c r="Q18" i="11" a="1"/>
  <c r="Q18" i="11" s="1"/>
  <c r="U18" i="11" a="1"/>
  <c r="U18" i="11" s="1"/>
  <c r="Y18" i="11" a="1"/>
  <c r="Y18" i="11" s="1"/>
  <c r="H19" i="11" a="1"/>
  <c r="H19" i="11" s="1"/>
  <c r="L19" i="11" a="1"/>
  <c r="L19" i="11" s="1"/>
  <c r="P19" i="11" a="1"/>
  <c r="P19" i="11" s="1"/>
  <c r="T19" i="11" a="1"/>
  <c r="T19" i="11" s="1"/>
  <c r="K20" i="11" a="1"/>
  <c r="K20" i="11" s="1"/>
  <c r="W20" i="11" a="1"/>
  <c r="W20" i="11" s="1"/>
  <c r="L13" i="11" a="1"/>
  <c r="L13" i="11" s="1"/>
  <c r="D35" i="14" a="1"/>
  <c r="D35" i="14" s="1"/>
  <c r="H35" i="14" a="1"/>
  <c r="H35" i="14" s="1"/>
  <c r="L35" i="14" a="1"/>
  <c r="L35" i="14" s="1"/>
  <c r="P35" i="14" a="1"/>
  <c r="P35" i="14" s="1"/>
  <c r="T35" i="14" a="1"/>
  <c r="T35" i="14" s="1"/>
  <c r="X35" i="14" a="1"/>
  <c r="X35" i="14" s="1"/>
  <c r="F37" i="14" a="1"/>
  <c r="F37" i="14" s="1"/>
  <c r="J37" i="14" a="1"/>
  <c r="J37" i="14" s="1"/>
  <c r="N37" i="14" a="1"/>
  <c r="N37" i="14" s="1"/>
  <c r="R37" i="14" a="1"/>
  <c r="R37" i="14" s="1"/>
  <c r="V37" i="14" a="1"/>
  <c r="V37" i="14" s="1"/>
  <c r="D39" i="14" a="1"/>
  <c r="D39" i="14" s="1"/>
  <c r="H39" i="14" a="1"/>
  <c r="H39" i="14" s="1"/>
  <c r="L39" i="14" a="1"/>
  <c r="L39" i="14" s="1"/>
  <c r="P39" i="14" a="1"/>
  <c r="P39" i="14" s="1"/>
  <c r="T39" i="14" a="1"/>
  <c r="T39" i="14" s="1"/>
  <c r="X39" i="14" a="1"/>
  <c r="X39" i="14" s="1"/>
  <c r="F41" i="14" a="1"/>
  <c r="F41" i="14" s="1"/>
  <c r="J41" i="14" a="1"/>
  <c r="J41" i="14" s="1"/>
  <c r="N41" i="14" a="1"/>
  <c r="N41" i="14" s="1"/>
  <c r="R41" i="14" a="1"/>
  <c r="R41" i="14" s="1"/>
  <c r="V41" i="14" a="1"/>
  <c r="V41" i="14" s="1"/>
  <c r="D43" i="14" a="1"/>
  <c r="D43" i="14" s="1"/>
  <c r="H43" i="14" a="1"/>
  <c r="H43" i="14" s="1"/>
  <c r="L43" i="14" a="1"/>
  <c r="L43" i="14" s="1"/>
  <c r="P43" i="14" a="1"/>
  <c r="P43" i="14" s="1"/>
  <c r="T43" i="14" a="1"/>
  <c r="T43" i="14" s="1"/>
  <c r="X43" i="14" a="1"/>
  <c r="X43" i="14" s="1"/>
  <c r="I38" i="14" a="1"/>
  <c r="I38" i="14" s="1"/>
  <c r="K38" i="14" a="1"/>
  <c r="K38" i="14" s="1"/>
  <c r="M38" i="14" a="1"/>
  <c r="M38" i="14" s="1"/>
  <c r="O38" i="14" a="1"/>
  <c r="O38" i="14" s="1"/>
  <c r="Q38" i="14" a="1"/>
  <c r="Q38" i="14" s="1"/>
  <c r="S38" i="14" a="1"/>
  <c r="S38" i="14" s="1"/>
  <c r="U38" i="14" a="1"/>
  <c r="U38" i="14" s="1"/>
  <c r="E35" i="14" a="1"/>
  <c r="E35" i="14" s="1"/>
  <c r="I35" i="14" a="1"/>
  <c r="I35" i="14" s="1"/>
  <c r="M35" i="14" a="1"/>
  <c r="M35" i="14" s="1"/>
  <c r="Q35" i="14" a="1"/>
  <c r="Q35" i="14" s="1"/>
  <c r="U35" i="14" a="1"/>
  <c r="U35" i="14" s="1"/>
  <c r="D36" i="14" a="1"/>
  <c r="D36" i="14" s="1"/>
  <c r="F36" i="14" a="1"/>
  <c r="F36" i="14" s="1"/>
  <c r="H36" i="14" a="1"/>
  <c r="H36" i="14" s="1"/>
  <c r="J36" i="14" a="1"/>
  <c r="J36" i="14" s="1"/>
  <c r="L36" i="14" a="1"/>
  <c r="L36" i="14" s="1"/>
  <c r="N36" i="14" a="1"/>
  <c r="N36" i="14" s="1"/>
  <c r="P36" i="14" a="1"/>
  <c r="P36" i="14" s="1"/>
  <c r="R36" i="14" a="1"/>
  <c r="R36" i="14" s="1"/>
  <c r="T36" i="14" a="1"/>
  <c r="T36" i="14" s="1"/>
  <c r="V36" i="14" a="1"/>
  <c r="V36" i="14" s="1"/>
  <c r="X36" i="14" a="1"/>
  <c r="X36" i="14" s="1"/>
  <c r="G37" i="14" a="1"/>
  <c r="G37" i="14" s="1"/>
  <c r="K37" i="14" a="1"/>
  <c r="K37" i="14" s="1"/>
  <c r="O37" i="14" a="1"/>
  <c r="O37" i="14" s="1"/>
  <c r="S37" i="14" a="1"/>
  <c r="S37" i="14" s="1"/>
  <c r="W37" i="14" a="1"/>
  <c r="W37" i="14" s="1"/>
  <c r="E38" i="14" a="1"/>
  <c r="E38" i="14" s="1"/>
  <c r="G38" i="14" a="1"/>
  <c r="G38" i="14" s="1"/>
  <c r="G35" i="14" a="1"/>
  <c r="G35" i="14" s="1"/>
  <c r="K35" i="14" a="1"/>
  <c r="K35" i="14" s="1"/>
  <c r="O35" i="14" a="1"/>
  <c r="O35" i="14" s="1"/>
  <c r="S35" i="14" a="1"/>
  <c r="S35" i="14" s="1"/>
  <c r="W35" i="14" a="1"/>
  <c r="W35" i="14" s="1"/>
  <c r="E36" i="14" a="1"/>
  <c r="E36" i="14" s="1"/>
  <c r="G36" i="14" a="1"/>
  <c r="G36" i="14" s="1"/>
  <c r="I36" i="14" a="1"/>
  <c r="I36" i="14" s="1"/>
  <c r="K36" i="14" a="1"/>
  <c r="K36" i="14" s="1"/>
  <c r="M36" i="14" a="1"/>
  <c r="M36" i="14" s="1"/>
  <c r="O36" i="14" a="1"/>
  <c r="O36" i="14" s="1"/>
  <c r="Q36" i="14" a="1"/>
  <c r="Q36" i="14" s="1"/>
  <c r="S36" i="14" a="1"/>
  <c r="S36" i="14" s="1"/>
  <c r="U36" i="14" a="1"/>
  <c r="U36" i="14" s="1"/>
  <c r="W36" i="14" a="1"/>
  <c r="W36" i="14" s="1"/>
  <c r="E37" i="14" a="1"/>
  <c r="E37" i="14" s="1"/>
  <c r="I37" i="14" a="1"/>
  <c r="I37" i="14" s="1"/>
  <c r="M37" i="14" a="1"/>
  <c r="M37" i="14" s="1"/>
  <c r="Q37" i="14" a="1"/>
  <c r="Q37" i="14" s="1"/>
  <c r="U37" i="14" a="1"/>
  <c r="U37" i="14" s="1"/>
  <c r="D38" i="14" a="1"/>
  <c r="D38" i="14" s="1"/>
  <c r="F38" i="14" a="1"/>
  <c r="F38" i="14" s="1"/>
  <c r="H38" i="14" a="1"/>
  <c r="H38" i="14" s="1"/>
  <c r="J38" i="14" a="1"/>
  <c r="J38" i="14" s="1"/>
  <c r="L38" i="14" a="1"/>
  <c r="L38" i="14" s="1"/>
  <c r="N38" i="14" a="1"/>
  <c r="N38" i="14" s="1"/>
  <c r="P38" i="14" a="1"/>
  <c r="P38" i="14" s="1"/>
  <c r="R38" i="14" a="1"/>
  <c r="R38" i="14" s="1"/>
  <c r="T38" i="14" a="1"/>
  <c r="T38" i="14" s="1"/>
  <c r="V38" i="14" a="1"/>
  <c r="V38" i="14" s="1"/>
  <c r="G39" i="14" a="1"/>
  <c r="G39" i="14" s="1"/>
  <c r="K39" i="14" a="1"/>
  <c r="K39" i="14" s="1"/>
  <c r="O39" i="14" a="1"/>
  <c r="O39" i="14" s="1"/>
  <c r="S39" i="14" a="1"/>
  <c r="S39" i="14" s="1"/>
  <c r="W39" i="14" a="1"/>
  <c r="W39" i="14" s="1"/>
  <c r="E40" i="14" a="1"/>
  <c r="E40" i="14" s="1"/>
  <c r="F35" i="14" a="1"/>
  <c r="F35" i="14" s="1"/>
  <c r="V35" i="14" a="1"/>
  <c r="V35" i="14" s="1"/>
  <c r="H37" i="14" a="1"/>
  <c r="H37" i="14" s="1"/>
  <c r="X37" i="14" a="1"/>
  <c r="X37" i="14" s="1"/>
  <c r="E39" i="14" a="1"/>
  <c r="E39" i="14" s="1"/>
  <c r="M39" i="14" a="1"/>
  <c r="M39" i="14" s="1"/>
  <c r="U39" i="14" a="1"/>
  <c r="U39" i="14" s="1"/>
  <c r="F40" i="14" a="1"/>
  <c r="F40" i="14" s="1"/>
  <c r="K40" i="14" a="1"/>
  <c r="K40" i="14" s="1"/>
  <c r="N40" i="14" a="1"/>
  <c r="N40" i="14" s="1"/>
  <c r="S40" i="14" a="1"/>
  <c r="S40" i="14" s="1"/>
  <c r="V40" i="14" a="1"/>
  <c r="V40" i="14" s="1"/>
  <c r="D41" i="14" a="1"/>
  <c r="D41" i="14" s="1"/>
  <c r="I41" i="14" a="1"/>
  <c r="I41" i="14" s="1"/>
  <c r="O41" i="14" a="1"/>
  <c r="O41" i="14" s="1"/>
  <c r="T41" i="14" a="1"/>
  <c r="T41" i="14" s="1"/>
  <c r="D42" i="14" a="1"/>
  <c r="D42" i="14" s="1"/>
  <c r="G42" i="14" a="1"/>
  <c r="G42" i="14" s="1"/>
  <c r="L42" i="14" a="1"/>
  <c r="L42" i="14" s="1"/>
  <c r="O42" i="14" a="1"/>
  <c r="O42" i="14" s="1"/>
  <c r="T42" i="14" a="1"/>
  <c r="T42" i="14" s="1"/>
  <c r="W42" i="14" a="1"/>
  <c r="W42" i="14" s="1"/>
  <c r="F43" i="14" a="1"/>
  <c r="F43" i="14" s="1"/>
  <c r="Q43" i="14" a="1"/>
  <c r="Q43" i="14" s="1"/>
  <c r="H44" i="14" a="1"/>
  <c r="H44" i="14" s="1"/>
  <c r="X44" i="14" a="1"/>
  <c r="X44" i="14" s="1"/>
  <c r="J35" i="14" a="1"/>
  <c r="J35" i="14" s="1"/>
  <c r="L37" i="14" a="1"/>
  <c r="L37" i="14" s="1"/>
  <c r="F39" i="14" a="1"/>
  <c r="F39" i="14" s="1"/>
  <c r="N39" i="14" a="1"/>
  <c r="N39" i="14" s="1"/>
  <c r="V39" i="14" a="1"/>
  <c r="V39" i="14" s="1"/>
  <c r="I40" i="14" a="1"/>
  <c r="I40" i="14" s="1"/>
  <c r="L40" i="14" a="1"/>
  <c r="L40" i="14" s="1"/>
  <c r="Q40" i="14" a="1"/>
  <c r="Q40" i="14" s="1"/>
  <c r="T40" i="14" a="1"/>
  <c r="T40" i="14" s="1"/>
  <c r="E41" i="14" a="1"/>
  <c r="E41" i="14" s="1"/>
  <c r="K41" i="14" a="1"/>
  <c r="K41" i="14" s="1"/>
  <c r="P41" i="14" a="1"/>
  <c r="P41" i="14" s="1"/>
  <c r="U41" i="14" a="1"/>
  <c r="U41" i="14" s="1"/>
  <c r="E42" i="14" a="1"/>
  <c r="E42" i="14" s="1"/>
  <c r="J42" i="14" a="1"/>
  <c r="J42" i="14" s="1"/>
  <c r="M42" i="14" a="1"/>
  <c r="M42" i="14" s="1"/>
  <c r="R42" i="14" a="1"/>
  <c r="R42" i="14" s="1"/>
  <c r="U42" i="14" a="1"/>
  <c r="U42" i="14" s="1"/>
  <c r="X42" i="14" a="1"/>
  <c r="X42" i="14" s="1"/>
  <c r="G43" i="14" a="1"/>
  <c r="G43" i="14" s="1"/>
  <c r="M43" i="14" a="1"/>
  <c r="M43" i="14" s="1"/>
  <c r="R43" i="14" a="1"/>
  <c r="R43" i="14" s="1"/>
  <c r="W43" i="14" a="1"/>
  <c r="W43" i="14" s="1"/>
  <c r="F44" i="14" a="1"/>
  <c r="F44" i="14" s="1"/>
  <c r="K44" i="14" a="1"/>
  <c r="K44" i="14" s="1"/>
  <c r="N44" i="14" a="1"/>
  <c r="N44" i="14" s="1"/>
  <c r="S44" i="14" a="1"/>
  <c r="S44" i="14" s="1"/>
  <c r="V44" i="14" a="1"/>
  <c r="V44" i="14" s="1"/>
  <c r="Q44" i="14" a="1"/>
  <c r="Q44" i="14" s="1"/>
  <c r="V43" i="14" a="1"/>
  <c r="V43" i="14" s="1"/>
  <c r="U44" i="14" a="1"/>
  <c r="U44" i="14" s="1"/>
  <c r="N35" i="14" a="1"/>
  <c r="N35" i="14" s="1"/>
  <c r="P37" i="14" a="1"/>
  <c r="P37" i="14" s="1"/>
  <c r="W38" i="14" a="1"/>
  <c r="W38" i="14" s="1"/>
  <c r="I39" i="14" a="1"/>
  <c r="I39" i="14" s="1"/>
  <c r="Q39" i="14" a="1"/>
  <c r="Q39" i="14" s="1"/>
  <c r="D40" i="14" a="1"/>
  <c r="D40" i="14" s="1"/>
  <c r="G40" i="14" a="1"/>
  <c r="G40" i="14" s="1"/>
  <c r="J40" i="14" a="1"/>
  <c r="J40" i="14" s="1"/>
  <c r="O40" i="14" a="1"/>
  <c r="O40" i="14" s="1"/>
  <c r="R40" i="14" a="1"/>
  <c r="R40" i="14" s="1"/>
  <c r="W40" i="14" a="1"/>
  <c r="W40" i="14" s="1"/>
  <c r="G41" i="14" a="1"/>
  <c r="G41" i="14" s="1"/>
  <c r="L41" i="14" a="1"/>
  <c r="L41" i="14" s="1"/>
  <c r="Q41" i="14" a="1"/>
  <c r="Q41" i="14" s="1"/>
  <c r="W41" i="14" a="1"/>
  <c r="W41" i="14" s="1"/>
  <c r="H42" i="14" a="1"/>
  <c r="H42" i="14" s="1"/>
  <c r="K42" i="14" a="1"/>
  <c r="K42" i="14" s="1"/>
  <c r="P42" i="14" a="1"/>
  <c r="P42" i="14" s="1"/>
  <c r="S42" i="14" a="1"/>
  <c r="S42" i="14" s="1"/>
  <c r="I43" i="14" a="1"/>
  <c r="I43" i="14" s="1"/>
  <c r="N43" i="14" a="1"/>
  <c r="N43" i="14" s="1"/>
  <c r="S43" i="14" a="1"/>
  <c r="S43" i="14" s="1"/>
  <c r="D44" i="14" a="1"/>
  <c r="D44" i="14" s="1"/>
  <c r="I44" i="14" a="1"/>
  <c r="I44" i="14" s="1"/>
  <c r="L44" i="14" a="1"/>
  <c r="L44" i="14" s="1"/>
  <c r="T44" i="14" a="1"/>
  <c r="T44" i="14" s="1"/>
  <c r="M44" i="14" a="1"/>
  <c r="M44" i="14" s="1"/>
  <c r="Y44" i="14" s="1"/>
  <c r="R35" i="14" a="1"/>
  <c r="R35" i="14" s="1"/>
  <c r="D37" i="14" a="1"/>
  <c r="D37" i="14" s="1"/>
  <c r="T37" i="14" a="1"/>
  <c r="T37" i="14" s="1"/>
  <c r="X38" i="14" a="1"/>
  <c r="X38" i="14" s="1"/>
  <c r="J39" i="14" a="1"/>
  <c r="J39" i="14" s="1"/>
  <c r="R39" i="14" a="1"/>
  <c r="R39" i="14" s="1"/>
  <c r="H40" i="14" a="1"/>
  <c r="H40" i="14" s="1"/>
  <c r="M40" i="14" a="1"/>
  <c r="M40" i="14" s="1"/>
  <c r="P40" i="14" a="1"/>
  <c r="P40" i="14" s="1"/>
  <c r="U40" i="14" a="1"/>
  <c r="U40" i="14" s="1"/>
  <c r="X40" i="14" a="1"/>
  <c r="X40" i="14" s="1"/>
  <c r="H41" i="14" a="1"/>
  <c r="H41" i="14" s="1"/>
  <c r="M41" i="14" a="1"/>
  <c r="M41" i="14" s="1"/>
  <c r="S41" i="14" a="1"/>
  <c r="S41" i="14" s="1"/>
  <c r="X41" i="14" a="1"/>
  <c r="X41" i="14" s="1"/>
  <c r="F42" i="14" a="1"/>
  <c r="F42" i="14" s="1"/>
  <c r="I42" i="14" a="1"/>
  <c r="I42" i="14" s="1"/>
  <c r="N42" i="14" a="1"/>
  <c r="N42" i="14" s="1"/>
  <c r="Y42" i="14" s="1"/>
  <c r="Q42" i="14" a="1"/>
  <c r="Q42" i="14" s="1"/>
  <c r="V42" i="14" a="1"/>
  <c r="V42" i="14" s="1"/>
  <c r="E43" i="14" a="1"/>
  <c r="E43" i="14" s="1"/>
  <c r="J43" i="14" a="1"/>
  <c r="J43" i="14" s="1"/>
  <c r="O43" i="14" a="1"/>
  <c r="O43" i="14" s="1"/>
  <c r="U43" i="14" a="1"/>
  <c r="U43" i="14" s="1"/>
  <c r="G44" i="14" a="1"/>
  <c r="G44" i="14" s="1"/>
  <c r="J44" i="14" a="1"/>
  <c r="J44" i="14" s="1"/>
  <c r="O44" i="14" a="1"/>
  <c r="O44" i="14" s="1"/>
  <c r="R44" i="14" a="1"/>
  <c r="R44" i="14" s="1"/>
  <c r="W44" i="14" a="1"/>
  <c r="W44" i="14" s="1"/>
  <c r="K43" i="14" a="1"/>
  <c r="K43" i="14" s="1"/>
  <c r="E44" i="14" a="1"/>
  <c r="E44" i="14" s="1"/>
  <c r="P44" i="14" a="1"/>
  <c r="P44" i="14" s="1"/>
  <c r="Z16" i="11"/>
  <c r="Z15" i="11"/>
  <c r="Z14" i="11"/>
  <c r="Z13" i="11"/>
  <c r="L46" i="14" a="1"/>
  <c r="L46" i="14" s="1"/>
  <c r="N46" i="14" a="1"/>
  <c r="N46" i="14" s="1"/>
  <c r="F25" i="14" a="1"/>
  <c r="F25" i="14" s="1"/>
  <c r="J25" i="14" a="1"/>
  <c r="J25" i="14" s="1"/>
  <c r="P25" i="14" a="1"/>
  <c r="P25" i="14" s="1"/>
  <c r="S25" i="14" a="1"/>
  <c r="S25" i="14" s="1"/>
  <c r="V25" i="14" a="1"/>
  <c r="V25" i="14" s="1"/>
  <c r="E26" i="14" a="1"/>
  <c r="E26" i="14" s="1"/>
  <c r="K26" i="14" a="1"/>
  <c r="K26" i="14" s="1"/>
  <c r="N26" i="14" a="1"/>
  <c r="N26" i="14" s="1"/>
  <c r="Q26" i="14" a="1"/>
  <c r="Q26" i="14" s="1"/>
  <c r="U26" i="14" a="1"/>
  <c r="U26" i="14" s="1"/>
  <c r="F27" i="14" a="1"/>
  <c r="F27" i="14" s="1"/>
  <c r="I27" i="14" a="1"/>
  <c r="I27" i="14" s="1"/>
  <c r="L27" i="14" a="1"/>
  <c r="L27" i="14" s="1"/>
  <c r="P27" i="14" a="1"/>
  <c r="P27" i="14" s="1"/>
  <c r="V27" i="14" a="1"/>
  <c r="V27" i="14" s="1"/>
  <c r="D28" i="14" a="1"/>
  <c r="D28" i="14" s="1"/>
  <c r="G28" i="14" a="1"/>
  <c r="G28" i="14" s="1"/>
  <c r="K28" i="14" a="1"/>
  <c r="K28" i="14" s="1"/>
  <c r="Q28" i="14" a="1"/>
  <c r="Q28" i="14" s="1"/>
  <c r="T28" i="14" a="1"/>
  <c r="T28" i="14" s="1"/>
  <c r="W28" i="14" a="1"/>
  <c r="W28" i="14" s="1"/>
  <c r="F29" i="14" a="1"/>
  <c r="F29" i="14" s="1"/>
  <c r="L29" i="14" a="1"/>
  <c r="L29" i="14" s="1"/>
  <c r="O29" i="14" a="1"/>
  <c r="O29" i="14" s="1"/>
  <c r="R29" i="14" a="1"/>
  <c r="R29" i="14" s="1"/>
  <c r="V29" i="14" a="1"/>
  <c r="V29" i="14" s="1"/>
  <c r="G30" i="14" a="1"/>
  <c r="G30" i="14" s="1"/>
  <c r="J30" i="14" a="1"/>
  <c r="J30" i="14" s="1"/>
  <c r="M30" i="14" a="1"/>
  <c r="M30" i="14" s="1"/>
  <c r="Q30" i="14" a="1"/>
  <c r="Q30" i="14" s="1"/>
  <c r="W30" i="14" a="1"/>
  <c r="W30" i="14" s="1"/>
  <c r="E31" i="14" a="1"/>
  <c r="E31" i="14" s="1"/>
  <c r="H31" i="14" a="1"/>
  <c r="H31" i="14" s="1"/>
  <c r="L31" i="14" a="1"/>
  <c r="L31" i="14" s="1"/>
  <c r="R31" i="14" a="1"/>
  <c r="R31" i="14" s="1"/>
  <c r="U31" i="14" a="1"/>
  <c r="U31" i="14" s="1"/>
  <c r="X31" i="14" a="1"/>
  <c r="X31" i="14" s="1"/>
  <c r="G32" i="14" a="1"/>
  <c r="G32" i="14" s="1"/>
  <c r="M32" i="14" a="1"/>
  <c r="M32" i="14" s="1"/>
  <c r="P32" i="14" a="1"/>
  <c r="P32" i="14" s="1"/>
  <c r="S32" i="14" a="1"/>
  <c r="S32" i="14" s="1"/>
  <c r="W32" i="14" a="1"/>
  <c r="W32" i="14" s="1"/>
  <c r="J33" i="14" a="1"/>
  <c r="J33" i="14" s="1"/>
  <c r="M33" i="14" a="1"/>
  <c r="M33" i="14" s="1"/>
  <c r="R33" i="14" a="1"/>
  <c r="R33" i="14" s="1"/>
  <c r="U33" i="14" a="1"/>
  <c r="U33" i="14" s="1"/>
  <c r="E34" i="14" a="1"/>
  <c r="E34" i="14" s="1"/>
  <c r="H34" i="14" a="1"/>
  <c r="H34" i="14" s="1"/>
  <c r="M34" i="14" a="1"/>
  <c r="M34" i="14" s="1"/>
  <c r="P34" i="14" a="1"/>
  <c r="P34" i="14" s="1"/>
  <c r="U34" i="14" a="1"/>
  <c r="U34" i="14" s="1"/>
  <c r="X34" i="14" a="1"/>
  <c r="X34" i="14" s="1"/>
  <c r="F9" i="14" a="1"/>
  <c r="F9" i="14" s="1"/>
  <c r="I9" i="14" a="1"/>
  <c r="I9" i="14" s="1"/>
  <c r="L9" i="14" a="1"/>
  <c r="L9" i="14" s="1"/>
  <c r="O9" i="14" a="1"/>
  <c r="O9" i="14" s="1"/>
  <c r="V9" i="14" a="1"/>
  <c r="V9" i="14" s="1"/>
  <c r="D10" i="14" a="1"/>
  <c r="D10" i="14" s="1"/>
  <c r="G10" i="14" a="1"/>
  <c r="G10" i="14" s="1"/>
  <c r="J10" i="14" a="1"/>
  <c r="J10" i="14" s="1"/>
  <c r="Q10" i="14" a="1"/>
  <c r="Q10" i="14" s="1"/>
  <c r="T10" i="14" a="1"/>
  <c r="T10" i="14" s="1"/>
  <c r="W10" i="14" a="1"/>
  <c r="W10" i="14" s="1"/>
  <c r="E11" i="14" a="1"/>
  <c r="E11" i="14" s="1"/>
  <c r="L11" i="14" a="1"/>
  <c r="L11" i="14" s="1"/>
  <c r="O11" i="14" a="1"/>
  <c r="O11" i="14" s="1"/>
  <c r="D25" i="14" a="1"/>
  <c r="D25" i="14" s="1"/>
  <c r="G25" i="14" a="1"/>
  <c r="G25" i="14" s="1"/>
  <c r="M25" i="14" a="1"/>
  <c r="M25" i="14" s="1"/>
  <c r="Q25" i="14" a="1"/>
  <c r="Q25" i="14" s="1"/>
  <c r="T25" i="14" a="1"/>
  <c r="T25" i="14" s="1"/>
  <c r="W25" i="14" a="1"/>
  <c r="W25" i="14" s="1"/>
  <c r="H26" i="14" a="1"/>
  <c r="H26" i="14" s="1"/>
  <c r="L26" i="14" a="1"/>
  <c r="L26" i="14" s="1"/>
  <c r="O26" i="14" a="1"/>
  <c r="O26" i="14" s="1"/>
  <c r="R26" i="14" a="1"/>
  <c r="R26" i="14" s="1"/>
  <c r="X26" i="14" a="1"/>
  <c r="X26" i="14" s="1"/>
  <c r="G27" i="14" a="1"/>
  <c r="G27" i="14" s="1"/>
  <c r="J27" i="14" a="1"/>
  <c r="J27" i="14" s="1"/>
  <c r="M27" i="14" a="1"/>
  <c r="M27" i="14" s="1"/>
  <c r="S27" i="14" a="1"/>
  <c r="S27" i="14" s="1"/>
  <c r="W27" i="14" a="1"/>
  <c r="W27" i="14" s="1"/>
  <c r="E28" i="14" a="1"/>
  <c r="E28" i="14" s="1"/>
  <c r="H28" i="14" a="1"/>
  <c r="H28" i="14" s="1"/>
  <c r="N28" i="14" a="1"/>
  <c r="N28" i="14" s="1"/>
  <c r="R28" i="14" a="1"/>
  <c r="R28" i="14" s="1"/>
  <c r="U28" i="14" a="1"/>
  <c r="U28" i="14" s="1"/>
  <c r="X28" i="14" a="1"/>
  <c r="X28" i="14" s="1"/>
  <c r="I29" i="14" a="1"/>
  <c r="I29" i="14" s="1"/>
  <c r="M29" i="14" a="1"/>
  <c r="M29" i="14" s="1"/>
  <c r="P29" i="14" a="1"/>
  <c r="P29" i="14" s="1"/>
  <c r="S29" i="14" a="1"/>
  <c r="S29" i="14" s="1"/>
  <c r="D30" i="14" a="1"/>
  <c r="D30" i="14" s="1"/>
  <c r="H30" i="14" a="1"/>
  <c r="H30" i="14" s="1"/>
  <c r="K30" i="14" a="1"/>
  <c r="K30" i="14" s="1"/>
  <c r="N30" i="14" a="1"/>
  <c r="N30" i="14" s="1"/>
  <c r="T30" i="14" a="1"/>
  <c r="T30" i="14" s="1"/>
  <c r="X30" i="14" a="1"/>
  <c r="X30" i="14" s="1"/>
  <c r="F31" i="14" a="1"/>
  <c r="F31" i="14" s="1"/>
  <c r="I31" i="14" a="1"/>
  <c r="I31" i="14" s="1"/>
  <c r="O31" i="14" a="1"/>
  <c r="O31" i="14" s="1"/>
  <c r="S31" i="14" a="1"/>
  <c r="S31" i="14" s="1"/>
  <c r="V31" i="14" a="1"/>
  <c r="V31" i="14" s="1"/>
  <c r="D32" i="14" a="1"/>
  <c r="D32" i="14" s="1"/>
  <c r="J32" i="14" a="1"/>
  <c r="J32" i="14" s="1"/>
  <c r="N32" i="14" a="1"/>
  <c r="N32" i="14" s="1"/>
  <c r="Q32" i="14" a="1"/>
  <c r="Q32" i="14" s="1"/>
  <c r="T32" i="14" a="1"/>
  <c r="T32" i="14" s="1"/>
  <c r="E33" i="14" a="1"/>
  <c r="E33" i="14" s="1"/>
  <c r="H33" i="14" a="1"/>
  <c r="H33" i="14" s="1"/>
  <c r="K33" i="14" a="1"/>
  <c r="K33" i="14" s="1"/>
  <c r="P33" i="14" a="1"/>
  <c r="P33" i="14" s="1"/>
  <c r="S33" i="14" a="1"/>
  <c r="S33" i="14" s="1"/>
  <c r="X33" i="14" a="1"/>
  <c r="X33" i="14" s="1"/>
  <c r="F34" i="14" a="1"/>
  <c r="F34" i="14" s="1"/>
  <c r="K34" i="14" a="1"/>
  <c r="K34" i="14" s="1"/>
  <c r="N34" i="14" a="1"/>
  <c r="N34" i="14" s="1"/>
  <c r="S34" i="14" a="1"/>
  <c r="S34" i="14" s="1"/>
  <c r="V34" i="14" a="1"/>
  <c r="V34" i="14" s="1"/>
  <c r="J9" i="14" a="1"/>
  <c r="J9" i="14" s="1"/>
  <c r="M9" i="14" a="1"/>
  <c r="M9" i="14" s="1"/>
  <c r="P9" i="14" a="1"/>
  <c r="P9" i="14" s="1"/>
  <c r="S9" i="14" a="1"/>
  <c r="S9" i="14" s="1"/>
  <c r="E10" i="14" a="1"/>
  <c r="E10" i="14" s="1"/>
  <c r="H10" i="14" a="1"/>
  <c r="H10" i="14" s="1"/>
  <c r="K10" i="14" a="1"/>
  <c r="K10" i="14" s="1"/>
  <c r="E25" i="14" a="1"/>
  <c r="E25" i="14" s="1"/>
  <c r="I25" i="14" a="1"/>
  <c r="I25" i="14" s="1"/>
  <c r="L25" i="14" a="1"/>
  <c r="L25" i="14" s="1"/>
  <c r="O25" i="14" a="1"/>
  <c r="O25" i="14" s="1"/>
  <c r="U25" i="14" a="1"/>
  <c r="U25" i="14" s="1"/>
  <c r="D26" i="14" a="1"/>
  <c r="D26" i="14" s="1"/>
  <c r="G26" i="14" a="1"/>
  <c r="G26" i="14" s="1"/>
  <c r="J26" i="14" a="1"/>
  <c r="J26" i="14" s="1"/>
  <c r="P26" i="14" a="1"/>
  <c r="P26" i="14" s="1"/>
  <c r="T26" i="14" a="1"/>
  <c r="T26" i="14" s="1"/>
  <c r="W26" i="14" a="1"/>
  <c r="W26" i="14" s="1"/>
  <c r="E27" i="14" a="1"/>
  <c r="E27" i="14" s="1"/>
  <c r="K27" i="14" a="1"/>
  <c r="K27" i="14" s="1"/>
  <c r="O27" i="14" a="1"/>
  <c r="O27" i="14" s="1"/>
  <c r="R27" i="14" a="1"/>
  <c r="R27" i="14" s="1"/>
  <c r="U27" i="14" a="1"/>
  <c r="U27" i="14" s="1"/>
  <c r="F28" i="14" a="1"/>
  <c r="F28" i="14" s="1"/>
  <c r="J28" i="14" a="1"/>
  <c r="J28" i="14" s="1"/>
  <c r="M28" i="14" a="1"/>
  <c r="M28" i="14" s="1"/>
  <c r="Y28" i="14" s="1"/>
  <c r="P28" i="14" a="1"/>
  <c r="P28" i="14" s="1"/>
  <c r="V28" i="14" a="1"/>
  <c r="V28" i="14" s="1"/>
  <c r="E29" i="14" a="1"/>
  <c r="E29" i="14" s="1"/>
  <c r="H29" i="14" a="1"/>
  <c r="H29" i="14" s="1"/>
  <c r="K29" i="14" a="1"/>
  <c r="K29" i="14" s="1"/>
  <c r="Q29" i="14" a="1"/>
  <c r="Q29" i="14" s="1"/>
  <c r="U29" i="14" a="1"/>
  <c r="U29" i="14" s="1"/>
  <c r="X29" i="14" a="1"/>
  <c r="X29" i="14" s="1"/>
  <c r="F30" i="14" a="1"/>
  <c r="F30" i="14" s="1"/>
  <c r="L30" i="14" a="1"/>
  <c r="L30" i="14" s="1"/>
  <c r="P30" i="14" a="1"/>
  <c r="P30" i="14" s="1"/>
  <c r="S30" i="14" a="1"/>
  <c r="S30" i="14" s="1"/>
  <c r="V30" i="14" a="1"/>
  <c r="V30" i="14" s="1"/>
  <c r="G31" i="14" a="1"/>
  <c r="G31" i="14" s="1"/>
  <c r="K31" i="14" a="1"/>
  <c r="K31" i="14" s="1"/>
  <c r="N31" i="14" a="1"/>
  <c r="N31" i="14" s="1"/>
  <c r="Q31" i="14" a="1"/>
  <c r="Q31" i="14" s="1"/>
  <c r="W31" i="14" a="1"/>
  <c r="W31" i="14" s="1"/>
  <c r="F32" i="14" a="1"/>
  <c r="F32" i="14" s="1"/>
  <c r="I32" i="14" a="1"/>
  <c r="I32" i="14" s="1"/>
  <c r="L32" i="14" a="1"/>
  <c r="L32" i="14" s="1"/>
  <c r="R32" i="14" a="1"/>
  <c r="R32" i="14" s="1"/>
  <c r="V32" i="14" a="1"/>
  <c r="V32" i="14" s="1"/>
  <c r="D33" i="14" a="1"/>
  <c r="D33" i="14" s="1"/>
  <c r="G33" i="14" a="1"/>
  <c r="G33" i="14" s="1"/>
  <c r="L33" i="14" a="1"/>
  <c r="L33" i="14" s="1"/>
  <c r="O33" i="14" a="1"/>
  <c r="O33" i="14" s="1"/>
  <c r="T33" i="14" a="1"/>
  <c r="T33" i="14" s="1"/>
  <c r="W33" i="14" a="1"/>
  <c r="W33" i="14" s="1"/>
  <c r="G34" i="14" a="1"/>
  <c r="G34" i="14" s="1"/>
  <c r="J34" i="14" a="1"/>
  <c r="J34" i="14" s="1"/>
  <c r="O34" i="14" a="1"/>
  <c r="O34" i="14" s="1"/>
  <c r="R34" i="14" a="1"/>
  <c r="R34" i="14" s="1"/>
  <c r="W34" i="14" a="1"/>
  <c r="W34" i="14" s="1"/>
  <c r="E9" i="14" a="1"/>
  <c r="E9" i="14" s="1"/>
  <c r="H9" i="14" a="1"/>
  <c r="H9" i="14" s="1"/>
  <c r="K9" i="14" a="1"/>
  <c r="K9" i="14" s="1"/>
  <c r="R9" i="14" a="1"/>
  <c r="R9" i="14" s="1"/>
  <c r="U9" i="14" a="1"/>
  <c r="U9" i="14" s="1"/>
  <c r="X9" i="14" a="1"/>
  <c r="X9" i="14" s="1"/>
  <c r="F10" i="14" a="1"/>
  <c r="F10" i="14" s="1"/>
  <c r="M10" i="14" a="1"/>
  <c r="M10" i="14" s="1"/>
  <c r="P10" i="14" a="1"/>
  <c r="P10" i="14" s="1"/>
  <c r="S10" i="14" a="1"/>
  <c r="S10" i="14" s="1"/>
  <c r="V10" i="14" a="1"/>
  <c r="V10" i="14" s="1"/>
  <c r="H11" i="14" a="1"/>
  <c r="H11" i="14" s="1"/>
  <c r="K11" i="14" a="1"/>
  <c r="K11" i="14" s="1"/>
  <c r="N25" i="14" a="1"/>
  <c r="N25" i="14" s="1"/>
  <c r="F26" i="14" a="1"/>
  <c r="F26" i="14" s="1"/>
  <c r="S26" i="14" a="1"/>
  <c r="S26" i="14" s="1"/>
  <c r="X27" i="14" a="1"/>
  <c r="X27" i="14" s="1"/>
  <c r="O28" i="14" a="1"/>
  <c r="O28" i="14" s="1"/>
  <c r="G29" i="14" a="1"/>
  <c r="G29" i="14" s="1"/>
  <c r="T29" i="14" a="1"/>
  <c r="T29" i="14" s="1"/>
  <c r="D31" i="14" a="1"/>
  <c r="D31" i="14" s="1"/>
  <c r="P31" i="14" a="1"/>
  <c r="P31" i="14" s="1"/>
  <c r="H32" i="14" a="1"/>
  <c r="H32" i="14" s="1"/>
  <c r="U32" i="14" a="1"/>
  <c r="U32" i="14" s="1"/>
  <c r="V33" i="14" a="1"/>
  <c r="V33" i="14" s="1"/>
  <c r="L34" i="14" a="1"/>
  <c r="L34" i="14" s="1"/>
  <c r="N9" i="14" a="1"/>
  <c r="N9" i="14" s="1"/>
  <c r="O10" i="14" a="1"/>
  <c r="O10" i="14" s="1"/>
  <c r="G11" i="14" a="1"/>
  <c r="G11" i="14" s="1"/>
  <c r="M11" i="14" a="1"/>
  <c r="M11" i="14" s="1"/>
  <c r="Q11" i="14" a="1"/>
  <c r="Q11" i="14" s="1"/>
  <c r="X11" i="14" a="1"/>
  <c r="X11" i="14" s="1"/>
  <c r="F12" i="14" a="1"/>
  <c r="F12" i="14" s="1"/>
  <c r="I12" i="14" a="1"/>
  <c r="I12" i="14" s="1"/>
  <c r="L12" i="14" a="1"/>
  <c r="L12" i="14" s="1"/>
  <c r="S12" i="14" a="1"/>
  <c r="S12" i="14" s="1"/>
  <c r="V12" i="14" a="1"/>
  <c r="V12" i="14" s="1"/>
  <c r="D13" i="14" a="1"/>
  <c r="D13" i="14" s="1"/>
  <c r="G13" i="14" a="1"/>
  <c r="G13" i="14" s="1"/>
  <c r="N13" i="14" a="1"/>
  <c r="N13" i="14" s="1"/>
  <c r="Q13" i="14" a="1"/>
  <c r="Q13" i="14" s="1"/>
  <c r="T13" i="14" a="1"/>
  <c r="T13" i="14" s="1"/>
  <c r="W13" i="14" a="1"/>
  <c r="W13" i="14" s="1"/>
  <c r="I14" i="14" a="1"/>
  <c r="I14" i="14" s="1"/>
  <c r="L14" i="14" a="1"/>
  <c r="L14" i="14" s="1"/>
  <c r="O14" i="14" a="1"/>
  <c r="O14" i="14" s="1"/>
  <c r="R14" i="14" a="1"/>
  <c r="R14" i="14" s="1"/>
  <c r="D15" i="14" a="1"/>
  <c r="D15" i="14" s="1"/>
  <c r="G15" i="14" a="1"/>
  <c r="G15" i="14" s="1"/>
  <c r="J15" i="14" a="1"/>
  <c r="J15" i="14" s="1"/>
  <c r="M15" i="14" a="1"/>
  <c r="M15" i="14" s="1"/>
  <c r="T15" i="14" a="1"/>
  <c r="T15" i="14" s="1"/>
  <c r="W15" i="14" a="1"/>
  <c r="W15" i="14" s="1"/>
  <c r="E16" i="14" a="1"/>
  <c r="E16" i="14" s="1"/>
  <c r="H16" i="14" a="1"/>
  <c r="H16" i="14" s="1"/>
  <c r="K16" i="14" a="1"/>
  <c r="K16" i="14" s="1"/>
  <c r="N16" i="14" a="1"/>
  <c r="N16" i="14" s="1"/>
  <c r="Q16" i="14" a="1"/>
  <c r="Q16" i="14" s="1"/>
  <c r="W16" i="14" a="1"/>
  <c r="W16" i="14" s="1"/>
  <c r="G17" i="14" a="1"/>
  <c r="G17" i="14" s="1"/>
  <c r="M17" i="14" a="1"/>
  <c r="M17" i="14" s="1"/>
  <c r="P17" i="14" a="1"/>
  <c r="P17" i="14" s="1"/>
  <c r="S17" i="14" a="1"/>
  <c r="S17" i="14" s="1"/>
  <c r="W17" i="14" a="1"/>
  <c r="W17" i="14" s="1"/>
  <c r="H18" i="14" a="1"/>
  <c r="H18" i="14" s="1"/>
  <c r="K18" i="14" a="1"/>
  <c r="K18" i="14" s="1"/>
  <c r="N18" i="14" a="1"/>
  <c r="N18" i="14" s="1"/>
  <c r="R18" i="14" a="1"/>
  <c r="R18" i="14" s="1"/>
  <c r="X18" i="14" a="1"/>
  <c r="X18" i="14" s="1"/>
  <c r="F19" i="14" a="1"/>
  <c r="F19" i="14" s="1"/>
  <c r="I19" i="14" a="1"/>
  <c r="I19" i="14" s="1"/>
  <c r="M19" i="14" a="1"/>
  <c r="M19" i="14" s="1"/>
  <c r="S19" i="14" a="1"/>
  <c r="S19" i="14" s="1"/>
  <c r="V19" i="14" a="1"/>
  <c r="V19" i="14" s="1"/>
  <c r="D20" i="14" a="1"/>
  <c r="D20" i="14" s="1"/>
  <c r="H20" i="14" a="1"/>
  <c r="H20" i="14" s="1"/>
  <c r="N20" i="14" a="1"/>
  <c r="N20" i="14" s="1"/>
  <c r="Q20" i="14" a="1"/>
  <c r="Q20" i="14" s="1"/>
  <c r="T20" i="14" a="1"/>
  <c r="T20" i="14" s="1"/>
  <c r="R25" i="14" a="1"/>
  <c r="R25" i="14" s="1"/>
  <c r="I26" i="14" a="1"/>
  <c r="I26" i="14" s="1"/>
  <c r="V26" i="14" a="1"/>
  <c r="V26" i="14" s="1"/>
  <c r="N27" i="14" a="1"/>
  <c r="N27" i="14" s="1"/>
  <c r="S28" i="14" a="1"/>
  <c r="S28" i="14" s="1"/>
  <c r="J29" i="14" a="1"/>
  <c r="J29" i="14" s="1"/>
  <c r="W29" i="14" a="1"/>
  <c r="W29" i="14" s="1"/>
  <c r="O30" i="14" a="1"/>
  <c r="O30" i="14" s="1"/>
  <c r="T31" i="14" a="1"/>
  <c r="T31" i="14" s="1"/>
  <c r="K32" i="14" a="1"/>
  <c r="K32" i="14" s="1"/>
  <c r="X32" i="14" a="1"/>
  <c r="X32" i="14" s="1"/>
  <c r="N33" i="14" a="1"/>
  <c r="N33" i="14" s="1"/>
  <c r="D34" i="14" a="1"/>
  <c r="D34" i="14" s="1"/>
  <c r="D9" i="14" a="1"/>
  <c r="D9" i="14" s="1"/>
  <c r="Q9" i="14" a="1"/>
  <c r="Q9" i="14" s="1"/>
  <c r="I10" i="14" a="1"/>
  <c r="I10" i="14" s="1"/>
  <c r="X10" i="14" a="1"/>
  <c r="X10" i="14" s="1"/>
  <c r="I11" i="14" a="1"/>
  <c r="I11" i="14" s="1"/>
  <c r="N11" i="14" a="1"/>
  <c r="N11" i="14" s="1"/>
  <c r="R11" i="14" a="1"/>
  <c r="R11" i="14" s="1"/>
  <c r="U11" i="14" a="1"/>
  <c r="U11" i="14" s="1"/>
  <c r="G12" i="14" a="1"/>
  <c r="G12" i="14" s="1"/>
  <c r="J12" i="14" a="1"/>
  <c r="J12" i="14" s="1"/>
  <c r="M12" i="14" a="1"/>
  <c r="M12" i="14" s="1"/>
  <c r="P12" i="14" a="1"/>
  <c r="P12" i="14" s="1"/>
  <c r="W12" i="14" a="1"/>
  <c r="W12" i="14" s="1"/>
  <c r="E13" i="14" a="1"/>
  <c r="E13" i="14" s="1"/>
  <c r="H13" i="14" a="1"/>
  <c r="H13" i="14" s="1"/>
  <c r="K13" i="14" a="1"/>
  <c r="K13" i="14" s="1"/>
  <c r="R13" i="14" a="1"/>
  <c r="R13" i="14" s="1"/>
  <c r="U13" i="14" a="1"/>
  <c r="U13" i="14" s="1"/>
  <c r="X13" i="14" a="1"/>
  <c r="X13" i="14" s="1"/>
  <c r="F14" i="14" a="1"/>
  <c r="F14" i="14" s="1"/>
  <c r="M14" i="14" a="1"/>
  <c r="M14" i="14" s="1"/>
  <c r="P14" i="14" a="1"/>
  <c r="P14" i="14" s="1"/>
  <c r="S14" i="14" a="1"/>
  <c r="S14" i="14" s="1"/>
  <c r="V14" i="14" a="1"/>
  <c r="V14" i="14" s="1"/>
  <c r="H15" i="14" a="1"/>
  <c r="H15" i="14" s="1"/>
  <c r="K15" i="14" a="1"/>
  <c r="K15" i="14" s="1"/>
  <c r="N15" i="14" a="1"/>
  <c r="N15" i="14" s="1"/>
  <c r="Q15" i="14" a="1"/>
  <c r="Q15" i="14" s="1"/>
  <c r="X15" i="14" a="1"/>
  <c r="X15" i="14" s="1"/>
  <c r="F16" i="14" a="1"/>
  <c r="F16" i="14" s="1"/>
  <c r="I16" i="14" a="1"/>
  <c r="I16" i="14" s="1"/>
  <c r="O16" i="14" a="1"/>
  <c r="O16" i="14" s="1"/>
  <c r="T16" i="14" a="1"/>
  <c r="T16" i="14" s="1"/>
  <c r="E17" i="14" a="1"/>
  <c r="E17" i="14" s="1"/>
  <c r="J17" i="14" a="1"/>
  <c r="J17" i="14" s="1"/>
  <c r="N17" i="14" a="1"/>
  <c r="N17" i="14" s="1"/>
  <c r="Q17" i="14" a="1"/>
  <c r="Q17" i="14" s="1"/>
  <c r="T17" i="14" a="1"/>
  <c r="T17" i="14" s="1"/>
  <c r="E18" i="14" a="1"/>
  <c r="E18" i="14" s="1"/>
  <c r="I18" i="14" a="1"/>
  <c r="I18" i="14" s="1"/>
  <c r="L18" i="14" a="1"/>
  <c r="L18" i="14" s="1"/>
  <c r="O18" i="14" a="1"/>
  <c r="O18" i="14" s="1"/>
  <c r="U18" i="14" a="1"/>
  <c r="U18" i="14" s="1"/>
  <c r="D19" i="14" a="1"/>
  <c r="D19" i="14" s="1"/>
  <c r="G19" i="14" a="1"/>
  <c r="G19" i="14" s="1"/>
  <c r="J19" i="14" a="1"/>
  <c r="J19" i="14" s="1"/>
  <c r="P19" i="14" a="1"/>
  <c r="P19" i="14" s="1"/>
  <c r="T19" i="14" a="1"/>
  <c r="T19" i="14" s="1"/>
  <c r="W19" i="14" a="1"/>
  <c r="W19" i="14" s="1"/>
  <c r="E20" i="14" a="1"/>
  <c r="E20" i="14" s="1"/>
  <c r="K20" i="14" a="1"/>
  <c r="K20" i="14" s="1"/>
  <c r="O20" i="14" a="1"/>
  <c r="O20" i="14" s="1"/>
  <c r="R20" i="14" a="1"/>
  <c r="R20" i="14" s="1"/>
  <c r="K25" i="14" a="1"/>
  <c r="K25" i="14" s="1"/>
  <c r="X25" i="14" a="1"/>
  <c r="X25" i="14" s="1"/>
  <c r="H27" i="14" a="1"/>
  <c r="H27" i="14" s="1"/>
  <c r="T27" i="14" a="1"/>
  <c r="T27" i="14" s="1"/>
  <c r="L28" i="14" a="1"/>
  <c r="L28" i="14" s="1"/>
  <c r="D29" i="14" a="1"/>
  <c r="D29" i="14" s="1"/>
  <c r="I30" i="14" a="1"/>
  <c r="I30" i="14" s="1"/>
  <c r="U30" i="14" a="1"/>
  <c r="U30" i="14" s="1"/>
  <c r="M31" i="14" a="1"/>
  <c r="M31" i="14" s="1"/>
  <c r="Y31" i="14" s="1"/>
  <c r="E32" i="14" a="1"/>
  <c r="E32" i="14" s="1"/>
  <c r="I33" i="14" a="1"/>
  <c r="I33" i="14" s="1"/>
  <c r="I34" i="14" a="1"/>
  <c r="I34" i="14" s="1"/>
  <c r="T34" i="14" a="1"/>
  <c r="T34" i="14" s="1"/>
  <c r="W9" i="14" a="1"/>
  <c r="W9" i="14" s="1"/>
  <c r="N10" i="14" a="1"/>
  <c r="N10" i="14" s="1"/>
  <c r="U10" i="14" a="1"/>
  <c r="U10" i="14" s="1"/>
  <c r="F11" i="14" a="1"/>
  <c r="F11" i="14" s="1"/>
  <c r="T11" i="14" a="1"/>
  <c r="T11" i="14" s="1"/>
  <c r="W11" i="14" a="1"/>
  <c r="W11" i="14" s="1"/>
  <c r="E12" i="14" a="1"/>
  <c r="E12" i="14" s="1"/>
  <c r="H12" i="14" a="1"/>
  <c r="H12" i="14" s="1"/>
  <c r="O12" i="14" a="1"/>
  <c r="O12" i="14" s="1"/>
  <c r="R12" i="14" a="1"/>
  <c r="R12" i="14" s="1"/>
  <c r="U12" i="14" a="1"/>
  <c r="U12" i="14" s="1"/>
  <c r="X12" i="14" a="1"/>
  <c r="X12" i="14" s="1"/>
  <c r="J13" i="14" a="1"/>
  <c r="J13" i="14" s="1"/>
  <c r="M13" i="14" a="1"/>
  <c r="M13" i="14" s="1"/>
  <c r="Y13" i="14" s="1"/>
  <c r="P13" i="14" a="1"/>
  <c r="P13" i="14" s="1"/>
  <c r="S13" i="14" a="1"/>
  <c r="S13" i="14" s="1"/>
  <c r="E14" i="14" a="1"/>
  <c r="E14" i="14" s="1"/>
  <c r="H14" i="14" a="1"/>
  <c r="H14" i="14" s="1"/>
  <c r="K14" i="14" a="1"/>
  <c r="K14" i="14" s="1"/>
  <c r="N14" i="14" a="1"/>
  <c r="N14" i="14" s="1"/>
  <c r="U14" i="14" a="1"/>
  <c r="U14" i="14" s="1"/>
  <c r="X14" i="14" a="1"/>
  <c r="X14" i="14" s="1"/>
  <c r="F15" i="14" a="1"/>
  <c r="F15" i="14" s="1"/>
  <c r="I15" i="14" a="1"/>
  <c r="I15" i="14" s="1"/>
  <c r="P15" i="14" a="1"/>
  <c r="P15" i="14" s="1"/>
  <c r="S15" i="14" a="1"/>
  <c r="S15" i="14" s="1"/>
  <c r="V15" i="14" a="1"/>
  <c r="V15" i="14" s="1"/>
  <c r="D16" i="14" a="1"/>
  <c r="D16" i="14" s="1"/>
  <c r="J16" i="14" a="1"/>
  <c r="J16" i="14" s="1"/>
  <c r="M16" i="14" a="1"/>
  <c r="M16" i="14" s="1"/>
  <c r="P16" i="14" a="1"/>
  <c r="P16" i="14" s="1"/>
  <c r="S16" i="14" a="1"/>
  <c r="S16" i="14" s="1"/>
  <c r="V16" i="14" a="1"/>
  <c r="V16" i="14" s="1"/>
  <c r="D17" i="14" a="1"/>
  <c r="D17" i="14" s="1"/>
  <c r="I17" i="14" a="1"/>
  <c r="I17" i="14" s="1"/>
  <c r="L17" i="14" a="1"/>
  <c r="L17" i="14" s="1"/>
  <c r="R17" i="14" a="1"/>
  <c r="R17" i="14" s="1"/>
  <c r="V17" i="14" a="1"/>
  <c r="V17" i="14" s="1"/>
  <c r="D18" i="14" a="1"/>
  <c r="D18" i="14" s="1"/>
  <c r="G18" i="14" a="1"/>
  <c r="G18" i="14" s="1"/>
  <c r="M18" i="14" a="1"/>
  <c r="M18" i="14" s="1"/>
  <c r="Y18" i="14" s="1"/>
  <c r="Q18" i="14" a="1"/>
  <c r="Q18" i="14" s="1"/>
  <c r="T18" i="14" a="1"/>
  <c r="T18" i="14" s="1"/>
  <c r="W18" i="14" a="1"/>
  <c r="W18" i="14" s="1"/>
  <c r="H19" i="14" a="1"/>
  <c r="H19" i="14" s="1"/>
  <c r="L19" i="14" a="1"/>
  <c r="L19" i="14" s="1"/>
  <c r="O19" i="14" a="1"/>
  <c r="O19" i="14" s="1"/>
  <c r="R19" i="14" a="1"/>
  <c r="R19" i="14" s="1"/>
  <c r="X19" i="14" a="1"/>
  <c r="X19" i="14" s="1"/>
  <c r="G20" i="14" a="1"/>
  <c r="G20" i="14" s="1"/>
  <c r="D27" i="14" a="1"/>
  <c r="D27" i="14" s="1"/>
  <c r="N29" i="14" a="1"/>
  <c r="N29" i="14" s="1"/>
  <c r="L10" i="14" a="1"/>
  <c r="L10" i="14" s="1"/>
  <c r="P11" i="14" a="1"/>
  <c r="P11" i="14" s="1"/>
  <c r="T12" i="14" a="1"/>
  <c r="T12" i="14" s="1"/>
  <c r="L13" i="14" a="1"/>
  <c r="L13" i="14" s="1"/>
  <c r="D14" i="14" a="1"/>
  <c r="D14" i="14" s="1"/>
  <c r="Q14" i="14" a="1"/>
  <c r="Q14" i="14" s="1"/>
  <c r="U15" i="14" a="1"/>
  <c r="U15" i="14" s="1"/>
  <c r="L16" i="14" a="1"/>
  <c r="L16" i="14" s="1"/>
  <c r="X16" i="14" a="1"/>
  <c r="X16" i="14" s="1"/>
  <c r="O17" i="14" a="1"/>
  <c r="O17" i="14" s="1"/>
  <c r="F18" i="14" a="1"/>
  <c r="F18" i="14" s="1"/>
  <c r="S18" i="14" a="1"/>
  <c r="S18" i="14" s="1"/>
  <c r="K19" i="14" a="1"/>
  <c r="K19" i="14" s="1"/>
  <c r="L20" i="14" a="1"/>
  <c r="L20" i="14" s="1"/>
  <c r="W20" i="14" a="1"/>
  <c r="W20" i="14" s="1"/>
  <c r="E21" i="14" a="1"/>
  <c r="E21" i="14" s="1"/>
  <c r="H21" i="14" a="1"/>
  <c r="H21" i="14" s="1"/>
  <c r="N21" i="14" a="1"/>
  <c r="N21" i="14" s="1"/>
  <c r="R21" i="14" a="1"/>
  <c r="R21" i="14" s="1"/>
  <c r="U21" i="14" a="1"/>
  <c r="U21" i="14" s="1"/>
  <c r="X21" i="14" a="1"/>
  <c r="X21" i="14" s="1"/>
  <c r="I22" i="14" a="1"/>
  <c r="I22" i="14" s="1"/>
  <c r="M22" i="14" a="1"/>
  <c r="M22" i="14" s="1"/>
  <c r="P22" i="14" a="1"/>
  <c r="P22" i="14" s="1"/>
  <c r="S22" i="14" a="1"/>
  <c r="S22" i="14" s="1"/>
  <c r="D23" i="14" a="1"/>
  <c r="D23" i="14" s="1"/>
  <c r="H23" i="14" a="1"/>
  <c r="H23" i="14" s="1"/>
  <c r="K23" i="14" a="1"/>
  <c r="K23" i="14" s="1"/>
  <c r="N23" i="14" a="1"/>
  <c r="N23" i="14" s="1"/>
  <c r="T23" i="14" a="1"/>
  <c r="T23" i="14" s="1"/>
  <c r="X23" i="14" a="1"/>
  <c r="X23" i="14" s="1"/>
  <c r="F24" i="14" a="1"/>
  <c r="F24" i="14" s="1"/>
  <c r="I24" i="14" a="1"/>
  <c r="I24" i="14" s="1"/>
  <c r="O24" i="14" a="1"/>
  <c r="O24" i="14" s="1"/>
  <c r="S24" i="14" a="1"/>
  <c r="S24" i="14" s="1"/>
  <c r="V24" i="14" a="1"/>
  <c r="V24" i="14" s="1"/>
  <c r="I28" i="14" a="1"/>
  <c r="I28" i="14" s="1"/>
  <c r="R30" i="14" a="1"/>
  <c r="R30" i="14" s="1"/>
  <c r="F33" i="14" a="1"/>
  <c r="F33" i="14" s="1"/>
  <c r="G9" i="14" a="1"/>
  <c r="G9" i="14" s="1"/>
  <c r="D11" i="14" a="1"/>
  <c r="D11" i="14" s="1"/>
  <c r="V11" i="14" a="1"/>
  <c r="V11" i="14" s="1"/>
  <c r="N12" i="14" a="1"/>
  <c r="N12" i="14" s="1"/>
  <c r="F13" i="14" a="1"/>
  <c r="F13" i="14" s="1"/>
  <c r="J14" i="14" a="1"/>
  <c r="J14" i="14" s="1"/>
  <c r="W14" i="14" a="1"/>
  <c r="W14" i="14" s="1"/>
  <c r="O15" i="14" a="1"/>
  <c r="O15" i="14" s="1"/>
  <c r="G16" i="14" a="1"/>
  <c r="G16" i="14" s="1"/>
  <c r="R16" i="14" a="1"/>
  <c r="R16" i="14" s="1"/>
  <c r="H17" i="14" a="1"/>
  <c r="H17" i="14" s="1"/>
  <c r="U17" i="14" a="1"/>
  <c r="U17" i="14" s="1"/>
  <c r="E19" i="14" a="1"/>
  <c r="E19" i="14" s="1"/>
  <c r="Q19" i="14" a="1"/>
  <c r="Q19" i="14" s="1"/>
  <c r="I20" i="14" a="1"/>
  <c r="I20" i="14" s="1"/>
  <c r="P20" i="14" a="1"/>
  <c r="P20" i="14" s="1"/>
  <c r="U20" i="14" a="1"/>
  <c r="U20" i="14" s="1"/>
  <c r="F21" i="14" a="1"/>
  <c r="F21" i="14" s="1"/>
  <c r="J21" i="14" a="1"/>
  <c r="J21" i="14" s="1"/>
  <c r="M21" i="14" a="1"/>
  <c r="M21" i="14" s="1"/>
  <c r="P21" i="14" a="1"/>
  <c r="P21" i="14" s="1"/>
  <c r="V21" i="14" a="1"/>
  <c r="V21" i="14" s="1"/>
  <c r="E22" i="14" a="1"/>
  <c r="E22" i="14" s="1"/>
  <c r="H22" i="14" a="1"/>
  <c r="H22" i="14" s="1"/>
  <c r="K22" i="14" a="1"/>
  <c r="K22" i="14" s="1"/>
  <c r="Q22" i="14" a="1"/>
  <c r="Q22" i="14" s="1"/>
  <c r="U22" i="14" a="1"/>
  <c r="U22" i="14" s="1"/>
  <c r="X22" i="14" a="1"/>
  <c r="X22" i="14" s="1"/>
  <c r="F23" i="14" a="1"/>
  <c r="F23" i="14" s="1"/>
  <c r="L23" i="14" a="1"/>
  <c r="L23" i="14" s="1"/>
  <c r="P23" i="14" a="1"/>
  <c r="P23" i="14" s="1"/>
  <c r="S23" i="14" a="1"/>
  <c r="S23" i="14" s="1"/>
  <c r="V23" i="14" a="1"/>
  <c r="V23" i="14" s="1"/>
  <c r="G24" i="14" a="1"/>
  <c r="G24" i="14" s="1"/>
  <c r="K24" i="14" a="1"/>
  <c r="K24" i="14" s="1"/>
  <c r="N24" i="14" a="1"/>
  <c r="N24" i="14" s="1"/>
  <c r="Q24" i="14" a="1"/>
  <c r="Q24" i="14" s="1"/>
  <c r="W24" i="14" a="1"/>
  <c r="W24" i="14" s="1"/>
  <c r="M26" i="14" a="1"/>
  <c r="M26" i="14" s="1"/>
  <c r="Y26" i="14" s="1"/>
  <c r="J31" i="14" a="1"/>
  <c r="J31" i="14" s="1"/>
  <c r="Q33" i="14" a="1"/>
  <c r="Q33" i="14" s="1"/>
  <c r="T9" i="14" a="1"/>
  <c r="T9" i="14" s="1"/>
  <c r="J11" i="14" a="1"/>
  <c r="J11" i="14" s="1"/>
  <c r="D12" i="14" a="1"/>
  <c r="D12" i="14" s="1"/>
  <c r="Q12" i="14" a="1"/>
  <c r="Q12" i="14" s="1"/>
  <c r="I13" i="14" a="1"/>
  <c r="I13" i="14" s="1"/>
  <c r="V13" i="14" a="1"/>
  <c r="V13" i="14" s="1"/>
  <c r="E15" i="14" a="1"/>
  <c r="E15" i="14" s="1"/>
  <c r="R15" i="14" a="1"/>
  <c r="R15" i="14" s="1"/>
  <c r="U16" i="14" a="1"/>
  <c r="U16" i="14" s="1"/>
  <c r="K17" i="14" a="1"/>
  <c r="K17" i="14" s="1"/>
  <c r="X17" i="14" a="1"/>
  <c r="X17" i="14" s="1"/>
  <c r="P18" i="14" a="1"/>
  <c r="P18" i="14" s="1"/>
  <c r="U19" i="14" a="1"/>
  <c r="U19" i="14" s="1"/>
  <c r="J20" i="14" a="1"/>
  <c r="J20" i="14" s="1"/>
  <c r="V20" i="14" a="1"/>
  <c r="V20" i="14" s="1"/>
  <c r="D21" i="14" a="1"/>
  <c r="D21" i="14" s="1"/>
  <c r="G21" i="14" a="1"/>
  <c r="G21" i="14" s="1"/>
  <c r="K21" i="14" a="1"/>
  <c r="K21" i="14" s="1"/>
  <c r="Q21" i="14" a="1"/>
  <c r="Q21" i="14" s="1"/>
  <c r="T21" i="14" a="1"/>
  <c r="T21" i="14" s="1"/>
  <c r="W21" i="14" a="1"/>
  <c r="W21" i="14" s="1"/>
  <c r="F22" i="14" a="1"/>
  <c r="F22" i="14" s="1"/>
  <c r="L22" i="14" a="1"/>
  <c r="L22" i="14" s="1"/>
  <c r="O22" i="14" a="1"/>
  <c r="O22" i="14" s="1"/>
  <c r="R22" i="14" a="1"/>
  <c r="R22" i="14" s="1"/>
  <c r="V22" i="14" a="1"/>
  <c r="V22" i="14" s="1"/>
  <c r="G23" i="14" a="1"/>
  <c r="G23" i="14" s="1"/>
  <c r="J23" i="14" a="1"/>
  <c r="J23" i="14" s="1"/>
  <c r="M23" i="14" a="1"/>
  <c r="M23" i="14" s="1"/>
  <c r="Y23" i="14" s="1"/>
  <c r="Q23" i="14" a="1"/>
  <c r="Q23" i="14" s="1"/>
  <c r="W23" i="14" a="1"/>
  <c r="W23" i="14" s="1"/>
  <c r="E24" i="14" a="1"/>
  <c r="E24" i="14" s="1"/>
  <c r="H24" i="14" a="1"/>
  <c r="H24" i="14" s="1"/>
  <c r="L24" i="14" a="1"/>
  <c r="L24" i="14" s="1"/>
  <c r="R24" i="14" a="1"/>
  <c r="R24" i="14" s="1"/>
  <c r="U24" i="14" a="1"/>
  <c r="U24" i="14" s="1"/>
  <c r="X24" i="14" a="1"/>
  <c r="X24" i="14" s="1"/>
  <c r="O32" i="14" a="1"/>
  <c r="O32" i="14" s="1"/>
  <c r="K12" i="14" a="1"/>
  <c r="K12" i="14" s="1"/>
  <c r="T14" i="14" a="1"/>
  <c r="T14" i="14" s="1"/>
  <c r="F17" i="14" a="1"/>
  <c r="F17" i="14" s="1"/>
  <c r="N19" i="14" a="1"/>
  <c r="N19" i="14" s="1"/>
  <c r="X20" i="14" a="1"/>
  <c r="X20" i="14" s="1"/>
  <c r="O21" i="14" a="1"/>
  <c r="O21" i="14" s="1"/>
  <c r="G22" i="14" a="1"/>
  <c r="G22" i="14" s="1"/>
  <c r="T22" i="14" a="1"/>
  <c r="T22" i="14" s="1"/>
  <c r="D24" i="14" a="1"/>
  <c r="D24" i="14" s="1"/>
  <c r="P24" i="14" a="1"/>
  <c r="P24" i="14" s="1"/>
  <c r="H25" i="14" a="1"/>
  <c r="H25" i="14" s="1"/>
  <c r="L15" i="14" a="1"/>
  <c r="L15" i="14" s="1"/>
  <c r="J22" i="14" a="1"/>
  <c r="J22" i="14" s="1"/>
  <c r="T24" i="14" a="1"/>
  <c r="T24" i="14" s="1"/>
  <c r="Q27" i="14" a="1"/>
  <c r="Q27" i="14" s="1"/>
  <c r="R10" i="14" a="1"/>
  <c r="R10" i="14" s="1"/>
  <c r="O13" i="14" a="1"/>
  <c r="O13" i="14" s="1"/>
  <c r="J18" i="14" a="1"/>
  <c r="J18" i="14" s="1"/>
  <c r="M20" i="14" a="1"/>
  <c r="M20" i="14" s="1"/>
  <c r="I21" i="14" a="1"/>
  <c r="I21" i="14" s="1"/>
  <c r="N22" i="14" a="1"/>
  <c r="N22" i="14" s="1"/>
  <c r="E23" i="14" a="1"/>
  <c r="E23" i="14" s="1"/>
  <c r="R23" i="14" a="1"/>
  <c r="R23" i="14" s="1"/>
  <c r="J24" i="14" a="1"/>
  <c r="J24" i="14" s="1"/>
  <c r="F20" i="14" a="1"/>
  <c r="F20" i="14" s="1"/>
  <c r="W22" i="14" a="1"/>
  <c r="W22" i="14" s="1"/>
  <c r="E30" i="14" a="1"/>
  <c r="E30" i="14" s="1"/>
  <c r="S11" i="14" a="1"/>
  <c r="S11" i="14" s="1"/>
  <c r="G14" i="14" a="1"/>
  <c r="G14" i="14" s="1"/>
  <c r="V18" i="14" a="1"/>
  <c r="V18" i="14" s="1"/>
  <c r="S20" i="14" a="1"/>
  <c r="S20" i="14" s="1"/>
  <c r="L21" i="14" a="1"/>
  <c r="L21" i="14" s="1"/>
  <c r="D22" i="14" a="1"/>
  <c r="D22" i="14" s="1"/>
  <c r="I23" i="14" a="1"/>
  <c r="I23" i="14" s="1"/>
  <c r="U23" i="14" a="1"/>
  <c r="U23" i="14" s="1"/>
  <c r="M24" i="14" a="1"/>
  <c r="M24" i="14" s="1"/>
  <c r="Q34" i="14" a="1"/>
  <c r="Q34" i="14" s="1"/>
  <c r="S21" i="14" a="1"/>
  <c r="S21" i="14" s="1"/>
  <c r="O23" i="14" a="1"/>
  <c r="O23" i="14" s="1"/>
  <c r="T8" i="14" a="1"/>
  <c r="T8" i="14" s="1"/>
  <c r="Q8" i="14" a="1"/>
  <c r="Q8" i="14" s="1"/>
  <c r="L8" i="14" a="1"/>
  <c r="L8" i="14" s="1"/>
  <c r="I8" i="14" a="1"/>
  <c r="I8" i="14" s="1"/>
  <c r="D8" i="14" a="1"/>
  <c r="D8" i="14" s="1"/>
  <c r="V7" i="14" a="1"/>
  <c r="V7" i="14" s="1"/>
  <c r="Q7" i="14" a="1"/>
  <c r="Q7" i="14" s="1"/>
  <c r="N7" i="14" a="1"/>
  <c r="N7" i="14" s="1"/>
  <c r="I7" i="14" a="1"/>
  <c r="I7" i="14" s="1"/>
  <c r="F7" i="14" a="1"/>
  <c r="F7" i="14" s="1"/>
  <c r="V6" i="14" a="1"/>
  <c r="V6" i="14" s="1"/>
  <c r="S6" i="14" a="1"/>
  <c r="S6" i="14" s="1"/>
  <c r="N6" i="14" a="1"/>
  <c r="N6" i="14" s="1"/>
  <c r="K6" i="14" a="1"/>
  <c r="K6" i="14" s="1"/>
  <c r="F6" i="14" a="1"/>
  <c r="F6" i="14" s="1"/>
  <c r="X5" i="14" a="1"/>
  <c r="X5" i="14" s="1"/>
  <c r="O5" i="14" a="1"/>
  <c r="O5" i="14" s="1"/>
  <c r="I5" i="14" a="1"/>
  <c r="I5" i="14" s="1"/>
  <c r="G5" i="14" a="1"/>
  <c r="G5" i="14" s="1"/>
  <c r="D5" i="14" a="1"/>
  <c r="D5" i="14" s="1"/>
  <c r="V8" i="14" a="1"/>
  <c r="V8" i="14" s="1"/>
  <c r="S8" i="14" a="1"/>
  <c r="S8" i="14" s="1"/>
  <c r="N8" i="14" a="1"/>
  <c r="N8" i="14" s="1"/>
  <c r="K8" i="14" a="1"/>
  <c r="K8" i="14" s="1"/>
  <c r="F8" i="14" a="1"/>
  <c r="F8" i="14" s="1"/>
  <c r="X7" i="14" a="1"/>
  <c r="X7" i="14" s="1"/>
  <c r="S7" i="14" a="1"/>
  <c r="S7" i="14" s="1"/>
  <c r="P7" i="14" a="1"/>
  <c r="P7" i="14" s="1"/>
  <c r="K7" i="14" a="1"/>
  <c r="K7" i="14" s="1"/>
  <c r="H7" i="14" a="1"/>
  <c r="H7" i="14" s="1"/>
  <c r="X6" i="14" a="1"/>
  <c r="X6" i="14" s="1"/>
  <c r="U6" i="14" a="1"/>
  <c r="U6" i="14" s="1"/>
  <c r="P6" i="14" a="1"/>
  <c r="P6" i="14" s="1"/>
  <c r="M6" i="14" a="1"/>
  <c r="M6" i="14" s="1"/>
  <c r="H6" i="14" a="1"/>
  <c r="H6" i="14" s="1"/>
  <c r="E6" i="14" a="1"/>
  <c r="E6" i="14" s="1"/>
  <c r="U5" i="14" a="1"/>
  <c r="U5" i="14" s="1"/>
  <c r="S5" i="14" a="1"/>
  <c r="S5" i="14" s="1"/>
  <c r="Q5" i="14" a="1"/>
  <c r="Q5" i="14" s="1"/>
  <c r="M5" i="14" a="1"/>
  <c r="M5" i="14" s="1"/>
  <c r="K5" i="14" a="1"/>
  <c r="K5" i="14" s="1"/>
  <c r="E5" i="14" a="1"/>
  <c r="E5" i="14" s="1"/>
  <c r="X8" i="14" a="1"/>
  <c r="X8" i="14" s="1"/>
  <c r="U8" i="14" a="1"/>
  <c r="U8" i="14" s="1"/>
  <c r="P8" i="14" a="1"/>
  <c r="P8" i="14" s="1"/>
  <c r="M8" i="14" a="1"/>
  <c r="M8" i="14" s="1"/>
  <c r="H8" i="14" a="1"/>
  <c r="H8" i="14" s="1"/>
  <c r="E8" i="14" a="1"/>
  <c r="E8" i="14" s="1"/>
  <c r="U7" i="14" a="1"/>
  <c r="U7" i="14" s="1"/>
  <c r="R7" i="14" a="1"/>
  <c r="R7" i="14" s="1"/>
  <c r="M7" i="14" a="1"/>
  <c r="M7" i="14" s="1"/>
  <c r="J7" i="14" a="1"/>
  <c r="J7" i="14" s="1"/>
  <c r="E7" i="14" a="1"/>
  <c r="E7" i="14" s="1"/>
  <c r="W6" i="14" a="1"/>
  <c r="W6" i="14" s="1"/>
  <c r="R6" i="14" a="1"/>
  <c r="R6" i="14" s="1"/>
  <c r="O6" i="14" a="1"/>
  <c r="O6" i="14" s="1"/>
  <c r="J6" i="14" a="1"/>
  <c r="J6" i="14" s="1"/>
  <c r="G6" i="14" a="1"/>
  <c r="G6" i="14" s="1"/>
  <c r="W5" i="14" a="1"/>
  <c r="W5" i="14" s="1"/>
  <c r="R5" i="14" a="1"/>
  <c r="R5" i="14" s="1"/>
  <c r="N5" i="14" a="1"/>
  <c r="N5" i="14" s="1"/>
  <c r="J5" i="14" a="1"/>
  <c r="J5" i="14" s="1"/>
  <c r="F5" i="14" a="1"/>
  <c r="F5" i="14" s="1"/>
  <c r="W8" i="14" a="1"/>
  <c r="W8" i="14" s="1"/>
  <c r="R8" i="14" a="1"/>
  <c r="R8" i="14" s="1"/>
  <c r="O8" i="14" a="1"/>
  <c r="O8" i="14" s="1"/>
  <c r="J8" i="14" a="1"/>
  <c r="J8" i="14" s="1"/>
  <c r="G8" i="14" a="1"/>
  <c r="G8" i="14" s="1"/>
  <c r="W7" i="14" a="1"/>
  <c r="W7" i="14" s="1"/>
  <c r="T7" i="14" a="1"/>
  <c r="T7" i="14" s="1"/>
  <c r="O7" i="14" a="1"/>
  <c r="O7" i="14" s="1"/>
  <c r="L7" i="14" a="1"/>
  <c r="L7" i="14" s="1"/>
  <c r="G7" i="14" a="1"/>
  <c r="G7" i="14" s="1"/>
  <c r="D7" i="14" a="1"/>
  <c r="D7" i="14" s="1"/>
  <c r="T6" i="14" a="1"/>
  <c r="T6" i="14" s="1"/>
  <c r="Q6" i="14" a="1"/>
  <c r="Q6" i="14" s="1"/>
  <c r="L6" i="14" a="1"/>
  <c r="L6" i="14" s="1"/>
  <c r="I6" i="14" a="1"/>
  <c r="I6" i="14" s="1"/>
  <c r="D6" i="14" a="1"/>
  <c r="D6" i="14" s="1"/>
  <c r="V5" i="14" a="1"/>
  <c r="V5" i="14" s="1"/>
  <c r="T5" i="14" a="1"/>
  <c r="T5" i="14" s="1"/>
  <c r="P5" i="14" a="1"/>
  <c r="P5" i="14" s="1"/>
  <c r="L5" i="14" a="1"/>
  <c r="L5" i="14" s="1"/>
  <c r="H5" i="14" a="1"/>
  <c r="H5" i="14" s="1"/>
  <c r="R84" i="10" a="1"/>
  <c r="R84" i="10" s="1"/>
  <c r="P150" i="10" a="1"/>
  <c r="P150" i="10" s="1"/>
  <c r="AB16" i="11" s="1"/>
  <c r="Q84" i="10" a="1"/>
  <c r="Q84" i="10" s="1"/>
  <c r="P84" i="10" a="1"/>
  <c r="P84" i="10" s="1"/>
  <c r="AB14" i="11" s="1"/>
  <c r="Q51" i="10" a="1"/>
  <c r="Q51" i="10" s="1"/>
  <c r="Q117" i="10" a="1"/>
  <c r="Q117" i="10" s="1"/>
  <c r="R150" i="10" a="1"/>
  <c r="R150" i="10" s="1"/>
  <c r="P51" i="10" a="1"/>
  <c r="P51" i="10" s="1"/>
  <c r="AB13" i="11" s="1"/>
  <c r="R117" i="10" a="1"/>
  <c r="R117" i="10" s="1"/>
  <c r="R51" i="10" a="1"/>
  <c r="R51" i="10" s="1"/>
  <c r="P117" i="10" a="1"/>
  <c r="P117" i="10" s="1"/>
  <c r="AB15" i="11" s="1"/>
  <c r="Q150" i="10" a="1"/>
  <c r="Q150" i="10" s="1"/>
  <c r="Y16" i="14" l="1"/>
  <c r="Y41" i="14"/>
  <c r="Y20" i="14"/>
  <c r="Y40" i="14"/>
  <c r="Y37" i="14"/>
  <c r="Y36" i="14"/>
  <c r="AB6" i="14" a="1"/>
  <c r="AB6" i="14" s="1"/>
  <c r="AB10" i="14" a="1"/>
  <c r="AB10" i="14" s="1"/>
  <c r="AB14" i="14" a="1"/>
  <c r="AB14" i="14" s="1"/>
  <c r="AB18" i="14" a="1"/>
  <c r="AB18" i="14" s="1"/>
  <c r="AB22" i="14" a="1"/>
  <c r="AB22" i="14" s="1"/>
  <c r="AB26" i="14" a="1"/>
  <c r="AB26" i="14" s="1"/>
  <c r="AB30" i="14" a="1"/>
  <c r="AB30" i="14" s="1"/>
  <c r="AB34" i="14" a="1"/>
  <c r="AB34" i="14" s="1"/>
  <c r="AB38" i="14" a="1"/>
  <c r="AB38" i="14" s="1"/>
  <c r="AB42" i="14" a="1"/>
  <c r="AB42" i="14" s="1"/>
  <c r="AB7" i="14" a="1"/>
  <c r="AB7" i="14" s="1"/>
  <c r="AB11" i="14" a="1"/>
  <c r="AB11" i="14" s="1"/>
  <c r="AB15" i="14" a="1"/>
  <c r="AB15" i="14" s="1"/>
  <c r="AB19" i="14" a="1"/>
  <c r="AB19" i="14" s="1"/>
  <c r="AB23" i="14" a="1"/>
  <c r="AB23" i="14" s="1"/>
  <c r="AB27" i="14" a="1"/>
  <c r="AB27" i="14" s="1"/>
  <c r="AB31" i="14" a="1"/>
  <c r="AB31" i="14" s="1"/>
  <c r="AB35" i="14" a="1"/>
  <c r="AB35" i="14" s="1"/>
  <c r="AB39" i="14" a="1"/>
  <c r="AB39" i="14" s="1"/>
  <c r="AB43" i="14" a="1"/>
  <c r="AB43" i="14" s="1"/>
  <c r="AB9" i="14" a="1"/>
  <c r="AB9" i="14" s="1"/>
  <c r="AB13" i="14" a="1"/>
  <c r="AB13" i="14" s="1"/>
  <c r="AB17" i="14" a="1"/>
  <c r="AB17" i="14" s="1"/>
  <c r="AB21" i="14" a="1"/>
  <c r="AB21" i="14" s="1"/>
  <c r="AB25" i="14" a="1"/>
  <c r="AB25" i="14" s="1"/>
  <c r="AB29" i="14" a="1"/>
  <c r="AB29" i="14" s="1"/>
  <c r="AB33" i="14" a="1"/>
  <c r="AB33" i="14" s="1"/>
  <c r="AB37" i="14" a="1"/>
  <c r="AB37" i="14" s="1"/>
  <c r="AB41" i="14" a="1"/>
  <c r="AB41" i="14" s="1"/>
  <c r="AB5" i="14" a="1"/>
  <c r="AB5" i="14" s="1"/>
  <c r="AB8" i="14" a="1"/>
  <c r="AB8" i="14" s="1"/>
  <c r="AB24" i="14" a="1"/>
  <c r="AB24" i="14" s="1"/>
  <c r="AB40" i="14" a="1"/>
  <c r="AB40" i="14" s="1"/>
  <c r="AB12" i="14" a="1"/>
  <c r="AB12" i="14" s="1"/>
  <c r="AB28" i="14" a="1"/>
  <c r="AB28" i="14" s="1"/>
  <c r="AB44" i="14" a="1"/>
  <c r="AB44" i="14" s="1"/>
  <c r="AB20" i="14" a="1"/>
  <c r="AB20" i="14" s="1"/>
  <c r="AB36" i="14" a="1"/>
  <c r="AB36" i="14" s="1"/>
  <c r="AB16" i="14" a="1"/>
  <c r="AB16" i="14" s="1"/>
  <c r="AB32" i="14" a="1"/>
  <c r="AB32" i="14" s="1"/>
  <c r="P50" i="14"/>
  <c r="H50" i="14"/>
  <c r="P48" i="14"/>
  <c r="H48" i="14"/>
  <c r="P49" i="14"/>
  <c r="M49" i="14"/>
  <c r="D49" i="14"/>
  <c r="P47" i="14"/>
  <c r="M47" i="14"/>
  <c r="H47" i="14"/>
  <c r="D47" i="14"/>
  <c r="M50" i="14"/>
  <c r="D50" i="14"/>
  <c r="H49" i="14"/>
  <c r="M48" i="14"/>
  <c r="D48" i="14"/>
  <c r="Y38" i="14"/>
  <c r="Y39" i="14"/>
  <c r="Y35" i="14"/>
  <c r="Y43" i="14"/>
  <c r="Y7" i="14"/>
  <c r="Y6" i="14"/>
  <c r="Y21" i="14"/>
  <c r="Y5" i="14"/>
  <c r="Y9" i="14"/>
  <c r="Y30" i="14"/>
  <c r="Y22" i="14"/>
  <c r="Y24" i="14"/>
  <c r="Y19" i="14"/>
  <c r="Y10" i="14"/>
  <c r="Y32" i="14"/>
  <c r="Y8" i="14"/>
  <c r="Y12" i="14"/>
  <c r="Y15" i="14"/>
  <c r="Y29" i="14"/>
  <c r="AF22" i="11" a="1"/>
  <c r="AF22" i="11" s="1"/>
  <c r="AF21" i="11" a="1"/>
  <c r="AF21" i="11" s="1"/>
  <c r="Y11" i="14"/>
  <c r="Y25" i="14"/>
  <c r="Y34" i="14"/>
  <c r="Y14" i="14"/>
  <c r="Y17" i="14"/>
  <c r="Y27" i="14"/>
  <c r="Y33" i="14"/>
  <c r="AD18" i="11"/>
  <c r="J58" i="14"/>
  <c r="AA20" i="11" s="1"/>
  <c r="J56" i="14"/>
  <c r="AA18" i="11" s="1"/>
  <c r="C5" i="14"/>
  <c r="AF5" i="14" l="1"/>
  <c r="AE5" i="14"/>
  <c r="AD5" i="14"/>
  <c r="AC5" i="14"/>
  <c r="AC36" i="14"/>
  <c r="AD36" i="14"/>
  <c r="AE36" i="14"/>
  <c r="AF36" i="14"/>
  <c r="AE40" i="14"/>
  <c r="AC40" i="14"/>
  <c r="AD40" i="14"/>
  <c r="AF40" i="14"/>
  <c r="AC42" i="14"/>
  <c r="AD42" i="14"/>
  <c r="AE42" i="14"/>
  <c r="AF42" i="14"/>
  <c r="AE43" i="14"/>
  <c r="AF43" i="14"/>
  <c r="AC43" i="14"/>
  <c r="AD43" i="14"/>
  <c r="AD39" i="14"/>
  <c r="AE39" i="14"/>
  <c r="AF39" i="14"/>
  <c r="AC39" i="14"/>
  <c r="AC41" i="14"/>
  <c r="AF41" i="14"/>
  <c r="AD41" i="14"/>
  <c r="AE41" i="14"/>
  <c r="AF38" i="14"/>
  <c r="AC38" i="14"/>
  <c r="AD38" i="14"/>
  <c r="AE38" i="14"/>
  <c r="AC44" i="14"/>
  <c r="AD44" i="14"/>
  <c r="AE44" i="14"/>
  <c r="AF44" i="14"/>
  <c r="AE35" i="14"/>
  <c r="AF35" i="14"/>
  <c r="AC35" i="14"/>
  <c r="AD35" i="14"/>
  <c r="AE37" i="14"/>
  <c r="AF37" i="14"/>
  <c r="AC37" i="14"/>
  <c r="AD37" i="14"/>
  <c r="D51" i="14"/>
  <c r="AC20" i="14"/>
  <c r="AF20" i="14"/>
  <c r="AE20" i="14"/>
  <c r="AD20" i="14"/>
  <c r="AC15" i="14"/>
  <c r="AE15" i="14"/>
  <c r="AD15" i="14"/>
  <c r="AF15" i="14"/>
  <c r="AE8" i="14"/>
  <c r="AD8" i="14"/>
  <c r="AF8" i="14"/>
  <c r="AC8" i="14"/>
  <c r="AE12" i="14"/>
  <c r="AF12" i="14"/>
  <c r="AD12" i="14"/>
  <c r="AC12" i="14"/>
  <c r="AE9" i="14"/>
  <c r="AC9" i="14"/>
  <c r="AD9" i="14"/>
  <c r="AF9" i="14"/>
  <c r="AD22" i="14"/>
  <c r="AE22" i="14"/>
  <c r="AF22" i="14"/>
  <c r="AC22" i="14"/>
  <c r="AE32" i="14"/>
  <c r="AC32" i="14"/>
  <c r="AF32" i="14"/>
  <c r="AD32" i="14"/>
  <c r="AF31" i="14"/>
  <c r="AD31" i="14"/>
  <c r="AE31" i="14"/>
  <c r="AC31" i="14"/>
  <c r="AD33" i="14"/>
  <c r="AF33" i="14"/>
  <c r="AE33" i="14"/>
  <c r="AC33" i="14"/>
  <c r="AC17" i="14"/>
  <c r="AF17" i="14"/>
  <c r="AE17" i="14"/>
  <c r="AD17" i="14"/>
  <c r="AC7" i="14"/>
  <c r="AD7" i="14"/>
  <c r="AF7" i="14"/>
  <c r="AE7" i="14"/>
  <c r="AF10" i="14"/>
  <c r="AE10" i="14"/>
  <c r="AC10" i="14"/>
  <c r="AD10" i="14"/>
  <c r="AC11" i="14"/>
  <c r="AF11" i="14"/>
  <c r="AE11" i="14"/>
  <c r="AD11" i="14"/>
  <c r="AF27" i="14"/>
  <c r="AD27" i="14"/>
  <c r="AE27" i="14"/>
  <c r="AC27" i="14"/>
  <c r="AF34" i="14"/>
  <c r="AE34" i="14"/>
  <c r="AC34" i="14"/>
  <c r="AD34" i="14"/>
  <c r="AD18" i="14"/>
  <c r="AC18" i="14"/>
  <c r="AE18" i="14"/>
  <c r="AF18" i="14"/>
  <c r="AC24" i="14"/>
  <c r="AF24" i="14"/>
  <c r="AE24" i="14"/>
  <c r="AD24" i="14"/>
  <c r="AD23" i="14"/>
  <c r="AC23" i="14"/>
  <c r="AF23" i="14"/>
  <c r="AE23" i="14"/>
  <c r="AD29" i="14"/>
  <c r="AF29" i="14"/>
  <c r="AE29" i="14"/>
  <c r="AC29" i="14"/>
  <c r="AE13" i="14"/>
  <c r="AC13" i="14"/>
  <c r="AF13" i="14"/>
  <c r="AD13" i="14"/>
  <c r="AF26" i="14"/>
  <c r="AE26" i="14"/>
  <c r="AC26" i="14"/>
  <c r="AD26" i="14"/>
  <c r="AE21" i="14"/>
  <c r="AD21" i="14"/>
  <c r="AF21" i="14"/>
  <c r="AC21" i="14"/>
  <c r="AE28" i="14"/>
  <c r="AC28" i="14"/>
  <c r="AF28" i="14"/>
  <c r="AD28" i="14"/>
  <c r="AD19" i="14"/>
  <c r="AE19" i="14"/>
  <c r="AC19" i="14"/>
  <c r="AF19" i="14"/>
  <c r="AF30" i="14"/>
  <c r="AE30" i="14"/>
  <c r="AD30" i="14"/>
  <c r="AC30" i="14"/>
  <c r="AF14" i="14"/>
  <c r="AE14" i="14"/>
  <c r="AC14" i="14"/>
  <c r="AD14" i="14"/>
  <c r="AE16" i="14"/>
  <c r="AD16" i="14"/>
  <c r="AF16" i="14"/>
  <c r="AC16" i="14"/>
  <c r="AF6" i="14"/>
  <c r="AE6" i="14"/>
  <c r="AC6" i="14"/>
  <c r="AD6" i="14"/>
  <c r="AD25" i="14"/>
  <c r="AC25" i="14"/>
  <c r="AF25" i="14"/>
  <c r="AE25" i="14"/>
  <c r="AD13" i="11"/>
  <c r="AD15" i="11"/>
  <c r="AC16" i="11"/>
  <c r="AC15" i="11"/>
  <c r="AD16" i="11"/>
  <c r="AC14" i="11"/>
  <c r="AC13" i="11"/>
  <c r="AD14" i="11"/>
  <c r="H51" i="14"/>
  <c r="P51" i="14"/>
  <c r="M51" i="14"/>
  <c r="X514" i="12"/>
  <c r="W514" i="12"/>
  <c r="X513" i="12"/>
  <c r="W513" i="12"/>
  <c r="X512" i="12"/>
  <c r="W512" i="12"/>
  <c r="X511" i="12"/>
  <c r="W511" i="12"/>
  <c r="X510" i="12"/>
  <c r="W510" i="12"/>
  <c r="X509" i="12"/>
  <c r="W509" i="12"/>
  <c r="X508" i="12"/>
  <c r="W508" i="12"/>
  <c r="X507" i="12"/>
  <c r="W507" i="12"/>
  <c r="X506" i="12"/>
  <c r="W506" i="12"/>
  <c r="X505" i="12"/>
  <c r="W505" i="12"/>
  <c r="X504" i="12"/>
  <c r="W504" i="12"/>
  <c r="X503" i="12"/>
  <c r="W503" i="12"/>
  <c r="X502" i="12"/>
  <c r="W502" i="12"/>
  <c r="X501" i="12"/>
  <c r="W501" i="12"/>
  <c r="X500" i="12"/>
  <c r="W500" i="12"/>
  <c r="X499" i="12"/>
  <c r="W499" i="12"/>
  <c r="X498" i="12"/>
  <c r="W498" i="12"/>
  <c r="X497" i="12"/>
  <c r="W497" i="12"/>
  <c r="X496" i="12"/>
  <c r="W496" i="12"/>
  <c r="X495" i="12"/>
  <c r="W495" i="12"/>
  <c r="X494" i="12"/>
  <c r="W494" i="12"/>
  <c r="X493" i="12"/>
  <c r="W493" i="12"/>
  <c r="X492" i="12"/>
  <c r="W492" i="12"/>
  <c r="X491" i="12"/>
  <c r="W491" i="12"/>
  <c r="X490" i="12"/>
  <c r="W490" i="12"/>
  <c r="X489" i="12"/>
  <c r="W489" i="12"/>
  <c r="X488" i="12"/>
  <c r="W488" i="12"/>
  <c r="X487" i="12"/>
  <c r="W487" i="12"/>
  <c r="X486" i="12"/>
  <c r="W486" i="12"/>
  <c r="X485" i="12"/>
  <c r="W485" i="12"/>
  <c r="X484" i="12"/>
  <c r="W484" i="12"/>
  <c r="X483" i="12"/>
  <c r="W483" i="12"/>
  <c r="X482" i="12"/>
  <c r="W482" i="12"/>
  <c r="X481" i="12"/>
  <c r="W481" i="12"/>
  <c r="X480" i="12"/>
  <c r="W480" i="12"/>
  <c r="X479" i="12"/>
  <c r="W479" i="12"/>
  <c r="X478" i="12"/>
  <c r="W478" i="12"/>
  <c r="X477" i="12"/>
  <c r="W477" i="12"/>
  <c r="X476" i="12"/>
  <c r="W476" i="12"/>
  <c r="X475" i="12"/>
  <c r="W475" i="12"/>
  <c r="X474" i="12"/>
  <c r="W474" i="12"/>
  <c r="X473" i="12"/>
  <c r="W473" i="12"/>
  <c r="X472" i="12"/>
  <c r="W472" i="12"/>
  <c r="X471" i="12"/>
  <c r="W471" i="12"/>
  <c r="X470" i="12"/>
  <c r="W470" i="12"/>
  <c r="X469" i="12"/>
  <c r="W469" i="12"/>
  <c r="X468" i="12"/>
  <c r="W468" i="12"/>
  <c r="X467" i="12"/>
  <c r="W467" i="12"/>
  <c r="X466" i="12"/>
  <c r="W466" i="12"/>
  <c r="X465" i="12"/>
  <c r="W465" i="12"/>
  <c r="X464" i="12"/>
  <c r="W464" i="12"/>
  <c r="X463" i="12"/>
  <c r="W463" i="12"/>
  <c r="X462" i="12"/>
  <c r="W462" i="12"/>
  <c r="X461" i="12"/>
  <c r="W461" i="12"/>
  <c r="X460" i="12"/>
  <c r="W460" i="12"/>
  <c r="X459" i="12"/>
  <c r="W459" i="12"/>
  <c r="X458" i="12"/>
  <c r="W458" i="12"/>
  <c r="X457" i="12"/>
  <c r="W457" i="12"/>
  <c r="X456" i="12"/>
  <c r="W456" i="12"/>
  <c r="X455" i="12"/>
  <c r="W455" i="12"/>
  <c r="X454" i="12"/>
  <c r="W454" i="12"/>
  <c r="X453" i="12"/>
  <c r="W453" i="12"/>
  <c r="X452" i="12"/>
  <c r="W452" i="12"/>
  <c r="X451" i="12"/>
  <c r="W451" i="12"/>
  <c r="X450" i="12"/>
  <c r="W450" i="12"/>
  <c r="X449" i="12"/>
  <c r="W449" i="12"/>
  <c r="X448" i="12"/>
  <c r="W448" i="12"/>
  <c r="X447" i="12"/>
  <c r="W447" i="12"/>
  <c r="X446" i="12"/>
  <c r="W446" i="12"/>
  <c r="X445" i="12"/>
  <c r="W445" i="12"/>
  <c r="X444" i="12"/>
  <c r="W444" i="12"/>
  <c r="X443" i="12"/>
  <c r="W443" i="12"/>
  <c r="X442" i="12"/>
  <c r="W442" i="12"/>
  <c r="X441" i="12"/>
  <c r="W441" i="12"/>
  <c r="X440" i="12"/>
  <c r="W440" i="12"/>
  <c r="X439" i="12"/>
  <c r="W439" i="12"/>
  <c r="X438" i="12"/>
  <c r="W438" i="12"/>
  <c r="X437" i="12"/>
  <c r="W437" i="12"/>
  <c r="X436" i="12"/>
  <c r="W436" i="12"/>
  <c r="X435" i="12"/>
  <c r="W435" i="12"/>
  <c r="X434" i="12"/>
  <c r="W434" i="12"/>
  <c r="X433" i="12"/>
  <c r="W433" i="12"/>
  <c r="X432" i="12"/>
  <c r="W432" i="12"/>
  <c r="X431" i="12"/>
  <c r="W431" i="12"/>
  <c r="X430" i="12"/>
  <c r="W430" i="12"/>
  <c r="X429" i="12"/>
  <c r="W429" i="12"/>
  <c r="X428" i="12"/>
  <c r="W428" i="12"/>
  <c r="X427" i="12"/>
  <c r="W427" i="12"/>
  <c r="X426" i="12"/>
  <c r="W426" i="12"/>
  <c r="X425" i="12"/>
  <c r="W425" i="12"/>
  <c r="X424" i="12"/>
  <c r="W424" i="12"/>
  <c r="X423" i="12"/>
  <c r="W423" i="12"/>
  <c r="X422" i="12"/>
  <c r="W422" i="12"/>
  <c r="X421" i="12"/>
  <c r="W421" i="12"/>
  <c r="X420" i="12"/>
  <c r="W420" i="12"/>
  <c r="X419" i="12"/>
  <c r="W419" i="12"/>
  <c r="X418" i="12"/>
  <c r="W418" i="12"/>
  <c r="X417" i="12"/>
  <c r="W417" i="12"/>
  <c r="X416" i="12"/>
  <c r="W416" i="12"/>
  <c r="X415" i="12"/>
  <c r="W415" i="12"/>
  <c r="X414" i="12"/>
  <c r="W414" i="12"/>
  <c r="X413" i="12"/>
  <c r="W413" i="12"/>
  <c r="X412" i="12"/>
  <c r="W412" i="12"/>
  <c r="X411" i="12"/>
  <c r="W411" i="12"/>
  <c r="X410" i="12"/>
  <c r="W410" i="12"/>
  <c r="X409" i="12"/>
  <c r="W409" i="12"/>
  <c r="X408" i="12"/>
  <c r="W408" i="12"/>
  <c r="X407" i="12"/>
  <c r="W407" i="12"/>
  <c r="X406" i="12"/>
  <c r="W406" i="12"/>
  <c r="X405" i="12"/>
  <c r="W405" i="12"/>
  <c r="X404" i="12"/>
  <c r="W404" i="12"/>
  <c r="X403" i="12"/>
  <c r="W403" i="12"/>
  <c r="X402" i="12"/>
  <c r="W402" i="12"/>
  <c r="X401" i="12"/>
  <c r="W401" i="12"/>
  <c r="X400" i="12"/>
  <c r="W400" i="12"/>
  <c r="X399" i="12"/>
  <c r="W399" i="12"/>
  <c r="X398" i="12"/>
  <c r="W398" i="12"/>
  <c r="X397" i="12"/>
  <c r="W397" i="12"/>
  <c r="X396" i="12"/>
  <c r="W396" i="12"/>
  <c r="X395" i="12"/>
  <c r="W395" i="12"/>
  <c r="X394" i="12"/>
  <c r="W394" i="12"/>
  <c r="X393" i="12"/>
  <c r="W393" i="12"/>
  <c r="X392" i="12"/>
  <c r="W392" i="12"/>
  <c r="X391" i="12"/>
  <c r="W391" i="12"/>
  <c r="X390" i="12"/>
  <c r="W390" i="12"/>
  <c r="X389" i="12"/>
  <c r="W389" i="12"/>
  <c r="X388" i="12"/>
  <c r="W388" i="12"/>
  <c r="X387" i="12"/>
  <c r="W387" i="12"/>
  <c r="X386" i="12"/>
  <c r="W386" i="12"/>
  <c r="X385" i="12"/>
  <c r="W385" i="12"/>
  <c r="X384" i="12"/>
  <c r="W384" i="12"/>
  <c r="X383" i="12"/>
  <c r="W383" i="12"/>
  <c r="X382" i="12"/>
  <c r="W382" i="12"/>
  <c r="X381" i="12"/>
  <c r="W381" i="12"/>
  <c r="X380" i="12"/>
  <c r="W380" i="12"/>
  <c r="X379" i="12"/>
  <c r="W379" i="12"/>
  <c r="X378" i="12"/>
  <c r="W378" i="12"/>
  <c r="X377" i="12"/>
  <c r="W377" i="12"/>
  <c r="X376" i="12"/>
  <c r="W376" i="12"/>
  <c r="X375" i="12"/>
  <c r="W375" i="12"/>
  <c r="X374" i="12"/>
  <c r="W374" i="12"/>
  <c r="X373" i="12"/>
  <c r="W373" i="12"/>
  <c r="X372" i="12"/>
  <c r="W372" i="12"/>
  <c r="X371" i="12"/>
  <c r="W371" i="12"/>
  <c r="X370" i="12"/>
  <c r="W370" i="12"/>
  <c r="X369" i="12"/>
  <c r="W369" i="12"/>
  <c r="X368" i="12"/>
  <c r="W368" i="12"/>
  <c r="X367" i="12"/>
  <c r="W367" i="12"/>
  <c r="X366" i="12"/>
  <c r="W366" i="12"/>
  <c r="X365" i="12"/>
  <c r="W365" i="12"/>
  <c r="X364" i="12"/>
  <c r="W364" i="12"/>
  <c r="X363" i="12"/>
  <c r="W363" i="12"/>
  <c r="X362" i="12"/>
  <c r="W362" i="12"/>
  <c r="X361" i="12"/>
  <c r="W361" i="12"/>
  <c r="X360" i="12"/>
  <c r="W360" i="12"/>
  <c r="X359" i="12"/>
  <c r="W359" i="12"/>
  <c r="X358" i="12"/>
  <c r="W358" i="12"/>
  <c r="X357" i="12"/>
  <c r="W357" i="12"/>
  <c r="X356" i="12"/>
  <c r="W356" i="12"/>
  <c r="X355" i="12"/>
  <c r="W355" i="12"/>
  <c r="X354" i="12"/>
  <c r="W354" i="12"/>
  <c r="X353" i="12"/>
  <c r="W353" i="12"/>
  <c r="X352" i="12"/>
  <c r="W352" i="12"/>
  <c r="X351" i="12"/>
  <c r="W351" i="12"/>
  <c r="X350" i="12"/>
  <c r="W350" i="12"/>
  <c r="X349" i="12"/>
  <c r="W349" i="12"/>
  <c r="X348" i="12"/>
  <c r="W348" i="12"/>
  <c r="X347" i="12"/>
  <c r="W347" i="12"/>
  <c r="X346" i="12"/>
  <c r="W346" i="12"/>
  <c r="X345" i="12"/>
  <c r="W345" i="12"/>
  <c r="X344" i="12"/>
  <c r="W344" i="12"/>
  <c r="X343" i="12"/>
  <c r="W343" i="12"/>
  <c r="X342" i="12"/>
  <c r="W342" i="12"/>
  <c r="X341" i="12"/>
  <c r="W341" i="12"/>
  <c r="X340" i="12"/>
  <c r="W340" i="12"/>
  <c r="X339" i="12"/>
  <c r="W339" i="12"/>
  <c r="X338" i="12"/>
  <c r="W338" i="12"/>
  <c r="X337" i="12"/>
  <c r="W337" i="12"/>
  <c r="X336" i="12"/>
  <c r="W336" i="12"/>
  <c r="X335" i="12"/>
  <c r="W335" i="12"/>
  <c r="X334" i="12"/>
  <c r="W334" i="12"/>
  <c r="X333" i="12"/>
  <c r="W333" i="12"/>
  <c r="X332" i="12"/>
  <c r="W332" i="12"/>
  <c r="X331" i="12"/>
  <c r="W331" i="12"/>
  <c r="X330" i="12"/>
  <c r="W330" i="12"/>
  <c r="X329" i="12"/>
  <c r="W329" i="12"/>
  <c r="X328" i="12"/>
  <c r="W328" i="12"/>
  <c r="X327" i="12"/>
  <c r="W327" i="12"/>
  <c r="X326" i="12"/>
  <c r="W326" i="12"/>
  <c r="X325" i="12"/>
  <c r="W325" i="12"/>
  <c r="X324" i="12"/>
  <c r="W324" i="12"/>
  <c r="X323" i="12"/>
  <c r="W323" i="12"/>
  <c r="X322" i="12"/>
  <c r="W322" i="12"/>
  <c r="X321" i="12"/>
  <c r="W321" i="12"/>
  <c r="X320" i="12"/>
  <c r="W320" i="12"/>
  <c r="X319" i="12"/>
  <c r="W319" i="12"/>
  <c r="X318" i="12"/>
  <c r="W318" i="12"/>
  <c r="X317" i="12"/>
  <c r="W317" i="12"/>
  <c r="X316" i="12"/>
  <c r="W316" i="12"/>
  <c r="X315" i="12"/>
  <c r="W315" i="12"/>
  <c r="X314" i="12"/>
  <c r="W314" i="12"/>
  <c r="X313" i="12"/>
  <c r="W313" i="12"/>
  <c r="AU312" i="12"/>
  <c r="AT312" i="12"/>
  <c r="AS312" i="12"/>
  <c r="AR312" i="12"/>
  <c r="AQ312" i="12"/>
  <c r="AP312" i="12"/>
  <c r="AO312" i="12"/>
  <c r="AN312" i="12"/>
  <c r="AM312" i="12"/>
  <c r="AL312" i="12"/>
  <c r="AK312" i="12"/>
  <c r="AJ312" i="12"/>
  <c r="X312" i="12"/>
  <c r="W312" i="12"/>
  <c r="X311" i="12"/>
  <c r="W311" i="12"/>
  <c r="X310" i="12"/>
  <c r="W310" i="12"/>
  <c r="X309" i="12"/>
  <c r="W309" i="12"/>
  <c r="X308" i="12"/>
  <c r="W308" i="12"/>
  <c r="X307" i="12"/>
  <c r="W307" i="12"/>
  <c r="X306" i="12"/>
  <c r="W306" i="12"/>
  <c r="AU305" i="12"/>
  <c r="AT305" i="12"/>
  <c r="AS305" i="12"/>
  <c r="AR305" i="12"/>
  <c r="AQ305" i="12"/>
  <c r="AP305" i="12"/>
  <c r="AO305" i="12"/>
  <c r="AN305" i="12"/>
  <c r="AM305" i="12"/>
  <c r="AL305" i="12"/>
  <c r="AK305" i="12"/>
  <c r="AJ305" i="12"/>
  <c r="X305" i="12"/>
  <c r="W305" i="12"/>
  <c r="X304" i="12"/>
  <c r="W304" i="12"/>
  <c r="X303" i="12"/>
  <c r="W303" i="12"/>
  <c r="X302" i="12"/>
  <c r="W302" i="12"/>
  <c r="X301" i="12"/>
  <c r="W301" i="12"/>
  <c r="X300" i="12"/>
  <c r="W300" i="12"/>
  <c r="X299" i="12"/>
  <c r="W299" i="12"/>
  <c r="X298" i="12"/>
  <c r="W298" i="12"/>
  <c r="X297" i="12"/>
  <c r="W297" i="12"/>
  <c r="X296" i="12"/>
  <c r="W296" i="12"/>
  <c r="AU295" i="12"/>
  <c r="AT295" i="12"/>
  <c r="AS295" i="12"/>
  <c r="AR295" i="12"/>
  <c r="AQ295" i="12"/>
  <c r="AP295" i="12"/>
  <c r="AO295" i="12"/>
  <c r="AN295" i="12"/>
  <c r="AM295" i="12"/>
  <c r="AL295" i="12"/>
  <c r="AK295" i="12"/>
  <c r="AJ295" i="12"/>
  <c r="X295" i="12"/>
  <c r="W295" i="12"/>
  <c r="X294" i="12"/>
  <c r="W294" i="12"/>
  <c r="X293" i="12"/>
  <c r="W293" i="12"/>
  <c r="X292" i="12"/>
  <c r="W292" i="12"/>
  <c r="X291" i="12"/>
  <c r="W291" i="12"/>
  <c r="X290" i="12"/>
  <c r="W290" i="12"/>
  <c r="X289" i="12"/>
  <c r="W289" i="12"/>
  <c r="X288" i="12"/>
  <c r="W288" i="12"/>
  <c r="X287" i="12"/>
  <c r="W287" i="12"/>
  <c r="X286" i="12"/>
  <c r="W286" i="12"/>
  <c r="X285" i="12"/>
  <c r="W285" i="12"/>
  <c r="X284" i="12"/>
  <c r="W284" i="12"/>
  <c r="X283" i="12"/>
  <c r="W283" i="12"/>
  <c r="X282" i="12"/>
  <c r="W282" i="12"/>
  <c r="X281" i="12"/>
  <c r="W281" i="12"/>
  <c r="AU280" i="12"/>
  <c r="AT280" i="12"/>
  <c r="AS280" i="12"/>
  <c r="AR280" i="12"/>
  <c r="AQ280" i="12"/>
  <c r="AP280" i="12"/>
  <c r="AO280" i="12"/>
  <c r="AN280" i="12"/>
  <c r="AM280" i="12"/>
  <c r="AL280" i="12"/>
  <c r="AK280" i="12"/>
  <c r="AJ280" i="12"/>
  <c r="X280" i="12"/>
  <c r="W280" i="12"/>
  <c r="X279" i="12"/>
  <c r="W279" i="12"/>
  <c r="X278" i="12"/>
  <c r="W278" i="12"/>
  <c r="X277" i="12"/>
  <c r="W277" i="12"/>
  <c r="X276" i="12"/>
  <c r="W276" i="12"/>
  <c r="X275" i="12"/>
  <c r="W275" i="12"/>
  <c r="X274" i="12"/>
  <c r="W274" i="12"/>
  <c r="AU273" i="12"/>
  <c r="AT273" i="12"/>
  <c r="AS273" i="12"/>
  <c r="AR273" i="12"/>
  <c r="AQ273" i="12"/>
  <c r="AP273" i="12"/>
  <c r="AO273" i="12"/>
  <c r="AN273" i="12"/>
  <c r="AM273" i="12"/>
  <c r="AL273" i="12"/>
  <c r="AK273" i="12"/>
  <c r="AJ273" i="12"/>
  <c r="X273" i="12"/>
  <c r="W273" i="12"/>
  <c r="X272" i="12"/>
  <c r="W272" i="12"/>
  <c r="X271" i="12"/>
  <c r="W271" i="12"/>
  <c r="X270" i="12"/>
  <c r="W270" i="12"/>
  <c r="X269" i="12"/>
  <c r="W269" i="12"/>
  <c r="X268" i="12"/>
  <c r="W268" i="12"/>
  <c r="X267" i="12"/>
  <c r="W267" i="12"/>
  <c r="X266" i="12"/>
  <c r="W266" i="12"/>
  <c r="X265" i="12"/>
  <c r="W265" i="12"/>
  <c r="X264" i="12"/>
  <c r="W264" i="12"/>
  <c r="X263" i="12"/>
  <c r="W263" i="12"/>
  <c r="X262" i="12"/>
  <c r="W262" i="12"/>
  <c r="AU261" i="12"/>
  <c r="AT261" i="12"/>
  <c r="AS261" i="12"/>
  <c r="AR261" i="12"/>
  <c r="AQ261" i="12"/>
  <c r="AP261" i="12"/>
  <c r="AO261" i="12"/>
  <c r="AN261" i="12"/>
  <c r="AM261" i="12"/>
  <c r="AL261" i="12"/>
  <c r="AK261" i="12"/>
  <c r="AJ261" i="12"/>
  <c r="X261" i="12"/>
  <c r="W261" i="12"/>
  <c r="X260" i="12"/>
  <c r="W260" i="12"/>
  <c r="X259" i="12"/>
  <c r="W259" i="12"/>
  <c r="X258" i="12"/>
  <c r="W258" i="12"/>
  <c r="X257" i="12"/>
  <c r="W257" i="12"/>
  <c r="X256" i="12"/>
  <c r="W256" i="12"/>
  <c r="X255" i="12"/>
  <c r="W255" i="12"/>
  <c r="X254" i="12"/>
  <c r="W254" i="12"/>
  <c r="X253" i="12"/>
  <c r="W253" i="12"/>
  <c r="X252" i="12"/>
  <c r="W252" i="12"/>
  <c r="X251" i="12"/>
  <c r="W251" i="12"/>
  <c r="X250" i="12"/>
  <c r="W250" i="12"/>
  <c r="X249" i="12"/>
  <c r="W249" i="12"/>
  <c r="X248" i="12"/>
  <c r="W248" i="12"/>
  <c r="X247" i="12"/>
  <c r="W247" i="12"/>
  <c r="X246" i="12"/>
  <c r="W246" i="12"/>
  <c r="X245" i="12"/>
  <c r="W245" i="12"/>
  <c r="X244" i="12"/>
  <c r="W244" i="12"/>
  <c r="X243" i="12"/>
  <c r="W243" i="12"/>
  <c r="X242" i="12"/>
  <c r="W242" i="12"/>
  <c r="X241" i="12"/>
  <c r="W241" i="12"/>
  <c r="X240" i="12"/>
  <c r="W240" i="12"/>
  <c r="X239" i="12"/>
  <c r="W239" i="12"/>
  <c r="X238" i="12"/>
  <c r="W238" i="12"/>
  <c r="X237" i="12"/>
  <c r="W237" i="12"/>
  <c r="X236" i="12"/>
  <c r="W236" i="12"/>
  <c r="X235" i="12"/>
  <c r="W235" i="12"/>
  <c r="X234" i="12"/>
  <c r="W234" i="12"/>
  <c r="AU233" i="12"/>
  <c r="AT233" i="12"/>
  <c r="AS233" i="12"/>
  <c r="AR233" i="12"/>
  <c r="AQ233" i="12"/>
  <c r="AP233" i="12"/>
  <c r="AO233" i="12"/>
  <c r="AN233" i="12"/>
  <c r="AM233" i="12"/>
  <c r="AL233" i="12"/>
  <c r="AK233" i="12"/>
  <c r="AJ233" i="12"/>
  <c r="X233" i="12"/>
  <c r="W233" i="12"/>
  <c r="X232" i="12"/>
  <c r="W232" i="12"/>
  <c r="X231" i="12"/>
  <c r="W231" i="12"/>
  <c r="X230" i="12"/>
  <c r="W230" i="12"/>
  <c r="X229" i="12"/>
  <c r="W229" i="12"/>
  <c r="X228" i="12"/>
  <c r="W228" i="12"/>
  <c r="X227" i="12"/>
  <c r="W227" i="12"/>
  <c r="X226" i="12"/>
  <c r="W226" i="12"/>
  <c r="X225" i="12"/>
  <c r="W225" i="12"/>
  <c r="X224" i="12"/>
  <c r="W224" i="12"/>
  <c r="X223" i="12"/>
  <c r="W223" i="12"/>
  <c r="X222" i="12"/>
  <c r="W222" i="12"/>
  <c r="X221" i="12"/>
  <c r="W221" i="12"/>
  <c r="X220" i="12"/>
  <c r="W220" i="12"/>
  <c r="X219" i="12"/>
  <c r="W219" i="12"/>
  <c r="X218" i="12"/>
  <c r="W218" i="12"/>
  <c r="X217" i="12"/>
  <c r="W217" i="12"/>
  <c r="X216" i="12"/>
  <c r="W216" i="12"/>
  <c r="AU215" i="12"/>
  <c r="AT215" i="12"/>
  <c r="AS215" i="12"/>
  <c r="AR215" i="12"/>
  <c r="AQ215" i="12"/>
  <c r="AP215" i="12"/>
  <c r="AO215" i="12"/>
  <c r="AN215" i="12"/>
  <c r="AM215" i="12"/>
  <c r="AL215" i="12"/>
  <c r="AK215" i="12"/>
  <c r="AJ215" i="12"/>
  <c r="X215" i="12"/>
  <c r="W215" i="12"/>
  <c r="X214" i="12"/>
  <c r="W214" i="12"/>
  <c r="X213" i="12"/>
  <c r="W213" i="12"/>
  <c r="X212" i="12"/>
  <c r="W212" i="12"/>
  <c r="X211" i="12"/>
  <c r="W211" i="12"/>
  <c r="X210" i="12"/>
  <c r="W210" i="12"/>
  <c r="X209" i="12"/>
  <c r="W209" i="12"/>
  <c r="X208" i="12"/>
  <c r="W208" i="12"/>
  <c r="X207" i="12"/>
  <c r="W207" i="12"/>
  <c r="X206" i="12"/>
  <c r="W206" i="12"/>
  <c r="X205" i="12"/>
  <c r="W205" i="12"/>
  <c r="X204" i="12"/>
  <c r="W204" i="12"/>
  <c r="X203" i="12"/>
  <c r="W203" i="12"/>
  <c r="X202" i="12"/>
  <c r="W202" i="12"/>
  <c r="X201" i="12"/>
  <c r="W201" i="12"/>
  <c r="X200" i="12"/>
  <c r="W200" i="12"/>
  <c r="X199" i="12"/>
  <c r="W199" i="12"/>
  <c r="X198" i="12"/>
  <c r="W198" i="12"/>
  <c r="X197" i="12"/>
  <c r="W197" i="12"/>
  <c r="X196" i="12"/>
  <c r="W196" i="12"/>
  <c r="X195" i="12"/>
  <c r="W195" i="12"/>
  <c r="X194" i="12"/>
  <c r="W194" i="12"/>
  <c r="X193" i="12"/>
  <c r="W193" i="12"/>
  <c r="X192" i="12"/>
  <c r="W192" i="12"/>
  <c r="X191" i="12"/>
  <c r="W191" i="12"/>
  <c r="X190" i="12"/>
  <c r="W190" i="12"/>
  <c r="X189" i="12"/>
  <c r="W189" i="12"/>
  <c r="X188" i="12"/>
  <c r="W188" i="12"/>
  <c r="X187" i="12"/>
  <c r="W187" i="12"/>
  <c r="AU186" i="12"/>
  <c r="AT186" i="12"/>
  <c r="AS186" i="12"/>
  <c r="AR186" i="12"/>
  <c r="AQ186" i="12"/>
  <c r="AP186" i="12"/>
  <c r="AO186" i="12"/>
  <c r="AN186" i="12"/>
  <c r="AM186" i="12"/>
  <c r="AL186" i="12"/>
  <c r="AK186" i="12"/>
  <c r="AJ186" i="12"/>
  <c r="X186" i="12"/>
  <c r="W186" i="12"/>
  <c r="X185" i="12"/>
  <c r="W185" i="12"/>
  <c r="X184" i="12"/>
  <c r="W184" i="12"/>
  <c r="X183" i="12"/>
  <c r="W183" i="12"/>
  <c r="X182" i="12"/>
  <c r="W182" i="12"/>
  <c r="X181" i="12"/>
  <c r="W181" i="12"/>
  <c r="X180" i="12"/>
  <c r="W180" i="12"/>
  <c r="X179" i="12"/>
  <c r="W179" i="12"/>
  <c r="X178" i="12"/>
  <c r="W178" i="12"/>
  <c r="X177" i="12"/>
  <c r="W177" i="12"/>
  <c r="X176" i="12"/>
  <c r="W176" i="12"/>
  <c r="X175" i="12"/>
  <c r="W175" i="12"/>
  <c r="X174" i="12"/>
  <c r="W174" i="12"/>
  <c r="X173" i="12"/>
  <c r="W173" i="12"/>
  <c r="X172" i="12"/>
  <c r="W172" i="12"/>
  <c r="X171" i="12"/>
  <c r="W171" i="12"/>
  <c r="X170" i="12"/>
  <c r="W170" i="12"/>
  <c r="X169" i="12"/>
  <c r="W169" i="12"/>
  <c r="X168" i="12"/>
  <c r="W168" i="12"/>
  <c r="X167" i="12"/>
  <c r="W167" i="12"/>
  <c r="X166" i="12"/>
  <c r="W166" i="12"/>
  <c r="X165" i="12"/>
  <c r="W165" i="12"/>
  <c r="X164" i="12"/>
  <c r="W164" i="12"/>
  <c r="X163" i="12"/>
  <c r="W163" i="12"/>
  <c r="X162" i="12"/>
  <c r="W162" i="12"/>
  <c r="X161" i="12"/>
  <c r="W161" i="12"/>
  <c r="X160" i="12"/>
  <c r="W160" i="12"/>
  <c r="X159" i="12"/>
  <c r="W159" i="12"/>
  <c r="X158" i="12"/>
  <c r="W158" i="12"/>
  <c r="AU157" i="12"/>
  <c r="AT157" i="12"/>
  <c r="AS157" i="12"/>
  <c r="AR157" i="12"/>
  <c r="AQ157" i="12"/>
  <c r="AP157" i="12"/>
  <c r="AO157" i="12"/>
  <c r="AN157" i="12"/>
  <c r="AM157" i="12"/>
  <c r="AL157" i="12"/>
  <c r="AK157" i="12"/>
  <c r="AJ157" i="12"/>
  <c r="X157" i="12"/>
  <c r="W157" i="12"/>
  <c r="X156" i="12"/>
  <c r="W156" i="12"/>
  <c r="X155" i="12"/>
  <c r="W155" i="12"/>
  <c r="X154" i="12"/>
  <c r="W154" i="12"/>
  <c r="X153" i="12"/>
  <c r="W153" i="12"/>
  <c r="X152" i="12"/>
  <c r="W152" i="12"/>
  <c r="X151" i="12"/>
  <c r="W151" i="12"/>
  <c r="X150" i="12"/>
  <c r="W150" i="12"/>
  <c r="X149" i="12"/>
  <c r="W149" i="12"/>
  <c r="X148" i="12"/>
  <c r="W148" i="12"/>
  <c r="X147" i="12"/>
  <c r="W147" i="12"/>
  <c r="X146" i="12"/>
  <c r="W146" i="12"/>
  <c r="X145" i="12"/>
  <c r="W145" i="12"/>
  <c r="X144" i="12"/>
  <c r="W144" i="12"/>
  <c r="X143" i="12"/>
  <c r="W143" i="12"/>
  <c r="X142" i="12"/>
  <c r="W142" i="12"/>
  <c r="X141" i="12"/>
  <c r="W141" i="12"/>
  <c r="X140" i="12"/>
  <c r="W140" i="12"/>
  <c r="X139" i="12"/>
  <c r="W139" i="12"/>
  <c r="X138" i="12"/>
  <c r="W138" i="12"/>
  <c r="X137" i="12"/>
  <c r="W137" i="12"/>
  <c r="X136" i="12"/>
  <c r="W136" i="12"/>
  <c r="X135" i="12"/>
  <c r="W135" i="12"/>
  <c r="X134" i="12"/>
  <c r="W134" i="12"/>
  <c r="X133" i="12"/>
  <c r="W133" i="12"/>
  <c r="X132" i="12"/>
  <c r="W132" i="12"/>
  <c r="AU131" i="12"/>
  <c r="AT131" i="12"/>
  <c r="AS131" i="12"/>
  <c r="AR131" i="12"/>
  <c r="AQ131" i="12"/>
  <c r="AP131" i="12"/>
  <c r="AO131" i="12"/>
  <c r="AN131" i="12"/>
  <c r="AM131" i="12"/>
  <c r="AL131" i="12"/>
  <c r="AK131" i="12"/>
  <c r="AJ131" i="12"/>
  <c r="X131" i="12"/>
  <c r="W131" i="12"/>
  <c r="X130" i="12"/>
  <c r="W130" i="12"/>
  <c r="X129" i="12"/>
  <c r="W129" i="12"/>
  <c r="X128" i="12"/>
  <c r="W128" i="12"/>
  <c r="X127" i="12"/>
  <c r="W127" i="12"/>
  <c r="X126" i="12"/>
  <c r="W126" i="12"/>
  <c r="X125" i="12"/>
  <c r="W125" i="12"/>
  <c r="X124" i="12"/>
  <c r="W124" i="12"/>
  <c r="X123" i="12"/>
  <c r="W123" i="12"/>
  <c r="X122" i="12"/>
  <c r="W122" i="12"/>
  <c r="X121" i="12"/>
  <c r="W121" i="12"/>
  <c r="X120" i="12"/>
  <c r="W120" i="12"/>
  <c r="X119" i="12"/>
  <c r="W119" i="12"/>
  <c r="X118" i="12"/>
  <c r="W118" i="12"/>
  <c r="X117" i="12"/>
  <c r="W117" i="12"/>
  <c r="X116" i="12"/>
  <c r="W116" i="12"/>
  <c r="X115" i="12"/>
  <c r="W115" i="12"/>
  <c r="X114" i="12"/>
  <c r="W114" i="12"/>
  <c r="X113" i="12"/>
  <c r="W113" i="12"/>
  <c r="X112" i="12"/>
  <c r="W112" i="12"/>
  <c r="X111" i="12"/>
  <c r="W111" i="12"/>
  <c r="X110" i="12"/>
  <c r="W110" i="12"/>
  <c r="X109" i="12"/>
  <c r="W109" i="12"/>
  <c r="X108" i="12"/>
  <c r="W108" i="12"/>
  <c r="X107" i="12"/>
  <c r="W107" i="12"/>
  <c r="X106" i="12"/>
  <c r="W106" i="12"/>
  <c r="X105" i="12"/>
  <c r="W105" i="12"/>
  <c r="X104" i="12"/>
  <c r="W104" i="12"/>
  <c r="X103" i="12"/>
  <c r="W103" i="12"/>
  <c r="X102" i="12"/>
  <c r="W102" i="12"/>
  <c r="X101" i="12"/>
  <c r="W101" i="12"/>
  <c r="X100" i="12"/>
  <c r="W100" i="12"/>
  <c r="X99" i="12"/>
  <c r="W99" i="12"/>
  <c r="X98" i="12"/>
  <c r="W98" i="12"/>
  <c r="X97" i="12"/>
  <c r="W97" i="12"/>
  <c r="X96" i="12"/>
  <c r="W96" i="12"/>
  <c r="X95" i="12"/>
  <c r="W95" i="12"/>
  <c r="X94" i="12"/>
  <c r="W94" i="12"/>
  <c r="X93" i="12"/>
  <c r="W93" i="12"/>
  <c r="X92" i="12"/>
  <c r="W92" i="12"/>
  <c r="X91" i="12"/>
  <c r="W91" i="12"/>
  <c r="X90" i="12"/>
  <c r="W90" i="12"/>
  <c r="X89" i="12"/>
  <c r="W89" i="12"/>
  <c r="X88" i="12"/>
  <c r="W88" i="12"/>
  <c r="X87" i="12"/>
  <c r="W87" i="12"/>
  <c r="X86" i="12"/>
  <c r="W86" i="12"/>
  <c r="AU85" i="12"/>
  <c r="AT85" i="12"/>
  <c r="AS85" i="12"/>
  <c r="AR85" i="12"/>
  <c r="AQ85" i="12"/>
  <c r="AP85" i="12"/>
  <c r="AO85" i="12"/>
  <c r="AN85" i="12"/>
  <c r="AM85" i="12"/>
  <c r="AL85" i="12"/>
  <c r="AK85" i="12"/>
  <c r="AJ85" i="12"/>
  <c r="X85" i="12"/>
  <c r="W85" i="12"/>
  <c r="X84" i="12"/>
  <c r="W84" i="12"/>
  <c r="X83" i="12"/>
  <c r="W83" i="12"/>
  <c r="X82" i="12"/>
  <c r="W82" i="12"/>
  <c r="X81" i="12"/>
  <c r="W81" i="12"/>
  <c r="X80" i="12"/>
  <c r="W80" i="12"/>
  <c r="X79" i="12"/>
  <c r="W79" i="12"/>
  <c r="X78" i="12"/>
  <c r="W78" i="12"/>
  <c r="X77" i="12"/>
  <c r="W77" i="12"/>
  <c r="X76" i="12"/>
  <c r="W76" i="12"/>
  <c r="X75" i="12"/>
  <c r="W75" i="12"/>
  <c r="X74" i="12"/>
  <c r="W74" i="12"/>
  <c r="X73" i="12"/>
  <c r="W73" i="12"/>
  <c r="X72" i="12"/>
  <c r="W72" i="12"/>
  <c r="X71" i="12"/>
  <c r="W71" i="12"/>
  <c r="X70" i="12"/>
  <c r="W70" i="12"/>
  <c r="X69" i="12"/>
  <c r="W69" i="12"/>
  <c r="X68" i="12"/>
  <c r="W68" i="12"/>
  <c r="X67" i="12"/>
  <c r="W67" i="12"/>
  <c r="X66" i="12"/>
  <c r="W66" i="12"/>
  <c r="X65" i="12"/>
  <c r="W65" i="12"/>
  <c r="X64" i="12"/>
  <c r="W64" i="12"/>
  <c r="X63" i="12"/>
  <c r="W63" i="12"/>
  <c r="X62" i="12"/>
  <c r="W62" i="12"/>
  <c r="AU61" i="12"/>
  <c r="AT61" i="12"/>
  <c r="AS61" i="12"/>
  <c r="AR61" i="12"/>
  <c r="AQ61" i="12"/>
  <c r="AP61" i="12"/>
  <c r="AO61" i="12"/>
  <c r="AN61" i="12"/>
  <c r="AM61" i="12"/>
  <c r="AL61" i="12"/>
  <c r="AK61" i="12"/>
  <c r="AJ61" i="12"/>
  <c r="X61" i="12"/>
  <c r="W61" i="12"/>
  <c r="X60" i="12"/>
  <c r="W60" i="12"/>
  <c r="X59" i="12"/>
  <c r="W59" i="12"/>
  <c r="X58" i="12"/>
  <c r="W58" i="12"/>
  <c r="X57" i="12"/>
  <c r="W57" i="12"/>
  <c r="X56" i="12"/>
  <c r="W56" i="12"/>
  <c r="X55" i="12"/>
  <c r="W55" i="12"/>
  <c r="X54" i="12"/>
  <c r="W54" i="12"/>
  <c r="X53" i="12"/>
  <c r="W53" i="12"/>
  <c r="X52" i="12"/>
  <c r="W52" i="12"/>
  <c r="X51" i="12"/>
  <c r="W51" i="12"/>
  <c r="X50" i="12"/>
  <c r="W50" i="12"/>
  <c r="X49" i="12"/>
  <c r="W49" i="12"/>
  <c r="X48" i="12"/>
  <c r="W48" i="12"/>
  <c r="X47" i="12"/>
  <c r="W47" i="12"/>
  <c r="X46" i="12"/>
  <c r="W46" i="12"/>
  <c r="X45" i="12"/>
  <c r="W45" i="12"/>
  <c r="X44" i="12"/>
  <c r="W44" i="12"/>
  <c r="X43" i="12"/>
  <c r="W43" i="12"/>
  <c r="X42" i="12"/>
  <c r="W42" i="12"/>
  <c r="X41" i="12"/>
  <c r="W41" i="12"/>
  <c r="X40" i="12"/>
  <c r="W40" i="12"/>
  <c r="X39" i="12"/>
  <c r="W39" i="12"/>
  <c r="X38" i="12"/>
  <c r="W38" i="12"/>
  <c r="X37" i="12"/>
  <c r="W37" i="12"/>
  <c r="X36" i="12"/>
  <c r="W36" i="12"/>
  <c r="AU35" i="12"/>
  <c r="AT35" i="12"/>
  <c r="AS35" i="12"/>
  <c r="AR35" i="12"/>
  <c r="AQ35" i="12"/>
  <c r="AP35" i="12"/>
  <c r="AO35" i="12"/>
  <c r="AN35" i="12"/>
  <c r="AM35" i="12"/>
  <c r="AL35" i="12"/>
  <c r="AK35" i="12"/>
  <c r="AJ35" i="12"/>
  <c r="X35" i="12"/>
  <c r="W35" i="12"/>
  <c r="X34" i="12"/>
  <c r="W34" i="12"/>
  <c r="X33" i="12"/>
  <c r="W33" i="12"/>
  <c r="X32" i="12"/>
  <c r="W32" i="12"/>
  <c r="X31" i="12"/>
  <c r="W31" i="12"/>
  <c r="X30" i="12"/>
  <c r="W30" i="12"/>
  <c r="X29" i="12"/>
  <c r="W29" i="12"/>
  <c r="X28" i="12"/>
  <c r="W28" i="12"/>
  <c r="X27" i="12"/>
  <c r="W27" i="12"/>
  <c r="X26" i="12"/>
  <c r="W26" i="12"/>
  <c r="X25" i="12"/>
  <c r="W25" i="12"/>
  <c r="X24" i="12"/>
  <c r="W24" i="12"/>
  <c r="X23" i="12"/>
  <c r="W23" i="12"/>
  <c r="X22" i="12"/>
  <c r="W22" i="12"/>
  <c r="X21" i="12"/>
  <c r="W21" i="12"/>
  <c r="X20" i="12"/>
  <c r="W20" i="12"/>
  <c r="X19" i="12"/>
  <c r="W19" i="12"/>
  <c r="X18" i="12"/>
  <c r="W18" i="12"/>
  <c r="X17" i="12"/>
  <c r="W17" i="12"/>
  <c r="X16" i="12"/>
  <c r="W16" i="12"/>
  <c r="X15" i="12"/>
  <c r="W15" i="12"/>
  <c r="X14" i="12"/>
  <c r="W14" i="12"/>
  <c r="X13" i="12"/>
  <c r="W13" i="12"/>
  <c r="X12" i="12"/>
  <c r="W12" i="12"/>
  <c r="X11" i="12"/>
  <c r="W11" i="12"/>
  <c r="X10" i="12"/>
  <c r="W10" i="12"/>
  <c r="X9" i="12"/>
  <c r="W9" i="12"/>
  <c r="X8" i="12"/>
  <c r="W8" i="12"/>
  <c r="X7" i="12"/>
  <c r="W7" i="12"/>
  <c r="AU6" i="12"/>
  <c r="AT6" i="12"/>
  <c r="AS6" i="12"/>
  <c r="AR6" i="12"/>
  <c r="AQ6" i="12"/>
  <c r="AP6" i="12"/>
  <c r="AO6" i="12"/>
  <c r="AN6" i="12"/>
  <c r="AM6" i="12"/>
  <c r="AL6" i="12"/>
  <c r="AK6" i="12"/>
  <c r="AJ6" i="12"/>
  <c r="X6" i="12"/>
  <c r="W6" i="12"/>
  <c r="X5" i="12"/>
  <c r="W5" i="12"/>
  <c r="X4" i="12"/>
  <c r="W4" i="12"/>
  <c r="X3" i="12"/>
  <c r="W3" i="12"/>
  <c r="X2" i="12"/>
  <c r="W2" i="12"/>
  <c r="A2" i="12"/>
  <c r="AD49" i="14" l="1" a="1"/>
  <c r="AD49" i="14" s="1"/>
  <c r="AE49" i="14" a="1"/>
  <c r="AE49" i="14" s="1"/>
  <c r="AF49" i="14" a="1"/>
  <c r="AF49" i="14" s="1"/>
  <c r="AD20" i="11"/>
  <c r="AD19" i="11"/>
  <c r="AA3" i="12"/>
  <c r="Z6" i="11"/>
  <c r="AL2" i="12"/>
  <c r="AQ2" i="12"/>
  <c r="A3" i="12"/>
  <c r="AO3" i="12" s="1"/>
  <c r="AM2" i="12"/>
  <c r="AR2" i="12"/>
  <c r="AN2" i="12"/>
  <c r="AT2" i="12"/>
  <c r="AJ2" i="12"/>
  <c r="AP2" i="12"/>
  <c r="AU2" i="12"/>
  <c r="D12" i="11"/>
  <c r="AK2" i="12"/>
  <c r="AO2" i="12"/>
  <c r="AS2" i="12"/>
  <c r="AK3" i="12" l="1"/>
  <c r="AR3" i="12"/>
  <c r="AN3" i="12"/>
  <c r="AS3" i="12"/>
  <c r="AJ3" i="12"/>
  <c r="A4" i="12"/>
  <c r="AT3" i="12"/>
  <c r="AL3" i="12"/>
  <c r="AQ3" i="12"/>
  <c r="AP3" i="12"/>
  <c r="AU3" i="12"/>
  <c r="AM3" i="12"/>
  <c r="AU4" i="12" l="1"/>
  <c r="AS4" i="12"/>
  <c r="AP4" i="12"/>
  <c r="AM4" i="12"/>
  <c r="AJ4" i="12"/>
  <c r="AT4" i="12"/>
  <c r="AQ4" i="12"/>
  <c r="AN4" i="12"/>
  <c r="AK4" i="12"/>
  <c r="AR4" i="12"/>
  <c r="AO4" i="12"/>
  <c r="AL4" i="12"/>
  <c r="A5" i="12"/>
  <c r="AK5" i="12" l="1"/>
  <c r="AN5" i="12"/>
  <c r="AQ5" i="12"/>
  <c r="AT5" i="12"/>
  <c r="AJ5" i="12"/>
  <c r="AM5" i="12"/>
  <c r="AP5" i="12"/>
  <c r="AS5" i="12"/>
  <c r="A7" i="12"/>
  <c r="AL5" i="12"/>
  <c r="AO5" i="12"/>
  <c r="AR5" i="12"/>
  <c r="AU5" i="12"/>
  <c r="AK7" i="12" l="1"/>
  <c r="AN7" i="12"/>
  <c r="AQ7" i="12"/>
  <c r="AT7" i="12"/>
  <c r="AJ7" i="12"/>
  <c r="AM7" i="12"/>
  <c r="AP7" i="12"/>
  <c r="AS7" i="12"/>
  <c r="A8" i="12"/>
  <c r="AL7" i="12"/>
  <c r="AO7" i="12"/>
  <c r="AR7" i="12"/>
  <c r="AU7" i="12"/>
  <c r="A9" i="12" l="1"/>
  <c r="AR8" i="12"/>
  <c r="AU8" i="12"/>
  <c r="AK8" i="12"/>
  <c r="AN8" i="12"/>
  <c r="AT8" i="12"/>
  <c r="AQ8" i="12"/>
  <c r="AJ8" i="12"/>
  <c r="AM8" i="12"/>
  <c r="AP8" i="12"/>
  <c r="AS8" i="12"/>
  <c r="AL8" i="12"/>
  <c r="AO8" i="12"/>
  <c r="AU9" i="12" l="1"/>
  <c r="AK9" i="12"/>
  <c r="AN9" i="12"/>
  <c r="AM9" i="12"/>
  <c r="A10" i="12"/>
  <c r="AQ9" i="12"/>
  <c r="AT9" i="12"/>
  <c r="AJ9" i="12"/>
  <c r="AP9" i="12"/>
  <c r="AO9" i="12"/>
  <c r="AR9" i="12"/>
  <c r="AS9" i="12"/>
  <c r="AL9" i="12"/>
  <c r="AK10" i="12" l="1"/>
  <c r="AN10" i="12"/>
  <c r="AQ10" i="12"/>
  <c r="AO10" i="12"/>
  <c r="AU10" i="12"/>
  <c r="AT10" i="12"/>
  <c r="AJ10" i="12"/>
  <c r="AM10" i="12"/>
  <c r="AS10" i="12"/>
  <c r="AL10" i="12"/>
  <c r="AP10" i="12"/>
  <c r="AR10" i="12"/>
  <c r="A11" i="12"/>
  <c r="AJ11" i="12" l="1"/>
  <c r="AM11" i="12"/>
  <c r="AP11" i="12"/>
  <c r="AL11" i="12"/>
  <c r="AT11" i="12"/>
  <c r="AS11" i="12"/>
  <c r="A12" i="12"/>
  <c r="AQ11" i="12"/>
  <c r="AO11" i="12"/>
  <c r="AR11" i="12"/>
  <c r="AU11" i="12"/>
  <c r="AK11" i="12"/>
  <c r="AN11" i="12"/>
  <c r="A13" i="12" l="1"/>
  <c r="AL12" i="12"/>
  <c r="AO12" i="12"/>
  <c r="AR12" i="12"/>
  <c r="AU12" i="12"/>
  <c r="AK12" i="12"/>
  <c r="AP12" i="12"/>
  <c r="AN12" i="12"/>
  <c r="AQ12" i="12"/>
  <c r="AT12" i="12"/>
  <c r="AM12" i="12"/>
  <c r="AJ12" i="12"/>
  <c r="AS12" i="12"/>
  <c r="AU13" i="12" l="1"/>
  <c r="AK13" i="12"/>
  <c r="AN13" i="12"/>
  <c r="AJ13" i="12"/>
  <c r="AS13" i="12"/>
  <c r="AO13" i="12"/>
  <c r="AQ13" i="12"/>
  <c r="AT13" i="12"/>
  <c r="AM13" i="12"/>
  <c r="AL13" i="12"/>
  <c r="AP13" i="12"/>
  <c r="AR13" i="12"/>
  <c r="A14" i="12"/>
  <c r="AK14" i="12" l="1"/>
  <c r="AN14" i="12"/>
  <c r="AQ14" i="12"/>
  <c r="AJ14" i="12"/>
  <c r="AL14" i="12"/>
  <c r="AU14" i="12"/>
  <c r="AT14" i="12"/>
  <c r="AM14" i="12"/>
  <c r="AO14" i="12"/>
  <c r="AP14" i="12"/>
  <c r="AS14" i="12"/>
  <c r="AR14" i="12"/>
  <c r="A15" i="12"/>
  <c r="AJ15" i="12" l="1"/>
  <c r="AM15" i="12"/>
  <c r="AP15" i="12"/>
  <c r="A16" i="12"/>
  <c r="AN15" i="12"/>
  <c r="AS15" i="12"/>
  <c r="AL15" i="12"/>
  <c r="AQ15" i="12"/>
  <c r="AO15" i="12"/>
  <c r="AR15" i="12"/>
  <c r="AU15" i="12"/>
  <c r="AK15" i="12"/>
  <c r="AT15" i="12"/>
  <c r="A17" i="12" l="1"/>
  <c r="AL16" i="12"/>
  <c r="AO16" i="12"/>
  <c r="AN16" i="12"/>
  <c r="AT16" i="12"/>
  <c r="AP16" i="12"/>
  <c r="AR16" i="12"/>
  <c r="AU16" i="12"/>
  <c r="AK16" i="12"/>
  <c r="AQ16" i="12"/>
  <c r="AM16" i="12"/>
  <c r="AS16" i="12"/>
  <c r="AJ16" i="12"/>
  <c r="AU17" i="12" l="1"/>
  <c r="AK17" i="12"/>
  <c r="AN17" i="12"/>
  <c r="AL17" i="12"/>
  <c r="AR17" i="12"/>
  <c r="AQ17" i="12"/>
  <c r="AT17" i="12"/>
  <c r="AJ17" i="12"/>
  <c r="AM17" i="12"/>
  <c r="AP17" i="12"/>
  <c r="AS17" i="12"/>
  <c r="AO17" i="12"/>
  <c r="A18" i="12"/>
  <c r="AK18" i="12" l="1"/>
  <c r="AN18" i="12"/>
  <c r="AQ18" i="12"/>
  <c r="AJ18" i="12"/>
  <c r="AS18" i="12"/>
  <c r="A19" i="12"/>
  <c r="AT18" i="12"/>
  <c r="AM18" i="12"/>
  <c r="AO18" i="12"/>
  <c r="AU18" i="12"/>
  <c r="AP18" i="12"/>
  <c r="AR18" i="12"/>
  <c r="AL18" i="12"/>
  <c r="AJ19" i="12" l="1"/>
  <c r="AM19" i="12"/>
  <c r="AP19" i="12"/>
  <c r="AL19" i="12"/>
  <c r="AK19" i="12"/>
  <c r="AT19" i="12"/>
  <c r="AS19" i="12"/>
  <c r="A20" i="12"/>
  <c r="AN19" i="12"/>
  <c r="AO19" i="12"/>
  <c r="AR19" i="12"/>
  <c r="AU19" i="12"/>
  <c r="AQ19" i="12"/>
  <c r="A21" i="12" l="1"/>
  <c r="AL20" i="12"/>
  <c r="AO20" i="12"/>
  <c r="AT20" i="12"/>
  <c r="AR20" i="12"/>
  <c r="AU20" i="12"/>
  <c r="AK20" i="12"/>
  <c r="AN20" i="12"/>
  <c r="AQ20" i="12"/>
  <c r="AJ20" i="12"/>
  <c r="AM20" i="12"/>
  <c r="AP20" i="12"/>
  <c r="AS20" i="12"/>
  <c r="AU21" i="12" l="1"/>
  <c r="AK21" i="12"/>
  <c r="AN21" i="12"/>
  <c r="AT21" i="12"/>
  <c r="AS21" i="12"/>
  <c r="AR21" i="12"/>
  <c r="AQ21" i="12"/>
  <c r="AJ21" i="12"/>
  <c r="AO21" i="12"/>
  <c r="AM21" i="12"/>
  <c r="AP21" i="12"/>
  <c r="A22" i="12"/>
  <c r="AL21" i="12"/>
  <c r="AK22" i="12" l="1"/>
  <c r="AN22" i="12"/>
  <c r="AQ22" i="12"/>
  <c r="AO22" i="12"/>
  <c r="AT22" i="12"/>
  <c r="AJ22" i="12"/>
  <c r="AM22" i="12"/>
  <c r="AS22" i="12"/>
  <c r="AL22" i="12"/>
  <c r="AP22" i="12"/>
  <c r="AR22" i="12"/>
  <c r="A23" i="12"/>
  <c r="AU22" i="12"/>
  <c r="AJ23" i="12" l="1"/>
  <c r="AM23" i="12"/>
  <c r="AP23" i="12"/>
  <c r="AL23" i="12"/>
  <c r="AO23" i="12"/>
  <c r="AU23" i="12"/>
  <c r="AQ23" i="12"/>
  <c r="AS23" i="12"/>
  <c r="A24" i="12"/>
  <c r="AN23" i="12"/>
  <c r="AR23" i="12"/>
  <c r="AT23" i="12"/>
  <c r="AK23" i="12"/>
  <c r="A25" i="12" l="1"/>
  <c r="AL24" i="12"/>
  <c r="AO24" i="12"/>
  <c r="AM24" i="12"/>
  <c r="AR24" i="12"/>
  <c r="AU24" i="12"/>
  <c r="AK24" i="12"/>
  <c r="AN24" i="12"/>
  <c r="AQ24" i="12"/>
  <c r="AJ24" i="12"/>
  <c r="AS24" i="12"/>
  <c r="AT24" i="12"/>
  <c r="AP24" i="12"/>
  <c r="AU25" i="12" l="1"/>
  <c r="AK25" i="12"/>
  <c r="AN25" i="12"/>
  <c r="AQ25" i="12"/>
  <c r="AM25" i="12"/>
  <c r="AS25" i="12"/>
  <c r="AL25" i="12"/>
  <c r="AR25" i="12"/>
  <c r="AT25" i="12"/>
  <c r="AJ25" i="12"/>
  <c r="AP25" i="12"/>
  <c r="AO25" i="12"/>
  <c r="A26" i="12"/>
  <c r="AK26" i="12" l="1"/>
  <c r="AN26" i="12"/>
  <c r="AQ26" i="12"/>
  <c r="AT26" i="12"/>
  <c r="AJ26" i="12"/>
  <c r="AL26" i="12"/>
  <c r="AR26" i="12"/>
  <c r="AM26" i="12"/>
  <c r="AO26" i="12"/>
  <c r="AU26" i="12"/>
  <c r="AP26" i="12"/>
  <c r="AS26" i="12"/>
  <c r="A27" i="12"/>
  <c r="AJ27" i="12" l="1"/>
  <c r="AM27" i="12"/>
  <c r="AP27" i="12"/>
  <c r="A28" i="12"/>
  <c r="AQ27" i="12"/>
  <c r="AS27" i="12"/>
  <c r="AL27" i="12"/>
  <c r="AO27" i="12"/>
  <c r="AR27" i="12"/>
  <c r="AU27" i="12"/>
  <c r="AN27" i="12"/>
  <c r="AK27" i="12"/>
  <c r="AT27" i="12"/>
  <c r="A29" i="12" l="1"/>
  <c r="AL28" i="12"/>
  <c r="AO28" i="12"/>
  <c r="AK28" i="12"/>
  <c r="AS28" i="12"/>
  <c r="AR28" i="12"/>
  <c r="AU28" i="12"/>
  <c r="AT28" i="12"/>
  <c r="AP28" i="12"/>
  <c r="AN28" i="12"/>
  <c r="AQ28" i="12"/>
  <c r="AM28" i="12"/>
  <c r="AJ28" i="12"/>
  <c r="AU29" i="12" l="1"/>
  <c r="AK29" i="12"/>
  <c r="AN29" i="12"/>
  <c r="AT29" i="12"/>
  <c r="AO29" i="12"/>
  <c r="AQ29" i="12"/>
  <c r="AJ29" i="12"/>
  <c r="AR29" i="12"/>
  <c r="AM29" i="12"/>
  <c r="AP29" i="12"/>
  <c r="AS29" i="12"/>
  <c r="A30" i="12"/>
  <c r="AL29" i="12"/>
  <c r="AK30" i="12" l="1"/>
  <c r="AN30" i="12"/>
  <c r="AQ30" i="12"/>
  <c r="AO30" i="12"/>
  <c r="AT30" i="12"/>
  <c r="AJ30" i="12"/>
  <c r="AM30" i="12"/>
  <c r="AU30" i="12"/>
  <c r="AP30" i="12"/>
  <c r="AS30" i="12"/>
  <c r="AL30" i="12"/>
  <c r="AR30" i="12"/>
  <c r="A31" i="12"/>
  <c r="AJ31" i="12" l="1"/>
  <c r="AM31" i="12"/>
  <c r="AP31" i="12"/>
  <c r="A32" i="12"/>
  <c r="AU31" i="12"/>
  <c r="AQ31" i="12"/>
  <c r="AS31" i="12"/>
  <c r="AL31" i="12"/>
  <c r="AR31" i="12"/>
  <c r="AT31" i="12"/>
  <c r="AO31" i="12"/>
  <c r="AK31" i="12"/>
  <c r="AN31" i="12"/>
  <c r="A33" i="12" l="1"/>
  <c r="AL32" i="12"/>
  <c r="AO32" i="12"/>
  <c r="AS32" i="12"/>
  <c r="AR32" i="12"/>
  <c r="AU32" i="12"/>
  <c r="AK32" i="12"/>
  <c r="AM32" i="12"/>
  <c r="AN32" i="12"/>
  <c r="AQ32" i="12"/>
  <c r="AT32" i="12"/>
  <c r="AJ32" i="12"/>
  <c r="AP32" i="12"/>
  <c r="AU33" i="12" l="1"/>
  <c r="AK33" i="12"/>
  <c r="AN33" i="12"/>
  <c r="AL33" i="12"/>
  <c r="AQ33" i="12"/>
  <c r="AT33" i="12"/>
  <c r="AJ33" i="12"/>
  <c r="AO33" i="12"/>
  <c r="AM33" i="12"/>
  <c r="AP33" i="12"/>
  <c r="AS33" i="12"/>
  <c r="A34" i="12"/>
  <c r="AR33" i="12"/>
  <c r="AK34" i="12" l="1"/>
  <c r="AN34" i="12"/>
  <c r="AQ34" i="12"/>
  <c r="AM34" i="12"/>
  <c r="AL34" i="12"/>
  <c r="AU34" i="12"/>
  <c r="AT34" i="12"/>
  <c r="AJ34" i="12"/>
  <c r="AR34" i="12"/>
  <c r="AP34" i="12"/>
  <c r="AS34" i="12"/>
  <c r="AO34" i="12"/>
  <c r="A36" i="12"/>
  <c r="AJ36" i="12" l="1"/>
  <c r="AM36" i="12"/>
  <c r="AP36" i="12"/>
  <c r="A37" i="12"/>
  <c r="AQ36" i="12"/>
  <c r="AS36" i="12"/>
  <c r="AL36" i="12"/>
  <c r="AO36" i="12"/>
  <c r="AU36" i="12"/>
  <c r="AN36" i="12"/>
  <c r="AR36" i="12"/>
  <c r="AK36" i="12"/>
  <c r="AT36" i="12"/>
  <c r="A38" i="12" l="1"/>
  <c r="AL37" i="12"/>
  <c r="AO37" i="12"/>
  <c r="AU37" i="12"/>
  <c r="AK37" i="12"/>
  <c r="AT37" i="12"/>
  <c r="AJ37" i="12"/>
  <c r="AP37" i="12"/>
  <c r="AR37" i="12"/>
  <c r="AQ37" i="12"/>
  <c r="AM37" i="12"/>
  <c r="AN37" i="12"/>
  <c r="AS37" i="12"/>
  <c r="AU38" i="12" l="1"/>
  <c r="AK38" i="12"/>
  <c r="AN38" i="12"/>
  <c r="AT38" i="12"/>
  <c r="AQ38" i="12"/>
  <c r="AJ38" i="12"/>
  <c r="AM38" i="12"/>
  <c r="AP38" i="12"/>
  <c r="AS38" i="12"/>
  <c r="A39" i="12"/>
  <c r="AL38" i="12"/>
  <c r="AO38" i="12"/>
  <c r="AR38" i="12"/>
  <c r="AK39" i="12" l="1"/>
  <c r="AN39" i="12"/>
  <c r="AQ39" i="12"/>
  <c r="AP39" i="12"/>
  <c r="AL39" i="12"/>
  <c r="AR39" i="12"/>
  <c r="AT39" i="12"/>
  <c r="AJ39" i="12"/>
  <c r="AM39" i="12"/>
  <c r="AS39" i="12"/>
  <c r="AO39" i="12"/>
  <c r="AU39" i="12"/>
  <c r="A40" i="12"/>
  <c r="AJ40" i="12" l="1"/>
  <c r="AM40" i="12"/>
  <c r="AP40" i="12"/>
  <c r="AL40" i="12"/>
  <c r="AO40" i="12"/>
  <c r="AU40" i="12"/>
  <c r="AT40" i="12"/>
  <c r="AS40" i="12"/>
  <c r="A41" i="12"/>
  <c r="AQ40" i="12"/>
  <c r="AR40" i="12"/>
  <c r="AK40" i="12"/>
  <c r="AN40" i="12"/>
  <c r="A42" i="12" l="1"/>
  <c r="AL41" i="12"/>
  <c r="AO41" i="12"/>
  <c r="AR41" i="12"/>
  <c r="AU41" i="12"/>
  <c r="AK41" i="12"/>
  <c r="AP41" i="12"/>
  <c r="AN41" i="12"/>
  <c r="AQ41" i="12"/>
  <c r="AT41" i="12"/>
  <c r="AS41" i="12"/>
  <c r="AJ41" i="12"/>
  <c r="AM41" i="12"/>
  <c r="AU42" i="12" l="1"/>
  <c r="AK42" i="12"/>
  <c r="AN42" i="12"/>
  <c r="AJ42" i="12"/>
  <c r="AP42" i="12"/>
  <c r="AS42" i="12"/>
  <c r="AO42" i="12"/>
  <c r="AQ42" i="12"/>
  <c r="AT42" i="12"/>
  <c r="AM42" i="12"/>
  <c r="AR42" i="12"/>
  <c r="AL42" i="12"/>
  <c r="A43" i="12"/>
  <c r="AK43" i="12" l="1"/>
  <c r="AN43" i="12"/>
  <c r="AQ43" i="12"/>
  <c r="AM43" i="12"/>
  <c r="AS43" i="12"/>
  <c r="AU43" i="12"/>
  <c r="AT43" i="12"/>
  <c r="AJ43" i="12"/>
  <c r="AL43" i="12"/>
  <c r="AR43" i="12"/>
  <c r="AP43" i="12"/>
  <c r="AO43" i="12"/>
  <c r="A44" i="12"/>
  <c r="AJ44" i="12" l="1"/>
  <c r="AM44" i="12"/>
  <c r="AP44" i="12"/>
  <c r="A45" i="12"/>
  <c r="AN44" i="12"/>
  <c r="AS44" i="12"/>
  <c r="AL44" i="12"/>
  <c r="AU44" i="12"/>
  <c r="AK44" i="12"/>
  <c r="AT44" i="12"/>
  <c r="AO44" i="12"/>
  <c r="AR44" i="12"/>
  <c r="AQ44" i="12"/>
  <c r="A46" i="12" l="1"/>
  <c r="AL45" i="12"/>
  <c r="AO45" i="12"/>
  <c r="AS45" i="12"/>
  <c r="AR45" i="12"/>
  <c r="AU45" i="12"/>
  <c r="AK45" i="12"/>
  <c r="AQ45" i="12"/>
  <c r="AP45" i="12"/>
  <c r="AN45" i="12"/>
  <c r="AT45" i="12"/>
  <c r="AJ45" i="12"/>
  <c r="AM45" i="12"/>
  <c r="AU46" i="12" l="1"/>
  <c r="AK46" i="12"/>
  <c r="AN46" i="12"/>
  <c r="A47" i="12"/>
  <c r="AQ46" i="12"/>
  <c r="AT46" i="12"/>
  <c r="AJ46" i="12"/>
  <c r="AM46" i="12"/>
  <c r="AP46" i="12"/>
  <c r="AS46" i="12"/>
  <c r="AR46" i="12"/>
  <c r="AL46" i="12"/>
  <c r="AO46" i="12"/>
  <c r="AK47" i="12" l="1"/>
  <c r="AN47" i="12"/>
  <c r="AQ47" i="12"/>
  <c r="AO47" i="12"/>
  <c r="AU47" i="12"/>
  <c r="AT47" i="12"/>
  <c r="AJ47" i="12"/>
  <c r="AM47" i="12"/>
  <c r="AR47" i="12"/>
  <c r="AP47" i="12"/>
  <c r="AS47" i="12"/>
  <c r="A48" i="12"/>
  <c r="AL47" i="12"/>
  <c r="AJ48" i="12" l="1"/>
  <c r="AM48" i="12"/>
  <c r="AP48" i="12"/>
  <c r="A49" i="12"/>
  <c r="AS48" i="12"/>
  <c r="AL48" i="12"/>
  <c r="AN48" i="12"/>
  <c r="AO48" i="12"/>
  <c r="AR48" i="12"/>
  <c r="AU48" i="12"/>
  <c r="AQ48" i="12"/>
  <c r="AK48" i="12"/>
  <c r="AT48" i="12"/>
  <c r="A50" i="12" l="1"/>
  <c r="AL49" i="12"/>
  <c r="AO49" i="12"/>
  <c r="AM49" i="12"/>
  <c r="AR49" i="12"/>
  <c r="AU49" i="12"/>
  <c r="AK49" i="12"/>
  <c r="AQ49" i="12"/>
  <c r="AS49" i="12"/>
  <c r="AN49" i="12"/>
  <c r="AT49" i="12"/>
  <c r="AJ49" i="12"/>
  <c r="AP49" i="12"/>
  <c r="AU50" i="12" l="1"/>
  <c r="AK50" i="12"/>
  <c r="AN50" i="12"/>
  <c r="AJ50" i="12"/>
  <c r="AO50" i="12"/>
  <c r="AQ50" i="12"/>
  <c r="AT50" i="12"/>
  <c r="AL50" i="12"/>
  <c r="AM50" i="12"/>
  <c r="AP50" i="12"/>
  <c r="AS50" i="12"/>
  <c r="A51" i="12"/>
  <c r="AR50" i="12"/>
  <c r="AK51" i="12" l="1"/>
  <c r="AN51" i="12"/>
  <c r="AQ51" i="12"/>
  <c r="AM51" i="12"/>
  <c r="AL51" i="12"/>
  <c r="AU51" i="12"/>
  <c r="AT51" i="12"/>
  <c r="AJ51" i="12"/>
  <c r="AR51" i="12"/>
  <c r="AP51" i="12"/>
  <c r="AS51" i="12"/>
  <c r="AO51" i="12"/>
  <c r="A52" i="12"/>
  <c r="AJ52" i="12" l="1"/>
  <c r="AM52" i="12"/>
  <c r="AP52" i="12"/>
  <c r="AO52" i="12"/>
  <c r="AN52" i="12"/>
  <c r="AS52" i="12"/>
  <c r="A53" i="12"/>
  <c r="AL52" i="12"/>
  <c r="AU52" i="12"/>
  <c r="AQ52" i="12"/>
  <c r="AR52" i="12"/>
  <c r="AK52" i="12"/>
  <c r="AT52" i="12"/>
  <c r="A54" i="12" l="1"/>
  <c r="AL53" i="12"/>
  <c r="AO53" i="12"/>
  <c r="AN53" i="12"/>
  <c r="AS53" i="12"/>
  <c r="AR53" i="12"/>
  <c r="AU53" i="12"/>
  <c r="AK53" i="12"/>
  <c r="AT53" i="12"/>
  <c r="AJ53" i="12"/>
  <c r="AQ53" i="12"/>
  <c r="AM53" i="12"/>
  <c r="AP53" i="12"/>
  <c r="AU54" i="12" l="1"/>
  <c r="AK54" i="12"/>
  <c r="AN54" i="12"/>
  <c r="AS54" i="12"/>
  <c r="AL54" i="12"/>
  <c r="AQ54" i="12"/>
  <c r="AT54" i="12"/>
  <c r="AJ54" i="12"/>
  <c r="AR54" i="12"/>
  <c r="AM54" i="12"/>
  <c r="AP54" i="12"/>
  <c r="AO54" i="12"/>
  <c r="A55" i="12"/>
  <c r="AK55" i="12" l="1"/>
  <c r="AN55" i="12"/>
  <c r="AQ55" i="12"/>
  <c r="AJ55" i="12"/>
  <c r="AP55" i="12"/>
  <c r="AR55" i="12"/>
  <c r="AT55" i="12"/>
  <c r="AM55" i="12"/>
  <c r="AO55" i="12"/>
  <c r="AU55" i="12"/>
  <c r="AS55" i="12"/>
  <c r="AL55" i="12"/>
  <c r="A56" i="12"/>
  <c r="AJ56" i="12" l="1"/>
  <c r="AM56" i="12"/>
  <c r="AP56" i="12"/>
  <c r="A57" i="12"/>
  <c r="AK56" i="12"/>
  <c r="AS56" i="12"/>
  <c r="AL56" i="12"/>
  <c r="AR56" i="12"/>
  <c r="AQ56" i="12"/>
  <c r="AO56" i="12"/>
  <c r="AU56" i="12"/>
  <c r="AN56" i="12"/>
  <c r="AT56" i="12"/>
  <c r="A58" i="12" l="1"/>
  <c r="AL57" i="12"/>
  <c r="AO57" i="12"/>
  <c r="AT57" i="12"/>
  <c r="AM57" i="12"/>
  <c r="AR57" i="12"/>
  <c r="AU57" i="12"/>
  <c r="AK57" i="12"/>
  <c r="AS57" i="12"/>
  <c r="AN57" i="12"/>
  <c r="AQ57" i="12"/>
  <c r="AP57" i="12"/>
  <c r="AJ57" i="12"/>
  <c r="AU58" i="12" l="1"/>
  <c r="AK58" i="12"/>
  <c r="AN58" i="12"/>
  <c r="AL58" i="12"/>
  <c r="AQ58" i="12"/>
  <c r="AT58" i="12"/>
  <c r="AJ58" i="12"/>
  <c r="AM58" i="12"/>
  <c r="AP58" i="12"/>
  <c r="AS58" i="12"/>
  <c r="AO58" i="12"/>
  <c r="A59" i="12"/>
  <c r="AR58" i="12"/>
  <c r="AK59" i="12" l="1"/>
  <c r="AN59" i="12"/>
  <c r="AQ59" i="12"/>
  <c r="AO59" i="12"/>
  <c r="AU59" i="12"/>
  <c r="AT59" i="12"/>
  <c r="AJ59" i="12"/>
  <c r="AM59" i="12"/>
  <c r="AR59" i="12"/>
  <c r="AP59" i="12"/>
  <c r="AS59" i="12"/>
  <c r="AL59" i="12"/>
  <c r="A60" i="12"/>
  <c r="AJ60" i="12" l="1"/>
  <c r="AM60" i="12"/>
  <c r="AP60" i="12"/>
  <c r="AS60" i="12"/>
  <c r="AL60" i="12"/>
  <c r="AR60" i="12"/>
  <c r="AN60" i="12"/>
  <c r="A62" i="12"/>
  <c r="AO60" i="12"/>
  <c r="AU60" i="12"/>
  <c r="AT60" i="12"/>
  <c r="AK60" i="12"/>
  <c r="AQ60" i="12"/>
  <c r="A63" i="12" l="1"/>
  <c r="AL62" i="12"/>
  <c r="AO62" i="12"/>
  <c r="AP62" i="12"/>
  <c r="AR62" i="12"/>
  <c r="AU62" i="12"/>
  <c r="AK62" i="12"/>
  <c r="AN62" i="12"/>
  <c r="AQ62" i="12"/>
  <c r="AT62" i="12"/>
  <c r="AS62" i="12"/>
  <c r="AJ62" i="12"/>
  <c r="AM62" i="12"/>
  <c r="AU63" i="12" l="1"/>
  <c r="AK63" i="12"/>
  <c r="AN63" i="12"/>
  <c r="AQ63" i="12"/>
  <c r="AM63" i="12"/>
  <c r="AS63" i="12"/>
  <c r="AO63" i="12"/>
  <c r="AT63" i="12"/>
  <c r="AJ63" i="12"/>
  <c r="AP63" i="12"/>
  <c r="AL63" i="12"/>
  <c r="AR63" i="12"/>
  <c r="A64" i="12"/>
  <c r="AK64" i="12" l="1"/>
  <c r="AN64" i="12"/>
  <c r="AQ64" i="12"/>
  <c r="AM64" i="12"/>
  <c r="AO64" i="12"/>
  <c r="AT64" i="12"/>
  <c r="AJ64" i="12"/>
  <c r="AR64" i="12"/>
  <c r="AP64" i="12"/>
  <c r="AS64" i="12"/>
  <c r="AL64" i="12"/>
  <c r="AU64" i="12"/>
  <c r="A65" i="12"/>
  <c r="AJ65" i="12" l="1"/>
  <c r="AM65" i="12"/>
  <c r="AP65" i="12"/>
  <c r="A66" i="12"/>
  <c r="AT65" i="12"/>
  <c r="AS65" i="12"/>
  <c r="AL65" i="12"/>
  <c r="AU65" i="12"/>
  <c r="AQ65" i="12"/>
  <c r="AO65" i="12"/>
  <c r="AR65" i="12"/>
  <c r="AK65" i="12"/>
  <c r="AN65" i="12"/>
  <c r="A67" i="12" l="1"/>
  <c r="AL66" i="12"/>
  <c r="AO66" i="12"/>
  <c r="AR66" i="12"/>
  <c r="AU66" i="12"/>
  <c r="AK66" i="12"/>
  <c r="AS66" i="12"/>
  <c r="AN66" i="12"/>
  <c r="AQ66" i="12"/>
  <c r="AT66" i="12"/>
  <c r="AJ66" i="12"/>
  <c r="AM66" i="12"/>
  <c r="AP66" i="12"/>
  <c r="AU67" i="12" l="1"/>
  <c r="AK67" i="12"/>
  <c r="AN67" i="12"/>
  <c r="AM67" i="12"/>
  <c r="A68" i="12"/>
  <c r="AQ67" i="12"/>
  <c r="AT67" i="12"/>
  <c r="AJ67" i="12"/>
  <c r="AP67" i="12"/>
  <c r="AL67" i="12"/>
  <c r="AS67" i="12"/>
  <c r="AO67" i="12"/>
  <c r="AR67" i="12"/>
  <c r="AK68" i="12" l="1"/>
  <c r="AN68" i="12"/>
  <c r="AQ68" i="12"/>
  <c r="AS68" i="12"/>
  <c r="AO68" i="12"/>
  <c r="AT68" i="12"/>
  <c r="AJ68" i="12"/>
  <c r="AM68" i="12"/>
  <c r="AR68" i="12"/>
  <c r="AP68" i="12"/>
  <c r="AU68" i="12"/>
  <c r="A69" i="12"/>
  <c r="AL68" i="12"/>
  <c r="AJ69" i="12" l="1"/>
  <c r="AM69" i="12"/>
  <c r="AP69" i="12"/>
  <c r="AL69" i="12"/>
  <c r="AS69" i="12"/>
  <c r="A70" i="12"/>
  <c r="AU69" i="12"/>
  <c r="AO69" i="12"/>
  <c r="AR69" i="12"/>
  <c r="AK69" i="12"/>
  <c r="AN69" i="12"/>
  <c r="AQ69" i="12"/>
  <c r="AT69" i="12"/>
  <c r="A71" i="12" l="1"/>
  <c r="AL70" i="12"/>
  <c r="AO70" i="12"/>
  <c r="AM70" i="12"/>
  <c r="AS70" i="12"/>
  <c r="AR70" i="12"/>
  <c r="AU70" i="12"/>
  <c r="AK70" i="12"/>
  <c r="AN70" i="12"/>
  <c r="AQ70" i="12"/>
  <c r="AJ70" i="12"/>
  <c r="AP70" i="12"/>
  <c r="AT70" i="12"/>
  <c r="AU71" i="12" l="1"/>
  <c r="AK71" i="12"/>
  <c r="AN71" i="12"/>
  <c r="AL71" i="12"/>
  <c r="AQ71" i="12"/>
  <c r="AT71" i="12"/>
  <c r="AJ71" i="12"/>
  <c r="A72" i="12"/>
  <c r="AM71" i="12"/>
  <c r="AP71" i="12"/>
  <c r="AS71" i="12"/>
  <c r="AO71" i="12"/>
  <c r="AR71" i="12"/>
  <c r="AK72" i="12" l="1"/>
  <c r="AN72" i="12"/>
  <c r="AQ72" i="12"/>
  <c r="AJ72" i="12"/>
  <c r="AR72" i="12"/>
  <c r="AT72" i="12"/>
  <c r="AM72" i="12"/>
  <c r="AL72" i="12"/>
  <c r="AU72" i="12"/>
  <c r="AP72" i="12"/>
  <c r="AS72" i="12"/>
  <c r="AO72" i="12"/>
  <c r="A73" i="12"/>
  <c r="AJ73" i="12" l="1"/>
  <c r="AM73" i="12"/>
  <c r="AP73" i="12"/>
  <c r="A74" i="12"/>
  <c r="AS73" i="12"/>
  <c r="AL73" i="12"/>
  <c r="AU73" i="12"/>
  <c r="AT73" i="12"/>
  <c r="AO73" i="12"/>
  <c r="AR73" i="12"/>
  <c r="AN73" i="12"/>
  <c r="AK73" i="12"/>
  <c r="AQ73" i="12"/>
  <c r="A75" i="12" l="1"/>
  <c r="AL74" i="12"/>
  <c r="AO74" i="12"/>
  <c r="AT74" i="12"/>
  <c r="AP74" i="12"/>
  <c r="AR74" i="12"/>
  <c r="AU74" i="12"/>
  <c r="AK74" i="12"/>
  <c r="AM74" i="12"/>
  <c r="AN74" i="12"/>
  <c r="AQ74" i="12"/>
  <c r="AJ74" i="12"/>
  <c r="AS74" i="12"/>
  <c r="AU75" i="12" l="1"/>
  <c r="AK75" i="12"/>
  <c r="AN75" i="12"/>
  <c r="AM75" i="12"/>
  <c r="AS75" i="12"/>
  <c r="AL75" i="12"/>
  <c r="AR75" i="12"/>
  <c r="AQ75" i="12"/>
  <c r="AT75" i="12"/>
  <c r="AJ75" i="12"/>
  <c r="AP75" i="12"/>
  <c r="AO75" i="12"/>
  <c r="A76" i="12"/>
  <c r="AK76" i="12" l="1"/>
  <c r="AN76" i="12"/>
  <c r="AQ76" i="12"/>
  <c r="AJ76" i="12"/>
  <c r="AM76" i="12"/>
  <c r="AO76" i="12"/>
  <c r="AT76" i="12"/>
  <c r="AL76" i="12"/>
  <c r="AP76" i="12"/>
  <c r="AS76" i="12"/>
  <c r="AR76" i="12"/>
  <c r="A77" i="12"/>
  <c r="AU76" i="12"/>
  <c r="AJ77" i="12" l="1"/>
  <c r="AM77" i="12"/>
  <c r="AP77" i="12"/>
  <c r="AK77" i="12"/>
  <c r="AS77" i="12"/>
  <c r="A78" i="12"/>
  <c r="AL77" i="12"/>
  <c r="AU77" i="12"/>
  <c r="AQ77" i="12"/>
  <c r="AO77" i="12"/>
  <c r="AR77" i="12"/>
  <c r="AN77" i="12"/>
  <c r="AT77" i="12"/>
  <c r="A79" i="12" l="1"/>
  <c r="AL78" i="12"/>
  <c r="AO78" i="12"/>
  <c r="AM78" i="12"/>
  <c r="AR78" i="12"/>
  <c r="AU78" i="12"/>
  <c r="AK78" i="12"/>
  <c r="AN78" i="12"/>
  <c r="AT78" i="12"/>
  <c r="AS78" i="12"/>
  <c r="AQ78" i="12"/>
  <c r="AP78" i="12"/>
  <c r="AJ78" i="12"/>
  <c r="AU79" i="12" l="1"/>
  <c r="AK79" i="12"/>
  <c r="AN79" i="12"/>
  <c r="AS79" i="12"/>
  <c r="A80" i="12"/>
  <c r="AQ79" i="12"/>
  <c r="AT79" i="12"/>
  <c r="AJ79" i="12"/>
  <c r="AM79" i="12"/>
  <c r="AO79" i="12"/>
  <c r="AP79" i="12"/>
  <c r="AR79" i="12"/>
  <c r="AL79" i="12"/>
  <c r="AK80" i="12" l="1"/>
  <c r="AN80" i="12"/>
  <c r="AQ80" i="12"/>
  <c r="AL80" i="12"/>
  <c r="AR80" i="12"/>
  <c r="AT80" i="12"/>
  <c r="AJ80" i="12"/>
  <c r="AM80" i="12"/>
  <c r="A81" i="12"/>
  <c r="AP80" i="12"/>
  <c r="AS80" i="12"/>
  <c r="AU80" i="12"/>
  <c r="AO80" i="12"/>
  <c r="AJ81" i="12" l="1"/>
  <c r="AM81" i="12"/>
  <c r="AP81" i="12"/>
  <c r="AL81" i="12"/>
  <c r="AT81" i="12"/>
  <c r="AS81" i="12"/>
  <c r="A82" i="12"/>
  <c r="AQ81" i="12"/>
  <c r="AO81" i="12"/>
  <c r="AR81" i="12"/>
  <c r="AU81" i="12"/>
  <c r="AK81" i="12"/>
  <c r="AN81" i="12"/>
  <c r="A83" i="12" l="1"/>
  <c r="AL82" i="12"/>
  <c r="AO82" i="12"/>
  <c r="AT82" i="12"/>
  <c r="AM82" i="12"/>
  <c r="AR82" i="12"/>
  <c r="AU82" i="12"/>
  <c r="AK82" i="12"/>
  <c r="AN82" i="12"/>
  <c r="AQ82" i="12"/>
  <c r="AP82" i="12"/>
  <c r="AJ82" i="12"/>
  <c r="AS82" i="12"/>
  <c r="AU83" i="12" l="1"/>
  <c r="AK83" i="12"/>
  <c r="AN83" i="12"/>
  <c r="AO83" i="12"/>
  <c r="AQ83" i="12"/>
  <c r="AT83" i="12"/>
  <c r="AJ83" i="12"/>
  <c r="AR83" i="12"/>
  <c r="AM83" i="12"/>
  <c r="AP83" i="12"/>
  <c r="AS83" i="12"/>
  <c r="AL83" i="12"/>
  <c r="A84" i="12"/>
  <c r="AK84" i="12" l="1"/>
  <c r="AN84" i="12"/>
  <c r="AQ84" i="12"/>
  <c r="AT84" i="12"/>
  <c r="AJ84" i="12"/>
  <c r="AM84" i="12"/>
  <c r="AP84" i="12"/>
  <c r="AO84" i="12"/>
  <c r="AS84" i="12"/>
  <c r="AL84" i="12"/>
  <c r="AU84" i="12"/>
  <c r="AR84" i="12"/>
  <c r="A86" i="12"/>
  <c r="AJ86" i="12" l="1"/>
  <c r="AM86" i="12"/>
  <c r="AP86" i="12"/>
  <c r="A87" i="12"/>
  <c r="AN86" i="12"/>
  <c r="AS86" i="12"/>
  <c r="AL86" i="12"/>
  <c r="AT86" i="12"/>
  <c r="AO86" i="12"/>
  <c r="AR86" i="12"/>
  <c r="AU86" i="12"/>
  <c r="AK86" i="12"/>
  <c r="AQ86" i="12"/>
  <c r="A88" i="12" l="1"/>
  <c r="AL87" i="12"/>
  <c r="AO87" i="12"/>
  <c r="AU87" i="12"/>
  <c r="AK87" i="12"/>
  <c r="AS87" i="12"/>
  <c r="AR87" i="12"/>
  <c r="AN87" i="12"/>
  <c r="AQ87" i="12"/>
  <c r="AT87" i="12"/>
  <c r="AJ87" i="12"/>
  <c r="AM87" i="12"/>
  <c r="AP87" i="12"/>
  <c r="AU88" i="12" l="1"/>
  <c r="AK88" i="12"/>
  <c r="AN88" i="12"/>
  <c r="AQ88" i="12"/>
  <c r="AT88" i="12"/>
  <c r="AJ88" i="12"/>
  <c r="AM88" i="12"/>
  <c r="AP88" i="12"/>
  <c r="AS88" i="12"/>
  <c r="AL88" i="12"/>
  <c r="AR88" i="12"/>
  <c r="A89" i="12"/>
  <c r="AO88" i="12"/>
  <c r="AK89" i="12" l="1"/>
  <c r="AN89" i="12"/>
  <c r="AQ89" i="12"/>
  <c r="AM89" i="12"/>
  <c r="AR89" i="12"/>
  <c r="AT89" i="12"/>
  <c r="AJ89" i="12"/>
  <c r="AL89" i="12"/>
  <c r="AU89" i="12"/>
  <c r="AP89" i="12"/>
  <c r="AS89" i="12"/>
  <c r="AO89" i="12"/>
  <c r="A90" i="12"/>
  <c r="AJ90" i="12" l="1"/>
  <c r="AM90" i="12"/>
  <c r="AP90" i="12"/>
  <c r="A91" i="12"/>
  <c r="AU90" i="12"/>
  <c r="AN90" i="12"/>
  <c r="AS90" i="12"/>
  <c r="AL90" i="12"/>
  <c r="AO90" i="12"/>
  <c r="AR90" i="12"/>
  <c r="AQ90" i="12"/>
  <c r="AK90" i="12"/>
  <c r="AT90" i="12"/>
  <c r="A92" i="12" l="1"/>
  <c r="AL91" i="12"/>
  <c r="AO91" i="12"/>
  <c r="AT91" i="12"/>
  <c r="AJ91" i="12"/>
  <c r="AS91" i="12"/>
  <c r="AR91" i="12"/>
  <c r="AU91" i="12"/>
  <c r="AK91" i="12"/>
  <c r="AQ91" i="12"/>
  <c r="AP91" i="12"/>
  <c r="AN91" i="12"/>
  <c r="AM91" i="12"/>
  <c r="AU92" i="12" l="1"/>
  <c r="AK92" i="12"/>
  <c r="AN92" i="12"/>
  <c r="A93" i="12"/>
  <c r="AQ92" i="12"/>
  <c r="AT92" i="12"/>
  <c r="AJ92" i="12"/>
  <c r="AO92" i="12"/>
  <c r="AM92" i="12"/>
  <c r="AP92" i="12"/>
  <c r="AS92" i="12"/>
  <c r="AL92" i="12"/>
  <c r="AR92" i="12"/>
  <c r="AK93" i="12" l="1"/>
  <c r="AN93" i="12"/>
  <c r="AQ93" i="12"/>
  <c r="AT93" i="12"/>
  <c r="AM93" i="12"/>
  <c r="AO93" i="12"/>
  <c r="AJ93" i="12"/>
  <c r="AR93" i="12"/>
  <c r="AP93" i="12"/>
  <c r="AS93" i="12"/>
  <c r="A94" i="12"/>
  <c r="AL93" i="12"/>
  <c r="AU93" i="12"/>
  <c r="AJ94" i="12" l="1"/>
  <c r="AM94" i="12"/>
  <c r="AP94" i="12"/>
  <c r="AO94" i="12"/>
  <c r="AK94" i="12"/>
  <c r="AT94" i="12"/>
  <c r="AS94" i="12"/>
  <c r="A95" i="12"/>
  <c r="AL94" i="12"/>
  <c r="AU94" i="12"/>
  <c r="AN94" i="12"/>
  <c r="AR94" i="12"/>
  <c r="AQ94" i="12"/>
  <c r="A96" i="12" l="1"/>
  <c r="AL95" i="12"/>
  <c r="AO95" i="12"/>
  <c r="AQ95" i="12"/>
  <c r="AM95" i="12"/>
  <c r="AR95" i="12"/>
  <c r="AU95" i="12"/>
  <c r="AK95" i="12"/>
  <c r="AS95" i="12"/>
  <c r="AN95" i="12"/>
  <c r="AT95" i="12"/>
  <c r="AP95" i="12"/>
  <c r="AJ95" i="12"/>
  <c r="AU96" i="12" l="1"/>
  <c r="AK96" i="12"/>
  <c r="AN96" i="12"/>
  <c r="AQ96" i="12"/>
  <c r="AS96" i="12"/>
  <c r="AO96" i="12"/>
  <c r="AT96" i="12"/>
  <c r="AJ96" i="12"/>
  <c r="AL96" i="12"/>
  <c r="AM96" i="12"/>
  <c r="AP96" i="12"/>
  <c r="A97" i="12"/>
  <c r="AR96" i="12"/>
  <c r="AK97" i="12" l="1"/>
  <c r="AN97" i="12"/>
  <c r="AQ97" i="12"/>
  <c r="AM97" i="12"/>
  <c r="AO97" i="12"/>
  <c r="AT97" i="12"/>
  <c r="AJ97" i="12"/>
  <c r="AR97" i="12"/>
  <c r="AP97" i="12"/>
  <c r="AS97" i="12"/>
  <c r="AL97" i="12"/>
  <c r="AU97" i="12"/>
  <c r="A98" i="12"/>
  <c r="AJ98" i="12" l="1"/>
  <c r="AM98" i="12"/>
  <c r="AP98" i="12"/>
  <c r="AL98" i="12"/>
  <c r="AO98" i="12"/>
  <c r="AU98" i="12"/>
  <c r="AN98" i="12"/>
  <c r="AS98" i="12"/>
  <c r="A99" i="12"/>
  <c r="AT98" i="12"/>
  <c r="AR98" i="12"/>
  <c r="AK98" i="12"/>
  <c r="AQ98" i="12"/>
  <c r="AJ99" i="12" l="1"/>
  <c r="AM99" i="12"/>
  <c r="AP99" i="12"/>
  <c r="AS99" i="12"/>
  <c r="AL99" i="12"/>
  <c r="AO99" i="12"/>
  <c r="AQ99" i="12"/>
  <c r="A100" i="12"/>
  <c r="AN99" i="12"/>
  <c r="AR99" i="12"/>
  <c r="AU99" i="12"/>
  <c r="AK99" i="12"/>
  <c r="AT99" i="12"/>
  <c r="AU100" i="12" l="1"/>
  <c r="AK100" i="12"/>
  <c r="AN100" i="12"/>
  <c r="AT100" i="12"/>
  <c r="AJ100" i="12"/>
  <c r="AP100" i="12"/>
  <c r="A101" i="12"/>
  <c r="AQ100" i="12"/>
  <c r="AM100" i="12"/>
  <c r="AL100" i="12"/>
  <c r="AS100" i="12"/>
  <c r="AO100" i="12"/>
  <c r="AR100" i="12"/>
  <c r="AK101" i="12" l="1"/>
  <c r="AN101" i="12"/>
  <c r="AQ101" i="12"/>
  <c r="AM101" i="12"/>
  <c r="AP101" i="12"/>
  <c r="AO101" i="12"/>
  <c r="AT101" i="12"/>
  <c r="AJ101" i="12"/>
  <c r="AS101" i="12"/>
  <c r="AL101" i="12"/>
  <c r="AU101" i="12"/>
  <c r="AR101" i="12"/>
  <c r="A102" i="12"/>
  <c r="A103" i="12" l="1"/>
  <c r="AK102" i="12"/>
  <c r="AN102" i="12"/>
  <c r="AQ102" i="12"/>
  <c r="AP102" i="12"/>
  <c r="AT102" i="12"/>
  <c r="AJ102" i="12"/>
  <c r="AM102" i="12"/>
  <c r="AL102" i="12"/>
  <c r="AS102" i="12"/>
  <c r="AR102" i="12"/>
  <c r="AO102" i="12"/>
  <c r="AU102" i="12"/>
  <c r="AR103" i="12" l="1"/>
  <c r="AT103" i="12"/>
  <c r="AU103" i="12"/>
  <c r="AM103" i="12"/>
  <c r="AQ103" i="12"/>
  <c r="AL103" i="12"/>
  <c r="AS103" i="12"/>
  <c r="AO103" i="12"/>
  <c r="AK103" i="12"/>
  <c r="AP103" i="12"/>
  <c r="AN103" i="12"/>
  <c r="AJ103" i="12"/>
  <c r="A104" i="12"/>
  <c r="A105" i="12" l="1"/>
  <c r="AR104" i="12"/>
  <c r="AQ104" i="12"/>
  <c r="AN104" i="12"/>
  <c r="AS104" i="12"/>
  <c r="AU104" i="12"/>
  <c r="AT104" i="12"/>
  <c r="AM104" i="12"/>
  <c r="AO104" i="12"/>
  <c r="AP104" i="12"/>
  <c r="AL104" i="12"/>
  <c r="AJ104" i="12"/>
  <c r="AK104" i="12"/>
  <c r="A106" i="12" l="1"/>
  <c r="AS105" i="12"/>
  <c r="AM105" i="12"/>
  <c r="AK105" i="12"/>
  <c r="AR105" i="12"/>
  <c r="AU105" i="12"/>
  <c r="AT105" i="12"/>
  <c r="AO105" i="12"/>
  <c r="AN105" i="12"/>
  <c r="AQ105" i="12"/>
  <c r="AP105" i="12"/>
  <c r="AL105" i="12"/>
  <c r="AJ105" i="12"/>
  <c r="AU106" i="12" l="1"/>
  <c r="AT106" i="12"/>
  <c r="AS106" i="12"/>
  <c r="AR106" i="12"/>
  <c r="AK106" i="12"/>
  <c r="A107" i="12"/>
  <c r="AQ106" i="12"/>
  <c r="AP106" i="12"/>
  <c r="AO106" i="12"/>
  <c r="AN106" i="12"/>
  <c r="AL106" i="12"/>
  <c r="AM106" i="12"/>
  <c r="AJ106" i="12"/>
  <c r="AR107" i="12" l="1"/>
  <c r="AQ107" i="12"/>
  <c r="AO107" i="12"/>
  <c r="A108" i="12"/>
  <c r="AT107" i="12"/>
  <c r="AU107" i="12"/>
  <c r="AS107" i="12"/>
  <c r="AM107" i="12"/>
  <c r="AK107" i="12"/>
  <c r="AP107" i="12"/>
  <c r="AN107" i="12"/>
  <c r="AL107" i="12"/>
  <c r="AJ107" i="12"/>
  <c r="AR108" i="12" l="1"/>
  <c r="AQ108" i="12"/>
  <c r="AU108" i="12"/>
  <c r="AM108" i="12"/>
  <c r="A109" i="12"/>
  <c r="AS108" i="12"/>
  <c r="AT108" i="12"/>
  <c r="AL108" i="12"/>
  <c r="AJ108" i="12"/>
  <c r="AO108" i="12"/>
  <c r="AP108" i="12"/>
  <c r="AN108" i="12"/>
  <c r="AK108" i="12"/>
  <c r="AS109" i="12" l="1"/>
  <c r="AQ109" i="12"/>
  <c r="AM109" i="12"/>
  <c r="A110" i="12"/>
  <c r="AR109" i="12"/>
  <c r="AU109" i="12"/>
  <c r="AT109" i="12"/>
  <c r="AL109" i="12"/>
  <c r="AJ109" i="12"/>
  <c r="AN109" i="12"/>
  <c r="AP109" i="12"/>
  <c r="AO109" i="12"/>
  <c r="AK109" i="12"/>
  <c r="AU110" i="12" l="1"/>
  <c r="AT110" i="12"/>
  <c r="AS110" i="12"/>
  <c r="AR110" i="12"/>
  <c r="AP110" i="12"/>
  <c r="AL110" i="12"/>
  <c r="AJ110" i="12"/>
  <c r="A111" i="12"/>
  <c r="AQ110" i="12"/>
  <c r="AO110" i="12"/>
  <c r="AN110" i="12"/>
  <c r="AK110" i="12"/>
  <c r="AM110" i="12"/>
  <c r="AR111" i="12" l="1"/>
  <c r="AQ111" i="12"/>
  <c r="AO111" i="12"/>
  <c r="AT111" i="12"/>
  <c r="AS111" i="12"/>
  <c r="AM111" i="12"/>
  <c r="AK111" i="12"/>
  <c r="AJ111" i="12"/>
  <c r="AL111" i="12"/>
  <c r="AU111" i="12"/>
  <c r="AP111" i="12"/>
  <c r="AN111" i="12"/>
  <c r="A112" i="12"/>
  <c r="AR112" i="12" l="1"/>
  <c r="AQ112" i="12"/>
  <c r="AP112" i="12"/>
  <c r="AS112" i="12"/>
  <c r="AT112" i="12"/>
  <c r="AL112" i="12"/>
  <c r="AJ112" i="12"/>
  <c r="AN112" i="12"/>
  <c r="AM112" i="12"/>
  <c r="AO112" i="12"/>
  <c r="A113" i="12"/>
  <c r="AK112" i="12"/>
  <c r="AU112" i="12"/>
  <c r="AS113" i="12" l="1"/>
  <c r="AQ113" i="12"/>
  <c r="AP113" i="12"/>
  <c r="AT113" i="12"/>
  <c r="AL113" i="12"/>
  <c r="A114" i="12"/>
  <c r="AR113" i="12"/>
  <c r="AM113" i="12"/>
  <c r="AK113" i="12"/>
  <c r="AN113" i="12"/>
  <c r="AO113" i="12"/>
  <c r="AJ113" i="12"/>
  <c r="AU113" i="12"/>
  <c r="AU114" i="12" l="1"/>
  <c r="AS114" i="12"/>
  <c r="AR114" i="12"/>
  <c r="AP114" i="12"/>
  <c r="AO114" i="12"/>
  <c r="AK114" i="12"/>
  <c r="AM114" i="12"/>
  <c r="AT114" i="12"/>
  <c r="AQ114" i="12"/>
  <c r="AN114" i="12"/>
  <c r="AL114" i="12"/>
  <c r="AJ114" i="12"/>
  <c r="A115" i="12"/>
  <c r="AU115" i="12" l="1"/>
  <c r="AS115" i="12"/>
  <c r="AR115" i="12"/>
  <c r="AO115" i="12"/>
  <c r="AP115" i="12"/>
  <c r="AK115" i="12"/>
  <c r="AT115" i="12"/>
  <c r="AQ115" i="12"/>
  <c r="AN115" i="12"/>
  <c r="AM115" i="12"/>
  <c r="AJ115" i="12"/>
  <c r="A116" i="12"/>
  <c r="AL115" i="12"/>
  <c r="AU116" i="12" l="1"/>
  <c r="AT116" i="12"/>
  <c r="AP116" i="12"/>
  <c r="AO116" i="12"/>
  <c r="AL116" i="12"/>
  <c r="AS116" i="12"/>
  <c r="AR116" i="12"/>
  <c r="AQ116" i="12"/>
  <c r="AN116" i="12"/>
  <c r="AM116" i="12"/>
  <c r="AJ116" i="12"/>
  <c r="AK116" i="12"/>
  <c r="A117" i="12"/>
  <c r="AU117" i="12" l="1"/>
  <c r="AT117" i="12"/>
  <c r="AP117" i="12"/>
  <c r="AM117" i="12"/>
  <c r="AR117" i="12"/>
  <c r="AS117" i="12"/>
  <c r="AQ117" i="12"/>
  <c r="AO117" i="12"/>
  <c r="AL117" i="12"/>
  <c r="A118" i="12"/>
  <c r="AN117" i="12"/>
  <c r="AK117" i="12"/>
  <c r="AJ117" i="12"/>
  <c r="AU118" i="12" l="1"/>
  <c r="AT118" i="12"/>
  <c r="AS118" i="12"/>
  <c r="AQ118" i="12"/>
  <c r="AP118" i="12"/>
  <c r="AO118" i="12"/>
  <c r="AK118" i="12"/>
  <c r="AR118" i="12"/>
  <c r="AN118" i="12"/>
  <c r="AM118" i="12"/>
  <c r="AL118" i="12"/>
  <c r="AJ118" i="12"/>
  <c r="A119" i="12"/>
  <c r="AR119" i="12" l="1"/>
  <c r="AJ119" i="12"/>
  <c r="AT119" i="12"/>
  <c r="AU119" i="12"/>
  <c r="AS119" i="12"/>
  <c r="AM119" i="12"/>
  <c r="AO119" i="12"/>
  <c r="A120" i="12"/>
  <c r="AP119" i="12"/>
  <c r="AQ119" i="12"/>
  <c r="AN119" i="12"/>
  <c r="AK119" i="12"/>
  <c r="AL119" i="12"/>
  <c r="A121" i="12" l="1"/>
  <c r="AR120" i="12"/>
  <c r="AM120" i="12"/>
  <c r="AK120" i="12"/>
  <c r="AS120" i="12"/>
  <c r="AU120" i="12"/>
  <c r="AT120" i="12"/>
  <c r="AP120" i="12"/>
  <c r="AL120" i="12"/>
  <c r="AO120" i="12"/>
  <c r="AQ120" i="12"/>
  <c r="AN120" i="12"/>
  <c r="AJ120" i="12"/>
  <c r="A122" i="12" l="1"/>
  <c r="AS121" i="12"/>
  <c r="AR121" i="12"/>
  <c r="AU121" i="12"/>
  <c r="AT121" i="12"/>
  <c r="AN121" i="12"/>
  <c r="AP121" i="12"/>
  <c r="AM121" i="12"/>
  <c r="AQ121" i="12"/>
  <c r="AO121" i="12"/>
  <c r="AK121" i="12"/>
  <c r="AJ121" i="12"/>
  <c r="AL121" i="12"/>
  <c r="AU122" i="12" l="1"/>
  <c r="AT122" i="12"/>
  <c r="AS122" i="12"/>
  <c r="AR122" i="12"/>
  <c r="AL122" i="12"/>
  <c r="AK122" i="12"/>
  <c r="A123" i="12"/>
  <c r="AQ122" i="12"/>
  <c r="AP122" i="12"/>
  <c r="AO122" i="12"/>
  <c r="AN122" i="12"/>
  <c r="AM122" i="12"/>
  <c r="AJ122" i="12"/>
  <c r="AR123" i="12" l="1"/>
  <c r="AQ123" i="12"/>
  <c r="AM123" i="12"/>
  <c r="AT123" i="12"/>
  <c r="AU123" i="12"/>
  <c r="AS123" i="12"/>
  <c r="AK123" i="12"/>
  <c r="AO123" i="12"/>
  <c r="AN123" i="12"/>
  <c r="AP123" i="12"/>
  <c r="A124" i="12"/>
  <c r="AL123" i="12"/>
  <c r="AJ123" i="12"/>
  <c r="AR124" i="12" l="1"/>
  <c r="AQ124" i="12"/>
  <c r="AO124" i="12"/>
  <c r="A125" i="12"/>
  <c r="AS124" i="12"/>
  <c r="AU124" i="12"/>
  <c r="AT124" i="12"/>
  <c r="AM124" i="12"/>
  <c r="AL124" i="12"/>
  <c r="AN124" i="12"/>
  <c r="AP124" i="12"/>
  <c r="AJ124" i="12"/>
  <c r="AK124" i="12"/>
  <c r="AS125" i="12" l="1"/>
  <c r="AQ125" i="12"/>
  <c r="AU125" i="12"/>
  <c r="AL125" i="12"/>
  <c r="AN125" i="12"/>
  <c r="AR125" i="12"/>
  <c r="AT125" i="12"/>
  <c r="AM125" i="12"/>
  <c r="AP125" i="12"/>
  <c r="A126" i="12"/>
  <c r="AO125" i="12"/>
  <c r="AJ125" i="12"/>
  <c r="AK125" i="12"/>
  <c r="AU126" i="12" l="1"/>
  <c r="AT126" i="12"/>
  <c r="AS126" i="12"/>
  <c r="AR126" i="12"/>
  <c r="AP126" i="12"/>
  <c r="AQ126" i="12"/>
  <c r="AN126" i="12"/>
  <c r="AK126" i="12"/>
  <c r="AO126" i="12"/>
  <c r="AL126" i="12"/>
  <c r="AM126" i="12"/>
  <c r="AJ126" i="12"/>
  <c r="A127" i="12"/>
  <c r="AR127" i="12" l="1"/>
  <c r="AQ127" i="12"/>
  <c r="AO127" i="12"/>
  <c r="AT127" i="12"/>
  <c r="AK127" i="12"/>
  <c r="AL127" i="12"/>
  <c r="AS127" i="12"/>
  <c r="AM127" i="12"/>
  <c r="AJ127" i="12"/>
  <c r="AP127" i="12"/>
  <c r="AN127" i="12"/>
  <c r="AU127" i="12"/>
  <c r="A128" i="12"/>
  <c r="AR128" i="12" l="1"/>
  <c r="AQ128" i="12"/>
  <c r="AP128" i="12"/>
  <c r="AJ128" i="12"/>
  <c r="AU128" i="12"/>
  <c r="AS128" i="12"/>
  <c r="AT128" i="12"/>
  <c r="AM128" i="12"/>
  <c r="AL128" i="12"/>
  <c r="AO128" i="12"/>
  <c r="AN128" i="12"/>
  <c r="A129" i="12"/>
  <c r="AK128" i="12"/>
  <c r="AS129" i="12" l="1"/>
  <c r="AQ129" i="12"/>
  <c r="AP129" i="12"/>
  <c r="AM129" i="12"/>
  <c r="AK129" i="12"/>
  <c r="AU129" i="12"/>
  <c r="AR129" i="12"/>
  <c r="AT129" i="12"/>
  <c r="AL129" i="12"/>
  <c r="AN129" i="12"/>
  <c r="AO129" i="12"/>
  <c r="A130" i="12"/>
  <c r="AJ129" i="12"/>
  <c r="AR130" i="12" l="1"/>
  <c r="AP130" i="12"/>
  <c r="AO130" i="12"/>
  <c r="AN130" i="12"/>
  <c r="AU130" i="12"/>
  <c r="AS130" i="12"/>
  <c r="AL130" i="12"/>
  <c r="AK130" i="12"/>
  <c r="AJ130" i="12"/>
  <c r="A132" i="12"/>
  <c r="AQ130" i="12"/>
  <c r="AM130" i="12"/>
  <c r="AT130" i="12"/>
  <c r="A133" i="12" l="1"/>
  <c r="AL132" i="12"/>
  <c r="AO132" i="12"/>
  <c r="AS132" i="12"/>
  <c r="AT132" i="12"/>
  <c r="AJ132" i="12"/>
  <c r="AR132" i="12"/>
  <c r="AU132" i="12"/>
  <c r="AK132" i="12"/>
  <c r="AN132" i="12"/>
  <c r="AQ132" i="12"/>
  <c r="AP132" i="12"/>
  <c r="AM132" i="12"/>
  <c r="AU133" i="12" l="1"/>
  <c r="AP133" i="12"/>
  <c r="AT133" i="12"/>
  <c r="AQ133" i="12"/>
  <c r="AS133" i="12"/>
  <c r="AL133" i="12"/>
  <c r="AO133" i="12"/>
  <c r="A134" i="12"/>
  <c r="AR133" i="12"/>
  <c r="AM133" i="12"/>
  <c r="AJ133" i="12"/>
  <c r="AN133" i="12"/>
  <c r="AK133" i="12"/>
  <c r="AJ134" i="12" l="1"/>
  <c r="AU134" i="12"/>
  <c r="AS134" i="12"/>
  <c r="AN134" i="12"/>
  <c r="AO134" i="12"/>
  <c r="AT134" i="12"/>
  <c r="AQ134" i="12"/>
  <c r="AM134" i="12"/>
  <c r="AP134" i="12"/>
  <c r="AK134" i="12"/>
  <c r="AR134" i="12"/>
  <c r="A135" i="12"/>
  <c r="AL134" i="12"/>
  <c r="A136" i="12" l="1"/>
  <c r="AR135" i="12"/>
  <c r="AS135" i="12"/>
  <c r="AU135" i="12"/>
  <c r="AT135" i="12"/>
  <c r="AJ135" i="12"/>
  <c r="AN135" i="12"/>
  <c r="AL135" i="12"/>
  <c r="AP135" i="12"/>
  <c r="AO135" i="12"/>
  <c r="AQ135" i="12"/>
  <c r="AK135" i="12"/>
  <c r="AM135" i="12"/>
  <c r="A137" i="12" l="1"/>
  <c r="AL136" i="12"/>
  <c r="AS136" i="12"/>
  <c r="AR136" i="12"/>
  <c r="AU136" i="12"/>
  <c r="AK136" i="12"/>
  <c r="AO136" i="12"/>
  <c r="AN136" i="12"/>
  <c r="AT136" i="12"/>
  <c r="AP136" i="12"/>
  <c r="AM136" i="12"/>
  <c r="AQ136" i="12"/>
  <c r="AJ136" i="12"/>
  <c r="AU137" i="12" l="1"/>
  <c r="AL137" i="12"/>
  <c r="AN137" i="12"/>
  <c r="AP137" i="12"/>
  <c r="AJ137" i="12"/>
  <c r="AQ137" i="12"/>
  <c r="AS137" i="12"/>
  <c r="AR137" i="12"/>
  <c r="AT137" i="12"/>
  <c r="AM137" i="12"/>
  <c r="AO137" i="12"/>
  <c r="A138" i="12"/>
  <c r="AK137" i="12"/>
  <c r="AJ138" i="12" l="1"/>
  <c r="AM138" i="12"/>
  <c r="AL138" i="12"/>
  <c r="AK138" i="12"/>
  <c r="AT138" i="12"/>
  <c r="AQ138" i="12"/>
  <c r="AP138" i="12"/>
  <c r="AR138" i="12"/>
  <c r="AS138" i="12"/>
  <c r="AU138" i="12"/>
  <c r="AO138" i="12"/>
  <c r="AN138" i="12"/>
  <c r="A139" i="12"/>
  <c r="A140" i="12" l="1"/>
  <c r="AR139" i="12"/>
  <c r="AS139" i="12"/>
  <c r="AU139" i="12"/>
  <c r="AP139" i="12"/>
  <c r="AJ139" i="12"/>
  <c r="AQ139" i="12"/>
  <c r="AL139" i="12"/>
  <c r="AT139" i="12"/>
  <c r="AO139" i="12"/>
  <c r="AM139" i="12"/>
  <c r="AK139" i="12"/>
  <c r="AN139" i="12"/>
  <c r="A141" i="12" l="1"/>
  <c r="AL140" i="12"/>
  <c r="AO140" i="12"/>
  <c r="AS140" i="12"/>
  <c r="AK140" i="12"/>
  <c r="AR140" i="12"/>
  <c r="AU140" i="12"/>
  <c r="AN140" i="12"/>
  <c r="AT140" i="12"/>
  <c r="AQ140" i="12"/>
  <c r="AM140" i="12"/>
  <c r="AJ140" i="12"/>
  <c r="AP140" i="12"/>
  <c r="AU141" i="12" l="1"/>
  <c r="AP141" i="12"/>
  <c r="AT141" i="12"/>
  <c r="AJ141" i="12"/>
  <c r="AQ141" i="12"/>
  <c r="AS141" i="12"/>
  <c r="AR141" i="12"/>
  <c r="AL141" i="12"/>
  <c r="AO141" i="12"/>
  <c r="A142" i="12"/>
  <c r="AM141" i="12"/>
  <c r="AN141" i="12"/>
  <c r="AK141" i="12"/>
  <c r="AU142" i="12" l="1"/>
  <c r="AP142" i="12"/>
  <c r="AQ142" i="12"/>
  <c r="AT142" i="12"/>
  <c r="AR142" i="12"/>
  <c r="AK142" i="12"/>
  <c r="AM142" i="12"/>
  <c r="AS142" i="12"/>
  <c r="AL142" i="12"/>
  <c r="AJ142" i="12"/>
  <c r="AN142" i="12"/>
  <c r="AO142" i="12"/>
  <c r="A143" i="12"/>
  <c r="AJ143" i="12" l="1"/>
  <c r="AM143" i="12"/>
  <c r="AT143" i="12"/>
  <c r="AP143" i="12"/>
  <c r="AR143" i="12"/>
  <c r="AK143" i="12"/>
  <c r="AS143" i="12"/>
  <c r="A144" i="12"/>
  <c r="AO143" i="12"/>
  <c r="AL143" i="12"/>
  <c r="AN143" i="12"/>
  <c r="AU143" i="12"/>
  <c r="AQ143" i="12"/>
  <c r="A145" i="12" l="1"/>
  <c r="AL144" i="12"/>
  <c r="AS144" i="12"/>
  <c r="AR144" i="12"/>
  <c r="AU144" i="12"/>
  <c r="AO144" i="12"/>
  <c r="AN144" i="12"/>
  <c r="AQ144" i="12"/>
  <c r="AT144" i="12"/>
  <c r="AM144" i="12"/>
  <c r="AP144" i="12"/>
  <c r="AJ144" i="12"/>
  <c r="AK144" i="12"/>
  <c r="AU145" i="12" l="1"/>
  <c r="AK145" i="12"/>
  <c r="AJ145" i="12"/>
  <c r="AQ145" i="12"/>
  <c r="AT145" i="12"/>
  <c r="AR145" i="12"/>
  <c r="AS145" i="12"/>
  <c r="A146" i="12"/>
  <c r="AM145" i="12"/>
  <c r="AN145" i="12"/>
  <c r="AL145" i="12"/>
  <c r="AP145" i="12"/>
  <c r="AO145" i="12"/>
  <c r="AK146" i="12" l="1"/>
  <c r="AN146" i="12"/>
  <c r="AQ146" i="12"/>
  <c r="AJ146" i="12"/>
  <c r="AR146" i="12"/>
  <c r="AT146" i="12"/>
  <c r="AM146" i="12"/>
  <c r="AO146" i="12"/>
  <c r="AP146" i="12"/>
  <c r="AS146" i="12"/>
  <c r="AL146" i="12"/>
  <c r="AU146" i="12"/>
  <c r="A147" i="12"/>
  <c r="AJ147" i="12" l="1"/>
  <c r="AM147" i="12"/>
  <c r="AS147" i="12"/>
  <c r="AT147" i="12"/>
  <c r="AN147" i="12"/>
  <c r="AP147" i="12"/>
  <c r="AK147" i="12"/>
  <c r="AQ147" i="12"/>
  <c r="AO147" i="12"/>
  <c r="AR147" i="12"/>
  <c r="AU147" i="12"/>
  <c r="A148" i="12"/>
  <c r="AL147" i="12"/>
  <c r="A149" i="12" l="1"/>
  <c r="AL148" i="12"/>
  <c r="AK148" i="12"/>
  <c r="AS148" i="12"/>
  <c r="AO148" i="12"/>
  <c r="AR148" i="12"/>
  <c r="AU148" i="12"/>
  <c r="AN148" i="12"/>
  <c r="AQ148" i="12"/>
  <c r="AT148" i="12"/>
  <c r="AJ148" i="12"/>
  <c r="AM148" i="12"/>
  <c r="AP148" i="12"/>
  <c r="AU149" i="12" l="1"/>
  <c r="AK149" i="12"/>
  <c r="AP149" i="12"/>
  <c r="A150" i="12"/>
  <c r="AQ149" i="12"/>
  <c r="AT149" i="12"/>
  <c r="AJ149" i="12"/>
  <c r="AM149" i="12"/>
  <c r="AR149" i="12"/>
  <c r="AN149" i="12"/>
  <c r="AS149" i="12"/>
  <c r="AL149" i="12"/>
  <c r="AO149" i="12"/>
  <c r="AK150" i="12" l="1"/>
  <c r="AN150" i="12"/>
  <c r="AU150" i="12"/>
  <c r="AR150" i="12"/>
  <c r="AT150" i="12"/>
  <c r="AJ150" i="12"/>
  <c r="AQ150" i="12"/>
  <c r="AO150" i="12"/>
  <c r="AP150" i="12"/>
  <c r="AS150" i="12"/>
  <c r="AM150" i="12"/>
  <c r="A151" i="12"/>
  <c r="AL150" i="12"/>
  <c r="AJ151" i="12" l="1"/>
  <c r="AM151" i="12"/>
  <c r="AL151" i="12"/>
  <c r="AT151" i="12"/>
  <c r="AO151" i="12"/>
  <c r="AP151" i="12"/>
  <c r="A152" i="12"/>
  <c r="AS151" i="12"/>
  <c r="AU151" i="12"/>
  <c r="AN151" i="12"/>
  <c r="AR151" i="12"/>
  <c r="AQ151" i="12"/>
  <c r="AK151" i="12"/>
  <c r="A153" i="12" l="1"/>
  <c r="AL152" i="12"/>
  <c r="AP152" i="12"/>
  <c r="AR152" i="12"/>
  <c r="AU152" i="12"/>
  <c r="AK152" i="12"/>
  <c r="AN152" i="12"/>
  <c r="AQ152" i="12"/>
  <c r="AS152" i="12"/>
  <c r="AJ152" i="12"/>
  <c r="AT152" i="12"/>
  <c r="AO152" i="12"/>
  <c r="AM152" i="12"/>
  <c r="AU153" i="12" l="1"/>
  <c r="AK153" i="12"/>
  <c r="AR153" i="12"/>
  <c r="AP153" i="12"/>
  <c r="AL153" i="12"/>
  <c r="AQ153" i="12"/>
  <c r="AT153" i="12"/>
  <c r="AN153" i="12"/>
  <c r="AM153" i="12"/>
  <c r="AS153" i="12"/>
  <c r="AO153" i="12"/>
  <c r="AJ153" i="12"/>
  <c r="A154" i="12"/>
  <c r="AK154" i="12" l="1"/>
  <c r="AN154" i="12"/>
  <c r="AJ154" i="12"/>
  <c r="AS154" i="12"/>
  <c r="A155" i="12"/>
  <c r="AT154" i="12"/>
  <c r="AU154" i="12"/>
  <c r="AO154" i="12"/>
  <c r="AM154" i="12"/>
  <c r="AP154" i="12"/>
  <c r="AQ154" i="12"/>
  <c r="AR154" i="12"/>
  <c r="AL154" i="12"/>
  <c r="AJ155" i="12" l="1"/>
  <c r="AM155" i="12"/>
  <c r="A156" i="12"/>
  <c r="AP155" i="12"/>
  <c r="AS155" i="12"/>
  <c r="AL155" i="12"/>
  <c r="AT155" i="12"/>
  <c r="AK155" i="12"/>
  <c r="AO155" i="12"/>
  <c r="AR155" i="12"/>
  <c r="AU155" i="12"/>
  <c r="AN155" i="12"/>
  <c r="AQ155" i="12"/>
  <c r="A158" i="12" l="1"/>
  <c r="AL156" i="12"/>
  <c r="AS156" i="12"/>
  <c r="AO156" i="12"/>
  <c r="AK156" i="12"/>
  <c r="AR156" i="12"/>
  <c r="AU156" i="12"/>
  <c r="AT156" i="12"/>
  <c r="AN156" i="12"/>
  <c r="AJ156" i="12"/>
  <c r="AM156" i="12"/>
  <c r="AP156" i="12"/>
  <c r="AQ156" i="12"/>
  <c r="AU158" i="12" l="1"/>
  <c r="AK158" i="12"/>
  <c r="AQ158" i="12"/>
  <c r="AT158" i="12"/>
  <c r="AN158" i="12"/>
  <c r="AR158" i="12"/>
  <c r="AP158" i="12"/>
  <c r="AS158" i="12"/>
  <c r="A159" i="12"/>
  <c r="AM158" i="12"/>
  <c r="AL158" i="12"/>
  <c r="AJ158" i="12"/>
  <c r="AO158" i="12"/>
  <c r="AK159" i="12" l="1"/>
  <c r="AN159" i="12"/>
  <c r="AM159" i="12"/>
  <c r="AS159" i="12"/>
  <c r="AL159" i="12"/>
  <c r="AR159" i="12"/>
  <c r="AT159" i="12"/>
  <c r="AJ159" i="12"/>
  <c r="AP159" i="12"/>
  <c r="AU159" i="12"/>
  <c r="AO159" i="12"/>
  <c r="AQ159" i="12"/>
  <c r="A160" i="12"/>
  <c r="AJ160" i="12" l="1"/>
  <c r="AM160" i="12"/>
  <c r="AT160" i="12"/>
  <c r="AP160" i="12"/>
  <c r="AL160" i="12"/>
  <c r="AS160" i="12"/>
  <c r="A161" i="12"/>
  <c r="AU160" i="12"/>
  <c r="AO160" i="12"/>
  <c r="AR160" i="12"/>
  <c r="AK160" i="12"/>
  <c r="AN160" i="12"/>
  <c r="AQ160" i="12"/>
  <c r="A162" i="12" l="1"/>
  <c r="AL161" i="12"/>
  <c r="AM161" i="12"/>
  <c r="AR161" i="12"/>
  <c r="AU161" i="12"/>
  <c r="AO161" i="12"/>
  <c r="AS161" i="12"/>
  <c r="AJ161" i="12"/>
  <c r="AN161" i="12"/>
  <c r="AQ161" i="12"/>
  <c r="AT161" i="12"/>
  <c r="AP161" i="12"/>
  <c r="AK161" i="12"/>
  <c r="AU162" i="12" l="1"/>
  <c r="AK162" i="12"/>
  <c r="AJ162" i="12"/>
  <c r="AN162" i="12"/>
  <c r="AQ162" i="12"/>
  <c r="AT162" i="12"/>
  <c r="AR162" i="12"/>
  <c r="AL162" i="12"/>
  <c r="AM162" i="12"/>
  <c r="AP162" i="12"/>
  <c r="AS162" i="12"/>
  <c r="AO162" i="12"/>
  <c r="A163" i="12"/>
  <c r="AK163" i="12" l="1"/>
  <c r="AN163" i="12"/>
  <c r="AQ163" i="12"/>
  <c r="AJ163" i="12"/>
  <c r="AR163" i="12"/>
  <c r="AT163" i="12"/>
  <c r="AM163" i="12"/>
  <c r="AL163" i="12"/>
  <c r="AU163" i="12"/>
  <c r="AP163" i="12"/>
  <c r="AS163" i="12"/>
  <c r="AO163" i="12"/>
  <c r="A164" i="12"/>
  <c r="AJ164" i="12" l="1"/>
  <c r="AM164" i="12"/>
  <c r="AT164" i="12"/>
  <c r="AR164" i="12"/>
  <c r="AQ164" i="12"/>
  <c r="AS164" i="12"/>
  <c r="AP164" i="12"/>
  <c r="AO164" i="12"/>
  <c r="A165" i="12"/>
  <c r="AU164" i="12"/>
  <c r="AL164" i="12"/>
  <c r="AK164" i="12"/>
  <c r="AN164" i="12"/>
  <c r="A166" i="12" l="1"/>
  <c r="AL165" i="12"/>
  <c r="AK165" i="12"/>
  <c r="AP165" i="12"/>
  <c r="AR165" i="12"/>
  <c r="AU165" i="12"/>
  <c r="AS165" i="12"/>
  <c r="AM165" i="12"/>
  <c r="AN165" i="12"/>
  <c r="AQ165" i="12"/>
  <c r="AT165" i="12"/>
  <c r="AO165" i="12"/>
  <c r="AJ165" i="12"/>
  <c r="AR166" i="12" l="1"/>
  <c r="AQ166" i="12"/>
  <c r="AP166" i="12"/>
  <c r="AN166" i="12"/>
  <c r="AT166" i="12"/>
  <c r="AS166" i="12"/>
  <c r="AM166" i="12"/>
  <c r="AL166" i="12"/>
  <c r="AK166" i="12"/>
  <c r="AJ166" i="12"/>
  <c r="AO166" i="12"/>
  <c r="AU166" i="12"/>
  <c r="A167" i="12"/>
  <c r="AU167" i="12" l="1"/>
  <c r="AO167" i="12"/>
  <c r="AR167" i="12"/>
  <c r="AS167" i="12"/>
  <c r="AP167" i="12"/>
  <c r="AT167" i="12"/>
  <c r="AQ167" i="12"/>
  <c r="AN167" i="12"/>
  <c r="AM167" i="12"/>
  <c r="AL167" i="12"/>
  <c r="AK167" i="12"/>
  <c r="AJ167" i="12"/>
  <c r="A168" i="12"/>
  <c r="AU168" i="12" l="1"/>
  <c r="AT168" i="12"/>
  <c r="AQ168" i="12"/>
  <c r="AR168" i="12"/>
  <c r="AO168" i="12"/>
  <c r="AS168" i="12"/>
  <c r="AL168" i="12"/>
  <c r="AJ168" i="12"/>
  <c r="AP168" i="12"/>
  <c r="AM168" i="12"/>
  <c r="AK168" i="12"/>
  <c r="A169" i="12"/>
  <c r="AN168" i="12"/>
  <c r="AR169" i="12" l="1"/>
  <c r="AT169" i="12"/>
  <c r="AS169" i="12"/>
  <c r="AM169" i="12"/>
  <c r="AQ169" i="12"/>
  <c r="AO169" i="12"/>
  <c r="AK169" i="12"/>
  <c r="AU169" i="12"/>
  <c r="AP169" i="12"/>
  <c r="AN169" i="12"/>
  <c r="AJ169" i="12"/>
  <c r="AL169" i="12"/>
  <c r="A170" i="12"/>
  <c r="A171" i="12" l="1"/>
  <c r="AR170" i="12"/>
  <c r="AP170" i="12"/>
  <c r="AS170" i="12"/>
  <c r="AU170" i="12"/>
  <c r="AT170" i="12"/>
  <c r="AM170" i="12"/>
  <c r="AN170" i="12"/>
  <c r="AO170" i="12"/>
  <c r="AQ170" i="12"/>
  <c r="AK170" i="12"/>
  <c r="AL170" i="12"/>
  <c r="AJ170" i="12"/>
  <c r="A172" i="12" l="1"/>
  <c r="AM171" i="12"/>
  <c r="AP171" i="12"/>
  <c r="AK171" i="12"/>
  <c r="AR171" i="12"/>
  <c r="AU171" i="12"/>
  <c r="AT171" i="12"/>
  <c r="AN171" i="12"/>
  <c r="AQ171" i="12"/>
  <c r="AL171" i="12"/>
  <c r="AO171" i="12"/>
  <c r="AJ171" i="12"/>
  <c r="AS171" i="12"/>
  <c r="AU172" i="12" l="1"/>
  <c r="AT172" i="12"/>
  <c r="AS172" i="12"/>
  <c r="A173" i="12"/>
  <c r="AQ172" i="12"/>
  <c r="AP172" i="12"/>
  <c r="AO172" i="12"/>
  <c r="AN172" i="12"/>
  <c r="AR172" i="12"/>
  <c r="AM172" i="12"/>
  <c r="AK172" i="12"/>
  <c r="AL172" i="12"/>
  <c r="AJ172" i="12"/>
  <c r="AR173" i="12" l="1"/>
  <c r="AK173" i="12"/>
  <c r="AN173" i="12"/>
  <c r="AJ173" i="12"/>
  <c r="AT173" i="12"/>
  <c r="AU173" i="12"/>
  <c r="AS173" i="12"/>
  <c r="AM173" i="12"/>
  <c r="AP173" i="12"/>
  <c r="AO173" i="12"/>
  <c r="AL173" i="12"/>
  <c r="AQ173" i="12"/>
  <c r="A174" i="12"/>
  <c r="AR174" i="12" l="1"/>
  <c r="AQ174" i="12"/>
  <c r="AK174" i="12"/>
  <c r="AS174" i="12"/>
  <c r="AU174" i="12"/>
  <c r="AT174" i="12"/>
  <c r="AM174" i="12"/>
  <c r="AO174" i="12"/>
  <c r="AP174" i="12"/>
  <c r="AN174" i="12"/>
  <c r="AL174" i="12"/>
  <c r="A175" i="12"/>
  <c r="AJ174" i="12"/>
  <c r="AS175" i="12" l="1"/>
  <c r="AL175" i="12"/>
  <c r="AJ175" i="12"/>
  <c r="AR175" i="12"/>
  <c r="AU175" i="12"/>
  <c r="AT175" i="12"/>
  <c r="AM175" i="12"/>
  <c r="A176" i="12"/>
  <c r="AN175" i="12"/>
  <c r="AP175" i="12"/>
  <c r="AO175" i="12"/>
  <c r="AQ175" i="12"/>
  <c r="AK175" i="12"/>
  <c r="AU176" i="12" l="1"/>
  <c r="AT176" i="12"/>
  <c r="AS176" i="12"/>
  <c r="AR176" i="12"/>
  <c r="AQ176" i="12"/>
  <c r="AN176" i="12"/>
  <c r="AL176" i="12"/>
  <c r="AM176" i="12"/>
  <c r="A177" i="12"/>
  <c r="AO176" i="12"/>
  <c r="AP176" i="12"/>
  <c r="AJ176" i="12"/>
  <c r="AK176" i="12"/>
  <c r="AR177" i="12" l="1"/>
  <c r="AQ177" i="12"/>
  <c r="AJ177" i="12"/>
  <c r="AK177" i="12"/>
  <c r="AU177" i="12"/>
  <c r="AT177" i="12"/>
  <c r="AS177" i="12"/>
  <c r="AM177" i="12"/>
  <c r="AL177" i="12"/>
  <c r="AO177" i="12"/>
  <c r="AP177" i="12"/>
  <c r="AN177" i="12"/>
  <c r="A178" i="12"/>
  <c r="AR178" i="12" l="1"/>
  <c r="AQ178" i="12"/>
  <c r="AU178" i="12"/>
  <c r="AT178" i="12"/>
  <c r="AM178" i="12"/>
  <c r="AP178" i="12"/>
  <c r="AJ178" i="12"/>
  <c r="AS178" i="12"/>
  <c r="AL178" i="12"/>
  <c r="A179" i="12"/>
  <c r="AO178" i="12"/>
  <c r="AN178" i="12"/>
  <c r="AK178" i="12"/>
  <c r="AS179" i="12" l="1"/>
  <c r="AQ179" i="12"/>
  <c r="AK179" i="12"/>
  <c r="AM179" i="12"/>
  <c r="AJ179" i="12"/>
  <c r="AR179" i="12"/>
  <c r="AT179" i="12"/>
  <c r="AL179" i="12"/>
  <c r="AU179" i="12"/>
  <c r="AP179" i="12"/>
  <c r="AN179" i="12"/>
  <c r="AO179" i="12"/>
  <c r="A180" i="12"/>
  <c r="AU180" i="12" l="1"/>
  <c r="AS180" i="12"/>
  <c r="AR180" i="12"/>
  <c r="AP180" i="12"/>
  <c r="AT180" i="12"/>
  <c r="AQ180" i="12"/>
  <c r="AN180" i="12"/>
  <c r="AL180" i="12"/>
  <c r="AO180" i="12"/>
  <c r="AM180" i="12"/>
  <c r="AJ180" i="12"/>
  <c r="AK180" i="12"/>
  <c r="A181" i="12"/>
  <c r="AU181" i="12" l="1"/>
  <c r="AS181" i="12"/>
  <c r="AQ181" i="12"/>
  <c r="AO181" i="12"/>
  <c r="AK181" i="12"/>
  <c r="AT181" i="12"/>
  <c r="AR181" i="12"/>
  <c r="AN181" i="12"/>
  <c r="AJ181" i="12"/>
  <c r="AP181" i="12"/>
  <c r="AM181" i="12"/>
  <c r="AL181" i="12"/>
  <c r="A182" i="12"/>
  <c r="AU182" i="12" l="1"/>
  <c r="AN182" i="12"/>
  <c r="AR182" i="12"/>
  <c r="AP182" i="12"/>
  <c r="AM182" i="12"/>
  <c r="AK182" i="12"/>
  <c r="A183" i="12"/>
  <c r="AS182" i="12"/>
  <c r="AQ182" i="12"/>
  <c r="AJ182" i="12"/>
  <c r="AO182" i="12"/>
  <c r="AL182" i="12"/>
  <c r="AT182" i="12"/>
  <c r="AU183" i="12" l="1"/>
  <c r="AT183" i="12"/>
  <c r="AL183" i="12"/>
  <c r="AO183" i="12"/>
  <c r="AR183" i="12"/>
  <c r="AS183" i="12"/>
  <c r="AQ183" i="12"/>
  <c r="AP183" i="12"/>
  <c r="AK183" i="12"/>
  <c r="AN183" i="12"/>
  <c r="AM183" i="12"/>
  <c r="A184" i="12"/>
  <c r="AJ183" i="12"/>
  <c r="AU184" i="12" l="1"/>
  <c r="AT184" i="12"/>
  <c r="AS184" i="12"/>
  <c r="AN184" i="12"/>
  <c r="AL184" i="12"/>
  <c r="AJ184" i="12"/>
  <c r="AQ184" i="12"/>
  <c r="AR184" i="12"/>
  <c r="AP184" i="12"/>
  <c r="AO184" i="12"/>
  <c r="AM184" i="12"/>
  <c r="AK184" i="12"/>
  <c r="A185" i="12"/>
  <c r="AR185" i="12" l="1"/>
  <c r="AO185" i="12"/>
  <c r="AL185" i="12"/>
  <c r="AT185" i="12"/>
  <c r="AU185" i="12"/>
  <c r="AS185" i="12"/>
  <c r="AM185" i="12"/>
  <c r="AP185" i="12"/>
  <c r="AN185" i="12"/>
  <c r="AJ185" i="12"/>
  <c r="AQ185" i="12"/>
  <c r="AK185" i="12"/>
  <c r="A187" i="12"/>
  <c r="A188" i="12" l="1"/>
  <c r="AM187" i="12"/>
  <c r="AT187" i="12"/>
  <c r="AN187" i="12"/>
  <c r="AR187" i="12"/>
  <c r="AS187" i="12"/>
  <c r="AU187" i="12"/>
  <c r="AL187" i="12"/>
  <c r="AO187" i="12"/>
  <c r="AQ187" i="12"/>
  <c r="AP187" i="12"/>
  <c r="AK187" i="12"/>
  <c r="AJ187" i="12"/>
  <c r="A189" i="12" l="1"/>
  <c r="AO188" i="12"/>
  <c r="AM188" i="12"/>
  <c r="AR188" i="12"/>
  <c r="AU188" i="12"/>
  <c r="AT188" i="12"/>
  <c r="AS188" i="12"/>
  <c r="AJ188" i="12"/>
  <c r="AN188" i="12"/>
  <c r="AQ188" i="12"/>
  <c r="AP188" i="12"/>
  <c r="AL188" i="12"/>
  <c r="AK188" i="12"/>
  <c r="AU189" i="12" l="1"/>
  <c r="AT189" i="12"/>
  <c r="AS189" i="12"/>
  <c r="AR189" i="12"/>
  <c r="AM189" i="12"/>
  <c r="A190" i="12"/>
  <c r="AQ189" i="12"/>
  <c r="AP189" i="12"/>
  <c r="AO189" i="12"/>
  <c r="AN189" i="12"/>
  <c r="AL189" i="12"/>
  <c r="AK189" i="12"/>
  <c r="AJ189" i="12"/>
  <c r="AR190" i="12" l="1"/>
  <c r="AQ190" i="12"/>
  <c r="AJ190" i="12"/>
  <c r="AT190" i="12"/>
  <c r="AU190" i="12"/>
  <c r="AS190" i="12"/>
  <c r="AM190" i="12"/>
  <c r="AP190" i="12"/>
  <c r="AO190" i="12"/>
  <c r="AL190" i="12"/>
  <c r="AK190" i="12"/>
  <c r="AN190" i="12"/>
  <c r="A191" i="12"/>
  <c r="AR191" i="12" l="1"/>
  <c r="AQ191" i="12"/>
  <c r="AM191" i="12"/>
  <c r="AN191" i="12"/>
  <c r="AK191" i="12"/>
  <c r="AS191" i="12"/>
  <c r="AU191" i="12"/>
  <c r="AT191" i="12"/>
  <c r="AL191" i="12"/>
  <c r="A192" i="12"/>
  <c r="AO191" i="12"/>
  <c r="AP191" i="12"/>
  <c r="AJ191" i="12"/>
  <c r="AS192" i="12" l="1"/>
  <c r="A193" i="12"/>
  <c r="AT192" i="12"/>
  <c r="AR192" i="12"/>
  <c r="AU192" i="12"/>
  <c r="AM192" i="12"/>
  <c r="AN192" i="12"/>
  <c r="AP192" i="12"/>
  <c r="AO192" i="12"/>
  <c r="AQ192" i="12"/>
  <c r="AJ192" i="12"/>
  <c r="AL192" i="12"/>
  <c r="AK192" i="12"/>
  <c r="AU193" i="12" l="1"/>
  <c r="AT193" i="12"/>
  <c r="AS193" i="12"/>
  <c r="AR193" i="12"/>
  <c r="AP193" i="12"/>
  <c r="AN193" i="12"/>
  <c r="AK193" i="12"/>
  <c r="AJ193" i="12"/>
  <c r="AQ193" i="12"/>
  <c r="AO193" i="12"/>
  <c r="AL193" i="12"/>
  <c r="AM193" i="12"/>
  <c r="A194" i="12"/>
  <c r="AR194" i="12" l="1"/>
  <c r="AQ194" i="12"/>
  <c r="AK194" i="12"/>
  <c r="AP194" i="12"/>
  <c r="AN194" i="12"/>
  <c r="AO194" i="12"/>
  <c r="AT194" i="12"/>
  <c r="AS194" i="12"/>
  <c r="AM194" i="12"/>
  <c r="AU194" i="12"/>
  <c r="AL194" i="12"/>
  <c r="AJ194" i="12"/>
  <c r="A195" i="12"/>
  <c r="AR195" i="12" l="1"/>
  <c r="AQ195" i="12"/>
  <c r="AP195" i="12"/>
  <c r="AM195" i="12"/>
  <c r="AJ195" i="12"/>
  <c r="AO195" i="12"/>
  <c r="A196" i="12"/>
  <c r="AS195" i="12"/>
  <c r="AT195" i="12"/>
  <c r="AL195" i="12"/>
  <c r="AN195" i="12"/>
  <c r="AU195" i="12"/>
  <c r="AK195" i="12"/>
  <c r="AR196" i="12" l="1"/>
  <c r="AO196" i="12"/>
  <c r="AK196" i="12"/>
  <c r="AN196" i="12"/>
  <c r="AQ196" i="12"/>
  <c r="A197" i="12"/>
  <c r="AT196" i="12"/>
  <c r="AU196" i="12"/>
  <c r="AP196" i="12"/>
  <c r="AJ196" i="12"/>
  <c r="AS196" i="12"/>
  <c r="AL196" i="12"/>
  <c r="AM196" i="12"/>
  <c r="AL197" i="12" l="1"/>
  <c r="AP197" i="12"/>
  <c r="A198" i="12"/>
  <c r="AT197" i="12"/>
  <c r="AS197" i="12"/>
  <c r="AU197" i="12"/>
  <c r="AN197" i="12"/>
  <c r="AQ197" i="12"/>
  <c r="AK197" i="12"/>
  <c r="AO197" i="12"/>
  <c r="AR197" i="12"/>
  <c r="AM197" i="12"/>
  <c r="AJ197" i="12"/>
  <c r="A199" i="12" l="1"/>
  <c r="AL198" i="12"/>
  <c r="AM198" i="12"/>
  <c r="AQ198" i="12"/>
  <c r="AO198" i="12"/>
  <c r="AK198" i="12"/>
  <c r="AR198" i="12"/>
  <c r="AT198" i="12"/>
  <c r="AN198" i="12"/>
  <c r="AS198" i="12"/>
  <c r="AJ198" i="12"/>
  <c r="AP198" i="12"/>
  <c r="AU198" i="12"/>
  <c r="AU199" i="12" l="1"/>
  <c r="A200" i="12"/>
  <c r="AO199" i="12"/>
  <c r="AK199" i="12"/>
  <c r="AQ199" i="12"/>
  <c r="AS199" i="12"/>
  <c r="AP199" i="12"/>
  <c r="AT199" i="12"/>
  <c r="AR199" i="12"/>
  <c r="AM199" i="12"/>
  <c r="AL199" i="12"/>
  <c r="AN199" i="12"/>
  <c r="AJ199" i="12"/>
  <c r="AJ200" i="12" l="1"/>
  <c r="AO200" i="12"/>
  <c r="AS200" i="12"/>
  <c r="AM200" i="12"/>
  <c r="AN200" i="12"/>
  <c r="AT200" i="12"/>
  <c r="AU200" i="12"/>
  <c r="AK200" i="12"/>
  <c r="AP200" i="12"/>
  <c r="AQ200" i="12"/>
  <c r="AR200" i="12"/>
  <c r="AL200" i="12"/>
  <c r="A201" i="12"/>
  <c r="AP201" i="12" l="1"/>
  <c r="AT201" i="12"/>
  <c r="AU201" i="12"/>
  <c r="AL201" i="12"/>
  <c r="AJ201" i="12"/>
  <c r="A202" i="12"/>
  <c r="AS201" i="12"/>
  <c r="AR201" i="12"/>
  <c r="AO201" i="12"/>
  <c r="AN201" i="12"/>
  <c r="AQ201" i="12"/>
  <c r="AK201" i="12"/>
  <c r="AM201" i="12"/>
  <c r="A203" i="12" l="1"/>
  <c r="AL202" i="12"/>
  <c r="AU202" i="12"/>
  <c r="AP202" i="12"/>
  <c r="AR202" i="12"/>
  <c r="AQ202" i="12"/>
  <c r="AM202" i="12"/>
  <c r="AS202" i="12"/>
  <c r="AJ202" i="12"/>
  <c r="AN202" i="12"/>
  <c r="AT202" i="12"/>
  <c r="AO202" i="12"/>
  <c r="AK202" i="12"/>
  <c r="AU203" i="12" l="1"/>
  <c r="A204" i="12"/>
  <c r="AR203" i="12"/>
  <c r="AQ203" i="12"/>
  <c r="AS203" i="12"/>
  <c r="AT203" i="12"/>
  <c r="AJ203" i="12"/>
  <c r="AN203" i="12"/>
  <c r="AM203" i="12"/>
  <c r="AL203" i="12"/>
  <c r="AP203" i="12"/>
  <c r="AO203" i="12"/>
  <c r="AK203" i="12"/>
  <c r="AJ204" i="12" l="1"/>
  <c r="AS204" i="12"/>
  <c r="AO204" i="12"/>
  <c r="AP204" i="12"/>
  <c r="AM204" i="12"/>
  <c r="AL204" i="12"/>
  <c r="AT204" i="12"/>
  <c r="AU204" i="12"/>
  <c r="AK204" i="12"/>
  <c r="AR204" i="12"/>
  <c r="AN204" i="12"/>
  <c r="A205" i="12"/>
  <c r="AQ204" i="12"/>
  <c r="AL205" i="12" l="1"/>
  <c r="AP205" i="12"/>
  <c r="AR205" i="12"/>
  <c r="AK205" i="12"/>
  <c r="AJ205" i="12"/>
  <c r="AS205" i="12"/>
  <c r="AU205" i="12"/>
  <c r="AN205" i="12"/>
  <c r="AQ205" i="12"/>
  <c r="AT205" i="12"/>
  <c r="AO205" i="12"/>
  <c r="A206" i="12"/>
  <c r="AM205" i="12"/>
  <c r="A207" i="12" l="1"/>
  <c r="AL206" i="12"/>
  <c r="AM206" i="12"/>
  <c r="AJ206" i="12"/>
  <c r="AR206" i="12"/>
  <c r="AQ206" i="12"/>
  <c r="AN206" i="12"/>
  <c r="AT206" i="12"/>
  <c r="AS206" i="12"/>
  <c r="AK206" i="12"/>
  <c r="AO206" i="12"/>
  <c r="AU206" i="12"/>
  <c r="AP206" i="12"/>
  <c r="AU207" i="12" l="1"/>
  <c r="A208" i="12"/>
  <c r="AJ207" i="12"/>
  <c r="AS207" i="12"/>
  <c r="AP207" i="12"/>
  <c r="AQ207" i="12"/>
  <c r="AT207" i="12"/>
  <c r="AO207" i="12"/>
  <c r="AL207" i="12"/>
  <c r="AR207" i="12"/>
  <c r="AM207" i="12"/>
  <c r="AK207" i="12"/>
  <c r="AN207" i="12"/>
  <c r="AJ208" i="12" l="1"/>
  <c r="AO208" i="12"/>
  <c r="AQ208" i="12"/>
  <c r="AL208" i="12"/>
  <c r="AK208" i="12"/>
  <c r="AT208" i="12"/>
  <c r="AU208" i="12"/>
  <c r="AS208" i="12"/>
  <c r="AP208" i="12"/>
  <c r="AR208" i="12"/>
  <c r="AM208" i="12"/>
  <c r="AN208" i="12"/>
  <c r="A209" i="12"/>
  <c r="AP209" i="12" l="1"/>
  <c r="AT209" i="12"/>
  <c r="AS209" i="12"/>
  <c r="AU209" i="12"/>
  <c r="AR209" i="12"/>
  <c r="AL209" i="12"/>
  <c r="AO209" i="12"/>
  <c r="AJ209" i="12"/>
  <c r="AQ209" i="12"/>
  <c r="AN209" i="12"/>
  <c r="AK209" i="12"/>
  <c r="AM209" i="12"/>
  <c r="A210" i="12"/>
  <c r="A211" i="12" l="1"/>
  <c r="AL210" i="12"/>
  <c r="AU210" i="12"/>
  <c r="AK210" i="12"/>
  <c r="AR210" i="12"/>
  <c r="AQ210" i="12"/>
  <c r="AM210" i="12"/>
  <c r="AJ210" i="12"/>
  <c r="AN210" i="12"/>
  <c r="AT210" i="12"/>
  <c r="AS210" i="12"/>
  <c r="AO210" i="12"/>
  <c r="AP210" i="12"/>
  <c r="AU211" i="12" l="1"/>
  <c r="A212" i="12"/>
  <c r="AR211" i="12"/>
  <c r="AQ211" i="12"/>
  <c r="AS211" i="12"/>
  <c r="AT211" i="12"/>
  <c r="AJ211" i="12"/>
  <c r="AN211" i="12"/>
  <c r="AM211" i="12"/>
  <c r="AO211" i="12"/>
  <c r="AL211" i="12"/>
  <c r="AP211" i="12"/>
  <c r="AK211" i="12"/>
  <c r="AJ212" i="12" l="1"/>
  <c r="AS212" i="12"/>
  <c r="AT212" i="12"/>
  <c r="AU212" i="12"/>
  <c r="AK212" i="12"/>
  <c r="AO212" i="12"/>
  <c r="AP212" i="12"/>
  <c r="AR212" i="12"/>
  <c r="AM212" i="12"/>
  <c r="AN212" i="12"/>
  <c r="AQ212" i="12"/>
  <c r="A213" i="12"/>
  <c r="AL212" i="12"/>
  <c r="AL213" i="12" l="1"/>
  <c r="AU213" i="12"/>
  <c r="A214" i="12"/>
  <c r="AJ213" i="12"/>
  <c r="AS213" i="12"/>
  <c r="AN213" i="12"/>
  <c r="AP213" i="12"/>
  <c r="AR213" i="12"/>
  <c r="AT213" i="12"/>
  <c r="AO213" i="12"/>
  <c r="AQ213" i="12"/>
  <c r="AK213" i="12"/>
  <c r="AM213" i="12"/>
  <c r="A216" i="12" l="1"/>
  <c r="AL214" i="12"/>
  <c r="AM214" i="12"/>
  <c r="AS214" i="12"/>
  <c r="AU214" i="12"/>
  <c r="AR214" i="12"/>
  <c r="AQ214" i="12"/>
  <c r="AO214" i="12"/>
  <c r="AP214" i="12"/>
  <c r="AN214" i="12"/>
  <c r="AT214" i="12"/>
  <c r="AJ214" i="12"/>
  <c r="AK214" i="12"/>
  <c r="AU216" i="12" l="1"/>
  <c r="A217" i="12"/>
  <c r="AR216" i="12"/>
  <c r="AL216" i="12"/>
  <c r="AQ216" i="12"/>
  <c r="AS216" i="12"/>
  <c r="AP216" i="12"/>
  <c r="AT216" i="12"/>
  <c r="AJ216" i="12"/>
  <c r="AM216" i="12"/>
  <c r="AO216" i="12"/>
  <c r="AK216" i="12"/>
  <c r="AN216" i="12"/>
  <c r="AJ217" i="12" l="1"/>
  <c r="AO217" i="12"/>
  <c r="AK217" i="12"/>
  <c r="AR217" i="12"/>
  <c r="AM217" i="12"/>
  <c r="AN217" i="12"/>
  <c r="AS217" i="12"/>
  <c r="AT217" i="12"/>
  <c r="AU217" i="12"/>
  <c r="AP217" i="12"/>
  <c r="AQ217" i="12"/>
  <c r="AL217" i="12"/>
  <c r="A218" i="12"/>
  <c r="AP218" i="12" l="1"/>
  <c r="A219" i="12"/>
  <c r="AN218" i="12"/>
  <c r="AS218" i="12"/>
  <c r="AU218" i="12"/>
  <c r="AR218" i="12"/>
  <c r="AT218" i="12"/>
  <c r="AJ218" i="12"/>
  <c r="AL218" i="12"/>
  <c r="AO218" i="12"/>
  <c r="AQ218" i="12"/>
  <c r="AK218" i="12"/>
  <c r="AM218" i="12"/>
  <c r="A220" i="12" l="1"/>
  <c r="AL219" i="12"/>
  <c r="AU219" i="12"/>
  <c r="AJ219" i="12"/>
  <c r="AO219" i="12"/>
  <c r="AR219" i="12"/>
  <c r="AQ219" i="12"/>
  <c r="AM219" i="12"/>
  <c r="AS219" i="12"/>
  <c r="AK219" i="12"/>
  <c r="AN219" i="12"/>
  <c r="AT219" i="12"/>
  <c r="AP219" i="12"/>
  <c r="AK220" i="12" l="1"/>
  <c r="AP220" i="12"/>
  <c r="AN220" i="12"/>
  <c r="AS220" i="12"/>
  <c r="AO220" i="12"/>
  <c r="AR220" i="12"/>
  <c r="AU220" i="12"/>
  <c r="AT220" i="12"/>
  <c r="A221" i="12"/>
  <c r="AQ220" i="12"/>
  <c r="AJ220" i="12"/>
  <c r="AL220" i="12"/>
  <c r="AM220" i="12"/>
  <c r="AQ221" i="12" l="1"/>
  <c r="AP221" i="12"/>
  <c r="AN221" i="12"/>
  <c r="AK221" i="12"/>
  <c r="A222" i="12"/>
  <c r="AM221" i="12"/>
  <c r="AL221" i="12"/>
  <c r="AJ221" i="12"/>
  <c r="AS221" i="12"/>
  <c r="AU221" i="12"/>
  <c r="AT221" i="12"/>
  <c r="AR221" i="12"/>
  <c r="AO221" i="12"/>
  <c r="AK222" i="12" l="1"/>
  <c r="AN222" i="12"/>
  <c r="AU222" i="12"/>
  <c r="AS222" i="12"/>
  <c r="AL222" i="12"/>
  <c r="AT222" i="12"/>
  <c r="AJ222" i="12"/>
  <c r="AO222" i="12"/>
  <c r="AP222" i="12"/>
  <c r="AQ222" i="12"/>
  <c r="AR222" i="12"/>
  <c r="A223" i="12"/>
  <c r="AM222" i="12"/>
  <c r="AJ223" i="12" l="1"/>
  <c r="AM223" i="12"/>
  <c r="AL223" i="12"/>
  <c r="AT223" i="12"/>
  <c r="A224" i="12"/>
  <c r="AS223" i="12"/>
  <c r="AP223" i="12"/>
  <c r="AQ223" i="12"/>
  <c r="AO223" i="12"/>
  <c r="AR223" i="12"/>
  <c r="AU223" i="12"/>
  <c r="AK223" i="12"/>
  <c r="AN223" i="12"/>
  <c r="A225" i="12" l="1"/>
  <c r="AL224" i="12"/>
  <c r="AO224" i="12"/>
  <c r="AK224" i="12"/>
  <c r="AR224" i="12"/>
  <c r="AU224" i="12"/>
  <c r="AS224" i="12"/>
  <c r="AN224" i="12"/>
  <c r="AT224" i="12"/>
  <c r="AP224" i="12"/>
  <c r="AQ224" i="12"/>
  <c r="AM224" i="12"/>
  <c r="AJ224" i="12"/>
  <c r="AU225" i="12" l="1"/>
  <c r="AK225" i="12"/>
  <c r="AR225" i="12"/>
  <c r="AS225" i="12"/>
  <c r="AL225" i="12"/>
  <c r="AQ225" i="12"/>
  <c r="AT225" i="12"/>
  <c r="AN225" i="12"/>
  <c r="AM225" i="12"/>
  <c r="AP225" i="12"/>
  <c r="AJ225" i="12"/>
  <c r="A226" i="12"/>
  <c r="AO225" i="12"/>
  <c r="AK226" i="12" l="1"/>
  <c r="AN226" i="12"/>
  <c r="A227" i="12"/>
  <c r="AT226" i="12"/>
  <c r="AJ226" i="12"/>
  <c r="AM226" i="12"/>
  <c r="AL226" i="12"/>
  <c r="AQ226" i="12"/>
  <c r="AP226" i="12"/>
  <c r="AS226" i="12"/>
  <c r="AU226" i="12"/>
  <c r="AR226" i="12"/>
  <c r="AO226" i="12"/>
  <c r="AJ227" i="12" l="1"/>
  <c r="AM227" i="12"/>
  <c r="AP227" i="12"/>
  <c r="AT227" i="12"/>
  <c r="AR227" i="12"/>
  <c r="AK227" i="12"/>
  <c r="AQ227" i="12"/>
  <c r="AS227" i="12"/>
  <c r="A228" i="12"/>
  <c r="AO227" i="12"/>
  <c r="AL227" i="12"/>
  <c r="AN227" i="12"/>
  <c r="AU227" i="12"/>
  <c r="A229" i="12" l="1"/>
  <c r="AL228" i="12"/>
  <c r="AS228" i="12"/>
  <c r="AP228" i="12"/>
  <c r="AR228" i="12"/>
  <c r="AU228" i="12"/>
  <c r="AO228" i="12"/>
  <c r="AQ228" i="12"/>
  <c r="AK228" i="12"/>
  <c r="AN228" i="12"/>
  <c r="AT228" i="12"/>
  <c r="AJ228" i="12"/>
  <c r="AM228" i="12"/>
  <c r="AU229" i="12" l="1"/>
  <c r="AK229" i="12"/>
  <c r="AR229" i="12"/>
  <c r="AP229" i="12"/>
  <c r="AN229" i="12"/>
  <c r="AQ229" i="12"/>
  <c r="AT229" i="12"/>
  <c r="AJ229" i="12"/>
  <c r="AS229" i="12"/>
  <c r="AL229" i="12"/>
  <c r="AM229" i="12"/>
  <c r="AO229" i="12"/>
  <c r="A230" i="12"/>
  <c r="AK230" i="12" l="1"/>
  <c r="AN230" i="12"/>
  <c r="AM230" i="12"/>
  <c r="AJ230" i="12"/>
  <c r="AL230" i="12"/>
  <c r="AU230" i="12"/>
  <c r="AT230" i="12"/>
  <c r="AQ230" i="12"/>
  <c r="AR230" i="12"/>
  <c r="AP230" i="12"/>
  <c r="AS230" i="12"/>
  <c r="A231" i="12"/>
  <c r="AO230" i="12"/>
  <c r="AJ231" i="12" l="1"/>
  <c r="AM231" i="12"/>
  <c r="AT231" i="12"/>
  <c r="AP231" i="12"/>
  <c r="AQ231" i="12"/>
  <c r="AS231" i="12"/>
  <c r="AK231" i="12"/>
  <c r="AL231" i="12"/>
  <c r="AO231" i="12"/>
  <c r="AR231" i="12"/>
  <c r="AU231" i="12"/>
  <c r="A232" i="12"/>
  <c r="AN231" i="12"/>
  <c r="A234" i="12" l="1"/>
  <c r="AL232" i="12"/>
  <c r="AR232" i="12"/>
  <c r="AU232" i="12"/>
  <c r="AS232" i="12"/>
  <c r="AK232" i="12"/>
  <c r="AQ232" i="12"/>
  <c r="AO232" i="12"/>
  <c r="AP232" i="12"/>
  <c r="AN232" i="12"/>
  <c r="AT232" i="12"/>
  <c r="AM232" i="12"/>
  <c r="AJ232" i="12"/>
  <c r="AU234" i="12" l="1"/>
  <c r="AK234" i="12"/>
  <c r="AJ234" i="12"/>
  <c r="AN234" i="12"/>
  <c r="AP234" i="12"/>
  <c r="A235" i="12"/>
  <c r="AQ234" i="12"/>
  <c r="AT234" i="12"/>
  <c r="AM234" i="12"/>
  <c r="AR234" i="12"/>
  <c r="AL234" i="12"/>
  <c r="AS234" i="12"/>
  <c r="AO234" i="12"/>
  <c r="AK235" i="12" l="1"/>
  <c r="AN235" i="12"/>
  <c r="AQ235" i="12"/>
  <c r="AT235" i="12"/>
  <c r="AJ235" i="12"/>
  <c r="AL235" i="12"/>
  <c r="AU235" i="12"/>
  <c r="AO235" i="12"/>
  <c r="AP235" i="12"/>
  <c r="AS235" i="12"/>
  <c r="AM235" i="12"/>
  <c r="AR235" i="12"/>
  <c r="A236" i="12"/>
  <c r="AJ236" i="12" l="1"/>
  <c r="AM236" i="12"/>
  <c r="A237" i="12"/>
  <c r="AS236" i="12"/>
  <c r="AT236" i="12"/>
  <c r="AL236" i="12"/>
  <c r="AU236" i="12"/>
  <c r="AP236" i="12"/>
  <c r="AO236" i="12"/>
  <c r="AR236" i="12"/>
  <c r="AK236" i="12"/>
  <c r="AN236" i="12"/>
  <c r="AQ236" i="12"/>
  <c r="A238" i="12" l="1"/>
  <c r="AL237" i="12"/>
  <c r="AK237" i="12"/>
  <c r="AJ237" i="12"/>
  <c r="AR237" i="12"/>
  <c r="AU237" i="12"/>
  <c r="AO237" i="12"/>
  <c r="AS237" i="12"/>
  <c r="AN237" i="12"/>
  <c r="AQ237" i="12"/>
  <c r="AT237" i="12"/>
  <c r="AP237" i="12"/>
  <c r="AM237" i="12"/>
  <c r="AU238" i="12" l="1"/>
  <c r="AK238" i="12"/>
  <c r="AN238" i="12"/>
  <c r="AP238" i="12"/>
  <c r="AJ238" i="12"/>
  <c r="AQ238" i="12"/>
  <c r="AT238" i="12"/>
  <c r="AR238" i="12"/>
  <c r="AS238" i="12"/>
  <c r="AO238" i="12"/>
  <c r="AM238" i="12"/>
  <c r="A239" i="12"/>
  <c r="AL238" i="12"/>
  <c r="AK239" i="12" l="1"/>
  <c r="AN239" i="12"/>
  <c r="AU239" i="12"/>
  <c r="AQ239" i="12"/>
  <c r="AR239" i="12"/>
  <c r="AT239" i="12"/>
  <c r="AJ239" i="12"/>
  <c r="AO239" i="12"/>
  <c r="AP239" i="12"/>
  <c r="AS239" i="12"/>
  <c r="AL239" i="12"/>
  <c r="AM239" i="12"/>
  <c r="A240" i="12"/>
  <c r="AJ240" i="12" l="1"/>
  <c r="AM240" i="12"/>
  <c r="AL240" i="12"/>
  <c r="AP240" i="12"/>
  <c r="AR240" i="12"/>
  <c r="A241" i="12"/>
  <c r="AS240" i="12"/>
  <c r="AO240" i="12"/>
  <c r="AT240" i="12"/>
  <c r="AN240" i="12"/>
  <c r="AU240" i="12"/>
  <c r="AQ240" i="12"/>
  <c r="AK240" i="12"/>
  <c r="A242" i="12" l="1"/>
  <c r="AL241" i="12"/>
  <c r="AO241" i="12"/>
  <c r="AP241" i="12"/>
  <c r="AR241" i="12"/>
  <c r="AU241" i="12"/>
  <c r="AS241" i="12"/>
  <c r="AT241" i="12"/>
  <c r="AN241" i="12"/>
  <c r="AQ241" i="12"/>
  <c r="AK241" i="12"/>
  <c r="AM241" i="12"/>
  <c r="AJ241" i="12"/>
  <c r="AU242" i="12" l="1"/>
  <c r="AK242" i="12"/>
  <c r="AR242" i="12"/>
  <c r="AN242" i="12"/>
  <c r="AM242" i="12"/>
  <c r="AS242" i="12"/>
  <c r="AL242" i="12"/>
  <c r="AQ242" i="12"/>
  <c r="AT242" i="12"/>
  <c r="AP242" i="12"/>
  <c r="AJ242" i="12"/>
  <c r="AO242" i="12"/>
  <c r="A243" i="12"/>
  <c r="AK243" i="12" l="1"/>
  <c r="AN243" i="12"/>
  <c r="AJ243" i="12"/>
  <c r="AU243" i="12"/>
  <c r="AR243" i="12"/>
  <c r="AT243" i="12"/>
  <c r="AM243" i="12"/>
  <c r="AL243" i="12"/>
  <c r="AQ243" i="12"/>
  <c r="AP243" i="12"/>
  <c r="AS243" i="12"/>
  <c r="AO243" i="12"/>
  <c r="A244" i="12"/>
  <c r="AJ244" i="12" l="1"/>
  <c r="AM244" i="12"/>
  <c r="AP244" i="12"/>
  <c r="AS244" i="12"/>
  <c r="A245" i="12"/>
  <c r="AN244" i="12"/>
  <c r="AT244" i="12"/>
  <c r="AR244" i="12"/>
  <c r="AL244" i="12"/>
  <c r="AO244" i="12"/>
  <c r="AU244" i="12"/>
  <c r="AK244" i="12"/>
  <c r="AQ244" i="12"/>
  <c r="A246" i="12" l="1"/>
  <c r="AL245" i="12"/>
  <c r="AS245" i="12"/>
  <c r="AO245" i="12"/>
  <c r="AR245" i="12"/>
  <c r="AU245" i="12"/>
  <c r="AK245" i="12"/>
  <c r="AN245" i="12"/>
  <c r="AQ245" i="12"/>
  <c r="AT245" i="12"/>
  <c r="AJ245" i="12"/>
  <c r="AM245" i="12"/>
  <c r="AP245" i="12"/>
  <c r="AU246" i="12" l="1"/>
  <c r="AK246" i="12"/>
  <c r="AJ246" i="12"/>
  <c r="AS246" i="12"/>
  <c r="AO246" i="12"/>
  <c r="AQ246" i="12"/>
  <c r="AT246" i="12"/>
  <c r="AR246" i="12"/>
  <c r="AN246" i="12"/>
  <c r="AM246" i="12"/>
  <c r="AP246" i="12"/>
  <c r="A247" i="12"/>
  <c r="AL246" i="12"/>
  <c r="AK247" i="12" l="1"/>
  <c r="AN247" i="12"/>
  <c r="AM247" i="12"/>
  <c r="AQ247" i="12"/>
  <c r="AO247" i="12"/>
  <c r="AT247" i="12"/>
  <c r="AJ247" i="12"/>
  <c r="AR247" i="12"/>
  <c r="AP247" i="12"/>
  <c r="AS247" i="12"/>
  <c r="AL247" i="12"/>
  <c r="AU247" i="12"/>
  <c r="A248" i="12"/>
  <c r="AJ248" i="12" l="1"/>
  <c r="AM248" i="12"/>
  <c r="AT248" i="12"/>
  <c r="AP248" i="12"/>
  <c r="AO248" i="12"/>
  <c r="AU248" i="12"/>
  <c r="AK248" i="12"/>
  <c r="AQ248" i="12"/>
  <c r="AS248" i="12"/>
  <c r="AR248" i="12"/>
  <c r="A249" i="12"/>
  <c r="AN248" i="12"/>
  <c r="AL248" i="12"/>
  <c r="A250" i="12" l="1"/>
  <c r="AL249" i="12"/>
  <c r="AJ249" i="12"/>
  <c r="AR249" i="12"/>
  <c r="AU249" i="12"/>
  <c r="AS249" i="12"/>
  <c r="AK249" i="12"/>
  <c r="AP249" i="12"/>
  <c r="AN249" i="12"/>
  <c r="AQ249" i="12"/>
  <c r="AT249" i="12"/>
  <c r="AO249" i="12"/>
  <c r="AM249" i="12"/>
  <c r="AU250" i="12" l="1"/>
  <c r="AK250" i="12"/>
  <c r="AJ250" i="12"/>
  <c r="AP250" i="12"/>
  <c r="AO250" i="12"/>
  <c r="AQ250" i="12"/>
  <c r="AT250" i="12"/>
  <c r="AN250" i="12"/>
  <c r="AR250" i="12"/>
  <c r="AM250" i="12"/>
  <c r="AS250" i="12"/>
  <c r="A251" i="12"/>
  <c r="AL250" i="12"/>
  <c r="AK251" i="12" l="1"/>
  <c r="AN251" i="12"/>
  <c r="AQ251" i="12"/>
  <c r="AJ251" i="12"/>
  <c r="AS251" i="12"/>
  <c r="AL251" i="12"/>
  <c r="AT251" i="12"/>
  <c r="AU251" i="12"/>
  <c r="AM251" i="12"/>
  <c r="AO251" i="12"/>
  <c r="AP251" i="12"/>
  <c r="AR251" i="12"/>
  <c r="A252" i="12"/>
  <c r="AJ252" i="12" l="1"/>
  <c r="AM252" i="12"/>
  <c r="AL252" i="12"/>
  <c r="AT252" i="12"/>
  <c r="AO252" i="12"/>
  <c r="AR252" i="12"/>
  <c r="AU252" i="12"/>
  <c r="AN252" i="12"/>
  <c r="AS252" i="12"/>
  <c r="A253" i="12"/>
  <c r="AP252" i="12"/>
  <c r="AQ252" i="12"/>
  <c r="AK252" i="12"/>
  <c r="A254" i="12" l="1"/>
  <c r="AL253" i="12"/>
  <c r="AK253" i="12"/>
  <c r="AR253" i="12"/>
  <c r="AU253" i="12"/>
  <c r="AO253" i="12"/>
  <c r="AJ253" i="12"/>
  <c r="AN253" i="12"/>
  <c r="AQ253" i="12"/>
  <c r="AT253" i="12"/>
  <c r="AS253" i="12"/>
  <c r="AM253" i="12"/>
  <c r="AP253" i="12"/>
  <c r="AU254" i="12" l="1"/>
  <c r="AK254" i="12"/>
  <c r="AN254" i="12"/>
  <c r="AP254" i="12"/>
  <c r="AJ254" i="12"/>
  <c r="AL254" i="12"/>
  <c r="AQ254" i="12"/>
  <c r="AT254" i="12"/>
  <c r="AR254" i="12"/>
  <c r="AM254" i="12"/>
  <c r="AS254" i="12"/>
  <c r="A255" i="12"/>
  <c r="AO254" i="12"/>
  <c r="AK255" i="12" l="1"/>
  <c r="AN255" i="12"/>
  <c r="AU255" i="12"/>
  <c r="AQ255" i="12"/>
  <c r="AO255" i="12"/>
  <c r="AT255" i="12"/>
  <c r="AJ255" i="12"/>
  <c r="AL255" i="12"/>
  <c r="AM255" i="12"/>
  <c r="AP255" i="12"/>
  <c r="AS255" i="12"/>
  <c r="AR255" i="12"/>
  <c r="A256" i="12"/>
  <c r="AJ256" i="12" l="1"/>
  <c r="AM256" i="12"/>
  <c r="AL256" i="12"/>
  <c r="AP256" i="12"/>
  <c r="AT256" i="12"/>
  <c r="AS256" i="12"/>
  <c r="AU256" i="12"/>
  <c r="AO256" i="12"/>
  <c r="AR256" i="12"/>
  <c r="AK256" i="12"/>
  <c r="AN256" i="12"/>
  <c r="AQ256" i="12"/>
  <c r="A257" i="12"/>
  <c r="A258" i="12" l="1"/>
  <c r="AL257" i="12"/>
  <c r="AO257" i="12"/>
  <c r="AK257" i="12"/>
  <c r="AP257" i="12"/>
  <c r="AR257" i="12"/>
  <c r="AU257" i="12"/>
  <c r="AS257" i="12"/>
  <c r="AJ257" i="12"/>
  <c r="AN257" i="12"/>
  <c r="AQ257" i="12"/>
  <c r="AT257" i="12"/>
  <c r="AM257" i="12"/>
  <c r="AU258" i="12" l="1"/>
  <c r="AK258" i="12"/>
  <c r="AR258" i="12"/>
  <c r="AL258" i="12"/>
  <c r="AQ258" i="12"/>
  <c r="AT258" i="12"/>
  <c r="AN258" i="12"/>
  <c r="A259" i="12"/>
  <c r="AM258" i="12"/>
  <c r="AP258" i="12"/>
  <c r="AS258" i="12"/>
  <c r="AO258" i="12"/>
  <c r="AJ258" i="12"/>
  <c r="AK259" i="12" l="1"/>
  <c r="AN259" i="12"/>
  <c r="AJ259" i="12"/>
  <c r="AO259" i="12"/>
  <c r="AT259" i="12"/>
  <c r="AM259" i="12"/>
  <c r="AL259" i="12"/>
  <c r="AR259" i="12"/>
  <c r="AP259" i="12"/>
  <c r="AS259" i="12"/>
  <c r="AU259" i="12"/>
  <c r="AQ259" i="12"/>
  <c r="A260" i="12"/>
  <c r="AJ260" i="12" l="1"/>
  <c r="AM260" i="12"/>
  <c r="AP260" i="12"/>
  <c r="A262" i="12"/>
  <c r="AS260" i="12"/>
  <c r="AT260" i="12"/>
  <c r="AR260" i="12"/>
  <c r="AL260" i="12"/>
  <c r="AO260" i="12"/>
  <c r="AU260" i="12"/>
  <c r="AK260" i="12"/>
  <c r="AN260" i="12"/>
  <c r="AQ260" i="12"/>
  <c r="A263" i="12" l="1"/>
  <c r="AL262" i="12"/>
  <c r="AS262" i="12"/>
  <c r="AJ262" i="12"/>
  <c r="AP262" i="12"/>
  <c r="AR262" i="12"/>
  <c r="AU262" i="12"/>
  <c r="AO262" i="12"/>
  <c r="AT262" i="12"/>
  <c r="AK262" i="12"/>
  <c r="AN262" i="12"/>
  <c r="AQ262" i="12"/>
  <c r="AM262" i="12"/>
  <c r="AU263" i="12" l="1"/>
  <c r="AK263" i="12"/>
  <c r="AJ263" i="12"/>
  <c r="AP263" i="12"/>
  <c r="A264" i="12"/>
  <c r="AQ263" i="12"/>
  <c r="AT263" i="12"/>
  <c r="AR263" i="12"/>
  <c r="AM263" i="12"/>
  <c r="AN263" i="12"/>
  <c r="AL263" i="12"/>
  <c r="AS263" i="12"/>
  <c r="AO263" i="12"/>
  <c r="AK264" i="12" l="1"/>
  <c r="AN264" i="12"/>
  <c r="AM264" i="12"/>
  <c r="AJ264" i="12"/>
  <c r="AP264" i="12"/>
  <c r="AT264" i="12"/>
  <c r="AQ264" i="12"/>
  <c r="AR264" i="12"/>
  <c r="AS264" i="12"/>
  <c r="AU264" i="12"/>
  <c r="A265" i="12"/>
  <c r="AL264" i="12"/>
  <c r="AO264" i="12"/>
  <c r="AJ265" i="12" l="1"/>
  <c r="AM265" i="12"/>
  <c r="AT265" i="12"/>
  <c r="A266" i="12"/>
  <c r="AS265" i="12"/>
  <c r="AP265" i="12"/>
  <c r="AR265" i="12"/>
  <c r="AO265" i="12"/>
  <c r="AU265" i="12"/>
  <c r="AK265" i="12"/>
  <c r="AN265" i="12"/>
  <c r="AQ265" i="12"/>
  <c r="AL265" i="12"/>
  <c r="A267" i="12" l="1"/>
  <c r="AL266" i="12"/>
  <c r="AK266" i="12"/>
  <c r="AQ266" i="12"/>
  <c r="AO266" i="12"/>
  <c r="AM266" i="12"/>
  <c r="AR266" i="12"/>
  <c r="AU266" i="12"/>
  <c r="AS266" i="12"/>
  <c r="AT266" i="12"/>
  <c r="AJ266" i="12"/>
  <c r="AN266" i="12"/>
  <c r="AP266" i="12"/>
  <c r="AU267" i="12" l="1"/>
  <c r="AK267" i="12"/>
  <c r="AJ267" i="12"/>
  <c r="AT267" i="12"/>
  <c r="AP267" i="12"/>
  <c r="A268" i="12"/>
  <c r="AQ267" i="12"/>
  <c r="AN267" i="12"/>
  <c r="AR267" i="12"/>
  <c r="AL267" i="12"/>
  <c r="AM267" i="12"/>
  <c r="AS267" i="12"/>
  <c r="AO267" i="12"/>
  <c r="AK268" i="12" l="1"/>
  <c r="AN268" i="12"/>
  <c r="AQ268" i="12"/>
  <c r="AU268" i="12"/>
  <c r="AL268" i="12"/>
  <c r="AT268" i="12"/>
  <c r="AJ268" i="12"/>
  <c r="AS268" i="12"/>
  <c r="AM268" i="12"/>
  <c r="AR268" i="12"/>
  <c r="AP268" i="12"/>
  <c r="AO268" i="12"/>
  <c r="A269" i="12"/>
  <c r="AJ269" i="12" l="1"/>
  <c r="AM269" i="12"/>
  <c r="A270" i="12"/>
  <c r="AT269" i="12"/>
  <c r="AR269" i="12"/>
  <c r="AP269" i="12"/>
  <c r="AQ269" i="12"/>
  <c r="AS269" i="12"/>
  <c r="AL269" i="12"/>
  <c r="AU269" i="12"/>
  <c r="AN269" i="12"/>
  <c r="AO269" i="12"/>
  <c r="AK269" i="12"/>
  <c r="A271" i="12" l="1"/>
  <c r="AL270" i="12"/>
  <c r="AK270" i="12"/>
  <c r="AO270" i="12"/>
  <c r="AR270" i="12"/>
  <c r="AU270" i="12"/>
  <c r="AP270" i="12"/>
  <c r="AN270" i="12"/>
  <c r="AQ270" i="12"/>
  <c r="AT270" i="12"/>
  <c r="AS270" i="12"/>
  <c r="AM270" i="12"/>
  <c r="AJ270" i="12"/>
  <c r="AU271" i="12" l="1"/>
  <c r="AK271" i="12"/>
  <c r="AN271" i="12"/>
  <c r="AT271" i="12"/>
  <c r="AR271" i="12"/>
  <c r="AJ271" i="12"/>
  <c r="AL271" i="12"/>
  <c r="AQ271" i="12"/>
  <c r="AP271" i="12"/>
  <c r="A272" i="12"/>
  <c r="AM271" i="12"/>
  <c r="AS271" i="12"/>
  <c r="AO271" i="12"/>
  <c r="AK272" i="12" l="1"/>
  <c r="AN272" i="12"/>
  <c r="AU272" i="12"/>
  <c r="AL272" i="12"/>
  <c r="AM272" i="12"/>
  <c r="AT272" i="12"/>
  <c r="AJ272" i="12"/>
  <c r="AQ272" i="12"/>
  <c r="AR272" i="12"/>
  <c r="AP272" i="12"/>
  <c r="AS272" i="12"/>
  <c r="AO272" i="12"/>
  <c r="A274" i="12"/>
  <c r="AJ274" i="12" l="1"/>
  <c r="AM274" i="12"/>
  <c r="AL274" i="12"/>
  <c r="AR274" i="12"/>
  <c r="AK274" i="12"/>
  <c r="AS274" i="12"/>
  <c r="AP274" i="12"/>
  <c r="AO274" i="12"/>
  <c r="AU274" i="12"/>
  <c r="AQ274" i="12"/>
  <c r="AT274" i="12"/>
  <c r="A275" i="12"/>
  <c r="AN274" i="12"/>
  <c r="A276" i="12" l="1"/>
  <c r="AL275" i="12"/>
  <c r="AO275" i="12"/>
  <c r="AP275" i="12"/>
  <c r="AR275" i="12"/>
  <c r="AU275" i="12"/>
  <c r="AS275" i="12"/>
  <c r="AQ275" i="12"/>
  <c r="AK275" i="12"/>
  <c r="AN275" i="12"/>
  <c r="AT275" i="12"/>
  <c r="AJ275" i="12"/>
  <c r="AM275" i="12"/>
  <c r="AU276" i="12" l="1"/>
  <c r="AK276" i="12"/>
  <c r="AR276" i="12"/>
  <c r="AQ276" i="12"/>
  <c r="AN276" i="12"/>
  <c r="AM276" i="12"/>
  <c r="AS276" i="12"/>
  <c r="AO276" i="12"/>
  <c r="AT276" i="12"/>
  <c r="AP276" i="12"/>
  <c r="AL276" i="12"/>
  <c r="AJ276" i="12"/>
  <c r="A277" i="12"/>
  <c r="AK277" i="12" l="1"/>
  <c r="AN277" i="12"/>
  <c r="AM277" i="12"/>
  <c r="AU277" i="12"/>
  <c r="AR277" i="12"/>
  <c r="AT277" i="12"/>
  <c r="AJ277" i="12"/>
  <c r="AO277" i="12"/>
  <c r="AP277" i="12"/>
  <c r="AS277" i="12"/>
  <c r="AL277" i="12"/>
  <c r="AQ277" i="12"/>
  <c r="A278" i="12"/>
  <c r="AQ278" i="12" l="1"/>
  <c r="A279" i="12"/>
  <c r="AP278" i="12"/>
  <c r="AL278" i="12"/>
  <c r="AR278" i="12"/>
  <c r="AT278" i="12"/>
  <c r="AS278" i="12"/>
  <c r="AM278" i="12"/>
  <c r="AK278" i="12"/>
  <c r="AO278" i="12"/>
  <c r="AN278" i="12"/>
  <c r="AU278" i="12"/>
  <c r="AJ278" i="12"/>
  <c r="AU279" i="12" l="1"/>
  <c r="AJ279" i="12"/>
  <c r="AK279" i="12"/>
  <c r="AR279" i="12"/>
  <c r="AL279" i="12"/>
  <c r="AQ279" i="12"/>
  <c r="AT279" i="12"/>
  <c r="AS279" i="12"/>
  <c r="AP279" i="12"/>
  <c r="AM279" i="12"/>
  <c r="AO279" i="12"/>
  <c r="AN279" i="12"/>
  <c r="A281" i="12"/>
  <c r="AK281" i="12" l="1"/>
  <c r="AM281" i="12"/>
  <c r="AJ281" i="12"/>
  <c r="AO281" i="12"/>
  <c r="AT281" i="12"/>
  <c r="AN281" i="12"/>
  <c r="AP281" i="12"/>
  <c r="AS281" i="12"/>
  <c r="AU281" i="12"/>
  <c r="AR281" i="12"/>
  <c r="AL281" i="12"/>
  <c r="AQ281" i="12"/>
  <c r="A282" i="12"/>
  <c r="AJ282" i="12" l="1"/>
  <c r="AP282" i="12"/>
  <c r="AU282" i="12"/>
  <c r="AL282" i="12"/>
  <c r="AK282" i="12"/>
  <c r="AS282" i="12"/>
  <c r="A283" i="12"/>
  <c r="AQ282" i="12"/>
  <c r="AT282" i="12"/>
  <c r="AO282" i="12"/>
  <c r="AR282" i="12"/>
  <c r="AM282" i="12"/>
  <c r="AN282" i="12"/>
  <c r="AK283" i="12" l="1"/>
  <c r="AL283" i="12"/>
  <c r="AP283" i="12"/>
  <c r="A284" i="12"/>
  <c r="AR283" i="12"/>
  <c r="AU283" i="12"/>
  <c r="AT283" i="12"/>
  <c r="AS283" i="12"/>
  <c r="AO283" i="12"/>
  <c r="AN283" i="12"/>
  <c r="AQ283" i="12"/>
  <c r="AM283" i="12"/>
  <c r="AJ283" i="12"/>
  <c r="AU284" i="12" l="1"/>
  <c r="AJ284" i="12"/>
  <c r="AN284" i="12"/>
  <c r="AQ284" i="12"/>
  <c r="AT284" i="12"/>
  <c r="AK284" i="12"/>
  <c r="AM284" i="12"/>
  <c r="AP284" i="12"/>
  <c r="AS284" i="12"/>
  <c r="AL284" i="12"/>
  <c r="AR284" i="12"/>
  <c r="AO284" i="12"/>
  <c r="A285" i="12"/>
  <c r="AK285" i="12" l="1"/>
  <c r="AM285" i="12"/>
  <c r="AR285" i="12"/>
  <c r="AS285" i="12"/>
  <c r="AJ285" i="12"/>
  <c r="AO285" i="12"/>
  <c r="AT285" i="12"/>
  <c r="AN285" i="12"/>
  <c r="AU285" i="12"/>
  <c r="AQ285" i="12"/>
  <c r="AP285" i="12"/>
  <c r="AL285" i="12"/>
  <c r="A286" i="12"/>
  <c r="AJ286" i="12" l="1"/>
  <c r="AP286" i="12"/>
  <c r="AL286" i="12"/>
  <c r="AU286" i="12"/>
  <c r="AN286" i="12"/>
  <c r="AS286" i="12"/>
  <c r="A287" i="12"/>
  <c r="AT286" i="12"/>
  <c r="AO286" i="12"/>
  <c r="AR286" i="12"/>
  <c r="AQ286" i="12"/>
  <c r="AM286" i="12"/>
  <c r="AK286" i="12"/>
  <c r="AK287" i="12" l="1"/>
  <c r="AL287" i="12"/>
  <c r="AS287" i="12"/>
  <c r="AM287" i="12"/>
  <c r="AR287" i="12"/>
  <c r="AU287" i="12"/>
  <c r="A288" i="12"/>
  <c r="AN287" i="12"/>
  <c r="AQ287" i="12"/>
  <c r="AT287" i="12"/>
  <c r="AP287" i="12"/>
  <c r="AJ287" i="12"/>
  <c r="AO287" i="12"/>
  <c r="AU288" i="12" l="1"/>
  <c r="AJ288" i="12"/>
  <c r="AS288" i="12"/>
  <c r="AK288" i="12"/>
  <c r="AQ288" i="12"/>
  <c r="AT288" i="12"/>
  <c r="AO288" i="12"/>
  <c r="A289" i="12"/>
  <c r="AM288" i="12"/>
  <c r="AP288" i="12"/>
  <c r="AR288" i="12"/>
  <c r="AL288" i="12"/>
  <c r="AN288" i="12"/>
  <c r="AK289" i="12" l="1"/>
  <c r="AM289" i="12"/>
  <c r="AR289" i="12"/>
  <c r="AU289" i="12"/>
  <c r="AO289" i="12"/>
  <c r="AT289" i="12"/>
  <c r="AN289" i="12"/>
  <c r="AP289" i="12"/>
  <c r="AS289" i="12"/>
  <c r="AQ289" i="12"/>
  <c r="A290" i="12"/>
  <c r="AL289" i="12"/>
  <c r="AJ289" i="12"/>
  <c r="AJ290" i="12" l="1"/>
  <c r="AP290" i="12"/>
  <c r="AM290" i="12"/>
  <c r="A291" i="12"/>
  <c r="AR290" i="12"/>
  <c r="AK290" i="12"/>
  <c r="AQ290" i="12"/>
  <c r="AS290" i="12"/>
  <c r="AL290" i="12"/>
  <c r="AO290" i="12"/>
  <c r="AN290" i="12"/>
  <c r="AU290" i="12"/>
  <c r="AT290" i="12"/>
  <c r="AK291" i="12" l="1"/>
  <c r="AT291" i="12"/>
  <c r="AR291" i="12"/>
  <c r="AU291" i="12"/>
  <c r="A292" i="12"/>
  <c r="AS291" i="12"/>
  <c r="AM291" i="12"/>
  <c r="AP291" i="12"/>
  <c r="AN291" i="12"/>
  <c r="AL291" i="12"/>
  <c r="AO291" i="12"/>
  <c r="AQ291" i="12"/>
  <c r="AJ291" i="12"/>
  <c r="AU292" i="12" l="1"/>
  <c r="AJ292" i="12"/>
  <c r="AS292" i="12"/>
  <c r="AM292" i="12"/>
  <c r="AR292" i="12"/>
  <c r="AL292" i="12"/>
  <c r="AN292" i="12"/>
  <c r="AQ292" i="12"/>
  <c r="AT292" i="12"/>
  <c r="AO292" i="12"/>
  <c r="AP292" i="12"/>
  <c r="A293" i="12"/>
  <c r="AK292" i="12"/>
  <c r="AK293" i="12" l="1"/>
  <c r="AM293" i="12"/>
  <c r="AJ293" i="12"/>
  <c r="AT293" i="12"/>
  <c r="AS293" i="12"/>
  <c r="AU293" i="12"/>
  <c r="AR293" i="12"/>
  <c r="AP293" i="12"/>
  <c r="AN293" i="12"/>
  <c r="A294" i="12"/>
  <c r="AL293" i="12"/>
  <c r="AO293" i="12"/>
  <c r="AQ293" i="12"/>
  <c r="AJ294" i="12" l="1"/>
  <c r="AP294" i="12"/>
  <c r="AQ294" i="12"/>
  <c r="A296" i="12"/>
  <c r="AS294" i="12"/>
  <c r="AL294" i="12"/>
  <c r="AM294" i="12"/>
  <c r="AO294" i="12"/>
  <c r="AR294" i="12"/>
  <c r="AK294" i="12"/>
  <c r="AN294" i="12"/>
  <c r="AT294" i="12"/>
  <c r="AU294" i="12"/>
  <c r="AK296" i="12" l="1"/>
  <c r="AJ296" i="12"/>
  <c r="AL296" i="12"/>
  <c r="AR296" i="12"/>
  <c r="AU296" i="12"/>
  <c r="AP296" i="12"/>
  <c r="AT296" i="12"/>
  <c r="AM296" i="12"/>
  <c r="AN296" i="12"/>
  <c r="AQ296" i="12"/>
  <c r="AS296" i="12"/>
  <c r="A297" i="12"/>
  <c r="AO296" i="12"/>
  <c r="AU297" i="12" l="1"/>
  <c r="AJ297" i="12"/>
  <c r="AK297" i="12"/>
  <c r="AQ297" i="12"/>
  <c r="AT297" i="12"/>
  <c r="AS297" i="12"/>
  <c r="AM297" i="12"/>
  <c r="AP297" i="12"/>
  <c r="AR297" i="12"/>
  <c r="AO297" i="12"/>
  <c r="AN297" i="12"/>
  <c r="A298" i="12"/>
  <c r="AL297" i="12"/>
  <c r="AK298" i="12" l="1"/>
  <c r="AM298" i="12"/>
  <c r="AT298" i="12"/>
  <c r="AJ298" i="12"/>
  <c r="AS298" i="12"/>
  <c r="AR298" i="12"/>
  <c r="AQ298" i="12"/>
  <c r="AN298" i="12"/>
  <c r="AU298" i="12"/>
  <c r="A299" i="12"/>
  <c r="AP298" i="12"/>
  <c r="AO298" i="12"/>
  <c r="AL298" i="12"/>
  <c r="AJ299" i="12" l="1"/>
  <c r="AP299" i="12"/>
  <c r="AU299" i="12"/>
  <c r="AL299" i="12"/>
  <c r="AQ299" i="12"/>
  <c r="AR299" i="12"/>
  <c r="AT299" i="12"/>
  <c r="AS299" i="12"/>
  <c r="A300" i="12"/>
  <c r="AO299" i="12"/>
  <c r="AM299" i="12"/>
  <c r="AN299" i="12"/>
  <c r="AK299" i="12"/>
  <c r="AK300" i="12" l="1"/>
  <c r="AL300" i="12"/>
  <c r="AR300" i="12"/>
  <c r="AT300" i="12"/>
  <c r="AQ300" i="12"/>
  <c r="AP300" i="12"/>
  <c r="AU300" i="12"/>
  <c r="AS300" i="12"/>
  <c r="AN300" i="12"/>
  <c r="AJ300" i="12"/>
  <c r="AM300" i="12"/>
  <c r="AO300" i="12"/>
  <c r="A301" i="12"/>
  <c r="AU301" i="12" l="1"/>
  <c r="AJ301" i="12"/>
  <c r="AK301" i="12"/>
  <c r="AQ301" i="12"/>
  <c r="AT301" i="12"/>
  <c r="AM301" i="12"/>
  <c r="AR301" i="12"/>
  <c r="AL301" i="12"/>
  <c r="AP301" i="12"/>
  <c r="AO301" i="12"/>
  <c r="AS301" i="12"/>
  <c r="A302" i="12"/>
  <c r="AN301" i="12"/>
  <c r="AK302" i="12" l="1"/>
  <c r="AM302" i="12"/>
  <c r="AR302" i="12"/>
  <c r="AO302" i="12"/>
  <c r="AT302" i="12"/>
  <c r="AN302" i="12"/>
  <c r="AU302" i="12"/>
  <c r="AL302" i="12"/>
  <c r="AP302" i="12"/>
  <c r="AS302" i="12"/>
  <c r="AJ302" i="12"/>
  <c r="AQ302" i="12"/>
  <c r="A303" i="12"/>
  <c r="AJ303" i="12" l="1"/>
  <c r="AP303" i="12"/>
  <c r="AL303" i="12"/>
  <c r="AO303" i="12"/>
  <c r="AN303" i="12"/>
  <c r="AS303" i="12"/>
  <c r="A304" i="12"/>
  <c r="AU303" i="12"/>
  <c r="AR303" i="12"/>
  <c r="AQ303" i="12"/>
  <c r="AT303" i="12"/>
  <c r="AK303" i="12"/>
  <c r="AM303" i="12"/>
  <c r="AK304" i="12" l="1"/>
  <c r="A306" i="12"/>
  <c r="AL304" i="12"/>
  <c r="AO304" i="12"/>
  <c r="AR304" i="12"/>
  <c r="AU304" i="12"/>
  <c r="AJ304" i="12"/>
  <c r="AN304" i="12"/>
  <c r="AQ304" i="12"/>
  <c r="AS304" i="12"/>
  <c r="AT304" i="12"/>
  <c r="AP304" i="12"/>
  <c r="AM304" i="12"/>
  <c r="AU306" i="12" l="1"/>
  <c r="AJ306" i="12"/>
  <c r="AS306" i="12"/>
  <c r="AM306" i="12"/>
  <c r="AR306" i="12"/>
  <c r="AN306" i="12"/>
  <c r="AQ306" i="12"/>
  <c r="AT306" i="12"/>
  <c r="AO306" i="12"/>
  <c r="AP306" i="12"/>
  <c r="AL306" i="12"/>
  <c r="AK306" i="12"/>
  <c r="A307" i="12"/>
  <c r="AK307" i="12" l="1"/>
  <c r="AM307" i="12"/>
  <c r="AR307" i="12"/>
  <c r="AU307" i="12"/>
  <c r="AL307" i="12"/>
  <c r="AJ307" i="12"/>
  <c r="AT307" i="12"/>
  <c r="AN307" i="12"/>
  <c r="AP307" i="12"/>
  <c r="AO307" i="12"/>
  <c r="AS307" i="12"/>
  <c r="AQ307" i="12"/>
  <c r="A308" i="12"/>
  <c r="AJ308" i="12" l="1"/>
  <c r="AP308" i="12"/>
  <c r="AM308" i="12"/>
  <c r="AL308" i="12"/>
  <c r="AN308" i="12"/>
  <c r="AS308" i="12"/>
  <c r="A309" i="12"/>
  <c r="AK308" i="12"/>
  <c r="AQ308" i="12"/>
  <c r="AO308" i="12"/>
  <c r="AR308" i="12"/>
  <c r="AU308" i="12"/>
  <c r="AT308" i="12"/>
  <c r="AK309" i="12" l="1"/>
  <c r="AT309" i="12"/>
  <c r="AR309" i="12"/>
  <c r="AP309" i="12"/>
  <c r="AL309" i="12"/>
  <c r="AU309" i="12"/>
  <c r="A310" i="12"/>
  <c r="AN309" i="12"/>
  <c r="AQ309" i="12"/>
  <c r="AS309" i="12"/>
  <c r="AO309" i="12"/>
  <c r="AJ309" i="12"/>
  <c r="AM309" i="12"/>
  <c r="AU310" i="12" l="1"/>
  <c r="AJ310" i="12"/>
  <c r="AL310" i="12"/>
  <c r="AK310" i="12"/>
  <c r="AQ310" i="12"/>
  <c r="AT310" i="12"/>
  <c r="AO310" i="12"/>
  <c r="AS310" i="12"/>
  <c r="A311" i="12"/>
  <c r="AM310" i="12"/>
  <c r="AP310" i="12"/>
  <c r="AR310" i="12"/>
  <c r="AN310" i="12"/>
  <c r="AK311" i="12" l="1"/>
  <c r="AM311" i="12"/>
  <c r="AJ311" i="12"/>
  <c r="AR311" i="12"/>
  <c r="AP311" i="12"/>
  <c r="AU311" i="12"/>
  <c r="AL311" i="12"/>
  <c r="AT311" i="12"/>
  <c r="AN311" i="12"/>
  <c r="AO311" i="12"/>
  <c r="AS311" i="12"/>
  <c r="AQ311" i="12"/>
  <c r="A313" i="12"/>
  <c r="AJ313" i="12" l="1"/>
  <c r="AP313" i="12"/>
  <c r="AQ313" i="12"/>
  <c r="AL313" i="12"/>
  <c r="AO313" i="12"/>
  <c r="AN313" i="12"/>
  <c r="AS313" i="12"/>
  <c r="A314" i="12"/>
  <c r="AM313" i="12"/>
  <c r="AK313" i="12"/>
  <c r="AR313" i="12"/>
  <c r="AU313" i="12"/>
  <c r="AT313" i="12"/>
  <c r="AK314" i="12" l="1"/>
  <c r="AT314" i="12"/>
  <c r="AQ314" i="12"/>
  <c r="AO314" i="12"/>
  <c r="AL314" i="12"/>
  <c r="AR314" i="12"/>
  <c r="AU314" i="12"/>
  <c r="AP314" i="12"/>
  <c r="AN314" i="12"/>
  <c r="A315" i="12"/>
  <c r="AS314" i="12"/>
  <c r="AJ314" i="12"/>
  <c r="AM314" i="12"/>
  <c r="AU315" i="12" l="1"/>
  <c r="AJ315" i="12"/>
  <c r="AK315" i="12"/>
  <c r="AQ315" i="12"/>
  <c r="AS315" i="12"/>
  <c r="AR315" i="12"/>
  <c r="AN315" i="12"/>
  <c r="AT315" i="12"/>
  <c r="AO315" i="12"/>
  <c r="AM315" i="12"/>
  <c r="AP315" i="12"/>
  <c r="AL315" i="12"/>
  <c r="A316" i="12"/>
  <c r="AK316" i="12" l="1"/>
  <c r="AM316" i="12"/>
  <c r="AU316" i="12"/>
  <c r="A317" i="12"/>
  <c r="AT316" i="12"/>
  <c r="AJ316" i="12"/>
  <c r="AR316" i="12"/>
  <c r="AL316" i="12"/>
  <c r="AN316" i="12"/>
  <c r="AP316" i="12"/>
  <c r="AS316" i="12"/>
  <c r="AQ316" i="12"/>
  <c r="AO316" i="12"/>
  <c r="AJ317" i="12" l="1"/>
  <c r="AP317" i="12"/>
  <c r="AU317" i="12"/>
  <c r="AQ317" i="12"/>
  <c r="AN317" i="12"/>
  <c r="AS317" i="12"/>
  <c r="A318" i="12"/>
  <c r="AL317" i="12"/>
  <c r="AO317" i="12"/>
  <c r="AR317" i="12"/>
  <c r="AM317" i="12"/>
  <c r="AK317" i="12"/>
  <c r="AT317" i="12"/>
  <c r="AK318" i="12" l="1"/>
  <c r="AL318" i="12"/>
  <c r="AU318" i="12"/>
  <c r="AN318" i="12"/>
  <c r="AR318" i="12"/>
  <c r="AT318" i="12"/>
  <c r="AS318" i="12"/>
  <c r="AQ318" i="12"/>
  <c r="AP318" i="12"/>
  <c r="AJ318" i="12"/>
  <c r="AM318" i="12"/>
  <c r="AO318" i="12"/>
  <c r="A319" i="12"/>
  <c r="AU319" i="12" l="1"/>
  <c r="AJ319" i="12"/>
  <c r="AK319" i="12"/>
  <c r="AP319" i="12"/>
  <c r="AO319" i="12"/>
  <c r="AQ319" i="12"/>
  <c r="AT319" i="12"/>
  <c r="AM319" i="12"/>
  <c r="AS319" i="12"/>
  <c r="AL319" i="12"/>
  <c r="AR319" i="12"/>
  <c r="AN319" i="12"/>
  <c r="A320" i="12"/>
  <c r="AK320" i="12" l="1"/>
  <c r="AM320" i="12"/>
  <c r="AR320" i="12"/>
  <c r="AN320" i="12"/>
  <c r="AQ320" i="12"/>
  <c r="AT320" i="12"/>
  <c r="AO320" i="12"/>
  <c r="AP320" i="12"/>
  <c r="AS320" i="12"/>
  <c r="AU320" i="12"/>
  <c r="AJ320" i="12"/>
  <c r="AL320" i="12"/>
  <c r="A321" i="12"/>
  <c r="AJ321" i="12" l="1"/>
  <c r="AP321" i="12"/>
  <c r="AU321" i="12"/>
  <c r="AM321" i="12"/>
  <c r="AS321" i="12"/>
  <c r="A322" i="12"/>
  <c r="AL321" i="12"/>
  <c r="AO321" i="12"/>
  <c r="AR321" i="12"/>
  <c r="AQ321" i="12"/>
  <c r="AK321" i="12"/>
  <c r="AT321" i="12"/>
  <c r="AN321" i="12"/>
  <c r="AK322" i="12" l="1"/>
  <c r="A323" i="12"/>
  <c r="AL322" i="12"/>
  <c r="AR322" i="12"/>
  <c r="AU322" i="12"/>
  <c r="AN322" i="12"/>
  <c r="AQ322" i="12"/>
  <c r="AS322" i="12"/>
  <c r="AT322" i="12"/>
  <c r="AJ322" i="12"/>
  <c r="AP322" i="12"/>
  <c r="AM322" i="12"/>
  <c r="AO322" i="12"/>
  <c r="AU323" i="12" l="1"/>
  <c r="AJ323" i="12"/>
  <c r="AS323" i="12"/>
  <c r="AL323" i="12"/>
  <c r="AQ323" i="12"/>
  <c r="AT323" i="12"/>
  <c r="AO323" i="12"/>
  <c r="AP323" i="12"/>
  <c r="AK323" i="12"/>
  <c r="AM323" i="12"/>
  <c r="AR323" i="12"/>
  <c r="AN323" i="12"/>
  <c r="A324" i="12"/>
  <c r="AK324" i="12" l="1"/>
  <c r="AM324" i="12"/>
  <c r="AN324" i="12"/>
  <c r="AR324" i="12"/>
  <c r="AS324" i="12"/>
  <c r="AQ324" i="12"/>
  <c r="AT324" i="12"/>
  <c r="AP324" i="12"/>
  <c r="AU324" i="12"/>
  <c r="AO324" i="12"/>
  <c r="AJ324" i="12"/>
  <c r="A325" i="12"/>
  <c r="AL324" i="12"/>
  <c r="AJ325" i="12" l="1"/>
  <c r="AP325" i="12"/>
  <c r="AM325" i="12"/>
  <c r="AL325" i="12"/>
  <c r="AU325" i="12"/>
  <c r="AQ325" i="12"/>
  <c r="AS325" i="12"/>
  <c r="A326" i="12"/>
  <c r="AN325" i="12"/>
  <c r="AO325" i="12"/>
  <c r="AR325" i="12"/>
  <c r="AT325" i="12"/>
  <c r="AK325" i="12"/>
  <c r="AK326" i="12" l="1"/>
  <c r="AT326" i="12"/>
  <c r="AP326" i="12"/>
  <c r="AN326" i="12"/>
  <c r="AQ326" i="12"/>
  <c r="AL326" i="12"/>
  <c r="AO326" i="12"/>
  <c r="AR326" i="12"/>
  <c r="AU326" i="12"/>
  <c r="A327" i="12"/>
  <c r="AS326" i="12"/>
  <c r="AM326" i="12"/>
  <c r="AJ326" i="12"/>
  <c r="AU327" i="12" l="1"/>
  <c r="AJ327" i="12"/>
  <c r="AO327" i="12"/>
  <c r="AM327" i="12"/>
  <c r="AN327" i="12"/>
  <c r="AQ327" i="12"/>
  <c r="AT327" i="12"/>
  <c r="AS327" i="12"/>
  <c r="AP327" i="12"/>
  <c r="AR327" i="12"/>
  <c r="AK327" i="12"/>
  <c r="A328" i="12"/>
  <c r="AL327" i="12"/>
  <c r="AK328" i="12" l="1"/>
  <c r="AM328" i="12"/>
  <c r="AJ328" i="12"/>
  <c r="AN328" i="12"/>
  <c r="AQ328" i="12"/>
  <c r="AT328" i="12"/>
  <c r="AR328" i="12"/>
  <c r="AL328" i="12"/>
  <c r="AP328" i="12"/>
  <c r="AS328" i="12"/>
  <c r="AU328" i="12"/>
  <c r="AO328" i="12"/>
  <c r="A329" i="12"/>
  <c r="AJ329" i="12" l="1"/>
  <c r="AP329" i="12"/>
  <c r="AQ329" i="12"/>
  <c r="AO329" i="12"/>
  <c r="AT329" i="12"/>
  <c r="AS329" i="12"/>
  <c r="A330" i="12"/>
  <c r="AL329" i="12"/>
  <c r="AM329" i="12"/>
  <c r="AN329" i="12"/>
  <c r="AR329" i="12"/>
  <c r="AK329" i="12"/>
  <c r="AU329" i="12"/>
  <c r="AK330" i="12" l="1"/>
  <c r="AP330" i="12"/>
  <c r="AQ330" i="12"/>
  <c r="AO330" i="12"/>
  <c r="AR330" i="12"/>
  <c r="AU330" i="12"/>
  <c r="AT330" i="12"/>
  <c r="AS330" i="12"/>
  <c r="AM330" i="12"/>
  <c r="AN330" i="12"/>
  <c r="A331" i="12"/>
  <c r="AJ330" i="12"/>
  <c r="AL330" i="12"/>
  <c r="AU331" i="12" l="1"/>
  <c r="AJ331" i="12"/>
  <c r="AK331" i="12"/>
  <c r="AO331" i="12"/>
  <c r="AQ331" i="12"/>
  <c r="AT331" i="12"/>
  <c r="AS331" i="12"/>
  <c r="AR331" i="12"/>
  <c r="AL331" i="12"/>
  <c r="AM331" i="12"/>
  <c r="AP331" i="12"/>
  <c r="A332" i="12"/>
  <c r="AN331" i="12"/>
  <c r="AK332" i="12" l="1"/>
  <c r="AM332" i="12"/>
  <c r="AJ332" i="12"/>
  <c r="AP332" i="12"/>
  <c r="AR332" i="12"/>
  <c r="AT332" i="12"/>
  <c r="AS332" i="12"/>
  <c r="AO332" i="12"/>
  <c r="AN332" i="12"/>
  <c r="AU332" i="12"/>
  <c r="A333" i="12"/>
  <c r="AL332" i="12"/>
  <c r="AQ332" i="12"/>
  <c r="AJ333" i="12" l="1"/>
  <c r="AP333" i="12"/>
  <c r="AU333" i="12"/>
  <c r="A334" i="12"/>
  <c r="AR333" i="12"/>
  <c r="AK333" i="12"/>
  <c r="AT333" i="12"/>
  <c r="AS333" i="12"/>
  <c r="AL333" i="12"/>
  <c r="AQ333" i="12"/>
  <c r="AO333" i="12"/>
  <c r="AN333" i="12"/>
  <c r="AM333" i="12"/>
  <c r="AK334" i="12" l="1"/>
  <c r="AL334" i="12"/>
  <c r="AU334" i="12"/>
  <c r="AN334" i="12"/>
  <c r="AS334" i="12"/>
  <c r="AJ334" i="12"/>
  <c r="AR334" i="12"/>
  <c r="AT334" i="12"/>
  <c r="AQ334" i="12"/>
  <c r="AP334" i="12"/>
  <c r="AM334" i="12"/>
  <c r="AO334" i="12"/>
  <c r="A335" i="12"/>
  <c r="AU335" i="12" l="1"/>
  <c r="AJ335" i="12"/>
  <c r="AR335" i="12"/>
  <c r="A336" i="12"/>
  <c r="AQ335" i="12"/>
  <c r="AT335" i="12"/>
  <c r="AK335" i="12"/>
  <c r="AL335" i="12"/>
  <c r="AM335" i="12"/>
  <c r="AP335" i="12"/>
  <c r="AS335" i="12"/>
  <c r="AO335" i="12"/>
  <c r="AN335" i="12"/>
  <c r="AK336" i="12" l="1"/>
  <c r="AM336" i="12"/>
  <c r="AR336" i="12"/>
  <c r="AU336" i="12"/>
  <c r="AO336" i="12"/>
  <c r="AT336" i="12"/>
  <c r="AN336" i="12"/>
  <c r="AJ336" i="12"/>
  <c r="AQ336" i="12"/>
  <c r="AP336" i="12"/>
  <c r="AS336" i="12"/>
  <c r="AL336" i="12"/>
  <c r="A337" i="12"/>
  <c r="AJ337" i="12" l="1"/>
  <c r="AP337" i="12"/>
  <c r="AL337" i="12"/>
  <c r="AU337" i="12"/>
  <c r="AS337" i="12"/>
  <c r="A338" i="12"/>
  <c r="AR337" i="12"/>
  <c r="AQ337" i="12"/>
  <c r="AO337" i="12"/>
  <c r="AK337" i="12"/>
  <c r="AN337" i="12"/>
  <c r="AT337" i="12"/>
  <c r="AM337" i="12"/>
  <c r="AK338" i="12" l="1"/>
  <c r="AL338" i="12"/>
  <c r="A339" i="12"/>
  <c r="AR338" i="12"/>
  <c r="AU338" i="12"/>
  <c r="AS338" i="12"/>
  <c r="AM338" i="12"/>
  <c r="AN338" i="12"/>
  <c r="AQ338" i="12"/>
  <c r="AT338" i="12"/>
  <c r="AP338" i="12"/>
  <c r="AJ338" i="12"/>
  <c r="AO338" i="12"/>
  <c r="AU339" i="12" l="1"/>
  <c r="AJ339" i="12"/>
  <c r="AS339" i="12"/>
  <c r="AO339" i="12"/>
  <c r="A340" i="12"/>
  <c r="AQ339" i="12"/>
  <c r="AT339" i="12"/>
  <c r="AK339" i="12"/>
  <c r="AN339" i="12"/>
  <c r="AM339" i="12"/>
  <c r="AP339" i="12"/>
  <c r="AR339" i="12"/>
  <c r="AL339" i="12"/>
  <c r="AK340" i="12" l="1"/>
  <c r="AM340" i="12"/>
  <c r="AR340" i="12"/>
  <c r="AO340" i="12"/>
  <c r="AJ340" i="12"/>
  <c r="AT340" i="12"/>
  <c r="AN340" i="12"/>
  <c r="AU340" i="12"/>
  <c r="AQ340" i="12"/>
  <c r="AP340" i="12"/>
  <c r="AS340" i="12"/>
  <c r="AL340" i="12"/>
  <c r="A341" i="12"/>
  <c r="AJ341" i="12" l="1"/>
  <c r="AP341" i="12"/>
  <c r="AM341" i="12"/>
  <c r="A342" i="12"/>
  <c r="AS341" i="12"/>
  <c r="AL341" i="12"/>
  <c r="AU341" i="12"/>
  <c r="AO341" i="12"/>
  <c r="AR341" i="12"/>
  <c r="AK341" i="12"/>
  <c r="AN341" i="12"/>
  <c r="AT341" i="12"/>
  <c r="AQ341" i="12"/>
  <c r="AK342" i="12" l="1"/>
  <c r="AT342" i="12"/>
  <c r="AP342" i="12"/>
  <c r="AS342" i="12"/>
  <c r="AJ342" i="12"/>
  <c r="AO342" i="12"/>
  <c r="AR342" i="12"/>
  <c r="AU342" i="12"/>
  <c r="A343" i="12"/>
  <c r="AN342" i="12"/>
  <c r="AQ342" i="12"/>
  <c r="AL342" i="12"/>
  <c r="AM342" i="12"/>
  <c r="AU343" i="12" l="1"/>
  <c r="AJ343" i="12"/>
  <c r="AM343" i="12"/>
  <c r="AL343" i="12"/>
  <c r="AK343" i="12"/>
  <c r="AQ343" i="12"/>
  <c r="AT343" i="12"/>
  <c r="AO343" i="12"/>
  <c r="AS343" i="12"/>
  <c r="AP343" i="12"/>
  <c r="A344" i="12"/>
  <c r="AR343" i="12"/>
  <c r="AN343" i="12"/>
  <c r="AK344" i="12" l="1"/>
  <c r="AM344" i="12"/>
  <c r="AJ344" i="12"/>
  <c r="AT344" i="12"/>
  <c r="AR344" i="12"/>
  <c r="AS344" i="12"/>
  <c r="AN344" i="12"/>
  <c r="AO344" i="12"/>
  <c r="AL344" i="12"/>
  <c r="AQ344" i="12"/>
  <c r="AP344" i="12"/>
  <c r="AU344" i="12"/>
  <c r="A345" i="12"/>
  <c r="AM345" i="12" l="1"/>
  <c r="AQ345" i="12"/>
  <c r="AJ345" i="12"/>
  <c r="AO345" i="12"/>
  <c r="AN345" i="12"/>
  <c r="AT345" i="12"/>
  <c r="AS345" i="12"/>
  <c r="AU345" i="12"/>
  <c r="AR345" i="12"/>
  <c r="AP345" i="12"/>
  <c r="AL345" i="12"/>
  <c r="A346" i="12"/>
  <c r="AK345" i="12"/>
  <c r="AJ346" i="12" l="1"/>
  <c r="AM346" i="12"/>
  <c r="AT346" i="12"/>
  <c r="A347" i="12"/>
  <c r="AS346" i="12"/>
  <c r="AP346" i="12"/>
  <c r="AK346" i="12"/>
  <c r="AO346" i="12"/>
  <c r="AR346" i="12"/>
  <c r="AU346" i="12"/>
  <c r="AN346" i="12"/>
  <c r="AL346" i="12"/>
  <c r="AQ346" i="12"/>
  <c r="A348" i="12" l="1"/>
  <c r="AL347" i="12"/>
  <c r="AK347" i="12"/>
  <c r="AT347" i="12"/>
  <c r="AR347" i="12"/>
  <c r="AU347" i="12"/>
  <c r="AS347" i="12"/>
  <c r="AQ347" i="12"/>
  <c r="AN347" i="12"/>
  <c r="AO347" i="12"/>
  <c r="AJ347" i="12"/>
  <c r="AM347" i="12"/>
  <c r="AP347" i="12"/>
  <c r="AU348" i="12" l="1"/>
  <c r="AK348" i="12"/>
  <c r="AJ348" i="12"/>
  <c r="AP348" i="12"/>
  <c r="AR348" i="12"/>
  <c r="AL348" i="12"/>
  <c r="AQ348" i="12"/>
  <c r="AT348" i="12"/>
  <c r="AN348" i="12"/>
  <c r="AM348" i="12"/>
  <c r="AS348" i="12"/>
  <c r="AO348" i="12"/>
  <c r="A349" i="12"/>
  <c r="AK349" i="12" l="1"/>
  <c r="AN349" i="12"/>
  <c r="AQ349" i="12"/>
  <c r="AU349" i="12"/>
  <c r="AL349" i="12"/>
  <c r="AR349" i="12"/>
  <c r="AT349" i="12"/>
  <c r="AJ349" i="12"/>
  <c r="AS349" i="12"/>
  <c r="AO349" i="12"/>
  <c r="AP349" i="12"/>
  <c r="AM349" i="12"/>
  <c r="A350" i="12"/>
  <c r="AJ350" i="12" l="1"/>
  <c r="AM350" i="12"/>
  <c r="A351" i="12"/>
  <c r="AL350" i="12"/>
  <c r="AU350" i="12"/>
  <c r="AK350" i="12"/>
  <c r="AQ350" i="12"/>
  <c r="AS350" i="12"/>
  <c r="AT350" i="12"/>
  <c r="AO350" i="12"/>
  <c r="AP350" i="12"/>
  <c r="AR350" i="12"/>
  <c r="AN350" i="12"/>
  <c r="A352" i="12" l="1"/>
  <c r="AL351" i="12"/>
  <c r="AK351" i="12"/>
  <c r="AO351" i="12"/>
  <c r="AJ351" i="12"/>
  <c r="AR351" i="12"/>
  <c r="AU351" i="12"/>
  <c r="AM351" i="12"/>
  <c r="AN351" i="12"/>
  <c r="AQ351" i="12"/>
  <c r="AT351" i="12"/>
  <c r="AS351" i="12"/>
  <c r="AP351" i="12"/>
  <c r="AU352" i="12" l="1"/>
  <c r="AK352" i="12"/>
  <c r="AN352" i="12"/>
  <c r="AQ352" i="12"/>
  <c r="AP352" i="12"/>
  <c r="AL352" i="12"/>
  <c r="AT352" i="12"/>
  <c r="AR352" i="12"/>
  <c r="AJ352" i="12"/>
  <c r="AM352" i="12"/>
  <c r="AS352" i="12"/>
  <c r="AO352" i="12"/>
  <c r="A353" i="12"/>
  <c r="AK353" i="12" l="1"/>
  <c r="AN353" i="12"/>
  <c r="AU353" i="12"/>
  <c r="AL353" i="12"/>
  <c r="AT353" i="12"/>
  <c r="AJ353" i="12"/>
  <c r="AQ353" i="12"/>
  <c r="AR353" i="12"/>
  <c r="AP353" i="12"/>
  <c r="AS353" i="12"/>
  <c r="AO353" i="12"/>
  <c r="AM353" i="12"/>
  <c r="A354" i="12"/>
  <c r="AJ354" i="12" l="1"/>
  <c r="AM354" i="12"/>
  <c r="AL354" i="12"/>
  <c r="AU354" i="12"/>
  <c r="AN354" i="12"/>
  <c r="AS354" i="12"/>
  <c r="AP354" i="12"/>
  <c r="AT354" i="12"/>
  <c r="A355" i="12"/>
  <c r="AO354" i="12"/>
  <c r="AR354" i="12"/>
  <c r="AQ354" i="12"/>
  <c r="AK354" i="12"/>
  <c r="A356" i="12" l="1"/>
  <c r="AL355" i="12"/>
  <c r="AO355" i="12"/>
  <c r="AK355" i="12"/>
  <c r="AR355" i="12"/>
  <c r="AU355" i="12"/>
  <c r="AS355" i="12"/>
  <c r="AM355" i="12"/>
  <c r="AN355" i="12"/>
  <c r="AQ355" i="12"/>
  <c r="AT355" i="12"/>
  <c r="AP355" i="12"/>
  <c r="AJ355" i="12"/>
  <c r="AU356" i="12" l="1"/>
  <c r="AK356" i="12"/>
  <c r="AR356" i="12"/>
  <c r="A357" i="12"/>
  <c r="AQ356" i="12"/>
  <c r="AT356" i="12"/>
  <c r="AN356" i="12"/>
  <c r="AM356" i="12"/>
  <c r="AP356" i="12"/>
  <c r="AL356" i="12"/>
  <c r="AS356" i="12"/>
  <c r="AO356" i="12"/>
  <c r="AJ356" i="12"/>
  <c r="AK357" i="12" l="1"/>
  <c r="AN357" i="12"/>
  <c r="AT357" i="12"/>
  <c r="AJ357" i="12"/>
  <c r="AM357" i="12"/>
  <c r="AP357" i="12"/>
  <c r="AS357" i="12"/>
  <c r="A358" i="12"/>
  <c r="AL357" i="12"/>
  <c r="AO357" i="12"/>
  <c r="AR357" i="12"/>
  <c r="AQ357" i="12"/>
  <c r="AU357" i="12"/>
  <c r="AJ358" i="12" l="1"/>
  <c r="AM358" i="12"/>
  <c r="AP358" i="12"/>
  <c r="AT358" i="12"/>
  <c r="AS358" i="12"/>
  <c r="A359" i="12"/>
  <c r="AK358" i="12"/>
  <c r="AN358" i="12"/>
  <c r="AQ358" i="12"/>
  <c r="AO358" i="12"/>
  <c r="AR358" i="12"/>
  <c r="AU358" i="12"/>
  <c r="AL358" i="12"/>
  <c r="A360" i="12" l="1"/>
  <c r="AR359" i="12"/>
  <c r="AU359" i="12"/>
  <c r="AO359" i="12"/>
  <c r="AN359" i="12"/>
  <c r="AQ359" i="12"/>
  <c r="AT359" i="12"/>
  <c r="AS359" i="12"/>
  <c r="AJ359" i="12"/>
  <c r="AM359" i="12"/>
  <c r="AP359" i="12"/>
  <c r="AK359" i="12"/>
  <c r="AL359" i="12"/>
  <c r="AU360" i="12" l="1"/>
  <c r="AK360" i="12"/>
  <c r="AM360" i="12"/>
  <c r="AN360" i="12"/>
  <c r="AL360" i="12"/>
  <c r="AQ360" i="12"/>
  <c r="AT360" i="12"/>
  <c r="AR360" i="12"/>
  <c r="AJ360" i="12"/>
  <c r="AS360" i="12"/>
  <c r="A361" i="12"/>
  <c r="AP360" i="12"/>
  <c r="AO360" i="12"/>
  <c r="AK361" i="12" l="1"/>
  <c r="AN361" i="12"/>
  <c r="AM361" i="12"/>
  <c r="AJ361" i="12"/>
  <c r="AL361" i="12"/>
  <c r="AU361" i="12"/>
  <c r="AT361" i="12"/>
  <c r="AQ361" i="12"/>
  <c r="AR361" i="12"/>
  <c r="AP361" i="12"/>
  <c r="AS361" i="12"/>
  <c r="AO361" i="12"/>
  <c r="A362" i="12"/>
  <c r="AJ362" i="12" l="1"/>
  <c r="AM362" i="12"/>
  <c r="AT362" i="12"/>
  <c r="AP362" i="12"/>
  <c r="AR362" i="12"/>
  <c r="AK362" i="12"/>
  <c r="AQ362" i="12"/>
  <c r="AS362" i="12"/>
  <c r="A363" i="12"/>
  <c r="AO362" i="12"/>
  <c r="AU362" i="12"/>
  <c r="AN362" i="12"/>
  <c r="AL362" i="12"/>
  <c r="A364" i="12" l="1"/>
  <c r="AL363" i="12"/>
  <c r="AO363" i="12"/>
  <c r="AR363" i="12"/>
  <c r="AU363" i="12"/>
  <c r="AS363" i="12"/>
  <c r="AK363" i="12"/>
  <c r="AP363" i="12"/>
  <c r="AN363" i="12"/>
  <c r="AQ363" i="12"/>
  <c r="AT363" i="12"/>
  <c r="AJ363" i="12"/>
  <c r="AM363" i="12"/>
  <c r="AU364" i="12" l="1"/>
  <c r="AK364" i="12"/>
  <c r="AJ364" i="12"/>
  <c r="AM364" i="12"/>
  <c r="AS364" i="12"/>
  <c r="A365" i="12"/>
  <c r="AQ364" i="12"/>
  <c r="AT364" i="12"/>
  <c r="AN364" i="12"/>
  <c r="AP364" i="12"/>
  <c r="AR364" i="12"/>
  <c r="AO364" i="12"/>
  <c r="AL364" i="12"/>
  <c r="AK365" i="12" l="1"/>
  <c r="AN365" i="12"/>
  <c r="AQ365" i="12"/>
  <c r="AM365" i="12"/>
  <c r="AR365" i="12"/>
  <c r="AT365" i="12"/>
  <c r="AJ365" i="12"/>
  <c r="AU365" i="12"/>
  <c r="AL365" i="12"/>
  <c r="AP365" i="12"/>
  <c r="AS365" i="12"/>
  <c r="A366" i="12"/>
  <c r="AO365" i="12"/>
  <c r="AJ366" i="12" l="1"/>
  <c r="AM366" i="12"/>
  <c r="A367" i="12"/>
  <c r="AL366" i="12"/>
  <c r="AP366" i="12"/>
  <c r="AS366" i="12"/>
  <c r="AT366" i="12"/>
  <c r="AO366" i="12"/>
  <c r="AR366" i="12"/>
  <c r="AK366" i="12"/>
  <c r="AN366" i="12"/>
  <c r="AQ366" i="12"/>
  <c r="AU366" i="12"/>
  <c r="A368" i="12" l="1"/>
  <c r="AL367" i="12"/>
  <c r="AK367" i="12"/>
  <c r="AR367" i="12"/>
  <c r="AU367" i="12"/>
  <c r="AO367" i="12"/>
  <c r="AN367" i="12"/>
  <c r="AQ367" i="12"/>
  <c r="AT367" i="12"/>
  <c r="AS367" i="12"/>
  <c r="AJ367" i="12"/>
  <c r="AM367" i="12"/>
  <c r="AP367" i="12"/>
  <c r="AU368" i="12" l="1"/>
  <c r="AK368" i="12"/>
  <c r="AN368" i="12"/>
  <c r="AT368" i="12"/>
  <c r="AM368" i="12"/>
  <c r="AS368" i="12"/>
  <c r="AL368" i="12"/>
  <c r="AO368" i="12"/>
  <c r="AQ368" i="12"/>
  <c r="AR368" i="12"/>
  <c r="AP368" i="12"/>
  <c r="AJ368" i="12"/>
  <c r="A369" i="12"/>
  <c r="AK369" i="12" l="1"/>
  <c r="AN369" i="12"/>
  <c r="AU369" i="12"/>
  <c r="AL369" i="12"/>
  <c r="AR369" i="12"/>
  <c r="AT369" i="12"/>
  <c r="AJ369" i="12"/>
  <c r="AQ369" i="12"/>
  <c r="AP369" i="12"/>
  <c r="AS369" i="12"/>
  <c r="AO369" i="12"/>
  <c r="A370" i="12"/>
  <c r="AM369" i="12"/>
  <c r="AJ370" i="12" l="1"/>
  <c r="AM370" i="12"/>
  <c r="AL370" i="12"/>
  <c r="AS370" i="12"/>
  <c r="AU370" i="12"/>
  <c r="AQ370" i="12"/>
  <c r="AP370" i="12"/>
  <c r="AT370" i="12"/>
  <c r="AK370" i="12"/>
  <c r="AO370" i="12"/>
  <c r="AR370" i="12"/>
  <c r="AN370" i="12"/>
  <c r="A371" i="12"/>
  <c r="A372" i="12" l="1"/>
  <c r="AL371" i="12"/>
  <c r="AO371" i="12"/>
  <c r="AK371" i="12"/>
  <c r="AP371" i="12"/>
  <c r="AR371" i="12"/>
  <c r="AU371" i="12"/>
  <c r="AS371" i="12"/>
  <c r="AN371" i="12"/>
  <c r="AQ371" i="12"/>
  <c r="AT371" i="12"/>
  <c r="AM371" i="12"/>
  <c r="AJ371" i="12"/>
  <c r="AO372" i="12" l="1"/>
  <c r="AS372" i="12"/>
  <c r="AP372" i="12"/>
  <c r="AK372" i="12"/>
  <c r="AL372" i="12"/>
  <c r="AT372" i="12"/>
  <c r="AU372" i="12"/>
  <c r="A373" i="12"/>
  <c r="AQ372" i="12"/>
  <c r="AR372" i="12"/>
  <c r="AN372" i="12"/>
  <c r="AM372" i="12"/>
  <c r="AJ372" i="12"/>
  <c r="AU373" i="12" l="1"/>
  <c r="AJ373" i="12"/>
  <c r="AS373" i="12"/>
  <c r="AO373" i="12"/>
  <c r="AL373" i="12"/>
  <c r="AQ373" i="12"/>
  <c r="AT373" i="12"/>
  <c r="AK373" i="12"/>
  <c r="AM373" i="12"/>
  <c r="AP373" i="12"/>
  <c r="AR373" i="12"/>
  <c r="A374" i="12"/>
  <c r="AN373" i="12"/>
  <c r="AK374" i="12" l="1"/>
  <c r="AM374" i="12"/>
  <c r="AN374" i="12"/>
  <c r="AS374" i="12"/>
  <c r="AQ374" i="12"/>
  <c r="AT374" i="12"/>
  <c r="AR374" i="12"/>
  <c r="AP374" i="12"/>
  <c r="AU374" i="12"/>
  <c r="AJ374" i="12"/>
  <c r="A375" i="12"/>
  <c r="AL374" i="12"/>
  <c r="AO374" i="12"/>
  <c r="AJ375" i="12" l="1"/>
  <c r="AP375" i="12"/>
  <c r="AM375" i="12"/>
  <c r="AL375" i="12"/>
  <c r="AO375" i="12"/>
  <c r="AR375" i="12"/>
  <c r="AN375" i="12"/>
  <c r="AS375" i="12"/>
  <c r="A376" i="12"/>
  <c r="AU375" i="12"/>
  <c r="AT375" i="12"/>
  <c r="AK375" i="12"/>
  <c r="AQ375" i="12"/>
  <c r="AK376" i="12" l="1"/>
  <c r="AT376" i="12"/>
  <c r="AR376" i="12"/>
  <c r="AU376" i="12"/>
  <c r="AP376" i="12"/>
  <c r="AS376" i="12"/>
  <c r="AM376" i="12"/>
  <c r="A377" i="12"/>
  <c r="AL376" i="12"/>
  <c r="AN376" i="12"/>
  <c r="AQ376" i="12"/>
  <c r="AJ376" i="12"/>
  <c r="AO376" i="12"/>
  <c r="AU377" i="12" l="1"/>
  <c r="AJ377" i="12"/>
  <c r="AR377" i="12"/>
  <c r="AL377" i="12"/>
  <c r="AQ377" i="12"/>
  <c r="AT377" i="12"/>
  <c r="AO377" i="12"/>
  <c r="AS377" i="12"/>
  <c r="AP377" i="12"/>
  <c r="A378" i="12"/>
  <c r="AM377" i="12"/>
  <c r="AK377" i="12"/>
  <c r="AN377" i="12"/>
  <c r="AK378" i="12" l="1"/>
  <c r="AM378" i="12"/>
  <c r="AJ378" i="12"/>
  <c r="AU378" i="12"/>
  <c r="AO378" i="12"/>
  <c r="AT378" i="12"/>
  <c r="AR378" i="12"/>
  <c r="AS378" i="12"/>
  <c r="AN378" i="12"/>
  <c r="AP378" i="12"/>
  <c r="AQ378" i="12"/>
  <c r="A379" i="12"/>
  <c r="AL378" i="12"/>
  <c r="AJ379" i="12" l="1"/>
  <c r="AP379" i="12"/>
  <c r="AQ379" i="12"/>
  <c r="AM379" i="12"/>
  <c r="AR379" i="12"/>
  <c r="AT379" i="12"/>
  <c r="AS379" i="12"/>
  <c r="A380" i="12"/>
  <c r="AL379" i="12"/>
  <c r="AO379" i="12"/>
  <c r="AN379" i="12"/>
  <c r="AU379" i="12"/>
  <c r="AK379" i="12"/>
  <c r="AK380" i="12" l="1"/>
  <c r="AR380" i="12"/>
  <c r="AU380" i="12"/>
  <c r="AP380" i="12"/>
  <c r="AN380" i="12"/>
  <c r="AS380" i="12"/>
  <c r="AJ380" i="12"/>
  <c r="AT380" i="12"/>
  <c r="AQ380" i="12"/>
  <c r="A381" i="12"/>
  <c r="AO380" i="12"/>
  <c r="AL380" i="12"/>
  <c r="AM380" i="12"/>
  <c r="AU381" i="12" l="1"/>
  <c r="AJ381" i="12"/>
  <c r="AK381" i="12"/>
  <c r="AO381" i="12"/>
  <c r="AN381" i="12"/>
  <c r="AQ381" i="12"/>
  <c r="AT381" i="12"/>
  <c r="AS381" i="12"/>
  <c r="AR381" i="12"/>
  <c r="AL381" i="12"/>
  <c r="AM381" i="12"/>
  <c r="AP381" i="12"/>
  <c r="A382" i="12"/>
  <c r="AK382" i="12" l="1"/>
  <c r="AM382" i="12"/>
  <c r="AJ382" i="12"/>
  <c r="AO382" i="12"/>
  <c r="AT382" i="12"/>
  <c r="AQ382" i="12"/>
  <c r="AP382" i="12"/>
  <c r="AS382" i="12"/>
  <c r="AU382" i="12"/>
  <c r="AR382" i="12"/>
  <c r="A383" i="12"/>
  <c r="AL382" i="12"/>
  <c r="AN382" i="12"/>
  <c r="AJ383" i="12" l="1"/>
  <c r="AP383" i="12"/>
  <c r="AU383" i="12"/>
  <c r="AS383" i="12"/>
  <c r="A384" i="12"/>
  <c r="AN383" i="12"/>
  <c r="AL383" i="12"/>
  <c r="AQ383" i="12"/>
  <c r="AM383" i="12"/>
  <c r="AT383" i="12"/>
  <c r="AO383" i="12"/>
  <c r="AR383" i="12"/>
  <c r="AK383" i="12"/>
  <c r="AK384" i="12" l="1"/>
  <c r="AL384" i="12"/>
  <c r="AQ384" i="12"/>
  <c r="AM384" i="12"/>
  <c r="AR384" i="12"/>
  <c r="AU384" i="12"/>
  <c r="AT384" i="12"/>
  <c r="AS384" i="12"/>
  <c r="AJ384" i="12"/>
  <c r="A385" i="12"/>
  <c r="AN384" i="12"/>
  <c r="AP384" i="12"/>
  <c r="AO384" i="12"/>
  <c r="AU385" i="12" l="1"/>
  <c r="AJ385" i="12"/>
  <c r="AP385" i="12"/>
  <c r="AS385" i="12"/>
  <c r="AQ385" i="12"/>
  <c r="AT385" i="12"/>
  <c r="AK385" i="12"/>
  <c r="AR385" i="12"/>
  <c r="AO385" i="12"/>
  <c r="AM385" i="12"/>
  <c r="A386" i="12"/>
  <c r="AL385" i="12"/>
  <c r="AN385" i="12"/>
  <c r="AK386" i="12" l="1"/>
  <c r="AM386" i="12"/>
  <c r="AR386" i="12"/>
  <c r="AN386" i="12"/>
  <c r="AJ386" i="12"/>
  <c r="AQ386" i="12"/>
  <c r="AT386" i="12"/>
  <c r="AU386" i="12"/>
  <c r="AO386" i="12"/>
  <c r="AP386" i="12"/>
  <c r="AS386" i="12"/>
  <c r="AL386" i="12"/>
  <c r="A387" i="12"/>
  <c r="AJ387" i="12" l="1"/>
  <c r="AP387" i="12"/>
  <c r="A388" i="12"/>
  <c r="AU387" i="12"/>
  <c r="AM387" i="12"/>
  <c r="AS387" i="12"/>
  <c r="AL387" i="12"/>
  <c r="AQ387" i="12"/>
  <c r="AO387" i="12"/>
  <c r="AR387" i="12"/>
  <c r="AN387" i="12"/>
  <c r="AK387" i="12"/>
  <c r="AT387" i="12"/>
  <c r="AK388" i="12" l="1"/>
  <c r="AL388" i="12"/>
  <c r="A389" i="12"/>
  <c r="AP388" i="12"/>
  <c r="AR388" i="12"/>
  <c r="AU388" i="12"/>
  <c r="AS388" i="12"/>
  <c r="AT388" i="12"/>
  <c r="AN388" i="12"/>
  <c r="AQ388" i="12"/>
  <c r="AO388" i="12"/>
  <c r="AJ388" i="12"/>
  <c r="AM388" i="12"/>
  <c r="AU389" i="12" l="1"/>
  <c r="AJ389" i="12"/>
  <c r="AS389" i="12"/>
  <c r="AK389" i="12"/>
  <c r="AN389" i="12"/>
  <c r="AQ389" i="12"/>
  <c r="AT389" i="12"/>
  <c r="AO389" i="12"/>
  <c r="AM389" i="12"/>
  <c r="AP389" i="12"/>
  <c r="A390" i="12"/>
  <c r="AR389" i="12"/>
  <c r="AL389" i="12"/>
  <c r="AK390" i="12" l="1"/>
  <c r="AM390" i="12"/>
  <c r="AN390" i="12"/>
  <c r="AS390" i="12"/>
  <c r="AL390" i="12"/>
  <c r="AJ390" i="12"/>
  <c r="AT390" i="12"/>
  <c r="AR390" i="12"/>
  <c r="AU390" i="12"/>
  <c r="AO390" i="12"/>
  <c r="AP390" i="12"/>
  <c r="AQ390" i="12"/>
  <c r="A391" i="12"/>
  <c r="AJ391" i="12" l="1"/>
  <c r="AP391" i="12"/>
  <c r="AM391" i="12"/>
  <c r="AL391" i="12"/>
  <c r="AU391" i="12"/>
  <c r="AQ391" i="12"/>
  <c r="AS391" i="12"/>
  <c r="A392" i="12"/>
  <c r="AT391" i="12"/>
  <c r="AO391" i="12"/>
  <c r="AR391" i="12"/>
  <c r="AN391" i="12"/>
  <c r="AK391" i="12"/>
  <c r="AK392" i="12" l="1"/>
  <c r="AT392" i="12"/>
  <c r="AP392" i="12"/>
  <c r="AQ392" i="12"/>
  <c r="AL392" i="12"/>
  <c r="AR392" i="12"/>
  <c r="AU392" i="12"/>
  <c r="A393" i="12"/>
  <c r="AS392" i="12"/>
  <c r="AO392" i="12"/>
  <c r="AN392" i="12"/>
  <c r="AJ392" i="12"/>
  <c r="AM392" i="12"/>
  <c r="AU393" i="12" l="1"/>
  <c r="AJ393" i="12"/>
  <c r="AO393" i="12"/>
  <c r="AP393" i="12"/>
  <c r="AQ393" i="12"/>
  <c r="AT393" i="12"/>
  <c r="AS393" i="12"/>
  <c r="AR393" i="12"/>
  <c r="AK393" i="12"/>
  <c r="AM393" i="12"/>
  <c r="AN393" i="12"/>
  <c r="A394" i="12"/>
  <c r="AL393" i="12"/>
  <c r="AK394" i="12" l="1"/>
  <c r="AM394" i="12"/>
  <c r="AJ394" i="12"/>
  <c r="AS394" i="12"/>
  <c r="AN394" i="12"/>
  <c r="AL394" i="12"/>
  <c r="AT394" i="12"/>
  <c r="AR394" i="12"/>
  <c r="AP394" i="12"/>
  <c r="AU394" i="12"/>
  <c r="AO394" i="12"/>
  <c r="A395" i="12"/>
  <c r="AQ394" i="12"/>
  <c r="AJ395" i="12" l="1"/>
  <c r="AP395" i="12"/>
  <c r="AQ395" i="12"/>
  <c r="AL395" i="12"/>
  <c r="AO395" i="12"/>
  <c r="AN395" i="12"/>
  <c r="AS395" i="12"/>
  <c r="A396" i="12"/>
  <c r="AM395" i="12"/>
  <c r="AR395" i="12"/>
  <c r="AU395" i="12"/>
  <c r="AT395" i="12"/>
  <c r="AK395" i="12"/>
  <c r="AK396" i="12" l="1"/>
  <c r="AT396" i="12"/>
  <c r="AQ396" i="12"/>
  <c r="A397" i="12"/>
  <c r="AR396" i="12"/>
  <c r="AU396" i="12"/>
  <c r="AP396" i="12"/>
  <c r="AN396" i="12"/>
  <c r="AS396" i="12"/>
  <c r="AJ396" i="12"/>
  <c r="AM396" i="12"/>
  <c r="AO396" i="12"/>
  <c r="AL396" i="12"/>
  <c r="AU397" i="12" l="1"/>
  <c r="AJ397" i="12"/>
  <c r="AK397" i="12"/>
  <c r="AO397" i="12"/>
  <c r="AQ397" i="12"/>
  <c r="AT397" i="12"/>
  <c r="AS397" i="12"/>
  <c r="AM397" i="12"/>
  <c r="AP397" i="12"/>
  <c r="AR397" i="12"/>
  <c r="A398" i="12"/>
  <c r="AL397" i="12"/>
  <c r="AN397" i="12"/>
  <c r="AK398" i="12" l="1"/>
  <c r="AM398" i="12"/>
  <c r="AJ398" i="12"/>
  <c r="AS398" i="12"/>
  <c r="AR398" i="12"/>
  <c r="AT398" i="12"/>
  <c r="AP398" i="12"/>
  <c r="A399" i="12"/>
  <c r="AL398" i="12"/>
  <c r="AO398" i="12"/>
  <c r="AQ398" i="12"/>
  <c r="AN398" i="12"/>
  <c r="AU398" i="12"/>
  <c r="AU399" i="12" l="1"/>
  <c r="AP399" i="12"/>
  <c r="AM399" i="12"/>
  <c r="AS399" i="12"/>
  <c r="AR399" i="12"/>
  <c r="AQ399" i="12"/>
  <c r="AJ399" i="12"/>
  <c r="A400" i="12"/>
  <c r="AK399" i="12"/>
  <c r="AO399" i="12"/>
  <c r="AN399" i="12"/>
  <c r="AT399" i="12"/>
  <c r="AL399" i="12"/>
  <c r="A401" i="12" l="1"/>
  <c r="AL400" i="12"/>
  <c r="AK400" i="12"/>
  <c r="AR400" i="12"/>
  <c r="AU400" i="12"/>
  <c r="AO400" i="12"/>
  <c r="AJ400" i="12"/>
  <c r="AN400" i="12"/>
  <c r="AQ400" i="12"/>
  <c r="AT400" i="12"/>
  <c r="AS400" i="12"/>
  <c r="AM400" i="12"/>
  <c r="AP400" i="12"/>
  <c r="AU401" i="12" l="1"/>
  <c r="AK401" i="12"/>
  <c r="AN401" i="12"/>
  <c r="AT401" i="12"/>
  <c r="AR401" i="12"/>
  <c r="AM401" i="12"/>
  <c r="AP401" i="12"/>
  <c r="AJ401" i="12"/>
  <c r="AQ401" i="12"/>
  <c r="AS401" i="12"/>
  <c r="A402" i="12"/>
  <c r="AL401" i="12"/>
  <c r="AO401" i="12"/>
  <c r="AK402" i="12" l="1"/>
  <c r="AN402" i="12"/>
  <c r="AU402" i="12"/>
  <c r="AT402" i="12"/>
  <c r="AJ402" i="12"/>
  <c r="AQ402" i="12"/>
  <c r="AO402" i="12"/>
  <c r="AR402" i="12"/>
  <c r="AP402" i="12"/>
  <c r="AS402" i="12"/>
  <c r="A403" i="12"/>
  <c r="AL402" i="12"/>
  <c r="AM402" i="12"/>
  <c r="AJ403" i="12" l="1"/>
  <c r="AM403" i="12"/>
  <c r="AL403" i="12"/>
  <c r="AS403" i="12"/>
  <c r="AP403" i="12"/>
  <c r="AT403" i="12"/>
  <c r="AR403" i="12"/>
  <c r="AK403" i="12"/>
  <c r="AN403" i="12"/>
  <c r="AQ403" i="12"/>
  <c r="A404" i="12"/>
  <c r="AO403" i="12"/>
  <c r="AU403" i="12"/>
  <c r="A405" i="12" l="1"/>
  <c r="AL404" i="12"/>
  <c r="AO404" i="12"/>
  <c r="AS404" i="12"/>
  <c r="AR404" i="12"/>
  <c r="AU404" i="12"/>
  <c r="AT404" i="12"/>
  <c r="AJ404" i="12"/>
  <c r="AM404" i="12"/>
  <c r="AP404" i="12"/>
  <c r="AN404" i="12"/>
  <c r="AQ404" i="12"/>
  <c r="AK404" i="12"/>
  <c r="AU405" i="12" l="1"/>
  <c r="AK405" i="12"/>
  <c r="AR405" i="12"/>
  <c r="AQ405" i="12"/>
  <c r="AT405" i="12"/>
  <c r="AN405" i="12"/>
  <c r="A406" i="12"/>
  <c r="AL405" i="12"/>
  <c r="AO405" i="12"/>
  <c r="AJ405" i="12"/>
  <c r="AM405" i="12"/>
  <c r="AP405" i="12"/>
  <c r="AS405" i="12"/>
  <c r="AK406" i="12" l="1"/>
  <c r="AN406" i="12"/>
  <c r="AT406" i="12"/>
  <c r="AJ406" i="12"/>
  <c r="AM406" i="12"/>
  <c r="AP406" i="12"/>
  <c r="AS406" i="12"/>
  <c r="AU406" i="12"/>
  <c r="A407" i="12"/>
  <c r="AL406" i="12"/>
  <c r="AO406" i="12"/>
  <c r="AR406" i="12"/>
  <c r="AQ406" i="12"/>
  <c r="AJ407" i="12" l="1"/>
  <c r="AM407" i="12"/>
  <c r="AP407" i="12"/>
  <c r="AT407" i="12"/>
  <c r="AL407" i="12"/>
  <c r="AK407" i="12"/>
  <c r="AQ407" i="12"/>
  <c r="AS407" i="12"/>
  <c r="A408" i="12"/>
  <c r="AO407" i="12"/>
  <c r="AR407" i="12"/>
  <c r="AU407" i="12"/>
  <c r="AN407" i="12"/>
  <c r="A409" i="12" l="1"/>
  <c r="AL408" i="12"/>
  <c r="AS408" i="12"/>
  <c r="AU408" i="12"/>
  <c r="AO408" i="12"/>
  <c r="AN408" i="12"/>
  <c r="AQ408" i="12"/>
  <c r="AT408" i="12"/>
  <c r="AJ408" i="12"/>
  <c r="AM408" i="12"/>
  <c r="AP408" i="12"/>
  <c r="AK408" i="12"/>
  <c r="AR408" i="12"/>
  <c r="AU409" i="12" l="1"/>
  <c r="AK409" i="12"/>
  <c r="AQ409" i="12"/>
  <c r="AR409" i="12"/>
  <c r="AJ409" i="12"/>
  <c r="AM409" i="12"/>
  <c r="AP409" i="12"/>
  <c r="AS409" i="12"/>
  <c r="AN409" i="12"/>
  <c r="A410" i="12"/>
  <c r="AT409" i="12"/>
  <c r="AL409" i="12"/>
  <c r="AO409" i="12"/>
  <c r="AK410" i="12" l="1"/>
  <c r="AN410" i="12"/>
  <c r="AM410" i="12"/>
  <c r="AT410" i="12"/>
  <c r="AJ410" i="12"/>
  <c r="AP410" i="12"/>
  <c r="AS410" i="12"/>
  <c r="A411" i="12"/>
  <c r="AL410" i="12"/>
  <c r="AO410" i="12"/>
  <c r="AR410" i="12"/>
  <c r="AU410" i="12"/>
  <c r="AQ410" i="12"/>
  <c r="AJ411" i="12" l="1"/>
  <c r="AM411" i="12"/>
  <c r="AT411" i="12"/>
  <c r="AO411" i="12"/>
  <c r="AR411" i="12"/>
  <c r="AU411" i="12"/>
  <c r="AK411" i="12"/>
  <c r="AN411" i="12"/>
  <c r="AQ411" i="12"/>
  <c r="AS411" i="12"/>
  <c r="AP411" i="12"/>
  <c r="A412" i="12"/>
  <c r="AL411" i="12"/>
  <c r="AR412" i="12" l="1"/>
  <c r="AU412" i="12"/>
  <c r="AS412" i="12"/>
  <c r="AK412" i="12"/>
  <c r="AN412" i="12"/>
  <c r="AQ412" i="12"/>
  <c r="AT412" i="12"/>
  <c r="AO412" i="12"/>
  <c r="AJ412" i="12"/>
  <c r="AM412" i="12"/>
  <c r="AP412" i="12"/>
  <c r="A413" i="12"/>
  <c r="AL412" i="12"/>
  <c r="AM413" i="12" l="1"/>
  <c r="AP413" i="12"/>
  <c r="AS413" i="12"/>
  <c r="AR413" i="12"/>
  <c r="AU413" i="12"/>
  <c r="AK413" i="12"/>
  <c r="AJ413" i="12"/>
  <c r="AN413" i="12"/>
  <c r="A414" i="12"/>
  <c r="AL413" i="12"/>
  <c r="AO413" i="12"/>
  <c r="AQ413" i="12"/>
  <c r="AT413" i="12"/>
  <c r="AP414" i="12" l="1"/>
  <c r="AS414" i="12"/>
  <c r="AM414" i="12"/>
  <c r="AN414" i="12"/>
  <c r="AJ414" i="12"/>
  <c r="A415" i="12"/>
  <c r="AL414" i="12"/>
  <c r="AO414" i="12"/>
  <c r="AR414" i="12"/>
  <c r="AK414" i="12"/>
  <c r="AQ414" i="12"/>
  <c r="AT414" i="12"/>
  <c r="AU414" i="12"/>
  <c r="AO415" i="12" l="1"/>
  <c r="AR415" i="12"/>
  <c r="AU415" i="12"/>
  <c r="AP415" i="12"/>
  <c r="AJ415" i="12"/>
  <c r="AM415" i="12"/>
  <c r="A416" i="12"/>
  <c r="AS415" i="12"/>
  <c r="AT415" i="12"/>
  <c r="AL415" i="12"/>
  <c r="AK415" i="12"/>
  <c r="AN415" i="12"/>
  <c r="AQ415" i="12"/>
  <c r="AN416" i="12" l="1"/>
  <c r="AQ416" i="12"/>
  <c r="AT416" i="12"/>
  <c r="AS416" i="12"/>
  <c r="AL416" i="12"/>
  <c r="AK416" i="12"/>
  <c r="AO416" i="12"/>
  <c r="AJ416" i="12"/>
  <c r="AM416" i="12"/>
  <c r="AP416" i="12"/>
  <c r="A417" i="12"/>
  <c r="AR416" i="12"/>
  <c r="AU416" i="12"/>
  <c r="AM417" i="12" l="1"/>
  <c r="AP417" i="12"/>
  <c r="AS417" i="12"/>
  <c r="AJ417" i="12"/>
  <c r="AU417" i="12"/>
  <c r="AK417" i="12"/>
  <c r="A418" i="12"/>
  <c r="AL417" i="12"/>
  <c r="AO417" i="12"/>
  <c r="AN417" i="12"/>
  <c r="AQ417" i="12"/>
  <c r="AT417" i="12"/>
  <c r="AR417" i="12"/>
  <c r="AP418" i="12" l="1"/>
  <c r="AS418" i="12"/>
  <c r="AQ418" i="12"/>
  <c r="AK418" i="12"/>
  <c r="AU418" i="12"/>
  <c r="AT418" i="12"/>
  <c r="AJ418" i="12"/>
  <c r="A419" i="12"/>
  <c r="AL418" i="12"/>
  <c r="AO418" i="12"/>
  <c r="AR418" i="12"/>
  <c r="AM418" i="12"/>
  <c r="AN418" i="12"/>
  <c r="AO419" i="12" l="1"/>
  <c r="AR419" i="12"/>
  <c r="AU419" i="12"/>
  <c r="AT419" i="12"/>
  <c r="AJ419" i="12"/>
  <c r="AL419" i="12"/>
  <c r="AK419" i="12"/>
  <c r="AN419" i="12"/>
  <c r="AQ419" i="12"/>
  <c r="A420" i="12"/>
  <c r="AM419" i="12"/>
  <c r="AS419" i="12"/>
  <c r="AP419" i="12"/>
  <c r="AN420" i="12" l="1"/>
  <c r="AQ420" i="12"/>
  <c r="AT420" i="12"/>
  <c r="AK420" i="12"/>
  <c r="AL420" i="12"/>
  <c r="AJ420" i="12"/>
  <c r="AM420" i="12"/>
  <c r="AP420" i="12"/>
  <c r="A421" i="12"/>
  <c r="AO420" i="12"/>
  <c r="AR420" i="12"/>
  <c r="AU420" i="12"/>
  <c r="AS420" i="12"/>
  <c r="AM421" i="12" l="1"/>
  <c r="AP421" i="12"/>
  <c r="AS421" i="12"/>
  <c r="AR421" i="12"/>
  <c r="AQ421" i="12"/>
  <c r="AT421" i="12"/>
  <c r="AN421" i="12"/>
  <c r="A422" i="12"/>
  <c r="AL421" i="12"/>
  <c r="AO421" i="12"/>
  <c r="AJ421" i="12"/>
  <c r="AU421" i="12"/>
  <c r="AK421" i="12"/>
  <c r="AP422" i="12" l="1"/>
  <c r="AS422" i="12"/>
  <c r="AU422" i="12"/>
  <c r="AK422" i="12"/>
  <c r="AN422" i="12"/>
  <c r="AT422" i="12"/>
  <c r="AJ422" i="12"/>
  <c r="A423" i="12"/>
  <c r="AL422" i="12"/>
  <c r="AO422" i="12"/>
  <c r="AR422" i="12"/>
  <c r="AQ422" i="12"/>
  <c r="AM422" i="12"/>
  <c r="AO423" i="12" l="1"/>
  <c r="AR423" i="12"/>
  <c r="AU423" i="12"/>
  <c r="AL423" i="12"/>
  <c r="AM423" i="12"/>
  <c r="AT423" i="12"/>
  <c r="AK423" i="12"/>
  <c r="AN423" i="12"/>
  <c r="AQ423" i="12"/>
  <c r="AJ423" i="12"/>
  <c r="AP423" i="12"/>
  <c r="AS423" i="12"/>
  <c r="A424" i="12"/>
  <c r="AN424" i="12" l="1"/>
  <c r="AQ424" i="12"/>
  <c r="AT424" i="12"/>
  <c r="A425" i="12"/>
  <c r="AJ424" i="12"/>
  <c r="AM424" i="12"/>
  <c r="AP424" i="12"/>
  <c r="AK424" i="12"/>
  <c r="AL424" i="12"/>
  <c r="AS424" i="12"/>
  <c r="AR424" i="12"/>
  <c r="AU424" i="12"/>
  <c r="AO424" i="12"/>
  <c r="AM425" i="12" l="1"/>
  <c r="AP425" i="12"/>
  <c r="AS425" i="12"/>
  <c r="AN425" i="12"/>
  <c r="A426" i="12"/>
  <c r="AL425" i="12"/>
  <c r="AO425" i="12"/>
  <c r="AU425" i="12"/>
  <c r="AK425" i="12"/>
  <c r="AQ425" i="12"/>
  <c r="AT425" i="12"/>
  <c r="AR425" i="12"/>
  <c r="AJ425" i="12"/>
  <c r="AP426" i="12" l="1"/>
  <c r="AO426" i="12"/>
  <c r="AQ426" i="12"/>
  <c r="AL426" i="12"/>
  <c r="A427" i="12"/>
  <c r="AK426" i="12"/>
  <c r="AM426" i="12"/>
  <c r="AN426" i="12"/>
  <c r="AJ426" i="12"/>
  <c r="AT426" i="12"/>
  <c r="AS426" i="12"/>
  <c r="AU426" i="12"/>
  <c r="AR426" i="12"/>
  <c r="AO427" i="12" l="1"/>
  <c r="AR427" i="12"/>
  <c r="AU427" i="12"/>
  <c r="AJ427" i="12"/>
  <c r="AP427" i="12"/>
  <c r="AM427" i="12"/>
  <c r="AS427" i="12"/>
  <c r="A428" i="12"/>
  <c r="AK427" i="12"/>
  <c r="AN427" i="12"/>
  <c r="AT427" i="12"/>
  <c r="AQ427" i="12"/>
  <c r="AL427" i="12"/>
  <c r="AK428" i="12" l="1"/>
  <c r="AT428" i="12"/>
  <c r="AR428" i="12"/>
  <c r="AU428" i="12"/>
  <c r="A429" i="12"/>
  <c r="AP428" i="12"/>
  <c r="AM428" i="12"/>
  <c r="AN428" i="12"/>
  <c r="AQ428" i="12"/>
  <c r="AS428" i="12"/>
  <c r="AL428" i="12"/>
  <c r="AJ428" i="12"/>
  <c r="AO428" i="12"/>
  <c r="AU429" i="12" l="1"/>
  <c r="AJ429" i="12"/>
  <c r="AQ429" i="12"/>
  <c r="AT429" i="12"/>
  <c r="AO429" i="12"/>
  <c r="AL429" i="12"/>
  <c r="AS429" i="12"/>
  <c r="AM429" i="12"/>
  <c r="AP429" i="12"/>
  <c r="AR429" i="12"/>
  <c r="A430" i="12"/>
  <c r="AN429" i="12"/>
  <c r="AK429" i="12"/>
  <c r="AK430" i="12" l="1"/>
  <c r="AM430" i="12"/>
  <c r="AJ430" i="12"/>
  <c r="AT430" i="12"/>
  <c r="AR430" i="12"/>
  <c r="AL430" i="12"/>
  <c r="AO430" i="12"/>
  <c r="AQ430" i="12"/>
  <c r="AP430" i="12"/>
  <c r="AS430" i="12"/>
  <c r="AU430" i="12"/>
  <c r="AN430" i="12"/>
  <c r="A431" i="12"/>
  <c r="AJ431" i="12" l="1"/>
  <c r="AP431" i="12"/>
  <c r="AQ431" i="12"/>
  <c r="AS431" i="12"/>
  <c r="A432" i="12"/>
  <c r="AL431" i="12"/>
  <c r="AM431" i="12"/>
  <c r="AO431" i="12"/>
  <c r="AR431" i="12"/>
  <c r="AK431" i="12"/>
  <c r="AN431" i="12"/>
  <c r="AT431" i="12"/>
  <c r="AU431" i="12"/>
  <c r="AK432" i="12" l="1"/>
  <c r="AR432" i="12"/>
  <c r="AU432" i="12"/>
  <c r="AP432" i="12"/>
  <c r="AT432" i="12"/>
  <c r="AJ432" i="12"/>
  <c r="AM432" i="12"/>
  <c r="AO432" i="12"/>
  <c r="AN432" i="12"/>
  <c r="AQ432" i="12"/>
  <c r="AS432" i="12"/>
  <c r="A433" i="12"/>
  <c r="AL432" i="12"/>
  <c r="AJ433" i="12" l="1"/>
  <c r="AM433" i="12"/>
  <c r="AR433" i="12"/>
  <c r="AQ433" i="12"/>
  <c r="AT433" i="12"/>
  <c r="AS433" i="12"/>
  <c r="A434" i="12"/>
  <c r="AL433" i="12"/>
  <c r="AN433" i="12"/>
  <c r="AU433" i="12"/>
  <c r="AK433" i="12"/>
  <c r="AP433" i="12"/>
  <c r="AO433" i="12"/>
  <c r="AK434" i="12" l="1"/>
  <c r="AM434" i="12"/>
  <c r="AJ434" i="12"/>
  <c r="AU434" i="12"/>
  <c r="AT434" i="12"/>
  <c r="AP434" i="12"/>
  <c r="AS434" i="12"/>
  <c r="A435" i="12"/>
  <c r="AL434" i="12"/>
  <c r="AO434" i="12"/>
  <c r="AQ434" i="12"/>
  <c r="AN434" i="12"/>
  <c r="AR434" i="12"/>
  <c r="AJ435" i="12" l="1"/>
  <c r="AP435" i="12"/>
  <c r="AU435" i="12"/>
  <c r="AL435" i="12"/>
  <c r="AQ435" i="12"/>
  <c r="AS435" i="12"/>
  <c r="A436" i="12"/>
  <c r="AK435" i="12"/>
  <c r="AN435" i="12"/>
  <c r="AT435" i="12"/>
  <c r="AO435" i="12"/>
  <c r="AR435" i="12"/>
  <c r="AM435" i="12"/>
  <c r="AK436" i="12" l="1"/>
  <c r="AL436" i="12"/>
  <c r="AN436" i="12"/>
  <c r="AS436" i="12"/>
  <c r="AR436" i="12"/>
  <c r="AU436" i="12"/>
  <c r="AT436" i="12"/>
  <c r="AQ436" i="12"/>
  <c r="AP436" i="12"/>
  <c r="AJ436" i="12"/>
  <c r="AM436" i="12"/>
  <c r="AO436" i="12"/>
  <c r="A437" i="12"/>
  <c r="AU437" i="12" l="1"/>
  <c r="AJ437" i="12"/>
  <c r="AP437" i="12"/>
  <c r="AS437" i="12"/>
  <c r="AQ437" i="12"/>
  <c r="AT437" i="12"/>
  <c r="AK437" i="12"/>
  <c r="AM437" i="12"/>
  <c r="AR437" i="12"/>
  <c r="A438" i="12"/>
  <c r="AL437" i="12"/>
  <c r="AN437" i="12"/>
  <c r="AO437" i="12"/>
  <c r="AK438" i="12" l="1"/>
  <c r="AM438" i="12"/>
  <c r="AR438" i="12"/>
  <c r="AN438" i="12"/>
  <c r="AT438" i="12"/>
  <c r="A439" i="12"/>
  <c r="AL438" i="12"/>
  <c r="AO438" i="12"/>
  <c r="AQ438" i="12"/>
  <c r="AP438" i="12"/>
  <c r="AS438" i="12"/>
  <c r="AU438" i="12"/>
  <c r="AJ438" i="12"/>
  <c r="AJ439" i="12" l="1"/>
  <c r="AP439" i="12"/>
  <c r="AL439" i="12"/>
  <c r="AS439" i="12"/>
  <c r="A440" i="12"/>
  <c r="AO439" i="12"/>
  <c r="AR439" i="12"/>
  <c r="AQ439" i="12"/>
  <c r="AK439" i="12"/>
  <c r="AN439" i="12"/>
  <c r="AT439" i="12"/>
  <c r="AM439" i="12"/>
  <c r="AU439" i="12"/>
  <c r="AK440" i="12" l="1"/>
  <c r="AL440" i="12"/>
  <c r="A441" i="12"/>
  <c r="AR440" i="12"/>
  <c r="AU440" i="12"/>
  <c r="AN440" i="12"/>
  <c r="AQ440" i="12"/>
  <c r="AS440" i="12"/>
  <c r="AJ440" i="12"/>
  <c r="AM440" i="12"/>
  <c r="AO440" i="12"/>
  <c r="AP440" i="12"/>
  <c r="AT440" i="12"/>
  <c r="AU441" i="12" l="1"/>
  <c r="AJ441" i="12"/>
  <c r="AS441" i="12"/>
  <c r="AR441" i="12"/>
  <c r="AQ441" i="12"/>
  <c r="AT441" i="12"/>
  <c r="AO441" i="12"/>
  <c r="A442" i="12"/>
  <c r="AL441" i="12"/>
  <c r="AN441" i="12"/>
  <c r="AM441" i="12"/>
  <c r="AP441" i="12"/>
  <c r="AK441" i="12"/>
  <c r="AK442" i="12" l="1"/>
  <c r="AM442" i="12"/>
  <c r="AU442" i="12"/>
  <c r="AT442" i="12"/>
  <c r="AN442" i="12"/>
  <c r="AR442" i="12"/>
  <c r="A443" i="12"/>
  <c r="AL442" i="12"/>
  <c r="AO442" i="12"/>
  <c r="AQ442" i="12"/>
  <c r="AJ442" i="12"/>
  <c r="AP442" i="12"/>
  <c r="AS442" i="12"/>
  <c r="AJ443" i="12" l="1"/>
  <c r="AP443" i="12"/>
  <c r="AM443" i="12"/>
  <c r="AL443" i="12"/>
  <c r="AU443" i="12"/>
  <c r="AS443" i="12"/>
  <c r="A444" i="12"/>
  <c r="AK443" i="12"/>
  <c r="AN443" i="12"/>
  <c r="AT443" i="12"/>
  <c r="AQ443" i="12"/>
  <c r="AO443" i="12"/>
  <c r="AR443" i="12"/>
  <c r="AK444" i="12" l="1"/>
  <c r="AT444" i="12"/>
  <c r="AP444" i="12"/>
  <c r="AR444" i="12"/>
  <c r="AU444" i="12"/>
  <c r="A445" i="12"/>
  <c r="AN444" i="12"/>
  <c r="AQ444" i="12"/>
  <c r="AS444" i="12"/>
  <c r="AL444" i="12"/>
  <c r="AJ444" i="12"/>
  <c r="AM444" i="12"/>
  <c r="AO444" i="12"/>
  <c r="AU445" i="12" l="1"/>
  <c r="AJ445" i="12"/>
  <c r="AO445" i="12"/>
  <c r="AM445" i="12"/>
  <c r="AP445" i="12"/>
  <c r="AR445" i="12"/>
  <c r="AQ445" i="12"/>
  <c r="AT445" i="12"/>
  <c r="AS445" i="12"/>
  <c r="A446" i="12"/>
  <c r="AL445" i="12"/>
  <c r="AN445" i="12"/>
  <c r="AK445" i="12"/>
  <c r="AK446" i="12" l="1"/>
  <c r="AM446" i="12"/>
  <c r="AJ446" i="12"/>
  <c r="AS446" i="12"/>
  <c r="AT446" i="12"/>
  <c r="AR446" i="12"/>
  <c r="AP446" i="12"/>
  <c r="AN446" i="12"/>
  <c r="A447" i="12"/>
  <c r="AL446" i="12"/>
  <c r="AO446" i="12"/>
  <c r="AQ446" i="12"/>
  <c r="AU446" i="12"/>
  <c r="AJ447" i="12" l="1"/>
  <c r="AP447" i="12"/>
  <c r="AQ447" i="12"/>
  <c r="AL447" i="12"/>
  <c r="AM447" i="12"/>
  <c r="AS447" i="12"/>
  <c r="A448" i="12"/>
  <c r="AO447" i="12"/>
  <c r="AR447" i="12"/>
  <c r="AK447" i="12"/>
  <c r="AN447" i="12"/>
  <c r="AT447" i="12"/>
  <c r="AU447" i="12"/>
  <c r="AK448" i="12" l="1"/>
  <c r="AR448" i="12"/>
  <c r="AU448" i="12"/>
  <c r="AP448" i="12"/>
  <c r="AS448" i="12"/>
  <c r="A449" i="12"/>
  <c r="AT448" i="12"/>
  <c r="AN448" i="12"/>
  <c r="AQ448" i="12"/>
  <c r="AJ448" i="12"/>
  <c r="AM448" i="12"/>
  <c r="AO448" i="12"/>
  <c r="AL448" i="12"/>
  <c r="AU449" i="12" l="1"/>
  <c r="AJ449" i="12"/>
  <c r="AK449" i="12"/>
  <c r="A450" i="12"/>
  <c r="AQ449" i="12"/>
  <c r="AT449" i="12"/>
  <c r="AS449" i="12"/>
  <c r="AO449" i="12"/>
  <c r="AN449" i="12"/>
  <c r="AM449" i="12"/>
  <c r="AP449" i="12"/>
  <c r="AR449" i="12"/>
  <c r="AL449" i="12"/>
  <c r="AK450" i="12" l="1"/>
  <c r="AM450" i="12"/>
  <c r="AJ450" i="12"/>
  <c r="AL450" i="12"/>
  <c r="AQ450" i="12"/>
  <c r="AT450" i="12"/>
  <c r="AR450" i="12"/>
  <c r="AO450" i="12"/>
  <c r="AP450" i="12"/>
  <c r="AS450" i="12"/>
  <c r="AU450" i="12"/>
  <c r="AN450" i="12"/>
  <c r="A451" i="12"/>
  <c r="AJ451" i="12" l="1"/>
  <c r="AP451" i="12"/>
  <c r="AU451" i="12"/>
  <c r="AM451" i="12"/>
  <c r="AK451" i="12"/>
  <c r="AS451" i="12"/>
  <c r="A452" i="12"/>
  <c r="AL451" i="12"/>
  <c r="AQ451" i="12"/>
  <c r="AR451" i="12"/>
  <c r="AT451" i="12"/>
  <c r="AO451" i="12"/>
  <c r="AN451" i="12"/>
  <c r="AK452" i="12" l="1"/>
  <c r="AL452" i="12"/>
  <c r="AT452" i="12"/>
  <c r="AJ452" i="12"/>
  <c r="A453" i="12"/>
  <c r="AR452" i="12"/>
  <c r="AU452" i="12"/>
  <c r="AS452" i="12"/>
  <c r="AM452" i="12"/>
  <c r="AN452" i="12"/>
  <c r="AQ452" i="12"/>
  <c r="AP452" i="12"/>
  <c r="AO452" i="12"/>
  <c r="AU453" i="12" l="1"/>
  <c r="AJ453" i="12"/>
  <c r="AK453" i="12"/>
  <c r="AR453" i="12"/>
  <c r="A454" i="12"/>
  <c r="AQ453" i="12"/>
  <c r="AT453" i="12"/>
  <c r="AM453" i="12"/>
  <c r="AS453" i="12"/>
  <c r="AN453" i="12"/>
  <c r="AP453" i="12"/>
  <c r="AL453" i="12"/>
  <c r="AO453" i="12"/>
  <c r="AK454" i="12" l="1"/>
  <c r="AM454" i="12"/>
  <c r="AR454" i="12"/>
  <c r="AN454" i="12"/>
  <c r="AU454" i="12"/>
  <c r="A455" i="12"/>
  <c r="AT454" i="12"/>
  <c r="AP454" i="12"/>
  <c r="AJ454" i="12"/>
  <c r="AO454" i="12"/>
  <c r="AS454" i="12"/>
  <c r="AQ454" i="12"/>
  <c r="AL454" i="12"/>
  <c r="AJ455" i="12" l="1"/>
  <c r="AP455" i="12"/>
  <c r="AL455" i="12"/>
  <c r="AU455" i="12"/>
  <c r="AR455" i="12"/>
  <c r="AS455" i="12"/>
  <c r="A456" i="12"/>
  <c r="AQ455" i="12"/>
  <c r="AO455" i="12"/>
  <c r="AK455" i="12"/>
  <c r="AN455" i="12"/>
  <c r="AT455" i="12"/>
  <c r="AM455" i="12"/>
  <c r="AK456" i="12" l="1"/>
  <c r="AL456" i="12"/>
  <c r="AU456" i="12"/>
  <c r="A457" i="12"/>
  <c r="AR456" i="12"/>
  <c r="AN456" i="12"/>
  <c r="AS456" i="12"/>
  <c r="AQ456" i="12"/>
  <c r="AJ456" i="12"/>
  <c r="AM456" i="12"/>
  <c r="AO456" i="12"/>
  <c r="AP456" i="12"/>
  <c r="AT456" i="12"/>
  <c r="AU457" i="12" l="1"/>
  <c r="AT457" i="12"/>
  <c r="AK457" i="12"/>
  <c r="AS457" i="12"/>
  <c r="AM457" i="12"/>
  <c r="AR457" i="12"/>
  <c r="AQ457" i="12"/>
  <c r="AP457" i="12"/>
  <c r="AL457" i="12"/>
  <c r="AO457" i="12"/>
  <c r="AJ457" i="12"/>
  <c r="AN457" i="12"/>
  <c r="A458" i="12"/>
  <c r="AU458" i="12" l="1"/>
  <c r="AK458" i="12"/>
  <c r="AR458" i="12"/>
  <c r="AO458" i="12"/>
  <c r="AQ458" i="12"/>
  <c r="AT458" i="12"/>
  <c r="AN458" i="12"/>
  <c r="AP458" i="12"/>
  <c r="AL458" i="12"/>
  <c r="AM458" i="12"/>
  <c r="AS458" i="12"/>
  <c r="A459" i="12"/>
  <c r="AJ458" i="12"/>
  <c r="AK459" i="12" l="1"/>
  <c r="AN459" i="12"/>
  <c r="AT459" i="12"/>
  <c r="AJ459" i="12"/>
  <c r="AM459" i="12"/>
  <c r="AU459" i="12"/>
  <c r="AQ459" i="12"/>
  <c r="AS459" i="12"/>
  <c r="AR459" i="12"/>
  <c r="AP459" i="12"/>
  <c r="A460" i="12"/>
  <c r="AL459" i="12"/>
  <c r="AO459" i="12"/>
  <c r="AJ460" i="12" l="1"/>
  <c r="AM460" i="12"/>
  <c r="AP460" i="12"/>
  <c r="AT460" i="12"/>
  <c r="AU460" i="12"/>
  <c r="AS460" i="12"/>
  <c r="A461" i="12"/>
  <c r="AL460" i="12"/>
  <c r="AQ460" i="12"/>
  <c r="AO460" i="12"/>
  <c r="AR460" i="12"/>
  <c r="AK460" i="12"/>
  <c r="AN460" i="12"/>
  <c r="A462" i="12" l="1"/>
  <c r="AL461" i="12"/>
  <c r="AS461" i="12"/>
  <c r="AN461" i="12"/>
  <c r="AP461" i="12"/>
  <c r="AR461" i="12"/>
  <c r="AU461" i="12"/>
  <c r="AO461" i="12"/>
  <c r="AQ461" i="12"/>
  <c r="AM461" i="12"/>
  <c r="AT461" i="12"/>
  <c r="AJ461" i="12"/>
  <c r="AK461" i="12"/>
  <c r="AU462" i="12" l="1"/>
  <c r="AK462" i="12"/>
  <c r="AJ462" i="12"/>
  <c r="AT462" i="12"/>
  <c r="AN462" i="12"/>
  <c r="AQ462" i="12"/>
  <c r="AR462" i="12"/>
  <c r="AP462" i="12"/>
  <c r="AO462" i="12"/>
  <c r="AM462" i="12"/>
  <c r="AS462" i="12"/>
  <c r="A463" i="12"/>
  <c r="AL462" i="12"/>
  <c r="AK463" i="12" l="1"/>
  <c r="AN463" i="12"/>
  <c r="AM463" i="12"/>
  <c r="AJ463" i="12"/>
  <c r="AL463" i="12"/>
  <c r="AU463" i="12"/>
  <c r="AT463" i="12"/>
  <c r="AQ463" i="12"/>
  <c r="AO463" i="12"/>
  <c r="AP463" i="12"/>
  <c r="AS463" i="12"/>
  <c r="A464" i="12"/>
  <c r="AR463" i="12"/>
  <c r="AJ464" i="12" l="1"/>
  <c r="AM464" i="12"/>
  <c r="AT464" i="12"/>
  <c r="AO464" i="12"/>
  <c r="AU464" i="12"/>
  <c r="AK464" i="12"/>
  <c r="AL464" i="12"/>
  <c r="AS464" i="12"/>
  <c r="AP464" i="12"/>
  <c r="AR464" i="12"/>
  <c r="A465" i="12"/>
  <c r="AQ464" i="12"/>
  <c r="AN464" i="12"/>
  <c r="A466" i="12" l="1"/>
  <c r="AL465" i="12"/>
  <c r="AT465" i="12"/>
  <c r="AM465" i="12"/>
  <c r="AR465" i="12"/>
  <c r="AU465" i="12"/>
  <c r="AS465" i="12"/>
  <c r="AK465" i="12"/>
  <c r="AN465" i="12"/>
  <c r="AO465" i="12"/>
  <c r="AP465" i="12"/>
  <c r="AQ465" i="12"/>
  <c r="AJ465" i="12"/>
  <c r="AU466" i="12" l="1"/>
  <c r="AK466" i="12"/>
  <c r="AJ466" i="12"/>
  <c r="AR466" i="12"/>
  <c r="AQ466" i="12"/>
  <c r="AT466" i="12"/>
  <c r="AN466" i="12"/>
  <c r="AM466" i="12"/>
  <c r="AS466" i="12"/>
  <c r="AO466" i="12"/>
  <c r="AP466" i="12"/>
  <c r="AL466" i="12"/>
  <c r="A467" i="12"/>
  <c r="AK467" i="12" l="1"/>
  <c r="AN467" i="12"/>
  <c r="AQ467" i="12"/>
  <c r="AM467" i="12"/>
  <c r="AR467" i="12"/>
  <c r="AT467" i="12"/>
  <c r="AJ467" i="12"/>
  <c r="AU467" i="12"/>
  <c r="AL467" i="12"/>
  <c r="AP467" i="12"/>
  <c r="AS467" i="12"/>
  <c r="AO467" i="12"/>
  <c r="A468" i="12"/>
  <c r="AJ468" i="12" l="1"/>
  <c r="AM468" i="12"/>
  <c r="AL468" i="12"/>
  <c r="A469" i="12"/>
  <c r="AQ468" i="12"/>
  <c r="AS468" i="12"/>
  <c r="AT468" i="12"/>
  <c r="AP468" i="12"/>
  <c r="AN468" i="12"/>
  <c r="AO468" i="12"/>
  <c r="AR468" i="12"/>
  <c r="AU468" i="12"/>
  <c r="AK468" i="12"/>
  <c r="A470" i="12" l="1"/>
  <c r="AL469" i="12"/>
  <c r="AK469" i="12"/>
  <c r="AP469" i="12"/>
  <c r="AR469" i="12"/>
  <c r="AU469" i="12"/>
  <c r="AO469" i="12"/>
  <c r="AJ469" i="12"/>
  <c r="AN469" i="12"/>
  <c r="AQ469" i="12"/>
  <c r="AT469" i="12"/>
  <c r="AS469" i="12"/>
  <c r="AM469" i="12"/>
  <c r="AM470" i="12" l="1"/>
  <c r="AL470" i="12"/>
  <c r="AK470" i="12"/>
  <c r="AN470" i="12"/>
  <c r="AS470" i="12"/>
  <c r="AP470" i="12"/>
  <c r="AR470" i="12"/>
  <c r="AQ470" i="12"/>
  <c r="AO470" i="12"/>
  <c r="AU470" i="12"/>
  <c r="AT470" i="12"/>
  <c r="AJ470" i="12"/>
  <c r="A471" i="12"/>
  <c r="AK471" i="12" l="1"/>
  <c r="AM471" i="12"/>
  <c r="AR471" i="12"/>
  <c r="AO471" i="12"/>
  <c r="AT471" i="12"/>
  <c r="AJ471" i="12"/>
  <c r="AU471" i="12"/>
  <c r="AQ471" i="12"/>
  <c r="AP471" i="12"/>
  <c r="AS471" i="12"/>
  <c r="AL471" i="12"/>
  <c r="AN471" i="12"/>
  <c r="A472" i="12"/>
  <c r="AJ472" i="12" l="1"/>
  <c r="AP472" i="12"/>
  <c r="AU472" i="12"/>
  <c r="A473" i="12"/>
  <c r="AN472" i="12"/>
  <c r="AS472" i="12"/>
  <c r="AL472" i="12"/>
  <c r="AQ472" i="12"/>
  <c r="AM472" i="12"/>
  <c r="AO472" i="12"/>
  <c r="AR472" i="12"/>
  <c r="AT472" i="12"/>
  <c r="AK472" i="12"/>
  <c r="AK473" i="12" l="1"/>
  <c r="AL473" i="12"/>
  <c r="AU473" i="12"/>
  <c r="AP473" i="12"/>
  <c r="A474" i="12"/>
  <c r="AR473" i="12"/>
  <c r="AT473" i="12"/>
  <c r="AJ473" i="12"/>
  <c r="AN473" i="12"/>
  <c r="AQ473" i="12"/>
  <c r="AS473" i="12"/>
  <c r="AM473" i="12"/>
  <c r="AO473" i="12"/>
  <c r="AU474" i="12" l="1"/>
  <c r="AJ474" i="12"/>
  <c r="AK474" i="12"/>
  <c r="AS474" i="12"/>
  <c r="A475" i="12"/>
  <c r="AQ474" i="12"/>
  <c r="AT474" i="12"/>
  <c r="AM474" i="12"/>
  <c r="AP474" i="12"/>
  <c r="AO474" i="12"/>
  <c r="AR474" i="12"/>
  <c r="AN474" i="12"/>
  <c r="AL474" i="12"/>
  <c r="AK475" i="12" l="1"/>
  <c r="AM475" i="12"/>
  <c r="AR475" i="12"/>
  <c r="AN475" i="12"/>
  <c r="AS475" i="12"/>
  <c r="AL475" i="12"/>
  <c r="AQ475" i="12"/>
  <c r="AT475" i="12"/>
  <c r="AP475" i="12"/>
  <c r="AJ475" i="12"/>
  <c r="AO475" i="12"/>
  <c r="AU475" i="12"/>
  <c r="A476" i="12"/>
  <c r="AJ476" i="12" l="1"/>
  <c r="AP476" i="12"/>
  <c r="A477" i="12"/>
  <c r="AT476" i="12"/>
  <c r="AS476" i="12"/>
  <c r="AL476" i="12"/>
  <c r="AU476" i="12"/>
  <c r="AM476" i="12"/>
  <c r="AO476" i="12"/>
  <c r="AR476" i="12"/>
  <c r="AQ476" i="12"/>
  <c r="AN476" i="12"/>
  <c r="AK476" i="12"/>
  <c r="AK477" i="12" l="1"/>
  <c r="A478" i="12"/>
  <c r="AT477" i="12"/>
  <c r="AO477" i="12"/>
  <c r="AR477" i="12"/>
  <c r="AU477" i="12"/>
  <c r="AL477" i="12"/>
  <c r="AJ477" i="12"/>
  <c r="AN477" i="12"/>
  <c r="AQ477" i="12"/>
  <c r="AS477" i="12"/>
  <c r="AM477" i="12"/>
  <c r="AP477" i="12"/>
  <c r="AU478" i="12" l="1"/>
  <c r="AJ478" i="12"/>
  <c r="AS478" i="12"/>
  <c r="AR478" i="12"/>
  <c r="AL478" i="12"/>
  <c r="AQ478" i="12"/>
  <c r="AT478" i="12"/>
  <c r="AO478" i="12"/>
  <c r="AM478" i="12"/>
  <c r="AK478" i="12"/>
  <c r="AN478" i="12"/>
  <c r="AP478" i="12"/>
  <c r="A479" i="12"/>
  <c r="AK479" i="12" l="1"/>
  <c r="AM479" i="12"/>
  <c r="AT479" i="12"/>
  <c r="AN479" i="12"/>
  <c r="AR479" i="12"/>
  <c r="AS479" i="12"/>
  <c r="AO479" i="12"/>
  <c r="AP479" i="12"/>
  <c r="AU479" i="12"/>
  <c r="AL479" i="12"/>
  <c r="AQ479" i="12"/>
  <c r="AJ479" i="12"/>
  <c r="A480" i="12"/>
  <c r="AJ480" i="12" l="1"/>
  <c r="AP480" i="12"/>
  <c r="AM480" i="12"/>
  <c r="A481" i="12"/>
  <c r="AQ480" i="12"/>
  <c r="AS480" i="12"/>
  <c r="AL480" i="12"/>
  <c r="AU480" i="12"/>
  <c r="AT480" i="12"/>
  <c r="AO480" i="12"/>
  <c r="AR480" i="12"/>
  <c r="AK480" i="12"/>
  <c r="AN480" i="12"/>
  <c r="AK481" i="12" l="1"/>
  <c r="AT481" i="12"/>
  <c r="AP481" i="12"/>
  <c r="AQ481" i="12"/>
  <c r="AS481" i="12"/>
  <c r="AM481" i="12"/>
  <c r="AR481" i="12"/>
  <c r="AU481" i="12"/>
  <c r="A482" i="12"/>
  <c r="AN481" i="12"/>
  <c r="AL481" i="12"/>
  <c r="AO481" i="12"/>
  <c r="AJ481" i="12"/>
  <c r="AU482" i="12" l="1"/>
  <c r="AJ482" i="12"/>
  <c r="AR482" i="12"/>
  <c r="AL482" i="12"/>
  <c r="AQ482" i="12"/>
  <c r="AT482" i="12"/>
  <c r="AO482" i="12"/>
  <c r="AS482" i="12"/>
  <c r="AP482" i="12"/>
  <c r="A483" i="12"/>
  <c r="AM482" i="12"/>
  <c r="AK482" i="12"/>
  <c r="AN482" i="12"/>
  <c r="AK483" i="12" l="1"/>
  <c r="AM483" i="12"/>
  <c r="AJ483" i="12"/>
  <c r="AP483" i="12"/>
  <c r="AN483" i="12"/>
  <c r="AO483" i="12"/>
  <c r="AT483" i="12"/>
  <c r="AR483" i="12"/>
  <c r="AS483" i="12"/>
  <c r="AL483" i="12"/>
  <c r="AQ483" i="12"/>
  <c r="AU483" i="12"/>
  <c r="A484" i="12"/>
  <c r="AU484" i="12" l="1"/>
  <c r="AT484" i="12"/>
  <c r="AS484" i="12"/>
  <c r="AL484" i="12"/>
  <c r="AM484" i="12"/>
  <c r="A485" i="12"/>
  <c r="AQ484" i="12"/>
  <c r="AP484" i="12"/>
  <c r="AO484" i="12"/>
  <c r="AR484" i="12"/>
  <c r="AN484" i="12"/>
  <c r="AK484" i="12"/>
  <c r="AJ484" i="12"/>
  <c r="AK485" i="12" l="1"/>
  <c r="AN485" i="12"/>
  <c r="AQ485" i="12"/>
  <c r="AU485" i="12"/>
  <c r="AM485" i="12"/>
  <c r="AR485" i="12"/>
  <c r="AT485" i="12"/>
  <c r="AJ485" i="12"/>
  <c r="AO485" i="12"/>
  <c r="AP485" i="12"/>
  <c r="AS485" i="12"/>
  <c r="A486" i="12"/>
  <c r="AL485" i="12"/>
  <c r="AJ486" i="12" l="1"/>
  <c r="AM486" i="12"/>
  <c r="A487" i="12"/>
  <c r="AQ486" i="12"/>
  <c r="AS486" i="12"/>
  <c r="AT486" i="12"/>
  <c r="AL486" i="12"/>
  <c r="AO486" i="12"/>
  <c r="AU486" i="12"/>
  <c r="AK486" i="12"/>
  <c r="AR486" i="12"/>
  <c r="AP486" i="12"/>
  <c r="AN486" i="12"/>
  <c r="A488" i="12" l="1"/>
  <c r="AL487" i="12"/>
  <c r="AK487" i="12"/>
  <c r="AJ487" i="12"/>
  <c r="AR487" i="12"/>
  <c r="AU487" i="12"/>
  <c r="AO487" i="12"/>
  <c r="AN487" i="12"/>
  <c r="AQ487" i="12"/>
  <c r="AS487" i="12"/>
  <c r="AP487" i="12"/>
  <c r="AT487" i="12"/>
  <c r="AM487" i="12"/>
  <c r="AU488" i="12" l="1"/>
  <c r="AK488" i="12"/>
  <c r="AN488" i="12"/>
  <c r="AR488" i="12"/>
  <c r="AP488" i="12"/>
  <c r="AS488" i="12"/>
  <c r="A489" i="12"/>
  <c r="AQ488" i="12"/>
  <c r="AT488" i="12"/>
  <c r="AM488" i="12"/>
  <c r="AJ488" i="12"/>
  <c r="AL488" i="12"/>
  <c r="AO488" i="12"/>
  <c r="AK489" i="12" l="1"/>
  <c r="AN489" i="12"/>
  <c r="AU489" i="12"/>
  <c r="AJ489" i="12"/>
  <c r="AO489" i="12"/>
  <c r="AT489" i="12"/>
  <c r="AQ489" i="12"/>
  <c r="AR489" i="12"/>
  <c r="AP489" i="12"/>
  <c r="AS489" i="12"/>
  <c r="AL489" i="12"/>
  <c r="AM489" i="12"/>
  <c r="A490" i="12"/>
  <c r="AJ490" i="12" l="1"/>
  <c r="AM490" i="12"/>
  <c r="AL490" i="12"/>
  <c r="AP490" i="12"/>
  <c r="AU490" i="12"/>
  <c r="A491" i="12"/>
  <c r="AS490" i="12"/>
  <c r="AR490" i="12"/>
  <c r="AN490" i="12"/>
  <c r="AO490" i="12"/>
  <c r="AT490" i="12"/>
  <c r="AQ490" i="12"/>
  <c r="AK490" i="12"/>
  <c r="A492" i="12" l="1"/>
  <c r="AL491" i="12"/>
  <c r="AO491" i="12"/>
  <c r="AR491" i="12"/>
  <c r="AU491" i="12"/>
  <c r="AS491" i="12"/>
  <c r="AJ491" i="12"/>
  <c r="AN491" i="12"/>
  <c r="AQ491" i="12"/>
  <c r="AT491" i="12"/>
  <c r="AK491" i="12"/>
  <c r="AP491" i="12"/>
  <c r="AM491" i="12"/>
  <c r="AU492" i="12" l="1"/>
  <c r="AK492" i="12"/>
  <c r="AR492" i="12"/>
  <c r="AT492" i="12"/>
  <c r="AN492" i="12"/>
  <c r="AP492" i="12"/>
  <c r="AL492" i="12"/>
  <c r="AJ492" i="12"/>
  <c r="AQ492" i="12"/>
  <c r="AM492" i="12"/>
  <c r="AO492" i="12"/>
  <c r="AS492" i="12"/>
  <c r="A493" i="12"/>
  <c r="AK493" i="12" l="1"/>
  <c r="AN493" i="12"/>
  <c r="AU493" i="12"/>
  <c r="AR493" i="12"/>
  <c r="AT493" i="12"/>
  <c r="AJ493" i="12"/>
  <c r="AM493" i="12"/>
  <c r="AL493" i="12"/>
  <c r="AQ493" i="12"/>
  <c r="AP493" i="12"/>
  <c r="AS493" i="12"/>
  <c r="AO493" i="12"/>
  <c r="A494" i="12"/>
  <c r="AJ494" i="12" l="1"/>
  <c r="AM494" i="12"/>
  <c r="AP494" i="12"/>
  <c r="AT494" i="12"/>
  <c r="AR494" i="12"/>
  <c r="AN494" i="12"/>
  <c r="AS494" i="12"/>
  <c r="A495" i="12"/>
  <c r="AL494" i="12"/>
  <c r="AO494" i="12"/>
  <c r="AU494" i="12"/>
  <c r="AK494" i="12"/>
  <c r="AQ494" i="12"/>
  <c r="A496" i="12" l="1"/>
  <c r="AL495" i="12"/>
  <c r="AS495" i="12"/>
  <c r="AP495" i="12"/>
  <c r="AR495" i="12"/>
  <c r="AU495" i="12"/>
  <c r="AO495" i="12"/>
  <c r="AM495" i="12"/>
  <c r="AN495" i="12"/>
  <c r="AQ495" i="12"/>
  <c r="AT495" i="12"/>
  <c r="AJ495" i="12"/>
  <c r="AK495" i="12"/>
  <c r="AU496" i="12" l="1"/>
  <c r="AK496" i="12"/>
  <c r="AJ496" i="12"/>
  <c r="AS496" i="12"/>
  <c r="AN496" i="12"/>
  <c r="AO496" i="12"/>
  <c r="AQ496" i="12"/>
  <c r="AT496" i="12"/>
  <c r="AR496" i="12"/>
  <c r="AM496" i="12"/>
  <c r="AP496" i="12"/>
  <c r="A497" i="12"/>
  <c r="AL496" i="12"/>
  <c r="AP497" i="12" l="1"/>
  <c r="AK497" i="12"/>
  <c r="AM497" i="12"/>
  <c r="AT497" i="12"/>
  <c r="AR497" i="12"/>
  <c r="AO497" i="12"/>
  <c r="AL497" i="12"/>
  <c r="AU497" i="12"/>
  <c r="AS497" i="12"/>
  <c r="AN497" i="12"/>
  <c r="AJ497" i="12"/>
  <c r="AQ497" i="12"/>
  <c r="A498" i="12"/>
  <c r="AU498" i="12" l="1"/>
  <c r="AJ498" i="12"/>
  <c r="AO498" i="12"/>
  <c r="AM498" i="12"/>
  <c r="AR498" i="12"/>
  <c r="AN498" i="12"/>
  <c r="AQ498" i="12"/>
  <c r="AT498" i="12"/>
  <c r="AS498" i="12"/>
  <c r="AP498" i="12"/>
  <c r="A499" i="12"/>
  <c r="AL498" i="12"/>
  <c r="AK498" i="12"/>
  <c r="AK499" i="12" l="1"/>
  <c r="AM499" i="12"/>
  <c r="AJ499" i="12"/>
  <c r="AR499" i="12"/>
  <c r="AS499" i="12"/>
  <c r="AL499" i="12"/>
  <c r="AT499" i="12"/>
  <c r="AU499" i="12"/>
  <c r="AO499" i="12"/>
  <c r="AP499" i="12"/>
  <c r="AN499" i="12"/>
  <c r="AQ499" i="12"/>
  <c r="A500" i="12"/>
  <c r="AJ500" i="12" l="1"/>
  <c r="AP500" i="12"/>
  <c r="AQ500" i="12"/>
  <c r="AL500" i="12"/>
  <c r="AM500" i="12"/>
  <c r="AO500" i="12"/>
  <c r="AS500" i="12"/>
  <c r="A501" i="12"/>
  <c r="AR500" i="12"/>
  <c r="AK500" i="12"/>
  <c r="AN500" i="12"/>
  <c r="AT500" i="12"/>
  <c r="AU500" i="12"/>
  <c r="AK501" i="12" l="1"/>
  <c r="AP501" i="12"/>
  <c r="AT501" i="12"/>
  <c r="A502" i="12"/>
  <c r="AR501" i="12"/>
  <c r="AU501" i="12"/>
  <c r="AS501" i="12"/>
  <c r="AM501" i="12"/>
  <c r="AL501" i="12"/>
  <c r="AN501" i="12"/>
  <c r="AQ501" i="12"/>
  <c r="AJ501" i="12"/>
  <c r="AO501" i="12"/>
  <c r="AU502" i="12" l="1"/>
  <c r="AJ502" i="12"/>
  <c r="AK502" i="12"/>
  <c r="AM502" i="12"/>
  <c r="AR502" i="12"/>
  <c r="AN502" i="12"/>
  <c r="AQ502" i="12"/>
  <c r="AT502" i="12"/>
  <c r="AS502" i="12"/>
  <c r="AP502" i="12"/>
  <c r="AL502" i="12"/>
  <c r="AO502" i="12"/>
  <c r="A503" i="12"/>
  <c r="AK503" i="12" l="1"/>
  <c r="AM503" i="12"/>
  <c r="AJ503" i="12"/>
  <c r="AP503" i="12"/>
  <c r="AR503" i="12"/>
  <c r="AQ503" i="12"/>
  <c r="AT503" i="12"/>
  <c r="AS503" i="12"/>
  <c r="AO503" i="12"/>
  <c r="AU503" i="12"/>
  <c r="AN503" i="12"/>
  <c r="A504" i="12"/>
  <c r="AL503" i="12"/>
  <c r="AJ504" i="12" l="1"/>
  <c r="AP504" i="12"/>
  <c r="AU504" i="12"/>
  <c r="AL504" i="12"/>
  <c r="AQ504" i="12"/>
  <c r="AM504" i="12"/>
  <c r="AS504" i="12"/>
  <c r="A505" i="12"/>
  <c r="AO504" i="12"/>
  <c r="AR504" i="12"/>
  <c r="AN504" i="12"/>
  <c r="AK504" i="12"/>
  <c r="AT504" i="12"/>
  <c r="AC3" i="12" l="1"/>
  <c r="AE3" i="12"/>
  <c r="AD3" i="12"/>
  <c r="AB3" i="12"/>
  <c r="AA6" i="11"/>
  <c r="AB6" i="11"/>
  <c r="AC6" i="11"/>
  <c r="AE6" i="11"/>
  <c r="AD6" i="11"/>
  <c r="AG6" i="11"/>
  <c r="AF6" i="11"/>
  <c r="AK505" i="12"/>
  <c r="AL505" i="12"/>
  <c r="AQ505" i="12"/>
  <c r="AP505" i="12"/>
  <c r="AO505" i="12"/>
  <c r="AR505" i="12"/>
  <c r="AU505" i="12"/>
  <c r="AT505" i="12"/>
  <c r="AN505" i="12"/>
  <c r="AS505" i="12"/>
  <c r="AM505" i="12"/>
  <c r="AJ505" i="12"/>
  <c r="A506" i="12"/>
  <c r="AU506" i="12" l="1"/>
  <c r="AJ506" i="12"/>
  <c r="AK506" i="12"/>
  <c r="AP506" i="12"/>
  <c r="AS506" i="12"/>
  <c r="AQ506" i="12"/>
  <c r="AT506" i="12"/>
  <c r="AR506" i="12"/>
  <c r="AO506" i="12"/>
  <c r="AM506" i="12"/>
  <c r="A507" i="12"/>
  <c r="AL506" i="12"/>
  <c r="AN506" i="12"/>
  <c r="AK507" i="12" l="1"/>
  <c r="AM507" i="12"/>
  <c r="AR507" i="12"/>
  <c r="AT507" i="12"/>
  <c r="AN507" i="12"/>
  <c r="AO507" i="12"/>
  <c r="AP507" i="12"/>
  <c r="AS507" i="12"/>
  <c r="AU507" i="12"/>
  <c r="AJ507" i="12"/>
  <c r="AL507" i="12"/>
  <c r="AQ507" i="12"/>
  <c r="A508" i="12"/>
  <c r="AJ508" i="12" l="1"/>
  <c r="AP508" i="12"/>
  <c r="AS508" i="12"/>
  <c r="A509" i="12"/>
  <c r="AQ508" i="12"/>
  <c r="AL508" i="12"/>
  <c r="AU508" i="12"/>
  <c r="AT508" i="12"/>
  <c r="AO508" i="12"/>
  <c r="AR508" i="12"/>
  <c r="AM508" i="12"/>
  <c r="AK508" i="12"/>
  <c r="AN508" i="12"/>
  <c r="AK509" i="12" l="1"/>
  <c r="AL509" i="12"/>
  <c r="A510" i="12"/>
  <c r="AR509" i="12"/>
  <c r="AU509" i="12"/>
  <c r="AM509" i="12"/>
  <c r="AN509" i="12"/>
  <c r="AQ509" i="12"/>
  <c r="AS509" i="12"/>
  <c r="AT509" i="12"/>
  <c r="AP509" i="12"/>
  <c r="AJ509" i="12"/>
  <c r="AO509" i="12"/>
  <c r="AU510" i="12" l="1"/>
  <c r="AJ510" i="12"/>
  <c r="AS510" i="12"/>
  <c r="AM510" i="12"/>
  <c r="AK510" i="12"/>
  <c r="AQ510" i="12"/>
  <c r="AT510" i="12"/>
  <c r="AO510" i="12"/>
  <c r="AP510" i="12"/>
  <c r="AN510" i="12"/>
  <c r="AR510" i="12"/>
  <c r="A511" i="12"/>
  <c r="AL510" i="12"/>
  <c r="AK511" i="12" l="1"/>
  <c r="AM511" i="12"/>
  <c r="AR511" i="12"/>
  <c r="AU511" i="12"/>
  <c r="AL511" i="12"/>
  <c r="AJ511" i="12"/>
  <c r="AT511" i="12"/>
  <c r="AN511" i="12"/>
  <c r="AS511" i="12"/>
  <c r="AO511" i="12"/>
  <c r="AP511" i="12"/>
  <c r="AQ511" i="12"/>
  <c r="A512" i="12"/>
  <c r="AJ512" i="12" l="1"/>
  <c r="AP512" i="12"/>
  <c r="AM512" i="12"/>
  <c r="AL512" i="12"/>
  <c r="AO512" i="12"/>
  <c r="AR512" i="12"/>
  <c r="AT512" i="12"/>
  <c r="AS512" i="12"/>
  <c r="A513" i="12"/>
  <c r="AN512" i="12"/>
  <c r="AU512" i="12"/>
  <c r="AK512" i="12"/>
  <c r="AQ512" i="12"/>
  <c r="AK513" i="12" l="1"/>
  <c r="AT513" i="12"/>
  <c r="AR513" i="12"/>
  <c r="AP513" i="12"/>
  <c r="AN513" i="12"/>
  <c r="AS513" i="12"/>
  <c r="AM513" i="12"/>
  <c r="AU513" i="12"/>
  <c r="A514" i="12"/>
  <c r="AO513" i="12"/>
  <c r="AQ513" i="12"/>
  <c r="AL513" i="12"/>
  <c r="AJ513" i="12"/>
  <c r="AU514" i="12" l="1"/>
  <c r="AU515" i="12" s="1"/>
  <c r="AJ514" i="12"/>
  <c r="Z7" i="11" s="1"/>
  <c r="AS514" i="12"/>
  <c r="AS515" i="12" s="1"/>
  <c r="AR514" i="12"/>
  <c r="AR515" i="12" s="1"/>
  <c r="AL514" i="12"/>
  <c r="AQ514" i="12"/>
  <c r="AT514" i="12"/>
  <c r="AT515" i="12" s="1"/>
  <c r="AO514" i="12"/>
  <c r="AM514" i="12"/>
  <c r="AN514" i="12"/>
  <c r="AP514" i="12"/>
  <c r="AK514" i="12"/>
  <c r="A515" i="12"/>
  <c r="A516" i="12" s="1"/>
  <c r="A517" i="12" s="1"/>
  <c r="A518" i="12" s="1"/>
  <c r="A519" i="12" s="1"/>
  <c r="A520" i="12" s="1"/>
  <c r="BP274" i="11"/>
  <c r="BO145" i="11" s="1"/>
  <c r="BM189" i="11"/>
  <c r="BP318" i="11"/>
  <c r="BM233" i="11"/>
  <c r="BP329" i="11"/>
  <c r="BO233" i="11" s="1"/>
  <c r="BM277" i="11"/>
  <c r="BP373" i="11"/>
  <c r="BM321" i="11"/>
  <c r="BM365" i="11"/>
  <c r="BM409" i="11"/>
  <c r="AA4" i="12" l="1"/>
  <c r="AA7" i="11"/>
  <c r="AB4" i="12" s="1"/>
  <c r="AK515" i="12"/>
  <c r="AE7" i="11"/>
  <c r="AO515" i="12"/>
  <c r="AP515" i="12"/>
  <c r="AF7" i="11"/>
  <c r="AD7" i="11"/>
  <c r="AE4" i="12" s="1"/>
  <c r="AN515" i="12"/>
  <c r="AQ515" i="12"/>
  <c r="AG7" i="11"/>
  <c r="AC7" i="11"/>
  <c r="AD4" i="12" s="1"/>
  <c r="AM515" i="12"/>
  <c r="AL515" i="12"/>
  <c r="AB7" i="11"/>
  <c r="AC4" i="12" s="1"/>
  <c r="R5" i="17" l="1"/>
  <c r="BM101" i="11" l="1"/>
  <c r="BP197" i="11"/>
  <c r="BM57" i="11"/>
  <c r="BM13" i="11"/>
  <c r="BP14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Vertex42</author>
  </authors>
  <commentList>
    <comment ref="S2" authorId="0" shapeId="0" xr:uid="{00000000-0006-0000-0200-000001000000}">
      <text>
        <r>
          <rPr>
            <b/>
            <sz val="8"/>
            <color indexed="81"/>
            <rFont val="Tahoma"/>
            <family val="2"/>
          </rPr>
          <t>Percent Complete</t>
        </r>
        <r>
          <rPr>
            <sz val="8"/>
            <color indexed="81"/>
            <rFont val="Tahoma"/>
            <family val="2"/>
          </rPr>
          <t xml:space="preserve">
Update the status of this task by entering the percent complete (between 0% and 100%).</t>
        </r>
      </text>
    </comment>
    <comment ref="T2" authorId="0" shapeId="0" xr:uid="{00000000-0006-0000-0200-000002000000}">
      <text>
        <r>
          <rPr>
            <b/>
            <sz val="8"/>
            <color indexed="81"/>
            <rFont val="Tahoma"/>
            <family val="2"/>
          </rPr>
          <t>Work Days</t>
        </r>
        <r>
          <rPr>
            <sz val="8"/>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MOVEMENT!$AM$45:$BG$75" type="102" refreshedVersion="5" minRefreshableVersion="5">
    <extLst>
      <ext xmlns:x15="http://schemas.microsoft.com/office/spreadsheetml/2010/11/main" uri="{DE250136-89BD-433C-8126-D09CA5730AF9}">
        <x15:connection id="Range1-2e2f8f30-fa6a-407b-82dc-36d134db9a4f" autoDelete="1">
          <x15:rangePr sourceName="_xlcn.WorksheetConnection_MOVEMENTAM45BG75"/>
        </x15:connection>
      </ext>
    </extLst>
  </connection>
</connections>
</file>

<file path=xl/sharedStrings.xml><?xml version="1.0" encoding="utf-8"?>
<sst xmlns="http://schemas.openxmlformats.org/spreadsheetml/2006/main" count="9236" uniqueCount="353">
  <si>
    <t>JOB NUMBER</t>
  </si>
  <si>
    <t>CUSTOMER</t>
  </si>
  <si>
    <t>SHIP DATE</t>
  </si>
  <si>
    <t>ENG STATUS</t>
  </si>
  <si>
    <t>SQFT</t>
  </si>
  <si>
    <t>PANELS</t>
  </si>
  <si>
    <t>DOORS</t>
  </si>
  <si>
    <t>DATE</t>
  </si>
  <si>
    <t>ACTUAL</t>
  </si>
  <si>
    <t>TOTALS</t>
  </si>
  <si>
    <t>PROD STATUS</t>
  </si>
  <si>
    <t>F</t>
  </si>
  <si>
    <t>M</t>
  </si>
  <si>
    <t>D</t>
  </si>
  <si>
    <t>FreightTyoe</t>
  </si>
  <si>
    <t>A</t>
  </si>
  <si>
    <t>TOTAL</t>
  </si>
  <si>
    <t>METAL</t>
  </si>
  <si>
    <t>ASSEMBLY</t>
  </si>
  <si>
    <t>FOAM</t>
  </si>
  <si>
    <t>TOTAL SQFT:</t>
  </si>
  <si>
    <t>JOB NAME</t>
  </si>
  <si>
    <t>LOCATION</t>
  </si>
  <si>
    <t>PROD WEEK</t>
  </si>
  <si>
    <t>PRODDUEDATE</t>
  </si>
  <si>
    <t>GROUP_val</t>
  </si>
  <si>
    <t>BOX</t>
  </si>
  <si>
    <t>BUILT BY</t>
  </si>
  <si>
    <t>SO Code</t>
  </si>
  <si>
    <t>Job Total</t>
  </si>
  <si>
    <t>Confirmed</t>
  </si>
  <si>
    <t>Confm</t>
  </si>
  <si>
    <t>CR</t>
  </si>
  <si>
    <t>PF SQFT</t>
  </si>
  <si>
    <t>NON-PF SQFT</t>
  </si>
  <si>
    <t>2 CONFIRMED, APPROVED</t>
  </si>
  <si>
    <t>3 CONFIRMED, APPROVED</t>
  </si>
  <si>
    <t>4 CONFIRMED, APPROVED</t>
  </si>
  <si>
    <t>5 CONFIRMED, APPROVED</t>
  </si>
  <si>
    <t>6 CONFIRMED, APPROVED</t>
  </si>
  <si>
    <t>7 CONFIRMED, APPROVED</t>
  </si>
  <si>
    <t>8 CONFIRMED, APPROVED</t>
  </si>
  <si>
    <t>9 CONFIRMED, APPROVED</t>
  </si>
  <si>
    <t>10 CONFIRMED, APPROVED</t>
  </si>
  <si>
    <t>11 CONFIRMED, APPROVED</t>
  </si>
  <si>
    <t>12 CONFIRMED, APPROVED</t>
  </si>
  <si>
    <t>CURRENT</t>
  </si>
  <si>
    <t>TOTAL WIP</t>
  </si>
  <si>
    <t>total panels</t>
  </si>
  <si>
    <t>total doors</t>
  </si>
  <si>
    <t>TOTAL JOBS:</t>
  </si>
  <si>
    <t>Difference:</t>
  </si>
  <si>
    <t>PROD DUE DATE</t>
  </si>
  <si>
    <t>TOTAL JOBS IN WIP</t>
  </si>
  <si>
    <t>jobs in METAL</t>
  </si>
  <si>
    <t>jobs in ASSEMBLY</t>
  </si>
  <si>
    <t>jobs in FOAM</t>
  </si>
  <si>
    <t>LIVING</t>
  </si>
  <si>
    <t>%</t>
  </si>
  <si>
    <t>SQFT in METAL</t>
  </si>
  <si>
    <t>SQFT in ASSEMBLY</t>
  </si>
  <si>
    <t>SQFT in FOAM</t>
  </si>
  <si>
    <t>TOTAL SQFT IN WIP:</t>
  </si>
  <si>
    <t>Panels in ASSEMBLY</t>
  </si>
  <si>
    <t>Panels in METAL</t>
  </si>
  <si>
    <t>Panels in FOAM</t>
  </si>
  <si>
    <t>Doors in METAL</t>
  </si>
  <si>
    <t>Doors in ASSEMBLY</t>
  </si>
  <si>
    <t>Doors in FOAM</t>
  </si>
  <si>
    <t>DOORS IN WIP</t>
  </si>
  <si>
    <t>SQFT.</t>
  </si>
  <si>
    <t>1. From CMS, generate a PRODUCTION SCHEDULE and sort the PROD WEEK</t>
  </si>
  <si>
    <t>from oldest to newest.</t>
  </si>
  <si>
    <t>2. COPY the entire PRODUCTION SCHEDULE (columns A-U)</t>
  </si>
  <si>
    <t>3. PASTE (to match destination formatting, the 2nd option) on the 1st tab of this workbook.</t>
  </si>
  <si>
    <t>TOTAL PANELS IN WIP:</t>
  </si>
  <si>
    <t>BOX TOTAL:</t>
  </si>
  <si>
    <t>JOB TOTAL:</t>
  </si>
  <si>
    <t>TOTAL DOORS:</t>
  </si>
  <si>
    <t>TOTAL PANELS:</t>
  </si>
  <si>
    <t>BOX:</t>
  </si>
  <si>
    <t>The gray text will automatically change to black once data is pasted.</t>
  </si>
  <si>
    <t>NIGHT SHIFT</t>
  </si>
  <si>
    <t>DAY SHIFT</t>
  </si>
  <si>
    <t>WEEK 1</t>
  </si>
  <si>
    <t>WEEK 2</t>
  </si>
  <si>
    <t>WEEK 3</t>
  </si>
  <si>
    <t>WEEK 4</t>
  </si>
  <si>
    <t>WEEK 5</t>
  </si>
  <si>
    <t>TOTAL SQFT.</t>
  </si>
  <si>
    <t>CONFIRMED/APPROVED PFs</t>
  </si>
  <si>
    <t>CARRY-OVER</t>
  </si>
  <si>
    <t>NOT APPROVED/CONFIRMED</t>
  </si>
  <si>
    <t>ACTUAL SQ FT P/Hr</t>
  </si>
  <si>
    <t>HIGH</t>
  </si>
  <si>
    <t>(PER DAY)</t>
  </si>
  <si>
    <t>MID</t>
  </si>
  <si>
    <t xml:space="preserve">LOW </t>
  </si>
  <si>
    <t>NEEDED SF</t>
  </si>
  <si>
    <t>NIGHTSHIFT</t>
  </si>
  <si>
    <t>DAYSHIFT</t>
  </si>
  <si>
    <t>EFFICIENCY %</t>
  </si>
  <si>
    <t>DAYS LEFT:</t>
  </si>
  <si>
    <t>HOURS</t>
  </si>
  <si>
    <t>HD COUNT</t>
  </si>
  <si>
    <t>SQ FT PRODUCED</t>
  </si>
  <si>
    <t>SHIFT DURATION</t>
  </si>
  <si>
    <t>TOTAL WO</t>
  </si>
  <si>
    <t>HOURS / WO NIGHT</t>
  </si>
  <si>
    <t>HOURS / WO DAY</t>
  </si>
  <si>
    <t>DAYS NEEDED</t>
  </si>
  <si>
    <t>CAPACITY</t>
  </si>
  <si>
    <t>POSSIBILITIES</t>
  </si>
  <si>
    <t>NEEDED</t>
  </si>
  <si>
    <t>PROJECTED</t>
  </si>
  <si>
    <t>EFFICIENCY:</t>
  </si>
  <si>
    <t>12 HOUR HIGH</t>
  </si>
  <si>
    <t>12 HOUR MID</t>
  </si>
  <si>
    <t>12 HOUR LOW</t>
  </si>
  <si>
    <t>10 HOUR HIGH</t>
  </si>
  <si>
    <t>10 HOUR MID</t>
  </si>
  <si>
    <t>10 HOUR LOW</t>
  </si>
  <si>
    <t>8 HOUR HIGH</t>
  </si>
  <si>
    <t>8 HOUR MID</t>
  </si>
  <si>
    <t>8 HOUR LOW</t>
  </si>
  <si>
    <t>DAYS</t>
  </si>
  <si>
    <t>AVAILABLE</t>
  </si>
  <si>
    <t>CALENDAR</t>
  </si>
  <si>
    <t>OUTPUT CAPACITY</t>
  </si>
  <si>
    <t xml:space="preserve">NEEDED DAYS </t>
  </si>
  <si>
    <t>12 HRS</t>
  </si>
  <si>
    <t>10 HRS</t>
  </si>
  <si>
    <t>8 HRS</t>
  </si>
  <si>
    <t>WINDOW</t>
  </si>
  <si>
    <t>SQ FT</t>
  </si>
  <si>
    <t>SHIFT</t>
  </si>
  <si>
    <t>PERCENT</t>
  </si>
  <si>
    <t>NIGHT</t>
  </si>
  <si>
    <t>DAY</t>
  </si>
  <si>
    <t>EFFICIENCY</t>
  </si>
  <si>
    <t>WO ALLOTMENT</t>
  </si>
  <si>
    <t>TOTAL SQ FEET TO BE PRODUCED</t>
  </si>
  <si>
    <t>Person Name</t>
  </si>
  <si>
    <t>Worked Account Name</t>
  </si>
  <si>
    <t>Manager</t>
  </si>
  <si>
    <t>Regular</t>
  </si>
  <si>
    <t>Overtime</t>
  </si>
  <si>
    <t>Doubletime</t>
  </si>
  <si>
    <t>SUM</t>
  </si>
  <si>
    <t>SQ. FT.</t>
  </si>
  <si>
    <t xml:space="preserve">DATE </t>
  </si>
  <si>
    <t xml:space="preserve">DAY </t>
  </si>
  <si>
    <t xml:space="preserve">TOTAL </t>
  </si>
  <si>
    <t>ACTUAL SQ FT RELEASED:</t>
  </si>
  <si>
    <t>REMNANTS:</t>
  </si>
  <si>
    <t>SHIFT (Hrs)</t>
  </si>
  <si>
    <t>ACTUAL SQ FT P/H:</t>
  </si>
  <si>
    <t xml:space="preserve"> SQ FT P/H  PER SHIFT:</t>
  </si>
  <si>
    <t>jobs in DEVELOPMENT</t>
  </si>
  <si>
    <t>SQFT in DEVELOPMENT</t>
  </si>
  <si>
    <t>Panels in DEVELOPMENT</t>
  </si>
  <si>
    <t>Doors in DEVELOPMENT</t>
  </si>
  <si>
    <t>DEVELOPMENT</t>
  </si>
  <si>
    <t>MOST RECENT</t>
  </si>
  <si>
    <t>RECORDS</t>
  </si>
  <si>
    <t>4. Come back to this tab and COPY the cells in green to the left.</t>
  </si>
  <si>
    <t>5. PASTE TWICE below, (under MOST RECENT &amp; RECORDS).</t>
  </si>
  <si>
    <t>CLEAR 1ST!</t>
  </si>
  <si>
    <t>(Only the cells in yellow)</t>
  </si>
  <si>
    <t>SQFT LEFT</t>
  </si>
  <si>
    <t>JOBS THAT HAVE LEFT WIP!</t>
  </si>
  <si>
    <t>HOW TO USE THIS WORKBOOK</t>
  </si>
  <si>
    <t>Prod. SCHED</t>
  </si>
  <si>
    <t>CURRENT WIP</t>
  </si>
  <si>
    <t>WIP REPORT</t>
  </si>
  <si>
    <t>MOVEMENT</t>
  </si>
  <si>
    <t>HEAD COUNT</t>
  </si>
  <si>
    <t>MONTHLY SHEETS</t>
  </si>
  <si>
    <t>This is this starting point.</t>
  </si>
  <si>
    <t>This is generated and updated everytime you paste on the "Prod. SCHED"</t>
  </si>
  <si>
    <t>This sheet shows the progression of work from shift to shift, day to day, or however frequent you decide to update it.</t>
  </si>
  <si>
    <t>This allows you to log daily reports of actual hours, square ft. released, and sq ft. produced.  An efficiency range is then generated.</t>
  </si>
  <si>
    <t>Copy data from columns A-V and paste (to match destination formatting) from the CMS Production Schedule.</t>
  </si>
  <si>
    <t>There is code embedded to replace the manager's name that shouldn't be there, convert the hours to #s, and sort by shift supervisor.</t>
  </si>
  <si>
    <t xml:space="preserve">This sheet allows you to forecast the needed labor force with the sq ft needed in an allotted amount of time.  </t>
  </si>
  <si>
    <t>STEP 1</t>
  </si>
  <si>
    <t>Jobs are color coded for the 1st 5 production weeks with a tally on the top right of the sheet.</t>
  </si>
  <si>
    <t>Only jobs that are in METAL, ASSEMBLY, FOAM, or DOORS are displayed.</t>
  </si>
  <si>
    <t>Jobs that have left WIP (moved to FINISHED GOODS) are listed to the right.</t>
  </si>
  <si>
    <t xml:space="preserve">These are both living summaries and will change based on changes made to other sheets, </t>
  </si>
  <si>
    <t>you may want to print out this sheet to capture the time frame you want to see.</t>
  </si>
  <si>
    <t>STEP 2</t>
  </si>
  <si>
    <t>STEP 3</t>
  </si>
  <si>
    <t>To keep a log of the movement and to generate a comparison of how the work has shifted, copy and paste as instructed.</t>
  </si>
  <si>
    <t>STEP 4</t>
  </si>
  <si>
    <t>Copy and paste from the attendance report.</t>
  </si>
  <si>
    <t xml:space="preserve">This sheet sorts the 2 shifts by manager, and tallies the actual labor hours per shift.  </t>
  </si>
  <si>
    <t>STEP 5</t>
  </si>
  <si>
    <t>All the mint green cells require an input/selection.</t>
  </si>
  <si>
    <t xml:space="preserve">Only the possible configurations of shifts and efficiency rates will be displayed.  </t>
  </si>
  <si>
    <t>(If an 8 HOUR shift working at low efficiency will take more days than allowed, 8 HOURS LOW EFFICIENCY won't be displayed).</t>
  </si>
  <si>
    <t>(Following the steps outlined on this sheet are important in order to generate the list of "JOBS" that have left WIP".</t>
  </si>
  <si>
    <t>Projected scenarios are generated, there is also a side by side comparison of actual data when you input real figures.</t>
  </si>
  <si>
    <t>STEP 6</t>
  </si>
  <si>
    <t>Fill out the data under the lists to the right.  The daily blocks of data will be auto-populated based on the date.</t>
  </si>
  <si>
    <t>Every mint green cell requires an input.</t>
  </si>
  <si>
    <t xml:space="preserve">Every month in 2016 from February on is accounted for.  April through December are hidden at the time.  </t>
  </si>
  <si>
    <t>As time goes by, unhide the appropriate month, and if you choose you can hide the past months to keep the workbook organized.</t>
  </si>
  <si>
    <r>
      <t xml:space="preserve">This sheet should remain hidden, </t>
    </r>
    <r>
      <rPr>
        <b/>
        <sz val="14"/>
        <color rgb="FFFF0000"/>
        <rFont val="Courier New"/>
        <family val="3"/>
      </rPr>
      <t>DON'T MODIFY</t>
    </r>
    <r>
      <rPr>
        <sz val="14"/>
        <color rgb="FFFF0000"/>
        <rFont val="Courier New"/>
        <family val="3"/>
      </rPr>
      <t xml:space="preserve"> anything on it.</t>
    </r>
  </si>
  <si>
    <t>Dollar Tree Sourcing Comp. LLC</t>
  </si>
  <si>
    <t>PF</t>
  </si>
  <si>
    <t>GA</t>
  </si>
  <si>
    <t>4PD</t>
  </si>
  <si>
    <t>Yes</t>
  </si>
  <si>
    <t>FBed</t>
  </si>
  <si>
    <t>Publix Super Markets Inc.</t>
  </si>
  <si>
    <t>CC</t>
  </si>
  <si>
    <t xml:space="preserve"> </t>
  </si>
  <si>
    <t>KPS, LLC Cincinnati #014</t>
  </si>
  <si>
    <t>Kroger Atlanta # 011</t>
  </si>
  <si>
    <t>KPS, LLC Columbus #016</t>
  </si>
  <si>
    <t>KPS, LLC Mid-Atlantic # 029</t>
  </si>
  <si>
    <t>SS</t>
  </si>
  <si>
    <t>Giant Tiger Stores Unlimited</t>
  </si>
  <si>
    <t>KPS, LLC Mid-South #024</t>
  </si>
  <si>
    <t>Wal-Mart Store Planning</t>
  </si>
  <si>
    <t>Giant Eagle-Aetos Construction</t>
  </si>
  <si>
    <t>No</t>
  </si>
  <si>
    <t>RS</t>
  </si>
  <si>
    <t>PW</t>
  </si>
  <si>
    <t>.</t>
  </si>
  <si>
    <t>PQ</t>
  </si>
  <si>
    <t>ATLANTA GA</t>
  </si>
  <si>
    <t>VSS</t>
  </si>
  <si>
    <t>PC</t>
  </si>
  <si>
    <t>SQ</t>
  </si>
  <si>
    <t>Harris Teeter</t>
  </si>
  <si>
    <t>Myrtle Beach SC</t>
  </si>
  <si>
    <t>157-1970</t>
  </si>
  <si>
    <t xml:space="preserve">Kroger GA-629 </t>
  </si>
  <si>
    <t>CARTERSVILLE GA</t>
  </si>
  <si>
    <t>Supermarket Source, Inc</t>
  </si>
  <si>
    <t>Two Farms, Inc.</t>
  </si>
  <si>
    <t>AP</t>
  </si>
  <si>
    <t>GE 61</t>
  </si>
  <si>
    <t xml:space="preserve">157-2284 </t>
  </si>
  <si>
    <t>Walmart 2027-224-SC-REM</t>
  </si>
  <si>
    <t>Lavale, MD</t>
  </si>
  <si>
    <t>157-2284ADD1</t>
  </si>
  <si>
    <t>165-0016A</t>
  </si>
  <si>
    <t>Publix #1351</t>
  </si>
  <si>
    <t>165-0017</t>
  </si>
  <si>
    <t>Publix #1532</t>
  </si>
  <si>
    <t>Colbert, AL</t>
  </si>
  <si>
    <t>165-0035</t>
  </si>
  <si>
    <t>DT# 3945   WSM FLDLCRDR</t>
  </si>
  <si>
    <t>BRIGHTON, MI</t>
  </si>
  <si>
    <t>165-0026</t>
  </si>
  <si>
    <t>DT# 9447   WSM FRDRCLDL</t>
  </si>
  <si>
    <t>MIAMI GARDENS, FL</t>
  </si>
  <si>
    <t>157-2204</t>
  </si>
  <si>
    <t>Kroger GA-626</t>
  </si>
  <si>
    <t>157-0655</t>
  </si>
  <si>
    <t>Walmart 4826-NHM-NEW-41</t>
  </si>
  <si>
    <t>Davie, FL</t>
  </si>
  <si>
    <t>PC2</t>
  </si>
  <si>
    <t>157-1757</t>
  </si>
  <si>
    <t>Walmart 4388-00-NHM-NEW-41</t>
  </si>
  <si>
    <t>Waynesboro VA</t>
  </si>
  <si>
    <t>155-0606</t>
  </si>
  <si>
    <t>HT-324</t>
  </si>
  <si>
    <t>Bowie, MD</t>
  </si>
  <si>
    <t>167-0042</t>
  </si>
  <si>
    <t>PARSON MD</t>
  </si>
  <si>
    <t>157-0655ADD1</t>
  </si>
  <si>
    <t xml:space="preserve">155-1015 </t>
  </si>
  <si>
    <t>Harris Teeter 424</t>
  </si>
  <si>
    <t>165-0001C</t>
  </si>
  <si>
    <t>165-0001B</t>
  </si>
  <si>
    <t>157-2231F</t>
  </si>
  <si>
    <t>Walmart 1206-225 Remodel</t>
  </si>
  <si>
    <t>Baton Rouge, LA</t>
  </si>
  <si>
    <t>157-2231C</t>
  </si>
  <si>
    <t>155-1151</t>
  </si>
  <si>
    <t>Giant Tiger 216, Toro Fergus</t>
  </si>
  <si>
    <t>157-0537</t>
  </si>
  <si>
    <t>Walmart 7020-00-FuelStation-NEW</t>
  </si>
  <si>
    <t>La Vergne, TN</t>
  </si>
  <si>
    <t>157-2136</t>
  </si>
  <si>
    <t>Kroger N-128</t>
  </si>
  <si>
    <t>NEWARK OH</t>
  </si>
  <si>
    <t>167-0041</t>
  </si>
  <si>
    <t>KPS, LLC Dillon's # 615</t>
  </si>
  <si>
    <t>Kroger DIL-065</t>
  </si>
  <si>
    <t>Wichita KS</t>
  </si>
  <si>
    <t>KPS, LLC Michigan # 018</t>
  </si>
  <si>
    <t>157-1947</t>
  </si>
  <si>
    <t>Kroger E-755</t>
  </si>
  <si>
    <t>MORGANTOWN WV</t>
  </si>
  <si>
    <t>157-1909</t>
  </si>
  <si>
    <t>Kroger R-345</t>
  </si>
  <si>
    <t>CHRISTIANSBURG VA</t>
  </si>
  <si>
    <t>157-1120ADD1</t>
  </si>
  <si>
    <t>Walmart 4563-00-NHM-NEW-41</t>
  </si>
  <si>
    <t>Dania Beach, FL</t>
  </si>
  <si>
    <t>157-1120</t>
  </si>
  <si>
    <t>157-1231</t>
  </si>
  <si>
    <t>Kroger A-939OLS</t>
  </si>
  <si>
    <t>FAIRFIELD OH</t>
  </si>
  <si>
    <t>167-0018</t>
  </si>
  <si>
    <t>Royal Farms 135</t>
  </si>
  <si>
    <t>DENTON MD</t>
  </si>
  <si>
    <t>157-2088B</t>
  </si>
  <si>
    <t>Kroger N-878</t>
  </si>
  <si>
    <t>BOWLING GREEN OH</t>
  </si>
  <si>
    <t>157-2231D</t>
  </si>
  <si>
    <t xml:space="preserve">150-0630 </t>
  </si>
  <si>
    <t xml:space="preserve">Safe Harbor Seafood </t>
  </si>
  <si>
    <t>Jacksonville FL</t>
  </si>
  <si>
    <t>157-1575</t>
  </si>
  <si>
    <t>Kroger N-842</t>
  </si>
  <si>
    <t>GROVE CITY OH</t>
  </si>
  <si>
    <t>147-0443</t>
  </si>
  <si>
    <t>Walmart 4248-00-SC-NEW-182</t>
  </si>
  <si>
    <t>Centerton, AR</t>
  </si>
  <si>
    <t>157-2147</t>
  </si>
  <si>
    <t>Walmart 4434-00-NHM-41LMG016</t>
  </si>
  <si>
    <t>Ocala FL</t>
  </si>
  <si>
    <t>157-2231E</t>
  </si>
  <si>
    <t>157-2172</t>
  </si>
  <si>
    <t>Kroger N-549</t>
  </si>
  <si>
    <t>MARYSVILLE OH</t>
  </si>
  <si>
    <t>157-1555</t>
  </si>
  <si>
    <t>Kroger L-396</t>
  </si>
  <si>
    <t>NEW MIDDLETOWN IN</t>
  </si>
  <si>
    <t>155-1202</t>
  </si>
  <si>
    <t>DT# 9380   WM FRDRCLDL  DP/LED/Thm</t>
  </si>
  <si>
    <t>Champaign, IL</t>
  </si>
  <si>
    <t>Royal Farms# 167</t>
  </si>
  <si>
    <t>157-1907</t>
  </si>
  <si>
    <t>Walmart 6958-00-SC-NEW-182</t>
  </si>
  <si>
    <t>Spout Springs, NC</t>
  </si>
  <si>
    <t>157-2184A</t>
  </si>
  <si>
    <t>Walmart 0155-221 REM</t>
  </si>
  <si>
    <t>Senatobia, MS</t>
  </si>
  <si>
    <t>157-2105</t>
  </si>
  <si>
    <t>Kroger D-684</t>
  </si>
  <si>
    <t>MONDAY</t>
  </si>
  <si>
    <t>TUESDAY</t>
  </si>
  <si>
    <t>WEDNESDAY</t>
  </si>
  <si>
    <t>THURSDAY</t>
  </si>
  <si>
    <t>FRIDAY</t>
  </si>
  <si>
    <t>SATURDAY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</si>
</sst>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409]m/d/yy\ h:mm\ AM/PM;@"/>
    <numFmt numFmtId="165" formatCode="[$-409]d\-mmm\-yy;@"/>
    <numFmt numFmtId="166" formatCode="&quot;$&quot;#,##0"/>
    <numFmt numFmtId="167" formatCode="[$-409]dd\-mmm\-yy;@"/>
    <numFmt numFmtId="168" formatCode="h:mm;@"/>
    <numFmt numFmtId="169" formatCode="m/d/yy;@"/>
    <numFmt numFmtId="170" formatCode="0.0"/>
    <numFmt numFmtId="171" formatCode="m/d/yy\ ddd"/>
    <numFmt numFmtId="172" formatCode="dd\-mmm\-yy"/>
    <numFmt numFmtId="173" formatCode="&quot;$&quot;#,##0.00;\(&quot;$&quot;#,##0.00\)"/>
  </numFmts>
  <fonts count="73">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2"/>
      <name val="Arial"/>
      <family val="2"/>
    </font>
    <font>
      <sz val="10"/>
      <name val="Arial"/>
      <family val="2"/>
    </font>
    <font>
      <b/>
      <sz val="10"/>
      <name val="Arial"/>
      <family val="2"/>
    </font>
    <font>
      <b/>
      <sz val="8"/>
      <color indexed="81"/>
      <name val="Tahoma"/>
      <family val="2"/>
    </font>
    <font>
      <sz val="8"/>
      <color indexed="81"/>
      <name val="Tahoma"/>
      <family val="2"/>
    </font>
    <font>
      <b/>
      <sz val="9"/>
      <name val="Arial"/>
      <family val="2"/>
    </font>
    <font>
      <sz val="9"/>
      <name val="Arial"/>
      <family val="2"/>
    </font>
    <font>
      <sz val="11"/>
      <color indexed="8"/>
      <name val="Calibri"/>
      <family val="2"/>
    </font>
    <font>
      <sz val="11"/>
      <color indexed="9"/>
      <name val="Calibri"/>
      <family val="2"/>
    </font>
    <font>
      <sz val="11"/>
      <color indexed="36"/>
      <name val="Calibri"/>
      <family val="2"/>
    </font>
    <font>
      <b/>
      <sz val="11"/>
      <color indexed="50"/>
      <name val="Calibri"/>
      <family val="2"/>
    </font>
    <font>
      <b/>
      <sz val="11"/>
      <color indexed="9"/>
      <name val="Calibri"/>
      <family val="2"/>
    </font>
    <font>
      <i/>
      <sz val="11"/>
      <color indexed="23"/>
      <name val="Calibri"/>
      <family val="2"/>
    </font>
    <font>
      <sz val="11"/>
      <color indexed="17"/>
      <name val="Calibri"/>
      <family val="2"/>
    </font>
    <font>
      <b/>
      <sz val="15"/>
      <color indexed="18"/>
      <name val="Calibri"/>
      <family val="2"/>
    </font>
    <font>
      <b/>
      <sz val="13"/>
      <color indexed="18"/>
      <name val="Calibri"/>
      <family val="2"/>
    </font>
    <font>
      <b/>
      <sz val="11"/>
      <color indexed="18"/>
      <name val="Calibri"/>
      <family val="2"/>
    </font>
    <font>
      <sz val="11"/>
      <color indexed="53"/>
      <name val="Calibri"/>
      <family val="2"/>
    </font>
    <font>
      <sz val="11"/>
      <color indexed="50"/>
      <name val="Calibri"/>
      <family val="2"/>
    </font>
    <font>
      <sz val="11"/>
      <color indexed="59"/>
      <name val="Calibri"/>
      <family val="2"/>
    </font>
    <font>
      <b/>
      <sz val="11"/>
      <color indexed="63"/>
      <name val="Calibri"/>
      <family val="2"/>
    </font>
    <font>
      <b/>
      <sz val="18"/>
      <color indexed="18"/>
      <name val="Cambria"/>
      <family val="2"/>
    </font>
    <font>
      <b/>
      <sz val="11"/>
      <color indexed="8"/>
      <name val="Calibri"/>
      <family val="2"/>
    </font>
    <font>
      <sz val="11"/>
      <color indexed="10"/>
      <name val="Calibri"/>
      <family val="2"/>
    </font>
    <font>
      <sz val="9"/>
      <color rgb="FF000000"/>
      <name val="Arial"/>
      <family val="2"/>
    </font>
    <font>
      <sz val="10"/>
      <color rgb="FF000000"/>
      <name val="Arial"/>
      <family val="2"/>
    </font>
    <font>
      <sz val="11"/>
      <name val="Arial"/>
      <family val="2"/>
    </font>
    <font>
      <sz val="10"/>
      <color indexed="8"/>
      <name val="Arial"/>
      <family val="2"/>
    </font>
    <font>
      <sz val="11"/>
      <color indexed="8"/>
      <name val="Calibri"/>
      <family val="2"/>
    </font>
    <font>
      <sz val="10"/>
      <color indexed="8"/>
      <name val="Arial"/>
      <family val="2"/>
    </font>
    <font>
      <b/>
      <sz val="10"/>
      <color theme="0"/>
      <name val="Arial"/>
      <family val="2"/>
    </font>
    <font>
      <b/>
      <sz val="12"/>
      <color rgb="FFFF0000"/>
      <name val="Arial"/>
      <family val="2"/>
    </font>
    <font>
      <b/>
      <sz val="11"/>
      <name val="Arial"/>
      <family val="2"/>
    </font>
    <font>
      <sz val="11"/>
      <color rgb="FFFF0000"/>
      <name val="Calibri"/>
      <family val="2"/>
    </font>
    <font>
      <sz val="11"/>
      <color rgb="FFFF0000"/>
      <name val="Calibri"/>
      <family val="2"/>
      <scheme val="minor"/>
    </font>
    <font>
      <sz val="10"/>
      <color theme="0" tint="-0.249977111117893"/>
      <name val="Arial"/>
      <family val="2"/>
    </font>
    <font>
      <sz val="12"/>
      <name val="Arial Rounded MT Bold"/>
      <family val="2"/>
    </font>
    <font>
      <sz val="10"/>
      <color theme="0" tint="-0.14999847407452621"/>
      <name val="Arial"/>
      <family val="2"/>
    </font>
    <font>
      <b/>
      <u/>
      <sz val="11"/>
      <name val="Arial"/>
      <family val="2"/>
    </font>
    <font>
      <sz val="11"/>
      <name val="Calibri"/>
      <family val="2"/>
      <scheme val="minor"/>
    </font>
    <font>
      <b/>
      <sz val="11"/>
      <color rgb="FFFF0000"/>
      <name val="Calibri"/>
      <family val="2"/>
      <scheme val="minor"/>
    </font>
    <font>
      <sz val="10"/>
      <color rgb="FFFF0000"/>
      <name val="Arial"/>
      <family val="2"/>
    </font>
    <font>
      <b/>
      <sz val="11"/>
      <color theme="0"/>
      <name val="Arial"/>
      <family val="2"/>
    </font>
    <font>
      <sz val="14"/>
      <color indexed="17"/>
      <name val="Calibri"/>
      <family val="2"/>
    </font>
    <font>
      <sz val="14"/>
      <name val="Arial"/>
      <family val="2"/>
    </font>
    <font>
      <b/>
      <sz val="14"/>
      <color indexed="9"/>
      <name val="Calibri"/>
      <family val="2"/>
    </font>
    <font>
      <sz val="14"/>
      <color indexed="36"/>
      <name val="Calibri"/>
      <family val="2"/>
    </font>
    <font>
      <sz val="10"/>
      <color theme="0"/>
      <name val="Swis721 BlkEx BT"/>
      <family val="2"/>
    </font>
    <font>
      <sz val="18"/>
      <name val="Arial"/>
      <family val="2"/>
    </font>
    <font>
      <b/>
      <sz val="12"/>
      <color theme="0"/>
      <name val="Arial"/>
      <family val="2"/>
    </font>
    <font>
      <sz val="12"/>
      <name val="Calibri"/>
      <family val="2"/>
    </font>
    <font>
      <sz val="16"/>
      <color theme="0"/>
      <name val="Wide Latin"/>
      <family val="1"/>
    </font>
    <font>
      <sz val="10"/>
      <color theme="0"/>
      <name val="Arial"/>
      <family val="2"/>
    </font>
    <font>
      <sz val="8"/>
      <name val="Arial Narrow"/>
      <family val="2"/>
    </font>
    <font>
      <sz val="11"/>
      <color theme="0"/>
      <name val="Arial"/>
      <family val="2"/>
    </font>
    <font>
      <b/>
      <sz val="14"/>
      <color theme="1" tint="0.14999847407452621"/>
      <name val="Calibri"/>
      <family val="2"/>
    </font>
    <font>
      <sz val="16"/>
      <color rgb="FFFF0000"/>
      <name val="Arial"/>
      <family val="2"/>
    </font>
    <font>
      <sz val="8"/>
      <color theme="1"/>
      <name val="Calibri"/>
      <family val="2"/>
      <scheme val="minor"/>
    </font>
    <font>
      <sz val="8"/>
      <color indexed="8"/>
      <name val="Calibri"/>
      <family val="2"/>
    </font>
    <font>
      <b/>
      <sz val="20"/>
      <color indexed="18"/>
      <name val="Cambria"/>
      <family val="2"/>
    </font>
    <font>
      <sz val="12"/>
      <name val="Courier New"/>
      <family val="3"/>
    </font>
    <font>
      <sz val="14"/>
      <name val="Courier New"/>
      <family val="3"/>
    </font>
    <font>
      <sz val="14"/>
      <color rgb="FFFF0000"/>
      <name val="Courier New"/>
      <family val="3"/>
    </font>
    <font>
      <b/>
      <sz val="14"/>
      <color rgb="FFFF0000"/>
      <name val="Courier New"/>
      <family val="3"/>
    </font>
    <font>
      <sz val="14"/>
      <color indexed="9"/>
      <name val="Calibri"/>
      <family val="2"/>
    </font>
    <font>
      <b/>
      <sz val="14"/>
      <name val="Arial"/>
      <family val="2"/>
    </font>
  </fonts>
  <fills count="46">
    <fill>
      <patternFill patternType="none"/>
    </fill>
    <fill>
      <patternFill patternType="gray125"/>
    </fill>
    <fill>
      <patternFill patternType="solid">
        <fgColor indexed="47"/>
      </patternFill>
    </fill>
    <fill>
      <patternFill patternType="solid">
        <fgColor indexed="46"/>
      </patternFill>
    </fill>
    <fill>
      <patternFill patternType="solid">
        <fgColor indexed="41"/>
      </patternFill>
    </fill>
    <fill>
      <patternFill patternType="solid">
        <fgColor indexed="26"/>
      </patternFill>
    </fill>
    <fill>
      <patternFill patternType="solid">
        <fgColor indexed="51"/>
      </patternFill>
    </fill>
    <fill>
      <patternFill patternType="solid">
        <fgColor indexed="61"/>
      </patternFill>
    </fill>
    <fill>
      <patternFill patternType="solid">
        <fgColor indexed="52"/>
      </patternFill>
    </fill>
    <fill>
      <patternFill patternType="solid">
        <fgColor indexed="20"/>
      </patternFill>
    </fill>
    <fill>
      <patternFill patternType="solid">
        <fgColor indexed="40"/>
      </patternFill>
    </fill>
    <fill>
      <patternFill patternType="solid">
        <fgColor indexed="29"/>
      </patternFill>
    </fill>
    <fill>
      <patternFill patternType="solid">
        <fgColor indexed="14"/>
      </patternFill>
    </fill>
    <fill>
      <patternFill patternType="solid">
        <fgColor indexed="23"/>
      </patternFill>
    </fill>
    <fill>
      <patternFill patternType="solid">
        <fgColor indexed="15"/>
      </patternFill>
    </fill>
    <fill>
      <patternFill patternType="solid">
        <fgColor indexed="10"/>
      </patternFill>
    </fill>
    <fill>
      <patternFill patternType="solid">
        <fgColor indexed="45"/>
      </patternFill>
    </fill>
    <fill>
      <patternFill patternType="solid">
        <fgColor indexed="22"/>
      </patternFill>
    </fill>
    <fill>
      <patternFill patternType="solid">
        <fgColor indexed="55"/>
      </patternFill>
    </fill>
    <fill>
      <patternFill patternType="solid">
        <fgColor indexed="42"/>
      </patternFill>
    </fill>
    <fill>
      <patternFill patternType="solid">
        <fgColor theme="3" tint="0.79998168889431442"/>
        <bgColor indexed="64"/>
      </patternFill>
    </fill>
    <fill>
      <patternFill patternType="solid">
        <fgColor indexed="22"/>
        <bgColor indexed="0"/>
      </patternFill>
    </fill>
    <fill>
      <patternFill patternType="solid">
        <fgColor theme="0" tint="-0.34998626667073579"/>
        <bgColor indexed="64"/>
      </patternFill>
    </fill>
    <fill>
      <patternFill patternType="solid">
        <fgColor rgb="FFFFFF00"/>
        <bgColor indexed="64"/>
      </patternFill>
    </fill>
    <fill>
      <patternFill patternType="solid">
        <fgColor theme="1"/>
        <bgColor indexed="64"/>
      </patternFill>
    </fill>
    <fill>
      <patternFill patternType="solid">
        <fgColor theme="7" tint="-0.499984740745262"/>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FF9900"/>
        <bgColor indexed="64"/>
      </patternFill>
    </fill>
    <fill>
      <patternFill patternType="solid">
        <fgColor theme="0" tint="-0.249977111117893"/>
        <bgColor indexed="0"/>
      </patternFill>
    </fill>
    <fill>
      <patternFill patternType="solid">
        <fgColor theme="5" tint="0.79998168889431442"/>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33CCFF"/>
        <bgColor indexed="64"/>
      </patternFill>
    </fill>
    <fill>
      <patternFill patternType="solid">
        <fgColor theme="0" tint="-0.499984740745262"/>
        <bgColor indexed="64"/>
      </patternFill>
    </fill>
    <fill>
      <patternFill patternType="solid">
        <fgColor theme="7" tint="-0.249977111117893"/>
        <bgColor indexed="64"/>
      </patternFill>
    </fill>
    <fill>
      <patternFill patternType="solid">
        <fgColor rgb="FFAEFFA1"/>
        <bgColor indexed="64"/>
      </patternFill>
    </fill>
    <fill>
      <patternFill patternType="solid">
        <fgColor rgb="FF00B050"/>
        <bgColor indexed="64"/>
      </patternFill>
    </fill>
    <fill>
      <patternFill patternType="solid">
        <fgColor theme="1" tint="0.34998626667073579"/>
        <bgColor indexed="64"/>
      </patternFill>
    </fill>
    <fill>
      <patternFill patternType="solid">
        <fgColor rgb="FFFFCCCC"/>
        <bgColor indexed="64"/>
      </patternFill>
    </fill>
    <fill>
      <patternFill patternType="solid">
        <fgColor rgb="FF00B0F0"/>
        <bgColor indexed="64"/>
      </patternFill>
    </fill>
    <fill>
      <patternFill patternType="solid">
        <fgColor rgb="FFFF9933"/>
        <bgColor indexed="64"/>
      </patternFill>
    </fill>
    <fill>
      <patternFill patternType="solid">
        <fgColor theme="7"/>
        <bgColor indexed="64"/>
      </patternFill>
    </fill>
    <fill>
      <patternFill patternType="solid">
        <fgColor rgb="FF92D050"/>
        <bgColor indexed="64"/>
      </patternFill>
    </fill>
  </fills>
  <borders count="74">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0"/>
      </bottom>
      <diagonal/>
    </border>
    <border>
      <left/>
      <right/>
      <top/>
      <bottom style="thick">
        <color indexed="51"/>
      </bottom>
      <diagonal/>
    </border>
    <border>
      <left/>
      <right/>
      <top/>
      <bottom style="medium">
        <color indexed="52"/>
      </bottom>
      <diagonal/>
    </border>
    <border>
      <left/>
      <right/>
      <top/>
      <bottom style="double">
        <color indexed="50"/>
      </bottom>
      <diagonal/>
    </border>
    <border>
      <left style="thin">
        <color indexed="55"/>
      </left>
      <right style="thin">
        <color indexed="55"/>
      </right>
      <top style="thin">
        <color indexed="55"/>
      </top>
      <bottom style="thin">
        <color indexed="55"/>
      </bottom>
      <diagonal/>
    </border>
    <border>
      <left style="thin">
        <color indexed="63"/>
      </left>
      <right style="thin">
        <color indexed="63"/>
      </right>
      <top style="thin">
        <color indexed="63"/>
      </top>
      <bottom style="thin">
        <color indexed="63"/>
      </bottom>
      <diagonal/>
    </border>
    <border>
      <left/>
      <right/>
      <top style="thin">
        <color indexed="40"/>
      </top>
      <bottom style="double">
        <color indexed="40"/>
      </bottom>
      <diagonal/>
    </border>
    <border>
      <left/>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auto="1"/>
      </left>
      <right style="medium">
        <color auto="1"/>
      </right>
      <top style="medium">
        <color auto="1"/>
      </top>
      <bottom style="medium">
        <color auto="1"/>
      </bottom>
      <diagonal/>
    </border>
    <border>
      <left/>
      <right/>
      <top/>
      <bottom style="thin">
        <color indexed="22"/>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diagonal/>
    </border>
    <border>
      <left style="thin">
        <color indexed="64"/>
      </left>
      <right style="medium">
        <color indexed="64"/>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medium">
        <color indexed="64"/>
      </right>
      <top/>
      <bottom/>
      <diagonal/>
    </border>
    <border>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auto="1"/>
      </left>
      <right style="medium">
        <color indexed="64"/>
      </right>
      <top style="thin">
        <color auto="1"/>
      </top>
      <bottom style="thin">
        <color auto="1"/>
      </bottom>
      <diagonal/>
    </border>
    <border>
      <left/>
      <right/>
      <top style="thin">
        <color indexed="64"/>
      </top>
      <bottom/>
      <diagonal/>
    </border>
    <border>
      <left style="thin">
        <color indexed="64"/>
      </left>
      <right/>
      <top/>
      <bottom/>
      <diagonal/>
    </border>
    <border>
      <left style="thin">
        <color indexed="64"/>
      </left>
      <right/>
      <top style="thin">
        <color indexed="64"/>
      </top>
      <bottom/>
      <diagonal/>
    </border>
    <border>
      <left style="medium">
        <color indexed="64"/>
      </left>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style="thin">
        <color auto="1"/>
      </left>
      <right style="thin">
        <color auto="1"/>
      </right>
      <top/>
      <bottom style="thin">
        <color auto="1"/>
      </bottom>
      <diagonal/>
    </border>
    <border>
      <left style="medium">
        <color rgb="FFFF0000"/>
      </left>
      <right style="thin">
        <color auto="1"/>
      </right>
      <top style="medium">
        <color rgb="FFFF0000"/>
      </top>
      <bottom style="thin">
        <color auto="1"/>
      </bottom>
      <diagonal/>
    </border>
    <border>
      <left style="thin">
        <color auto="1"/>
      </left>
      <right style="thin">
        <color auto="1"/>
      </right>
      <top style="medium">
        <color rgb="FFFF0000"/>
      </top>
      <bottom style="thin">
        <color auto="1"/>
      </bottom>
      <diagonal/>
    </border>
    <border>
      <left style="thin">
        <color auto="1"/>
      </left>
      <right style="medium">
        <color rgb="FFFF0000"/>
      </right>
      <top style="medium">
        <color rgb="FFFF0000"/>
      </top>
      <bottom style="thin">
        <color auto="1"/>
      </bottom>
      <diagonal/>
    </border>
    <border>
      <left/>
      <right/>
      <top style="medium">
        <color indexed="64"/>
      </top>
      <bottom style="thin">
        <color indexed="64"/>
      </bottom>
      <diagonal/>
    </border>
    <border>
      <left style="medium">
        <color rgb="FFFF0000"/>
      </left>
      <right style="thin">
        <color auto="1"/>
      </right>
      <top style="medium">
        <color rgb="FFFF0000"/>
      </top>
      <bottom/>
      <diagonal/>
    </border>
    <border>
      <left style="thin">
        <color auto="1"/>
      </left>
      <right style="thin">
        <color auto="1"/>
      </right>
      <top style="medium">
        <color rgb="FFFF0000"/>
      </top>
      <bottom/>
      <diagonal/>
    </border>
    <border>
      <left style="thin">
        <color auto="1"/>
      </left>
      <right style="medium">
        <color rgb="FFFF0000"/>
      </right>
      <top style="medium">
        <color rgb="FFFF0000"/>
      </top>
      <bottom/>
      <diagonal/>
    </border>
    <border>
      <left style="thin">
        <color auto="1"/>
      </left>
      <right style="thin">
        <color auto="1"/>
      </right>
      <top style="thin">
        <color auto="1"/>
      </top>
      <bottom style="thin">
        <color auto="1"/>
      </bottom>
      <diagonal/>
    </border>
  </borders>
  <cellStyleXfs count="51">
    <xf numFmtId="0" fontId="0" fillId="0" borderId="0"/>
    <xf numFmtId="0" fontId="14" fillId="2" borderId="0" applyNumberFormat="0" applyBorder="0" applyAlignment="0" applyProtection="0"/>
    <xf numFmtId="0" fontId="14" fillId="3" borderId="0" applyNumberFormat="0" applyBorder="0" applyAlignment="0" applyProtection="0"/>
    <xf numFmtId="0" fontId="14" fillId="3" borderId="0" applyNumberFormat="0" applyBorder="0" applyAlignment="0" applyProtection="0"/>
    <xf numFmtId="0" fontId="14" fillId="2" borderId="0" applyNumberFormat="0" applyBorder="0" applyAlignment="0" applyProtection="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6" borderId="0" applyNumberFormat="0" applyBorder="0" applyAlignment="0" applyProtection="0"/>
    <xf numFmtId="0" fontId="14" fillId="4" borderId="0" applyNumberFormat="0" applyBorder="0" applyAlignment="0" applyProtection="0"/>
    <xf numFmtId="0" fontId="14" fillId="5" borderId="0" applyNumberFormat="0" applyBorder="0" applyAlignment="0" applyProtection="0"/>
    <xf numFmtId="0" fontId="15" fillId="8"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8"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10" borderId="0" applyNumberFormat="0" applyBorder="0" applyAlignment="0" applyProtection="0"/>
    <xf numFmtId="0" fontId="15" fillId="12" borderId="0" applyNumberFormat="0" applyBorder="0" applyAlignment="0" applyProtection="0"/>
    <xf numFmtId="0" fontId="15" fillId="9"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5" borderId="0" applyNumberFormat="0" applyBorder="0" applyAlignment="0" applyProtection="0"/>
    <xf numFmtId="0" fontId="16" fillId="16" borderId="0" applyNumberFormat="0" applyBorder="0" applyAlignment="0" applyProtection="0"/>
    <xf numFmtId="0" fontId="17" fillId="17" borderId="1" applyNumberFormat="0" applyAlignment="0" applyProtection="0"/>
    <xf numFmtId="0" fontId="18" fillId="18" borderId="2" applyNumberFormat="0" applyAlignment="0" applyProtection="0"/>
    <xf numFmtId="0" fontId="19" fillId="0" borderId="0" applyNumberFormat="0" applyFill="0" applyBorder="0" applyAlignment="0" applyProtection="0"/>
    <xf numFmtId="0" fontId="20" fillId="19" borderId="0" applyNumberFormat="0" applyBorder="0" applyAlignment="0" applyProtection="0"/>
    <xf numFmtId="0" fontId="21" fillId="0" borderId="3" applyNumberFormat="0" applyFill="0" applyAlignment="0" applyProtection="0"/>
    <xf numFmtId="0" fontId="22" fillId="0" borderId="4" applyNumberFormat="0" applyFill="0" applyAlignment="0" applyProtection="0"/>
    <xf numFmtId="0" fontId="23" fillId="0" borderId="5" applyNumberFormat="0" applyFill="0" applyAlignment="0" applyProtection="0"/>
    <xf numFmtId="0" fontId="23" fillId="0" borderId="0" applyNumberFormat="0" applyFill="0" applyBorder="0" applyAlignment="0" applyProtection="0"/>
    <xf numFmtId="0" fontId="24" fillId="11" borderId="1" applyNumberFormat="0" applyAlignment="0" applyProtection="0"/>
    <xf numFmtId="0" fontId="25" fillId="0" borderId="6" applyNumberFormat="0" applyFill="0" applyAlignment="0" applyProtection="0"/>
    <xf numFmtId="0" fontId="26" fillId="5" borderId="0" applyNumberFormat="0" applyBorder="0" applyAlignment="0" applyProtection="0"/>
    <xf numFmtId="0" fontId="8" fillId="5" borderId="7" applyNumberFormat="0" applyFont="0" applyAlignment="0" applyProtection="0"/>
    <xf numFmtId="0" fontId="27" fillId="17" borderId="8" applyNumberFormat="0" applyAlignment="0" applyProtection="0"/>
    <xf numFmtId="0" fontId="28" fillId="0" borderId="0" applyNumberFormat="0" applyFill="0" applyBorder="0" applyAlignment="0" applyProtection="0"/>
    <xf numFmtId="0" fontId="29" fillId="0" borderId="9" applyNumberFormat="0" applyFill="0" applyAlignment="0" applyProtection="0"/>
    <xf numFmtId="0" fontId="30" fillId="0" borderId="0" applyNumberFormat="0" applyFill="0" applyBorder="0" applyAlignment="0" applyProtection="0"/>
    <xf numFmtId="0" fontId="36" fillId="0" borderId="0"/>
    <xf numFmtId="0" fontId="34" fillId="0" borderId="0"/>
    <xf numFmtId="0" fontId="5" fillId="0" borderId="0"/>
    <xf numFmtId="0" fontId="34" fillId="0" borderId="0"/>
    <xf numFmtId="0" fontId="6" fillId="0" borderId="0"/>
    <xf numFmtId="0" fontId="6" fillId="5" borderId="7" applyNumberFormat="0" applyFont="0" applyAlignment="0" applyProtection="0"/>
    <xf numFmtId="0" fontId="3" fillId="0" borderId="0"/>
    <xf numFmtId="9" fontId="6" fillId="0" borderId="0" applyFont="0" applyFill="0" applyBorder="0" applyAlignment="0" applyProtection="0"/>
    <xf numFmtId="0" fontId="34" fillId="0" borderId="0"/>
  </cellStyleXfs>
  <cellXfs count="712">
    <xf numFmtId="0" fontId="0" fillId="0" borderId="0" xfId="0"/>
    <xf numFmtId="0" fontId="6" fillId="0" borderId="0" xfId="0" applyFont="1" applyAlignment="1"/>
    <xf numFmtId="0" fontId="0" fillId="0" borderId="0" xfId="0"/>
    <xf numFmtId="0" fontId="6" fillId="0" borderId="0" xfId="0" applyFont="1"/>
    <xf numFmtId="0" fontId="6" fillId="0" borderId="0" xfId="0" applyFont="1" applyFill="1" applyBorder="1"/>
    <xf numFmtId="0" fontId="6" fillId="0" borderId="0" xfId="0" applyFont="1" applyAlignment="1">
      <alignment horizontal="center"/>
    </xf>
    <xf numFmtId="0" fontId="0" fillId="0" borderId="0" xfId="0" applyAlignment="1">
      <alignment horizontal="center"/>
    </xf>
    <xf numFmtId="0" fontId="0" fillId="0" borderId="0" xfId="0" applyAlignment="1">
      <alignment horizontal="right"/>
    </xf>
    <xf numFmtId="0" fontId="13" fillId="0" borderId="14" xfId="0" applyFont="1" applyFill="1" applyBorder="1" applyProtection="1"/>
    <xf numFmtId="0" fontId="35" fillId="21" borderId="11" xfId="42" applyFont="1" applyFill="1" applyBorder="1" applyAlignment="1" applyProtection="1">
      <alignment horizontal="center" wrapText="1"/>
      <protection hidden="1"/>
    </xf>
    <xf numFmtId="0" fontId="12" fillId="22" borderId="11" xfId="0" applyNumberFormat="1" applyFont="1" applyFill="1" applyBorder="1" applyAlignment="1" applyProtection="1">
      <alignment horizontal="center" wrapText="1"/>
      <protection hidden="1"/>
    </xf>
    <xf numFmtId="0" fontId="37" fillId="25" borderId="0" xfId="0" applyFont="1" applyFill="1"/>
    <xf numFmtId="0" fontId="0" fillId="26" borderId="0" xfId="0" applyFill="1"/>
    <xf numFmtId="0" fontId="6" fillId="26" borderId="0" xfId="0" applyFont="1" applyFill="1"/>
    <xf numFmtId="0" fontId="38" fillId="0" borderId="0" xfId="0" applyFont="1"/>
    <xf numFmtId="0" fontId="37" fillId="24" borderId="0" xfId="0" applyFont="1" applyFill="1"/>
    <xf numFmtId="0" fontId="13" fillId="0" borderId="10" xfId="0" applyFont="1" applyFill="1" applyBorder="1" applyProtection="1"/>
    <xf numFmtId="0" fontId="13" fillId="0" borderId="10" xfId="0" applyFont="1" applyFill="1" applyBorder="1" applyAlignment="1" applyProtection="1">
      <alignment horizontal="right"/>
    </xf>
    <xf numFmtId="0" fontId="0" fillId="0" borderId="0" xfId="0" applyFill="1"/>
    <xf numFmtId="0" fontId="7" fillId="0" borderId="0" xfId="0" applyFont="1"/>
    <xf numFmtId="0" fontId="5" fillId="0" borderId="0" xfId="44"/>
    <xf numFmtId="0" fontId="5" fillId="26" borderId="15" xfId="44" applyFill="1" applyBorder="1" applyAlignment="1">
      <alignment horizontal="center"/>
    </xf>
    <xf numFmtId="0" fontId="14" fillId="26" borderId="15" xfId="43" applyFont="1" applyFill="1" applyBorder="1" applyAlignment="1" applyProtection="1">
      <alignment horizontal="center" wrapText="1"/>
      <protection hidden="1"/>
    </xf>
    <xf numFmtId="0" fontId="5" fillId="26" borderId="15" xfId="44" applyFill="1" applyBorder="1" applyAlignment="1">
      <alignment horizontal="center" wrapText="1"/>
    </xf>
    <xf numFmtId="0" fontId="14" fillId="21" borderId="15" xfId="45" applyFont="1" applyFill="1" applyBorder="1" applyAlignment="1">
      <alignment horizontal="center" wrapText="1"/>
    </xf>
    <xf numFmtId="0" fontId="39" fillId="22" borderId="13" xfId="0" applyFont="1" applyFill="1" applyBorder="1" applyAlignment="1">
      <alignment horizontal="center" vertical="center" wrapText="1"/>
    </xf>
    <xf numFmtId="0" fontId="31" fillId="0" borderId="0" xfId="0" applyFont="1"/>
    <xf numFmtId="0" fontId="5" fillId="27" borderId="15" xfId="44" applyFill="1" applyBorder="1" applyAlignment="1">
      <alignment horizontal="center" wrapText="1"/>
    </xf>
    <xf numFmtId="166" fontId="0" fillId="0" borderId="0" xfId="0" applyNumberFormat="1"/>
    <xf numFmtId="166" fontId="35" fillId="21" borderId="11" xfId="42" applyNumberFormat="1" applyFont="1" applyFill="1" applyBorder="1" applyAlignment="1" applyProtection="1">
      <alignment horizontal="center" wrapText="1"/>
      <protection hidden="1"/>
    </xf>
    <xf numFmtId="166" fontId="13" fillId="0" borderId="14" xfId="0" applyNumberFormat="1" applyFont="1" applyFill="1" applyBorder="1" applyProtection="1"/>
    <xf numFmtId="166" fontId="0" fillId="26" borderId="0" xfId="0" applyNumberFormat="1" applyFill="1"/>
    <xf numFmtId="166" fontId="13" fillId="0" borderId="10" xfId="0" applyNumberFormat="1" applyFont="1" applyFill="1" applyBorder="1" applyProtection="1"/>
    <xf numFmtId="166" fontId="5" fillId="27" borderId="15" xfId="44" applyNumberFormat="1" applyFill="1" applyBorder="1" applyAlignment="1">
      <alignment horizontal="center" wrapText="1"/>
    </xf>
    <xf numFmtId="166" fontId="6" fillId="0" borderId="0" xfId="0" applyNumberFormat="1" applyFont="1"/>
    <xf numFmtId="166" fontId="0" fillId="0" borderId="0" xfId="0" applyNumberFormat="1" applyFill="1"/>
    <xf numFmtId="165" fontId="13" fillId="0" borderId="14" xfId="0" applyNumberFormat="1" applyFont="1" applyFill="1" applyBorder="1" applyProtection="1"/>
    <xf numFmtId="165" fontId="0" fillId="0" borderId="0" xfId="0" applyNumberFormat="1"/>
    <xf numFmtId="165" fontId="0" fillId="26" borderId="0" xfId="0" applyNumberFormat="1" applyFill="1"/>
    <xf numFmtId="165" fontId="5" fillId="26" borderId="15" xfId="44" applyNumberFormat="1" applyFill="1" applyBorder="1" applyAlignment="1">
      <alignment horizontal="center"/>
    </xf>
    <xf numFmtId="165" fontId="13" fillId="0" borderId="10" xfId="0" applyNumberFormat="1" applyFont="1" applyFill="1" applyBorder="1" applyProtection="1"/>
    <xf numFmtId="165" fontId="0" fillId="0" borderId="0" xfId="0" applyNumberFormat="1" applyFill="1"/>
    <xf numFmtId="0" fontId="13" fillId="0" borderId="10" xfId="0" applyFont="1" applyFill="1" applyBorder="1" applyAlignment="1" applyProtection="1">
      <alignment horizontal="left"/>
    </xf>
    <xf numFmtId="0" fontId="6" fillId="0" borderId="0" xfId="0" applyFont="1" applyFill="1"/>
    <xf numFmtId="0" fontId="0" fillId="26" borderId="0" xfId="0" applyFill="1" applyBorder="1"/>
    <xf numFmtId="0" fontId="6" fillId="26" borderId="0" xfId="0" applyFont="1" applyFill="1" applyBorder="1"/>
    <xf numFmtId="0" fontId="0" fillId="0" borderId="19" xfId="0" applyBorder="1"/>
    <xf numFmtId="0" fontId="0" fillId="0" borderId="18" xfId="0" applyBorder="1"/>
    <xf numFmtId="0" fontId="0" fillId="0" borderId="0" xfId="0" applyBorder="1"/>
    <xf numFmtId="0" fontId="6" fillId="0" borderId="0" xfId="0" applyFont="1" applyBorder="1"/>
    <xf numFmtId="0" fontId="0" fillId="0" borderId="20" xfId="0" applyBorder="1"/>
    <xf numFmtId="0" fontId="0" fillId="0" borderId="21" xfId="0" applyBorder="1"/>
    <xf numFmtId="0" fontId="0" fillId="0" borderId="22" xfId="0" applyBorder="1"/>
    <xf numFmtId="0" fontId="40" fillId="21" borderId="15" xfId="45" applyFont="1" applyFill="1" applyBorder="1" applyAlignment="1">
      <alignment horizontal="center" wrapText="1"/>
    </xf>
    <xf numFmtId="0" fontId="41" fillId="0" borderId="0" xfId="44" applyFont="1"/>
    <xf numFmtId="0" fontId="6" fillId="0" borderId="0" xfId="0" applyFont="1" applyAlignment="1">
      <alignment horizontal="right"/>
    </xf>
    <xf numFmtId="0" fontId="5" fillId="28" borderId="0" xfId="44" applyFill="1" applyBorder="1" applyAlignment="1" applyProtection="1">
      <alignment horizontal="center"/>
      <protection locked="0"/>
    </xf>
    <xf numFmtId="167" fontId="0" fillId="0" borderId="0" xfId="0" applyNumberFormat="1"/>
    <xf numFmtId="0" fontId="5" fillId="26" borderId="24" xfId="44" applyFill="1" applyBorder="1" applyAlignment="1">
      <alignment horizontal="center"/>
    </xf>
    <xf numFmtId="0" fontId="5" fillId="26" borderId="25" xfId="44" applyFill="1" applyBorder="1" applyAlignment="1">
      <alignment horizontal="center"/>
    </xf>
    <xf numFmtId="165" fontId="5" fillId="26" borderId="25" xfId="44" applyNumberFormat="1" applyFill="1" applyBorder="1" applyAlignment="1">
      <alignment horizontal="center"/>
    </xf>
    <xf numFmtId="165" fontId="4" fillId="26" borderId="25" xfId="44" applyNumberFormat="1" applyFont="1" applyFill="1" applyBorder="1" applyAlignment="1">
      <alignment horizontal="center" wrapText="1"/>
    </xf>
    <xf numFmtId="0" fontId="14" fillId="26" borderId="25" xfId="43" applyFont="1" applyFill="1" applyBorder="1" applyAlignment="1" applyProtection="1">
      <alignment horizontal="center" wrapText="1"/>
      <protection hidden="1"/>
    </xf>
    <xf numFmtId="0" fontId="5" fillId="26" borderId="25" xfId="44" applyFill="1" applyBorder="1" applyAlignment="1">
      <alignment horizontal="center" wrapText="1"/>
    </xf>
    <xf numFmtId="166" fontId="5" fillId="27" borderId="25" xfId="44" applyNumberFormat="1" applyFill="1" applyBorder="1" applyAlignment="1">
      <alignment horizontal="center" wrapText="1"/>
    </xf>
    <xf numFmtId="0" fontId="5" fillId="27" borderId="25" xfId="44" applyFill="1" applyBorder="1" applyAlignment="1">
      <alignment horizontal="center" wrapText="1"/>
    </xf>
    <xf numFmtId="167" fontId="0" fillId="0" borderId="0" xfId="0" applyNumberFormat="1" applyBorder="1"/>
    <xf numFmtId="0" fontId="0" fillId="0" borderId="0" xfId="0" applyBorder="1" applyAlignment="1">
      <alignment horizontal="center"/>
    </xf>
    <xf numFmtId="166" fontId="0" fillId="0" borderId="0" xfId="0" applyNumberFormat="1" applyBorder="1"/>
    <xf numFmtId="167" fontId="0" fillId="0" borderId="21" xfId="0" applyNumberFormat="1" applyBorder="1"/>
    <xf numFmtId="0" fontId="0" fillId="0" borderId="21" xfId="0" applyBorder="1" applyAlignment="1">
      <alignment horizontal="center"/>
    </xf>
    <xf numFmtId="166" fontId="0" fillId="0" borderId="21" xfId="0" applyNumberFormat="1" applyBorder="1"/>
    <xf numFmtId="0" fontId="42" fillId="0" borderId="0" xfId="0" applyFont="1" applyAlignment="1">
      <alignment horizontal="right"/>
    </xf>
    <xf numFmtId="0" fontId="42" fillId="0" borderId="0" xfId="0" applyFont="1"/>
    <xf numFmtId="0" fontId="9" fillId="0" borderId="0" xfId="0" applyFont="1"/>
    <xf numFmtId="0" fontId="37" fillId="24" borderId="0" xfId="0" applyFont="1" applyFill="1" applyAlignment="1">
      <alignment horizontal="right"/>
    </xf>
    <xf numFmtId="0" fontId="9" fillId="0" borderId="0" xfId="0" applyFont="1" applyBorder="1" applyAlignment="1">
      <alignment horizontal="left"/>
    </xf>
    <xf numFmtId="167" fontId="6" fillId="0" borderId="0" xfId="0" applyNumberFormat="1" applyFont="1" applyAlignment="1">
      <alignment horizontal="right"/>
    </xf>
    <xf numFmtId="167" fontId="0" fillId="0" borderId="0" xfId="0" applyNumberFormat="1" applyAlignment="1">
      <alignment horizontal="right"/>
    </xf>
    <xf numFmtId="167" fontId="6" fillId="0" borderId="0" xfId="0" applyNumberFormat="1" applyFont="1" applyBorder="1" applyAlignment="1">
      <alignment horizontal="right"/>
    </xf>
    <xf numFmtId="167" fontId="0" fillId="0" borderId="0" xfId="0" applyNumberFormat="1" applyBorder="1" applyAlignment="1">
      <alignment horizontal="right"/>
    </xf>
    <xf numFmtId="166" fontId="0" fillId="0" borderId="0" xfId="0" applyNumberFormat="1" applyBorder="1" applyAlignment="1">
      <alignment horizontal="left"/>
    </xf>
    <xf numFmtId="0" fontId="0" fillId="0" borderId="0" xfId="0" applyBorder="1" applyAlignment="1">
      <alignment horizontal="left"/>
    </xf>
    <xf numFmtId="0" fontId="0" fillId="0" borderId="28" xfId="0" applyBorder="1"/>
    <xf numFmtId="0" fontId="6" fillId="0" borderId="28" xfId="0" applyFont="1" applyBorder="1" applyAlignment="1">
      <alignment horizontal="center" vertical="center"/>
    </xf>
    <xf numFmtId="0" fontId="13" fillId="0" borderId="28" xfId="0" applyFont="1" applyFill="1" applyBorder="1" applyAlignment="1" applyProtection="1">
      <alignment horizontal="center" vertical="center"/>
    </xf>
    <xf numFmtId="0" fontId="6" fillId="0" borderId="29" xfId="0" applyFont="1" applyBorder="1" applyAlignment="1">
      <alignment horizontal="center" vertical="center"/>
    </xf>
    <xf numFmtId="0" fontId="0" fillId="0" borderId="30" xfId="0" applyBorder="1"/>
    <xf numFmtId="0" fontId="0" fillId="0" borderId="31" xfId="0" applyBorder="1"/>
    <xf numFmtId="0" fontId="0" fillId="0" borderId="32" xfId="0" applyBorder="1"/>
    <xf numFmtId="0" fontId="0" fillId="0" borderId="33" xfId="0" applyBorder="1"/>
    <xf numFmtId="167" fontId="6" fillId="0" borderId="33" xfId="0" applyNumberFormat="1" applyFont="1" applyBorder="1" applyAlignment="1">
      <alignment horizontal="right"/>
    </xf>
    <xf numFmtId="166" fontId="0" fillId="0" borderId="33" xfId="0" applyNumberFormat="1" applyBorder="1" applyAlignment="1">
      <alignment horizontal="left"/>
    </xf>
    <xf numFmtId="0" fontId="9" fillId="0" borderId="33" xfId="0" applyFont="1" applyBorder="1" applyAlignment="1">
      <alignment horizontal="left"/>
    </xf>
    <xf numFmtId="0" fontId="0" fillId="0" borderId="34" xfId="0" applyBorder="1"/>
    <xf numFmtId="0" fontId="13" fillId="0" borderId="0" xfId="0" applyFont="1" applyFill="1" applyBorder="1" applyAlignment="1" applyProtection="1">
      <alignment horizontal="right"/>
    </xf>
    <xf numFmtId="0" fontId="37" fillId="24" borderId="27" xfId="0" applyFont="1" applyFill="1" applyBorder="1"/>
    <xf numFmtId="0" fontId="37" fillId="24" borderId="28" xfId="0" applyFont="1" applyFill="1" applyBorder="1"/>
    <xf numFmtId="0" fontId="0" fillId="0" borderId="0" xfId="0" applyFill="1" applyBorder="1"/>
    <xf numFmtId="0" fontId="42" fillId="0" borderId="0" xfId="0" applyFont="1" applyFill="1" applyBorder="1" applyAlignment="1">
      <alignment horizontal="right"/>
    </xf>
    <xf numFmtId="0" fontId="42" fillId="0" borderId="0" xfId="0" applyFont="1" applyFill="1" applyBorder="1"/>
    <xf numFmtId="0" fontId="37" fillId="0" borderId="0" xfId="0" applyFont="1" applyFill="1" applyBorder="1"/>
    <xf numFmtId="22" fontId="42" fillId="0" borderId="0" xfId="0" applyNumberFormat="1" applyFont="1" applyFill="1" applyBorder="1" applyAlignment="1" applyProtection="1">
      <alignment horizontal="right" vertical="center"/>
      <protection hidden="1"/>
    </xf>
    <xf numFmtId="0" fontId="42" fillId="0" borderId="0" xfId="0" applyFont="1" applyFill="1" applyBorder="1" applyAlignment="1">
      <alignment horizontal="center"/>
    </xf>
    <xf numFmtId="0" fontId="0" fillId="0" borderId="0" xfId="0" applyFill="1" applyBorder="1" applyAlignment="1">
      <alignment horizontal="right"/>
    </xf>
    <xf numFmtId="22" fontId="0" fillId="0" borderId="0" xfId="0" applyNumberFormat="1" applyFill="1" applyBorder="1" applyAlignment="1" applyProtection="1">
      <alignment horizontal="right" vertical="center"/>
      <protection hidden="1"/>
    </xf>
    <xf numFmtId="0" fontId="39" fillId="0" borderId="31" xfId="0" applyFont="1" applyBorder="1" applyAlignment="1">
      <alignment horizontal="left"/>
    </xf>
    <xf numFmtId="0" fontId="39" fillId="0" borderId="34" xfId="0" applyFont="1" applyBorder="1" applyAlignment="1">
      <alignment horizontal="left"/>
    </xf>
    <xf numFmtId="22" fontId="44" fillId="0" borderId="0" xfId="0" applyNumberFormat="1" applyFont="1" applyAlignment="1" applyProtection="1">
      <alignment horizontal="right" vertical="center"/>
      <protection hidden="1"/>
    </xf>
    <xf numFmtId="0" fontId="44" fillId="0" borderId="0" xfId="0" applyFont="1"/>
    <xf numFmtId="0" fontId="44" fillId="0" borderId="0" xfId="0" applyFont="1" applyAlignment="1">
      <alignment horizontal="right"/>
    </xf>
    <xf numFmtId="0" fontId="44" fillId="0" borderId="0" xfId="0" applyFont="1" applyAlignment="1">
      <alignment horizontal="center"/>
    </xf>
    <xf numFmtId="9" fontId="44" fillId="0" borderId="0" xfId="0" applyNumberFormat="1" applyFont="1"/>
    <xf numFmtId="166" fontId="44" fillId="0" borderId="0" xfId="0" applyNumberFormat="1" applyFont="1"/>
    <xf numFmtId="168" fontId="6" fillId="0" borderId="0" xfId="0" applyNumberFormat="1" applyFont="1" applyAlignment="1" applyProtection="1">
      <alignment horizontal="right" vertical="center"/>
      <protection hidden="1"/>
    </xf>
    <xf numFmtId="168" fontId="0" fillId="0" borderId="0" xfId="0" applyNumberFormat="1"/>
    <xf numFmtId="168" fontId="6" fillId="0" borderId="0" xfId="0" applyNumberFormat="1" applyFont="1"/>
    <xf numFmtId="168" fontId="0" fillId="0" borderId="0" xfId="0" applyNumberFormat="1" applyFill="1" applyBorder="1"/>
    <xf numFmtId="164" fontId="44" fillId="0" borderId="0" xfId="0" applyNumberFormat="1" applyFont="1" applyAlignment="1">
      <alignment horizontal="right"/>
    </xf>
    <xf numFmtId="0" fontId="2" fillId="0" borderId="0" xfId="44" applyFont="1"/>
    <xf numFmtId="169" fontId="14" fillId="21" borderId="15" xfId="45" applyNumberFormat="1" applyFont="1" applyFill="1" applyBorder="1" applyAlignment="1">
      <alignment horizontal="center" wrapText="1"/>
    </xf>
    <xf numFmtId="168" fontId="44" fillId="0" borderId="0" xfId="0" applyNumberFormat="1" applyFont="1"/>
    <xf numFmtId="22" fontId="45" fillId="0" borderId="0" xfId="0" applyNumberFormat="1" applyFont="1" applyAlignment="1" applyProtection="1">
      <alignment horizontal="right" vertical="center"/>
      <protection hidden="1"/>
    </xf>
    <xf numFmtId="0" fontId="39" fillId="0" borderId="0" xfId="0" applyFont="1"/>
    <xf numFmtId="0" fontId="43" fillId="29" borderId="16" xfId="0" applyFont="1" applyFill="1" applyBorder="1"/>
    <xf numFmtId="0" fontId="43" fillId="29" borderId="17" xfId="0" applyFont="1" applyFill="1" applyBorder="1"/>
    <xf numFmtId="0" fontId="0" fillId="29" borderId="17" xfId="0" applyFill="1" applyBorder="1"/>
    <xf numFmtId="0" fontId="0" fillId="29" borderId="23" xfId="0" applyFill="1" applyBorder="1"/>
    <xf numFmtId="0" fontId="43" fillId="29" borderId="18" xfId="0" applyFont="1" applyFill="1" applyBorder="1"/>
    <xf numFmtId="0" fontId="43" fillId="29" borderId="0" xfId="0" applyFont="1" applyFill="1" applyBorder="1"/>
    <xf numFmtId="0" fontId="0" fillId="29" borderId="0" xfId="0" applyFill="1" applyBorder="1"/>
    <xf numFmtId="0" fontId="0" fillId="29" borderId="19" xfId="0" applyFill="1" applyBorder="1"/>
    <xf numFmtId="0" fontId="0" fillId="29" borderId="20" xfId="0" applyFill="1" applyBorder="1"/>
    <xf numFmtId="0" fontId="0" fillId="29" borderId="21" xfId="0" applyFill="1" applyBorder="1"/>
    <xf numFmtId="0" fontId="0" fillId="29" borderId="22" xfId="0" applyFill="1" applyBorder="1"/>
    <xf numFmtId="0" fontId="40" fillId="21" borderId="0" xfId="45" applyFont="1" applyFill="1" applyBorder="1" applyAlignment="1">
      <alignment horizontal="center" wrapText="1"/>
    </xf>
    <xf numFmtId="0" fontId="6" fillId="0" borderId="0" xfId="0" applyFont="1" applyAlignment="1">
      <alignment horizontal="center" vertical="center"/>
    </xf>
    <xf numFmtId="0" fontId="40" fillId="30" borderId="0" xfId="45" applyFont="1" applyFill="1" applyBorder="1" applyAlignment="1">
      <alignment horizontal="center" wrapText="1"/>
    </xf>
    <xf numFmtId="0" fontId="41" fillId="26" borderId="0" xfId="44" applyFont="1" applyFill="1"/>
    <xf numFmtId="14" fontId="46" fillId="31" borderId="15" xfId="44" applyNumberFormat="1" applyFont="1" applyFill="1" applyBorder="1"/>
    <xf numFmtId="14" fontId="46" fillId="20" borderId="15" xfId="44" applyNumberFormat="1" applyFont="1" applyFill="1" applyBorder="1"/>
    <xf numFmtId="14" fontId="46" fillId="32" borderId="15" xfId="44" applyNumberFormat="1" applyFont="1" applyFill="1" applyBorder="1"/>
    <xf numFmtId="14" fontId="46" fillId="33" borderId="15" xfId="44" applyNumberFormat="1" applyFont="1" applyFill="1" applyBorder="1"/>
    <xf numFmtId="14" fontId="46" fillId="34" borderId="15" xfId="44" applyNumberFormat="1" applyFont="1" applyFill="1" applyBorder="1"/>
    <xf numFmtId="0" fontId="41" fillId="0" borderId="0" xfId="44" applyNumberFormat="1" applyFont="1"/>
    <xf numFmtId="0" fontId="47" fillId="31" borderId="15" xfId="44" applyNumberFormat="1" applyFont="1" applyFill="1" applyBorder="1" applyAlignment="1">
      <alignment horizontal="center" vertical="center"/>
    </xf>
    <xf numFmtId="0" fontId="47" fillId="20" borderId="15" xfId="44" applyNumberFormat="1" applyFont="1" applyFill="1" applyBorder="1" applyAlignment="1">
      <alignment horizontal="center" vertical="center"/>
    </xf>
    <xf numFmtId="0" fontId="47" fillId="32" borderId="15" xfId="44" applyNumberFormat="1" applyFont="1" applyFill="1" applyBorder="1" applyAlignment="1">
      <alignment horizontal="center" vertical="center"/>
    </xf>
    <xf numFmtId="0" fontId="47" fillId="33" borderId="15" xfId="44" applyNumberFormat="1" applyFont="1" applyFill="1" applyBorder="1" applyAlignment="1">
      <alignment horizontal="center" vertical="center"/>
    </xf>
    <xf numFmtId="0" fontId="47" fillId="34" borderId="15" xfId="44" applyNumberFormat="1" applyFont="1" applyFill="1" applyBorder="1" applyAlignment="1">
      <alignment horizontal="center" vertical="center"/>
    </xf>
    <xf numFmtId="0" fontId="6" fillId="0" borderId="0" xfId="46"/>
    <xf numFmtId="0" fontId="6" fillId="0" borderId="0" xfId="46" applyFill="1"/>
    <xf numFmtId="9" fontId="48" fillId="0" borderId="0" xfId="49" applyFont="1" applyBorder="1"/>
    <xf numFmtId="0" fontId="48" fillId="0" borderId="0" xfId="46" applyFont="1" applyBorder="1"/>
    <xf numFmtId="0" fontId="6" fillId="0" borderId="0" xfId="46" applyBorder="1"/>
    <xf numFmtId="0" fontId="6" fillId="0" borderId="0" xfId="46" applyFont="1"/>
    <xf numFmtId="0" fontId="6" fillId="0" borderId="0" xfId="46" applyFill="1" applyBorder="1"/>
    <xf numFmtId="0" fontId="6" fillId="0" borderId="0" xfId="46" applyBorder="1" applyAlignment="1"/>
    <xf numFmtId="1" fontId="7" fillId="0" borderId="13" xfId="46" applyNumberFormat="1" applyFont="1" applyBorder="1" applyAlignment="1">
      <alignment horizontal="center"/>
    </xf>
    <xf numFmtId="0" fontId="6" fillId="24" borderId="21" xfId="46" applyFill="1" applyBorder="1"/>
    <xf numFmtId="0" fontId="6" fillId="0" borderId="21" xfId="46" applyBorder="1"/>
    <xf numFmtId="0" fontId="6" fillId="0" borderId="20" xfId="46" applyBorder="1"/>
    <xf numFmtId="0" fontId="6" fillId="24" borderId="20" xfId="46" applyFill="1" applyBorder="1"/>
    <xf numFmtId="170" fontId="33" fillId="35" borderId="22" xfId="46" applyNumberFormat="1" applyFont="1" applyFill="1" applyBorder="1" applyAlignment="1">
      <alignment horizontal="center"/>
    </xf>
    <xf numFmtId="1" fontId="33" fillId="35" borderId="22" xfId="46" applyNumberFormat="1" applyFont="1" applyFill="1" applyBorder="1" applyAlignment="1">
      <alignment horizontal="center"/>
    </xf>
    <xf numFmtId="1" fontId="33" fillId="35" borderId="41" xfId="46" applyNumberFormat="1" applyFont="1" applyFill="1" applyBorder="1" applyAlignment="1">
      <alignment horizontal="center"/>
    </xf>
    <xf numFmtId="1" fontId="33" fillId="35" borderId="20" xfId="46" applyNumberFormat="1" applyFont="1" applyFill="1" applyBorder="1" applyAlignment="1">
      <alignment horizontal="center"/>
    </xf>
    <xf numFmtId="9" fontId="50" fillId="19" borderId="19" xfId="29" applyNumberFormat="1" applyFont="1" applyBorder="1"/>
    <xf numFmtId="0" fontId="50" fillId="19" borderId="0" xfId="29" applyFont="1" applyBorder="1" applyAlignment="1">
      <alignment horizontal="center"/>
    </xf>
    <xf numFmtId="0" fontId="51" fillId="24" borderId="0" xfId="46" applyFont="1" applyFill="1" applyBorder="1"/>
    <xf numFmtId="9" fontId="50" fillId="19" borderId="0" xfId="29" applyNumberFormat="1" applyFont="1" applyBorder="1"/>
    <xf numFmtId="0" fontId="50" fillId="19" borderId="18" xfId="29" applyFont="1" applyBorder="1" applyAlignment="1">
      <alignment horizontal="center"/>
    </xf>
    <xf numFmtId="0" fontId="6" fillId="24" borderId="18" xfId="46" applyFill="1" applyBorder="1"/>
    <xf numFmtId="170" fontId="33" fillId="35" borderId="19" xfId="46" applyNumberFormat="1" applyFont="1" applyFill="1" applyBorder="1" applyAlignment="1">
      <alignment horizontal="center"/>
    </xf>
    <xf numFmtId="1" fontId="33" fillId="35" borderId="19" xfId="46" applyNumberFormat="1" applyFont="1" applyFill="1" applyBorder="1" applyAlignment="1">
      <alignment horizontal="center"/>
    </xf>
    <xf numFmtId="1" fontId="33" fillId="35" borderId="42" xfId="46" applyNumberFormat="1" applyFont="1" applyFill="1" applyBorder="1" applyAlignment="1">
      <alignment horizontal="center"/>
    </xf>
    <xf numFmtId="1" fontId="33" fillId="35" borderId="18" xfId="46" applyNumberFormat="1" applyFont="1" applyFill="1" applyBorder="1" applyAlignment="1">
      <alignment horizontal="center"/>
    </xf>
    <xf numFmtId="0" fontId="6" fillId="0" borderId="0" xfId="46" applyFont="1" applyAlignment="1">
      <alignment horizontal="center" vertical="center"/>
    </xf>
    <xf numFmtId="9" fontId="52" fillId="36" borderId="19" xfId="27" applyNumberFormat="1" applyFont="1" applyFill="1" applyBorder="1"/>
    <xf numFmtId="0" fontId="52" fillId="36" borderId="0" xfId="27" applyFont="1" applyFill="1" applyBorder="1" applyAlignment="1">
      <alignment horizontal="center"/>
    </xf>
    <xf numFmtId="9" fontId="52" fillId="36" borderId="0" xfId="27" applyNumberFormat="1" applyFont="1" applyFill="1" applyBorder="1"/>
    <xf numFmtId="0" fontId="52" fillId="36" borderId="18" xfId="27" applyFont="1" applyFill="1" applyBorder="1" applyAlignment="1">
      <alignment horizontal="center"/>
    </xf>
    <xf numFmtId="1" fontId="7" fillId="35" borderId="13" xfId="46" applyNumberFormat="1" applyFont="1" applyFill="1" applyBorder="1" applyAlignment="1">
      <alignment horizontal="center" vertical="center"/>
    </xf>
    <xf numFmtId="9" fontId="53" fillId="16" borderId="19" xfId="25" applyNumberFormat="1" applyFont="1" applyBorder="1"/>
    <xf numFmtId="0" fontId="53" fillId="16" borderId="0" xfId="25" applyFont="1" applyBorder="1" applyAlignment="1">
      <alignment horizontal="center"/>
    </xf>
    <xf numFmtId="9" fontId="53" fillId="16" borderId="0" xfId="25" applyNumberFormat="1" applyFont="1" applyBorder="1"/>
    <xf numFmtId="0" fontId="53" fillId="16" borderId="18" xfId="25" applyFont="1" applyBorder="1" applyAlignment="1">
      <alignment horizontal="center"/>
    </xf>
    <xf numFmtId="0" fontId="49" fillId="24" borderId="43" xfId="46" applyFont="1" applyFill="1" applyBorder="1" applyAlignment="1">
      <alignment vertical="center"/>
    </xf>
    <xf numFmtId="9" fontId="9" fillId="0" borderId="44" xfId="46" applyNumberFormat="1" applyFont="1" applyBorder="1" applyAlignment="1">
      <alignment horizontal="center"/>
    </xf>
    <xf numFmtId="0" fontId="9" fillId="0" borderId="45" xfId="46" applyFont="1" applyBorder="1" applyAlignment="1">
      <alignment horizontal="center"/>
    </xf>
    <xf numFmtId="0" fontId="9" fillId="0" borderId="46" xfId="46" applyFont="1" applyBorder="1" applyAlignment="1">
      <alignment horizontal="center"/>
    </xf>
    <xf numFmtId="0" fontId="6" fillId="0" borderId="47" xfId="46" applyFont="1" applyBorder="1" applyAlignment="1">
      <alignment horizontal="right"/>
    </xf>
    <xf numFmtId="0" fontId="6" fillId="24" borderId="17" xfId="46" applyFill="1" applyBorder="1"/>
    <xf numFmtId="0" fontId="33" fillId="24" borderId="17" xfId="46" applyFont="1" applyFill="1" applyBorder="1" applyAlignment="1">
      <alignment vertical="center"/>
    </xf>
    <xf numFmtId="9" fontId="9" fillId="0" borderId="48" xfId="49" applyFont="1" applyBorder="1" applyAlignment="1">
      <alignment horizontal="center"/>
    </xf>
    <xf numFmtId="0" fontId="9" fillId="38" borderId="0" xfId="46" applyFont="1" applyFill="1" applyBorder="1" applyAlignment="1">
      <alignment horizontal="center"/>
    </xf>
    <xf numFmtId="0" fontId="9" fillId="38" borderId="49" xfId="46" applyFont="1" applyFill="1" applyBorder="1" applyAlignment="1">
      <alignment horizontal="center"/>
    </xf>
    <xf numFmtId="0" fontId="37" fillId="37" borderId="50" xfId="46" applyFont="1" applyFill="1" applyBorder="1" applyAlignment="1">
      <alignment horizontal="right"/>
    </xf>
    <xf numFmtId="0" fontId="55" fillId="38" borderId="13" xfId="46" applyFont="1" applyFill="1" applyBorder="1" applyAlignment="1">
      <alignment horizontal="center" vertical="center" wrapText="1"/>
    </xf>
    <xf numFmtId="9" fontId="9" fillId="0" borderId="51" xfId="49" applyFont="1" applyBorder="1" applyAlignment="1">
      <alignment horizontal="center"/>
    </xf>
    <xf numFmtId="0" fontId="9" fillId="38" borderId="52" xfId="46" applyFont="1" applyFill="1" applyBorder="1" applyAlignment="1">
      <alignment horizontal="center"/>
    </xf>
    <xf numFmtId="0" fontId="9" fillId="38" borderId="53" xfId="46" applyFont="1" applyFill="1" applyBorder="1" applyAlignment="1">
      <alignment horizontal="center"/>
    </xf>
    <xf numFmtId="0" fontId="9" fillId="23" borderId="24" xfId="46" applyFont="1" applyFill="1" applyBorder="1" applyAlignment="1">
      <alignment horizontal="right"/>
    </xf>
    <xf numFmtId="0" fontId="6" fillId="0" borderId="0" xfId="46" applyFill="1" applyBorder="1" applyAlignment="1">
      <alignment horizontal="center"/>
    </xf>
    <xf numFmtId="0" fontId="13" fillId="0" borderId="0" xfId="46" applyFont="1" applyFill="1" applyBorder="1" applyAlignment="1">
      <alignment vertical="center" wrapText="1"/>
    </xf>
    <xf numFmtId="0" fontId="6" fillId="0" borderId="19" xfId="46" applyBorder="1"/>
    <xf numFmtId="0" fontId="6" fillId="24" borderId="0" xfId="46" applyFill="1" applyBorder="1"/>
    <xf numFmtId="0" fontId="9" fillId="0" borderId="13" xfId="46" applyFont="1" applyBorder="1" applyAlignment="1">
      <alignment horizontal="center"/>
    </xf>
    <xf numFmtId="0" fontId="33" fillId="0" borderId="13" xfId="46" applyFont="1" applyBorder="1" applyAlignment="1">
      <alignment horizontal="center"/>
    </xf>
    <xf numFmtId="0" fontId="6" fillId="0" borderId="0" xfId="46" applyFill="1" applyBorder="1" applyAlignment="1"/>
    <xf numFmtId="1" fontId="56" fillId="24" borderId="15" xfId="46" applyNumberFormat="1" applyFont="1" applyFill="1" applyBorder="1" applyAlignment="1">
      <alignment horizontal="right"/>
    </xf>
    <xf numFmtId="0" fontId="57" fillId="38" borderId="15" xfId="25" applyFont="1" applyFill="1" applyBorder="1"/>
    <xf numFmtId="0" fontId="6" fillId="0" borderId="18" xfId="46" applyFont="1" applyBorder="1" applyAlignment="1">
      <alignment horizontal="right"/>
    </xf>
    <xf numFmtId="170" fontId="33" fillId="35" borderId="23" xfId="46" applyNumberFormat="1" applyFont="1" applyFill="1" applyBorder="1" applyAlignment="1">
      <alignment horizontal="center"/>
    </xf>
    <xf numFmtId="1" fontId="33" fillId="35" borderId="23" xfId="46" applyNumberFormat="1" applyFont="1" applyFill="1" applyBorder="1" applyAlignment="1">
      <alignment horizontal="center"/>
    </xf>
    <xf numFmtId="1" fontId="33" fillId="35" borderId="54" xfId="46" applyNumberFormat="1" applyFont="1" applyFill="1" applyBorder="1" applyAlignment="1">
      <alignment horizontal="center"/>
    </xf>
    <xf numFmtId="1" fontId="33" fillId="35" borderId="16" xfId="46" applyNumberFormat="1" applyFont="1" applyFill="1" applyBorder="1" applyAlignment="1">
      <alignment horizontal="center"/>
    </xf>
    <xf numFmtId="0" fontId="7" fillId="38" borderId="13" xfId="46" applyFont="1" applyFill="1" applyBorder="1" applyAlignment="1">
      <alignment horizontal="center"/>
    </xf>
    <xf numFmtId="0" fontId="51" fillId="38" borderId="13" xfId="46" applyFont="1" applyFill="1" applyBorder="1" applyAlignment="1">
      <alignment horizontal="center" vertical="center"/>
    </xf>
    <xf numFmtId="0" fontId="9" fillId="24" borderId="17" xfId="46" applyFont="1" applyFill="1" applyBorder="1" applyAlignment="1"/>
    <xf numFmtId="0" fontId="6" fillId="0" borderId="18" xfId="46" applyBorder="1"/>
    <xf numFmtId="0" fontId="37" fillId="40" borderId="13" xfId="46" applyFont="1" applyFill="1" applyBorder="1" applyAlignment="1">
      <alignment horizontal="center" vertical="center"/>
    </xf>
    <xf numFmtId="0" fontId="37" fillId="40" borderId="17" xfId="46" applyFont="1" applyFill="1" applyBorder="1" applyAlignment="1">
      <alignment vertical="center"/>
    </xf>
    <xf numFmtId="0" fontId="37" fillId="40" borderId="16" xfId="46" applyFont="1" applyFill="1" applyBorder="1" applyAlignment="1">
      <alignment horizontal="center" vertical="center"/>
    </xf>
    <xf numFmtId="0" fontId="6" fillId="0" borderId="0" xfId="46" applyFont="1" applyFill="1" applyBorder="1"/>
    <xf numFmtId="0" fontId="49" fillId="24" borderId="16" xfId="46" applyFont="1" applyFill="1" applyBorder="1" applyAlignment="1">
      <alignment horizontal="center"/>
    </xf>
    <xf numFmtId="0" fontId="58" fillId="0" borderId="0" xfId="46" applyFont="1" applyFill="1" applyBorder="1" applyAlignment="1"/>
    <xf numFmtId="0" fontId="6" fillId="24" borderId="35" xfId="46" applyFill="1" applyBorder="1"/>
    <xf numFmtId="0" fontId="59" fillId="0" borderId="0" xfId="46" applyFont="1" applyBorder="1"/>
    <xf numFmtId="0" fontId="6" fillId="31" borderId="0" xfId="46" applyFont="1" applyFill="1" applyBorder="1" applyAlignment="1">
      <alignment horizontal="center"/>
    </xf>
    <xf numFmtId="0" fontId="6" fillId="0" borderId="52" xfId="46" applyBorder="1"/>
    <xf numFmtId="0" fontId="6" fillId="0" borderId="52" xfId="46" applyFill="1" applyBorder="1"/>
    <xf numFmtId="0" fontId="6" fillId="0" borderId="52" xfId="46" applyFont="1" applyFill="1" applyBorder="1" applyAlignment="1">
      <alignment horizontal="center"/>
    </xf>
    <xf numFmtId="0" fontId="6" fillId="0" borderId="52" xfId="46" applyFont="1" applyFill="1" applyBorder="1"/>
    <xf numFmtId="0" fontId="6" fillId="0" borderId="0" xfId="46" applyFont="1" applyFill="1" applyBorder="1" applyAlignment="1">
      <alignment horizontal="center"/>
    </xf>
    <xf numFmtId="0" fontId="26" fillId="5" borderId="0" xfId="36"/>
    <xf numFmtId="0" fontId="26" fillId="5" borderId="55" xfId="36" applyBorder="1"/>
    <xf numFmtId="2" fontId="26" fillId="5" borderId="13" xfId="36" applyNumberFormat="1" applyBorder="1"/>
    <xf numFmtId="170" fontId="26" fillId="5" borderId="13" xfId="36" applyNumberFormat="1" applyBorder="1"/>
    <xf numFmtId="1" fontId="26" fillId="5" borderId="13" xfId="36" applyNumberFormat="1" applyBorder="1"/>
    <xf numFmtId="0" fontId="26" fillId="5" borderId="43" xfId="36" applyBorder="1" applyAlignment="1">
      <alignment horizontal="center"/>
    </xf>
    <xf numFmtId="0" fontId="26" fillId="5" borderId="16" xfId="36" applyBorder="1" applyAlignment="1">
      <alignment horizontal="center"/>
    </xf>
    <xf numFmtId="0" fontId="26" fillId="5" borderId="22" xfId="36" applyBorder="1"/>
    <xf numFmtId="0" fontId="26" fillId="5" borderId="20" xfId="36" applyBorder="1"/>
    <xf numFmtId="0" fontId="26" fillId="5" borderId="23" xfId="36" applyBorder="1"/>
    <xf numFmtId="0" fontId="26" fillId="5" borderId="16" xfId="36" applyBorder="1"/>
    <xf numFmtId="9" fontId="0" fillId="31" borderId="0" xfId="49" applyFont="1" applyFill="1" applyBorder="1"/>
    <xf numFmtId="170" fontId="26" fillId="5" borderId="55" xfId="36" applyNumberFormat="1" applyBorder="1"/>
    <xf numFmtId="0" fontId="26" fillId="5" borderId="13" xfId="36" applyBorder="1"/>
    <xf numFmtId="0" fontId="26" fillId="5" borderId="35" xfId="36" applyBorder="1"/>
    <xf numFmtId="0" fontId="26" fillId="5" borderId="36" xfId="36" applyBorder="1"/>
    <xf numFmtId="9" fontId="26" fillId="5" borderId="35" xfId="36" applyNumberFormat="1" applyBorder="1"/>
    <xf numFmtId="0" fontId="26" fillId="5" borderId="37" xfId="36" applyBorder="1"/>
    <xf numFmtId="170" fontId="26" fillId="5" borderId="43" xfId="36" applyNumberFormat="1" applyBorder="1"/>
    <xf numFmtId="0" fontId="26" fillId="5" borderId="19" xfId="36" applyBorder="1"/>
    <xf numFmtId="0" fontId="26" fillId="5" borderId="56" xfId="36" applyBorder="1"/>
    <xf numFmtId="0" fontId="26" fillId="5" borderId="18" xfId="36" applyBorder="1"/>
    <xf numFmtId="9" fontId="26" fillId="5" borderId="16" xfId="36" applyNumberFormat="1" applyBorder="1"/>
    <xf numFmtId="0" fontId="6" fillId="31" borderId="0" xfId="46" applyFill="1" applyBorder="1" applyAlignment="1">
      <alignment horizontal="center"/>
    </xf>
    <xf numFmtId="0" fontId="26" fillId="5" borderId="22" xfId="36" applyBorder="1" applyAlignment="1">
      <alignment horizontal="center"/>
    </xf>
    <xf numFmtId="0" fontId="26" fillId="5" borderId="37" xfId="36" applyBorder="1" applyAlignment="1">
      <alignment horizontal="center"/>
    </xf>
    <xf numFmtId="0" fontId="26" fillId="5" borderId="13" xfId="36" applyBorder="1" applyAlignment="1">
      <alignment horizontal="center"/>
    </xf>
    <xf numFmtId="0" fontId="26" fillId="5" borderId="35" xfId="36" applyBorder="1" applyAlignment="1">
      <alignment horizontal="center"/>
    </xf>
    <xf numFmtId="0" fontId="26" fillId="5" borderId="55" xfId="36" applyBorder="1" applyAlignment="1">
      <alignment horizontal="center"/>
    </xf>
    <xf numFmtId="0" fontId="6" fillId="0" borderId="0" xfId="46" applyBorder="1" applyAlignment="1">
      <alignment horizontal="center"/>
    </xf>
    <xf numFmtId="0" fontId="26" fillId="5" borderId="19" xfId="36" applyBorder="1" applyAlignment="1">
      <alignment horizontal="center"/>
    </xf>
    <xf numFmtId="0" fontId="26" fillId="5" borderId="56" xfId="36" applyBorder="1" applyAlignment="1">
      <alignment horizontal="center"/>
    </xf>
    <xf numFmtId="0" fontId="26" fillId="5" borderId="17" xfId="36" applyBorder="1" applyAlignment="1">
      <alignment horizontal="center"/>
    </xf>
    <xf numFmtId="0" fontId="26" fillId="5" borderId="43" xfId="36" applyBorder="1"/>
    <xf numFmtId="0" fontId="26" fillId="5" borderId="17" xfId="36" applyBorder="1"/>
    <xf numFmtId="0" fontId="6" fillId="0" borderId="16" xfId="46" applyBorder="1"/>
    <xf numFmtId="0" fontId="6" fillId="0" borderId="0" xfId="46" applyProtection="1">
      <protection locked="0"/>
    </xf>
    <xf numFmtId="0" fontId="6" fillId="0" borderId="0" xfId="46" applyNumberFormat="1" applyProtection="1">
      <protection locked="0"/>
    </xf>
    <xf numFmtId="0" fontId="6" fillId="0" borderId="0" xfId="46" applyFont="1" applyProtection="1">
      <protection locked="0"/>
    </xf>
    <xf numFmtId="0" fontId="9" fillId="0" borderId="0" xfId="46" applyNumberFormat="1" applyFont="1" applyAlignment="1" applyProtection="1">
      <alignment horizontal="center" vertical="center" wrapText="1"/>
    </xf>
    <xf numFmtId="0" fontId="6" fillId="0" borderId="0" xfId="46" applyProtection="1"/>
    <xf numFmtId="0" fontId="0" fillId="0" borderId="0" xfId="0" applyNumberFormat="1"/>
    <xf numFmtId="0" fontId="6" fillId="0" borderId="0" xfId="46" applyAlignment="1">
      <alignment horizontal="center"/>
    </xf>
    <xf numFmtId="14" fontId="6" fillId="0" borderId="0" xfId="46" applyNumberFormat="1"/>
    <xf numFmtId="0" fontId="57" fillId="38" borderId="57" xfId="25" applyFont="1" applyFill="1" applyBorder="1"/>
    <xf numFmtId="0" fontId="52" fillId="36" borderId="18" xfId="27" applyFont="1" applyFill="1" applyBorder="1" applyAlignment="1">
      <alignment horizontal="right"/>
    </xf>
    <xf numFmtId="9" fontId="52" fillId="36" borderId="19" xfId="27" applyNumberFormat="1" applyFont="1" applyFill="1" applyBorder="1" applyAlignment="1">
      <alignment horizontal="left"/>
    </xf>
    <xf numFmtId="0" fontId="9" fillId="0" borderId="0" xfId="46" applyFont="1"/>
    <xf numFmtId="0" fontId="6" fillId="0" borderId="0" xfId="46" applyFont="1" applyBorder="1"/>
    <xf numFmtId="0" fontId="62" fillId="14" borderId="20" xfId="23" applyFont="1" applyBorder="1" applyAlignment="1">
      <alignment horizontal="right"/>
    </xf>
    <xf numFmtId="9" fontId="62" fillId="14" borderId="22" xfId="23" applyNumberFormat="1" applyFont="1" applyBorder="1" applyAlignment="1">
      <alignment horizontal="left"/>
    </xf>
    <xf numFmtId="0" fontId="52" fillId="11" borderId="18" xfId="18" applyFont="1" applyBorder="1" applyAlignment="1">
      <alignment horizontal="right"/>
    </xf>
    <xf numFmtId="9" fontId="52" fillId="11" borderId="19" xfId="18" applyNumberFormat="1" applyFont="1" applyBorder="1" applyAlignment="1">
      <alignment horizontal="left"/>
    </xf>
    <xf numFmtId="0" fontId="62" fillId="14" borderId="18" xfId="23" applyFont="1" applyBorder="1" applyAlignment="1">
      <alignment horizontal="right"/>
    </xf>
    <xf numFmtId="0" fontId="51" fillId="38" borderId="35" xfId="46" applyFont="1" applyFill="1" applyBorder="1" applyAlignment="1">
      <alignment horizontal="center" vertical="center"/>
    </xf>
    <xf numFmtId="0" fontId="7" fillId="38" borderId="12" xfId="46" applyFont="1" applyFill="1" applyBorder="1" applyAlignment="1">
      <alignment horizontal="center" vertical="center"/>
    </xf>
    <xf numFmtId="0" fontId="6" fillId="0" borderId="58" xfId="46" applyBorder="1"/>
    <xf numFmtId="0" fontId="59" fillId="0" borderId="0" xfId="46" applyFont="1" applyFill="1" applyBorder="1"/>
    <xf numFmtId="0" fontId="49" fillId="0" borderId="0" xfId="46" applyFont="1" applyFill="1" applyBorder="1" applyAlignment="1">
      <alignment horizontal="center" vertical="center"/>
    </xf>
    <xf numFmtId="1" fontId="56" fillId="0" borderId="0" xfId="46" applyNumberFormat="1" applyFont="1" applyFill="1" applyBorder="1" applyAlignment="1">
      <alignment horizontal="right"/>
    </xf>
    <xf numFmtId="9" fontId="52" fillId="0" borderId="0" xfId="18" applyNumberFormat="1" applyFont="1" applyFill="1" applyBorder="1" applyAlignment="1">
      <alignment horizontal="left"/>
    </xf>
    <xf numFmtId="9" fontId="52" fillId="0" borderId="0" xfId="27" applyNumberFormat="1" applyFont="1" applyFill="1" applyBorder="1" applyAlignment="1">
      <alignment horizontal="left"/>
    </xf>
    <xf numFmtId="9" fontId="62" fillId="0" borderId="0" xfId="23" applyNumberFormat="1" applyFont="1" applyFill="1" applyBorder="1" applyAlignment="1">
      <alignment horizontal="left"/>
    </xf>
    <xf numFmtId="1" fontId="38" fillId="0" borderId="0" xfId="46" applyNumberFormat="1" applyFont="1" applyFill="1" applyBorder="1" applyAlignment="1">
      <alignment horizontal="center"/>
    </xf>
    <xf numFmtId="0" fontId="6" fillId="0" borderId="58" xfId="46" applyFill="1" applyBorder="1"/>
    <xf numFmtId="0" fontId="6" fillId="0" borderId="59" xfId="46" applyBorder="1"/>
    <xf numFmtId="0" fontId="6" fillId="0" borderId="60" xfId="46" applyBorder="1"/>
    <xf numFmtId="0" fontId="59" fillId="0" borderId="59" xfId="46" applyFont="1" applyBorder="1"/>
    <xf numFmtId="0" fontId="6" fillId="39" borderId="0" xfId="46" applyFill="1" applyBorder="1"/>
    <xf numFmtId="0" fontId="6" fillId="39" borderId="18" xfId="46" applyFill="1" applyBorder="1"/>
    <xf numFmtId="0" fontId="6" fillId="39" borderId="19" xfId="46" applyFill="1" applyBorder="1"/>
    <xf numFmtId="0" fontId="49" fillId="39" borderId="35" xfId="46" applyFont="1" applyFill="1" applyBorder="1" applyAlignment="1">
      <alignment horizontal="center" vertical="center"/>
    </xf>
    <xf numFmtId="0" fontId="6" fillId="39" borderId="18" xfId="46" applyFont="1" applyFill="1" applyBorder="1" applyAlignment="1">
      <alignment horizontal="right" vertical="center"/>
    </xf>
    <xf numFmtId="0" fontId="6" fillId="39" borderId="0" xfId="46" applyFont="1" applyFill="1" applyBorder="1" applyAlignment="1">
      <alignment horizontal="right" vertical="center"/>
    </xf>
    <xf numFmtId="1" fontId="56" fillId="39" borderId="57" xfId="46" applyNumberFormat="1" applyFont="1" applyFill="1" applyBorder="1" applyAlignment="1">
      <alignment horizontal="right"/>
    </xf>
    <xf numFmtId="0" fontId="6" fillId="39" borderId="18" xfId="46" applyFill="1" applyBorder="1" applyAlignment="1">
      <alignment horizontal="right" vertical="center"/>
    </xf>
    <xf numFmtId="0" fontId="33" fillId="39" borderId="57" xfId="46" applyNumberFormat="1" applyFont="1" applyFill="1" applyBorder="1" applyAlignment="1">
      <alignment vertical="center"/>
    </xf>
    <xf numFmtId="0" fontId="61" fillId="39" borderId="57" xfId="46" applyNumberFormat="1" applyFont="1" applyFill="1" applyBorder="1" applyAlignment="1">
      <alignment vertical="center"/>
    </xf>
    <xf numFmtId="0" fontId="6" fillId="39" borderId="0" xfId="46" applyFill="1" applyBorder="1" applyAlignment="1">
      <alignment horizontal="right" vertical="center"/>
    </xf>
    <xf numFmtId="1" fontId="56" fillId="39" borderId="0" xfId="46" applyNumberFormat="1" applyFont="1" applyFill="1" applyBorder="1" applyAlignment="1">
      <alignment horizontal="center" vertical="center"/>
    </xf>
    <xf numFmtId="0" fontId="6" fillId="39" borderId="18" xfId="46" applyFont="1" applyFill="1" applyBorder="1" applyAlignment="1">
      <alignment horizontal="right" vertical="center" wrapText="1"/>
    </xf>
    <xf numFmtId="0" fontId="6" fillId="39" borderId="18" xfId="46" applyFont="1" applyFill="1" applyBorder="1" applyAlignment="1">
      <alignment vertical="center" wrapText="1"/>
    </xf>
    <xf numFmtId="0" fontId="6" fillId="39" borderId="0" xfId="46" applyFont="1" applyFill="1" applyBorder="1" applyAlignment="1">
      <alignment horizontal="right" vertical="center" wrapText="1"/>
    </xf>
    <xf numFmtId="0" fontId="60" fillId="39" borderId="21" xfId="46" applyFont="1" applyFill="1" applyBorder="1" applyAlignment="1">
      <alignment horizontal="right"/>
    </xf>
    <xf numFmtId="1" fontId="38" fillId="39" borderId="22" xfId="46" applyNumberFormat="1" applyFont="1" applyFill="1" applyBorder="1" applyAlignment="1">
      <alignment horizontal="center"/>
    </xf>
    <xf numFmtId="0" fontId="6" fillId="42" borderId="0" xfId="46" applyFill="1" applyBorder="1"/>
    <xf numFmtId="0" fontId="6" fillId="42" borderId="18" xfId="46" applyFill="1" applyBorder="1"/>
    <xf numFmtId="0" fontId="6" fillId="42" borderId="19" xfId="46" applyFill="1" applyBorder="1"/>
    <xf numFmtId="0" fontId="49" fillId="42" borderId="35" xfId="46" applyFont="1" applyFill="1" applyBorder="1" applyAlignment="1">
      <alignment horizontal="center" vertical="center"/>
    </xf>
    <xf numFmtId="0" fontId="6" fillId="42" borderId="18" xfId="46" applyFont="1" applyFill="1" applyBorder="1" applyAlignment="1">
      <alignment horizontal="right" vertical="center"/>
    </xf>
    <xf numFmtId="0" fontId="6" fillId="42" borderId="0" xfId="46" applyFont="1" applyFill="1" applyBorder="1" applyAlignment="1">
      <alignment horizontal="right" vertical="center"/>
    </xf>
    <xf numFmtId="1" fontId="56" fillId="42" borderId="57" xfId="46" applyNumberFormat="1" applyFont="1" applyFill="1" applyBorder="1" applyAlignment="1">
      <alignment horizontal="right"/>
    </xf>
    <xf numFmtId="0" fontId="6" fillId="42" borderId="18" xfId="46" applyFill="1" applyBorder="1" applyAlignment="1">
      <alignment horizontal="right" vertical="center"/>
    </xf>
    <xf numFmtId="0" fontId="33" fillId="42" borderId="57" xfId="46" applyNumberFormat="1" applyFont="1" applyFill="1" applyBorder="1" applyAlignment="1">
      <alignment vertical="center"/>
    </xf>
    <xf numFmtId="0" fontId="61" fillId="42" borderId="57" xfId="46" applyNumberFormat="1" applyFont="1" applyFill="1" applyBorder="1" applyAlignment="1">
      <alignment vertical="center"/>
    </xf>
    <xf numFmtId="0" fontId="6" fillId="42" borderId="0" xfId="46" applyFill="1" applyBorder="1" applyAlignment="1">
      <alignment horizontal="right" vertical="center"/>
    </xf>
    <xf numFmtId="1" fontId="56" fillId="42" borderId="0" xfId="46" applyNumberFormat="1" applyFont="1" applyFill="1" applyBorder="1" applyAlignment="1">
      <alignment horizontal="center" vertical="center"/>
    </xf>
    <xf numFmtId="0" fontId="6" fillId="42" borderId="18" xfId="46" applyFont="1" applyFill="1" applyBorder="1" applyAlignment="1">
      <alignment horizontal="right" vertical="center" wrapText="1"/>
    </xf>
    <xf numFmtId="0" fontId="6" fillId="42" borderId="18" xfId="46" applyFont="1" applyFill="1" applyBorder="1" applyAlignment="1">
      <alignment vertical="center" wrapText="1"/>
    </xf>
    <xf numFmtId="0" fontId="6" fillId="42" borderId="0" xfId="46" applyFont="1" applyFill="1" applyBorder="1" applyAlignment="1">
      <alignment horizontal="right" vertical="center" wrapText="1"/>
    </xf>
    <xf numFmtId="0" fontId="60" fillId="42" borderId="21" xfId="46" applyFont="1" applyFill="1" applyBorder="1" applyAlignment="1">
      <alignment horizontal="right"/>
    </xf>
    <xf numFmtId="1" fontId="38" fillId="42" borderId="22" xfId="46" applyNumberFormat="1" applyFont="1" applyFill="1" applyBorder="1" applyAlignment="1">
      <alignment horizontal="center"/>
    </xf>
    <xf numFmtId="1" fontId="0" fillId="0" borderId="0" xfId="0" applyNumberFormat="1"/>
    <xf numFmtId="0" fontId="6" fillId="43" borderId="0" xfId="46" applyFill="1" applyBorder="1"/>
    <xf numFmtId="0" fontId="6" fillId="43" borderId="18" xfId="46" applyFill="1" applyBorder="1"/>
    <xf numFmtId="0" fontId="6" fillId="43" borderId="19" xfId="46" applyFill="1" applyBorder="1"/>
    <xf numFmtId="0" fontId="49" fillId="43" borderId="35" xfId="46" applyFont="1" applyFill="1" applyBorder="1" applyAlignment="1">
      <alignment horizontal="center" vertical="center"/>
    </xf>
    <xf numFmtId="0" fontId="6" fillId="43" borderId="18" xfId="46" applyFont="1" applyFill="1" applyBorder="1" applyAlignment="1">
      <alignment horizontal="right" vertical="center"/>
    </xf>
    <xf numFmtId="0" fontId="6" fillId="43" borderId="0" xfId="46" applyFont="1" applyFill="1" applyBorder="1" applyAlignment="1">
      <alignment horizontal="right" vertical="center"/>
    </xf>
    <xf numFmtId="1" fontId="56" fillId="43" borderId="57" xfId="46" applyNumberFormat="1" applyFont="1" applyFill="1" applyBorder="1" applyAlignment="1">
      <alignment horizontal="right"/>
    </xf>
    <xf numFmtId="0" fontId="6" fillId="43" borderId="18" xfId="46" applyFill="1" applyBorder="1" applyAlignment="1">
      <alignment horizontal="right" vertical="center"/>
    </xf>
    <xf numFmtId="0" fontId="33" fillId="43" borderId="57" xfId="46" applyNumberFormat="1" applyFont="1" applyFill="1" applyBorder="1" applyAlignment="1">
      <alignment vertical="center"/>
    </xf>
    <xf numFmtId="0" fontId="61" fillId="43" borderId="57" xfId="46" applyNumberFormat="1" applyFont="1" applyFill="1" applyBorder="1" applyAlignment="1">
      <alignment vertical="center"/>
    </xf>
    <xf numFmtId="0" fontId="6" fillId="43" borderId="0" xfId="46" applyFill="1" applyBorder="1" applyAlignment="1">
      <alignment horizontal="right" vertical="center"/>
    </xf>
    <xf numFmtId="1" fontId="56" fillId="43" borderId="0" xfId="46" applyNumberFormat="1" applyFont="1" applyFill="1" applyBorder="1" applyAlignment="1">
      <alignment horizontal="center" vertical="center"/>
    </xf>
    <xf numFmtId="0" fontId="6" fillId="43" borderId="18" xfId="46" applyFont="1" applyFill="1" applyBorder="1" applyAlignment="1">
      <alignment horizontal="right" vertical="center" wrapText="1"/>
    </xf>
    <xf numFmtId="0" fontId="6" fillId="43" borderId="18" xfId="46" applyFont="1" applyFill="1" applyBorder="1" applyAlignment="1">
      <alignment vertical="center" wrapText="1"/>
    </xf>
    <xf numFmtId="0" fontId="6" fillId="43" borderId="0" xfId="46" applyFont="1" applyFill="1" applyBorder="1" applyAlignment="1">
      <alignment horizontal="right" vertical="center" wrapText="1"/>
    </xf>
    <xf numFmtId="0" fontId="60" fillId="43" borderId="21" xfId="46" applyFont="1" applyFill="1" applyBorder="1" applyAlignment="1">
      <alignment horizontal="right"/>
    </xf>
    <xf numFmtId="1" fontId="38" fillId="43" borderId="22" xfId="46" applyNumberFormat="1" applyFont="1" applyFill="1" applyBorder="1" applyAlignment="1">
      <alignment horizontal="center"/>
    </xf>
    <xf numFmtId="0" fontId="6" fillId="41" borderId="0" xfId="46" applyFill="1" applyBorder="1"/>
    <xf numFmtId="0" fontId="6" fillId="41" borderId="18" xfId="46" applyFill="1" applyBorder="1"/>
    <xf numFmtId="0" fontId="6" fillId="41" borderId="19" xfId="46" applyFill="1" applyBorder="1"/>
    <xf numFmtId="0" fontId="6" fillId="41" borderId="18" xfId="46" applyFont="1" applyFill="1" applyBorder="1" applyAlignment="1">
      <alignment horizontal="right" vertical="center"/>
    </xf>
    <xf numFmtId="0" fontId="6" fillId="41" borderId="0" xfId="46" applyFont="1" applyFill="1" applyBorder="1" applyAlignment="1">
      <alignment horizontal="right" vertical="center"/>
    </xf>
    <xf numFmtId="0" fontId="6" fillId="41" borderId="18" xfId="46" applyFill="1" applyBorder="1" applyAlignment="1">
      <alignment horizontal="right" vertical="center"/>
    </xf>
    <xf numFmtId="0" fontId="33" fillId="41" borderId="57" xfId="46" applyNumberFormat="1" applyFont="1" applyFill="1" applyBorder="1" applyAlignment="1">
      <alignment vertical="center"/>
    </xf>
    <xf numFmtId="0" fontId="6" fillId="41" borderId="18" xfId="46" applyFont="1" applyFill="1" applyBorder="1" applyAlignment="1">
      <alignment horizontal="right" vertical="center" wrapText="1"/>
    </xf>
    <xf numFmtId="0" fontId="6" fillId="41" borderId="18" xfId="46" applyFont="1" applyFill="1" applyBorder="1" applyAlignment="1">
      <alignment vertical="center" wrapText="1"/>
    </xf>
    <xf numFmtId="0" fontId="6" fillId="41" borderId="0" xfId="46" applyFont="1" applyFill="1" applyBorder="1" applyAlignment="1">
      <alignment horizontal="right" vertical="center" wrapText="1"/>
    </xf>
    <xf numFmtId="0" fontId="60" fillId="41" borderId="21" xfId="46" applyFont="1" applyFill="1" applyBorder="1" applyAlignment="1">
      <alignment horizontal="right"/>
    </xf>
    <xf numFmtId="1" fontId="38" fillId="41" borderId="22" xfId="46" applyNumberFormat="1" applyFont="1" applyFill="1" applyBorder="1" applyAlignment="1">
      <alignment horizontal="center"/>
    </xf>
    <xf numFmtId="0" fontId="6" fillId="41" borderId="18" xfId="46" applyFont="1" applyFill="1" applyBorder="1"/>
    <xf numFmtId="0" fontId="6" fillId="41" borderId="19" xfId="46" applyFont="1" applyFill="1" applyBorder="1"/>
    <xf numFmtId="0" fontId="6" fillId="41" borderId="0" xfId="46" applyFont="1" applyFill="1" applyBorder="1"/>
    <xf numFmtId="1" fontId="7" fillId="41" borderId="57" xfId="46" applyNumberFormat="1" applyFont="1" applyFill="1" applyBorder="1" applyAlignment="1">
      <alignment horizontal="right"/>
    </xf>
    <xf numFmtId="0" fontId="39" fillId="41" borderId="35" xfId="46" applyFont="1" applyFill="1" applyBorder="1" applyAlignment="1">
      <alignment horizontal="center" vertical="center"/>
    </xf>
    <xf numFmtId="1" fontId="7" fillId="41" borderId="0" xfId="46" applyNumberFormat="1" applyFont="1" applyFill="1" applyBorder="1" applyAlignment="1">
      <alignment horizontal="center" vertical="center"/>
    </xf>
    <xf numFmtId="0" fontId="6" fillId="41" borderId="16" xfId="46" applyFill="1" applyBorder="1" applyAlignment="1">
      <alignment horizontal="center"/>
    </xf>
    <xf numFmtId="0" fontId="6" fillId="41" borderId="18" xfId="0" applyFont="1" applyFill="1" applyBorder="1" applyAlignment="1">
      <alignment vertical="center" wrapText="1"/>
    </xf>
    <xf numFmtId="0" fontId="0" fillId="41" borderId="0" xfId="0" applyFill="1" applyBorder="1"/>
    <xf numFmtId="0" fontId="6" fillId="41" borderId="20" xfId="46" applyFill="1" applyBorder="1"/>
    <xf numFmtId="1" fontId="7" fillId="41" borderId="21" xfId="46" applyNumberFormat="1" applyFont="1" applyFill="1" applyBorder="1" applyAlignment="1">
      <alignment horizontal="center" vertical="center"/>
    </xf>
    <xf numFmtId="0" fontId="6" fillId="43" borderId="16" xfId="46" applyFill="1" applyBorder="1" applyAlignment="1">
      <alignment horizontal="center"/>
    </xf>
    <xf numFmtId="0" fontId="6" fillId="43" borderId="18" xfId="0" applyFont="1" applyFill="1" applyBorder="1" applyAlignment="1">
      <alignment vertical="center" wrapText="1"/>
    </xf>
    <xf numFmtId="0" fontId="0" fillId="43" borderId="0" xfId="0" applyFill="1" applyBorder="1"/>
    <xf numFmtId="0" fontId="6" fillId="43" borderId="20" xfId="46" applyFill="1" applyBorder="1"/>
    <xf numFmtId="1" fontId="56" fillId="43" borderId="21" xfId="46" applyNumberFormat="1" applyFont="1" applyFill="1" applyBorder="1" applyAlignment="1">
      <alignment horizontal="center" vertical="center"/>
    </xf>
    <xf numFmtId="0" fontId="6" fillId="39" borderId="16" xfId="46" applyFill="1" applyBorder="1" applyAlignment="1">
      <alignment horizontal="center"/>
    </xf>
    <xf numFmtId="0" fontId="6" fillId="39" borderId="18" xfId="0" applyFont="1" applyFill="1" applyBorder="1" applyAlignment="1">
      <alignment vertical="center" wrapText="1"/>
    </xf>
    <xf numFmtId="0" fontId="0" fillId="39" borderId="0" xfId="0" applyFill="1" applyBorder="1"/>
    <xf numFmtId="0" fontId="6" fillId="39" borderId="20" xfId="46" applyFill="1" applyBorder="1"/>
    <xf numFmtId="1" fontId="56" fillId="39" borderId="21" xfId="46" applyNumberFormat="1" applyFont="1" applyFill="1" applyBorder="1" applyAlignment="1">
      <alignment horizontal="center" vertical="center"/>
    </xf>
    <xf numFmtId="0" fontId="6" fillId="42" borderId="16" xfId="46" applyFill="1" applyBorder="1" applyAlignment="1">
      <alignment horizontal="center"/>
    </xf>
    <xf numFmtId="0" fontId="6" fillId="42" borderId="18" xfId="0" applyFont="1" applyFill="1" applyBorder="1" applyAlignment="1">
      <alignment vertical="center" wrapText="1"/>
    </xf>
    <xf numFmtId="0" fontId="0" fillId="42" borderId="0" xfId="0" applyFill="1" applyBorder="1"/>
    <xf numFmtId="0" fontId="6" fillId="42" borderId="20" xfId="46" applyFill="1" applyBorder="1"/>
    <xf numFmtId="1" fontId="56" fillId="42" borderId="21" xfId="46" applyNumberFormat="1" applyFont="1" applyFill="1" applyBorder="1" applyAlignment="1">
      <alignment horizontal="center" vertical="center"/>
    </xf>
    <xf numFmtId="0" fontId="6" fillId="44" borderId="0" xfId="46" applyFill="1" applyBorder="1"/>
    <xf numFmtId="0" fontId="6" fillId="44" borderId="18" xfId="46" applyFill="1" applyBorder="1"/>
    <xf numFmtId="0" fontId="6" fillId="44" borderId="19" xfId="46" applyFill="1" applyBorder="1"/>
    <xf numFmtId="0" fontId="49" fillId="44" borderId="35" xfId="46" applyFont="1" applyFill="1" applyBorder="1" applyAlignment="1">
      <alignment horizontal="center" vertical="center"/>
    </xf>
    <xf numFmtId="0" fontId="6" fillId="44" borderId="18" xfId="46" applyFont="1" applyFill="1" applyBorder="1" applyAlignment="1">
      <alignment horizontal="right" vertical="center"/>
    </xf>
    <xf numFmtId="0" fontId="6" fillId="44" borderId="0" xfId="46" applyFont="1" applyFill="1" applyBorder="1" applyAlignment="1">
      <alignment horizontal="right" vertical="center"/>
    </xf>
    <xf numFmtId="1" fontId="56" fillId="44" borderId="57" xfId="46" applyNumberFormat="1" applyFont="1" applyFill="1" applyBorder="1" applyAlignment="1">
      <alignment horizontal="right"/>
    </xf>
    <xf numFmtId="0" fontId="6" fillId="44" borderId="18" xfId="46" applyFill="1" applyBorder="1" applyAlignment="1">
      <alignment horizontal="right" vertical="center"/>
    </xf>
    <xf numFmtId="0" fontId="33" fillId="44" borderId="57" xfId="46" applyNumberFormat="1" applyFont="1" applyFill="1" applyBorder="1" applyAlignment="1">
      <alignment vertical="center"/>
    </xf>
    <xf numFmtId="0" fontId="61" fillId="44" borderId="57" xfId="46" applyNumberFormat="1" applyFont="1" applyFill="1" applyBorder="1" applyAlignment="1">
      <alignment vertical="center"/>
    </xf>
    <xf numFmtId="0" fontId="6" fillId="44" borderId="0" xfId="46" applyFill="1" applyBorder="1" applyAlignment="1">
      <alignment horizontal="right" vertical="center"/>
    </xf>
    <xf numFmtId="1" fontId="56" fillId="44" borderId="0" xfId="46" applyNumberFormat="1" applyFont="1" applyFill="1" applyBorder="1" applyAlignment="1">
      <alignment horizontal="center" vertical="center"/>
    </xf>
    <xf numFmtId="0" fontId="6" fillId="44" borderId="18" xfId="46" applyFont="1" applyFill="1" applyBorder="1" applyAlignment="1">
      <alignment horizontal="right" vertical="center" wrapText="1"/>
    </xf>
    <xf numFmtId="0" fontId="6" fillId="44" borderId="18" xfId="46" applyFont="1" applyFill="1" applyBorder="1" applyAlignment="1">
      <alignment vertical="center" wrapText="1"/>
    </xf>
    <xf numFmtId="0" fontId="6" fillId="44" borderId="0" xfId="46" applyFont="1" applyFill="1" applyBorder="1" applyAlignment="1">
      <alignment horizontal="right" vertical="center" wrapText="1"/>
    </xf>
    <xf numFmtId="0" fontId="60" fillId="44" borderId="21" xfId="46" applyFont="1" applyFill="1" applyBorder="1" applyAlignment="1">
      <alignment horizontal="right"/>
    </xf>
    <xf numFmtId="0" fontId="6" fillId="44" borderId="16" xfId="46" applyFill="1" applyBorder="1" applyAlignment="1">
      <alignment horizontal="center"/>
    </xf>
    <xf numFmtId="14" fontId="6" fillId="44" borderId="17" xfId="46" applyNumberFormat="1" applyFill="1" applyBorder="1"/>
    <xf numFmtId="0" fontId="6" fillId="44" borderId="18" xfId="0" applyFont="1" applyFill="1" applyBorder="1" applyAlignment="1">
      <alignment vertical="center" wrapText="1"/>
    </xf>
    <xf numFmtId="0" fontId="0" fillId="44" borderId="0" xfId="0" applyFill="1" applyBorder="1"/>
    <xf numFmtId="0" fontId="6" fillId="44" borderId="20" xfId="46" applyFill="1" applyBorder="1"/>
    <xf numFmtId="1" fontId="56" fillId="44" borderId="21" xfId="46" applyNumberFormat="1" applyFont="1" applyFill="1" applyBorder="1" applyAlignment="1">
      <alignment horizontal="center" vertical="center"/>
    </xf>
    <xf numFmtId="1" fontId="38" fillId="23" borderId="22" xfId="46" applyNumberFormat="1" applyFont="1" applyFill="1" applyBorder="1" applyAlignment="1">
      <alignment horizontal="center"/>
    </xf>
    <xf numFmtId="0" fontId="60" fillId="44" borderId="21" xfId="46" applyFont="1" applyFill="1" applyBorder="1" applyAlignment="1">
      <alignment horizontal="right"/>
    </xf>
    <xf numFmtId="0" fontId="49" fillId="44" borderId="35" xfId="46" applyFont="1" applyFill="1" applyBorder="1" applyAlignment="1">
      <alignment horizontal="center" vertical="center"/>
    </xf>
    <xf numFmtId="0" fontId="6" fillId="44" borderId="18" xfId="46" applyFont="1" applyFill="1" applyBorder="1" applyAlignment="1">
      <alignment horizontal="right" vertical="center" wrapText="1"/>
    </xf>
    <xf numFmtId="0" fontId="6" fillId="44" borderId="0" xfId="46" applyFont="1" applyFill="1" applyBorder="1" applyAlignment="1">
      <alignment horizontal="right" vertical="center" wrapText="1"/>
    </xf>
    <xf numFmtId="0" fontId="60" fillId="42" borderId="21" xfId="46" applyFont="1" applyFill="1" applyBorder="1" applyAlignment="1">
      <alignment horizontal="right"/>
    </xf>
    <xf numFmtId="0" fontId="60" fillId="39" borderId="21" xfId="46" applyFont="1" applyFill="1" applyBorder="1" applyAlignment="1">
      <alignment horizontal="right"/>
    </xf>
    <xf numFmtId="0" fontId="49" fillId="42" borderId="35" xfId="46" applyFont="1" applyFill="1" applyBorder="1" applyAlignment="1">
      <alignment horizontal="center" vertical="center"/>
    </xf>
    <xf numFmtId="0" fontId="6" fillId="42" borderId="18" xfId="46" applyFont="1" applyFill="1" applyBorder="1" applyAlignment="1">
      <alignment horizontal="right" vertical="center" wrapText="1"/>
    </xf>
    <xf numFmtId="0" fontId="6" fillId="42" borderId="0" xfId="46" applyFont="1" applyFill="1" applyBorder="1" applyAlignment="1">
      <alignment horizontal="right" vertical="center" wrapText="1"/>
    </xf>
    <xf numFmtId="0" fontId="6" fillId="39" borderId="18" xfId="46" applyFont="1" applyFill="1" applyBorder="1" applyAlignment="1">
      <alignment horizontal="right" vertical="center" wrapText="1"/>
    </xf>
    <xf numFmtId="0" fontId="6" fillId="39" borderId="0" xfId="46" applyFont="1" applyFill="1" applyBorder="1" applyAlignment="1">
      <alignment horizontal="right" vertical="center" wrapText="1"/>
    </xf>
    <xf numFmtId="0" fontId="60" fillId="43" borderId="21" xfId="46" applyFont="1" applyFill="1" applyBorder="1" applyAlignment="1">
      <alignment horizontal="right"/>
    </xf>
    <xf numFmtId="0" fontId="49" fillId="39" borderId="35" xfId="46" applyFont="1" applyFill="1" applyBorder="1" applyAlignment="1">
      <alignment horizontal="center" vertical="center"/>
    </xf>
    <xf numFmtId="0" fontId="6" fillId="43" borderId="18" xfId="46" applyFont="1" applyFill="1" applyBorder="1" applyAlignment="1">
      <alignment horizontal="right" vertical="center" wrapText="1"/>
    </xf>
    <xf numFmtId="0" fontId="6" fillId="43" borderId="0" xfId="46" applyFont="1" applyFill="1" applyBorder="1" applyAlignment="1">
      <alignment horizontal="right" vertical="center" wrapText="1"/>
    </xf>
    <xf numFmtId="0" fontId="60" fillId="41" borderId="21" xfId="46" applyFont="1" applyFill="1" applyBorder="1" applyAlignment="1">
      <alignment horizontal="right"/>
    </xf>
    <xf numFmtId="0" fontId="49" fillId="43" borderId="35" xfId="46" applyFont="1" applyFill="1" applyBorder="1" applyAlignment="1">
      <alignment horizontal="center" vertical="center"/>
    </xf>
    <xf numFmtId="0" fontId="39" fillId="41" borderId="35" xfId="46" applyFont="1" applyFill="1" applyBorder="1" applyAlignment="1">
      <alignment horizontal="center" vertical="center"/>
    </xf>
    <xf numFmtId="0" fontId="6" fillId="41" borderId="18" xfId="46" applyFont="1" applyFill="1" applyBorder="1" applyAlignment="1">
      <alignment horizontal="right" vertical="center" wrapText="1"/>
    </xf>
    <xf numFmtId="0" fontId="6" fillId="41" borderId="0" xfId="46" applyFont="1" applyFill="1" applyBorder="1" applyAlignment="1">
      <alignment horizontal="right" vertical="center" wrapText="1"/>
    </xf>
    <xf numFmtId="0" fontId="0" fillId="0" borderId="0" xfId="0" applyAlignment="1">
      <alignment horizontal="left"/>
    </xf>
    <xf numFmtId="9" fontId="0" fillId="0" borderId="0" xfId="0" applyNumberFormat="1" applyAlignment="1">
      <alignment horizontal="left"/>
    </xf>
    <xf numFmtId="0" fontId="6" fillId="0" borderId="0" xfId="0" applyFont="1" applyBorder="1" applyAlignment="1">
      <alignment shrinkToFit="1"/>
    </xf>
    <xf numFmtId="0" fontId="6" fillId="0" borderId="0" xfId="46" applyFont="1" applyFill="1" applyBorder="1" applyAlignment="1">
      <alignment horizontal="right" vertical="center"/>
    </xf>
    <xf numFmtId="0" fontId="6" fillId="0" borderId="0" xfId="46" applyFont="1" applyFill="1" applyBorder="1" applyAlignment="1">
      <alignment vertical="center" wrapText="1"/>
    </xf>
    <xf numFmtId="1" fontId="7" fillId="0" borderId="0" xfId="46" applyNumberFormat="1" applyFont="1" applyFill="1" applyBorder="1" applyAlignment="1">
      <alignment horizontal="center" vertical="center"/>
    </xf>
    <xf numFmtId="0" fontId="6" fillId="0" borderId="0" xfId="46" applyFont="1" applyFill="1" applyBorder="1" applyAlignment="1">
      <alignment horizontal="right" vertical="center" wrapText="1"/>
    </xf>
    <xf numFmtId="14" fontId="6" fillId="0" borderId="0" xfId="46" applyNumberFormat="1" applyFill="1" applyBorder="1"/>
    <xf numFmtId="0" fontId="39" fillId="0" borderId="0" xfId="46" applyFont="1" applyFill="1" applyBorder="1" applyAlignment="1">
      <alignment vertical="center"/>
    </xf>
    <xf numFmtId="0" fontId="39" fillId="0" borderId="0" xfId="46" applyFont="1" applyFill="1" applyBorder="1" applyAlignment="1">
      <alignment horizontal="center" vertical="center"/>
    </xf>
    <xf numFmtId="0" fontId="57" fillId="0" borderId="0" xfId="25" applyFont="1" applyFill="1" applyBorder="1"/>
    <xf numFmtId="1" fontId="7" fillId="0" borderId="0" xfId="46" applyNumberFormat="1" applyFont="1" applyFill="1" applyBorder="1" applyAlignment="1">
      <alignment horizontal="right"/>
    </xf>
    <xf numFmtId="0" fontId="51" fillId="0" borderId="0" xfId="46" applyFont="1" applyFill="1" applyBorder="1" applyAlignment="1">
      <alignment horizontal="center" vertical="center"/>
    </xf>
    <xf numFmtId="0" fontId="6" fillId="0" borderId="0" xfId="46" applyFill="1" applyBorder="1" applyAlignment="1">
      <alignment horizontal="right" vertical="center"/>
    </xf>
    <xf numFmtId="0" fontId="33" fillId="0" borderId="0" xfId="46" applyNumberFormat="1" applyFont="1" applyFill="1" applyBorder="1" applyAlignment="1">
      <alignment vertical="center"/>
    </xf>
    <xf numFmtId="0" fontId="6" fillId="0" borderId="0" xfId="0" applyFont="1" applyFill="1" applyBorder="1" applyAlignment="1">
      <alignment vertical="center" wrapText="1"/>
    </xf>
    <xf numFmtId="0" fontId="52" fillId="0" borderId="0" xfId="18" applyFont="1" applyFill="1" applyBorder="1" applyAlignment="1">
      <alignment horizontal="right"/>
    </xf>
    <xf numFmtId="0" fontId="52" fillId="0" borderId="0" xfId="27" applyFont="1" applyFill="1" applyBorder="1" applyAlignment="1">
      <alignment horizontal="right"/>
    </xf>
    <xf numFmtId="0" fontId="39" fillId="0" borderId="0" xfId="0" applyFont="1" applyFill="1" applyBorder="1" applyAlignment="1">
      <alignment vertical="center" wrapText="1"/>
    </xf>
    <xf numFmtId="0" fontId="62" fillId="0" borderId="0" xfId="23" applyFont="1" applyFill="1" applyBorder="1" applyAlignment="1">
      <alignment horizontal="right"/>
    </xf>
    <xf numFmtId="0" fontId="60" fillId="0" borderId="0" xfId="46" applyFont="1" applyFill="1" applyBorder="1" applyAlignment="1"/>
    <xf numFmtId="0" fontId="7" fillId="0" borderId="0" xfId="46" applyFont="1" applyFill="1" applyBorder="1" applyAlignment="1">
      <alignment horizontal="center" vertical="center"/>
    </xf>
    <xf numFmtId="0" fontId="60" fillId="0" borderId="0" xfId="46" applyFont="1" applyFill="1" applyBorder="1" applyAlignment="1">
      <alignment horizontal="right"/>
    </xf>
    <xf numFmtId="9" fontId="0" fillId="0" borderId="0" xfId="0" applyNumberFormat="1" applyAlignment="1">
      <alignment horizontal="right"/>
    </xf>
    <xf numFmtId="0" fontId="13" fillId="0" borderId="0" xfId="0" applyFont="1"/>
    <xf numFmtId="0" fontId="5" fillId="0" borderId="15" xfId="44" applyBorder="1"/>
    <xf numFmtId="0" fontId="6" fillId="0" borderId="65" xfId="0" applyFont="1" applyBorder="1" applyAlignment="1">
      <alignment horizontal="center" vertical="center"/>
    </xf>
    <xf numFmtId="0" fontId="5" fillId="26" borderId="66" xfId="44" applyFill="1" applyBorder="1" applyAlignment="1">
      <alignment horizontal="center"/>
    </xf>
    <xf numFmtId="0" fontId="5" fillId="26" borderId="67" xfId="44" applyFill="1" applyBorder="1" applyAlignment="1">
      <alignment horizontal="center"/>
    </xf>
    <xf numFmtId="165" fontId="5" fillId="26" borderId="67" xfId="44" applyNumberFormat="1" applyFill="1" applyBorder="1" applyAlignment="1">
      <alignment horizontal="center"/>
    </xf>
    <xf numFmtId="165" fontId="4" fillId="26" borderId="67" xfId="44" applyNumberFormat="1" applyFont="1" applyFill="1" applyBorder="1" applyAlignment="1">
      <alignment horizontal="center" wrapText="1"/>
    </xf>
    <xf numFmtId="0" fontId="14" fillId="26" borderId="67" xfId="43" applyFont="1" applyFill="1" applyBorder="1" applyAlignment="1" applyProtection="1">
      <alignment horizontal="center" wrapText="1"/>
      <protection hidden="1"/>
    </xf>
    <xf numFmtId="0" fontId="5" fillId="26" borderId="67" xfId="44" applyFill="1" applyBorder="1" applyAlignment="1">
      <alignment horizontal="center" wrapText="1"/>
    </xf>
    <xf numFmtId="166" fontId="5" fillId="27" borderId="67" xfId="44" applyNumberFormat="1" applyFill="1" applyBorder="1" applyAlignment="1">
      <alignment horizontal="center" wrapText="1"/>
    </xf>
    <xf numFmtId="0" fontId="5" fillId="27" borderId="67" xfId="44" applyFill="1" applyBorder="1" applyAlignment="1">
      <alignment horizontal="center" wrapText="1"/>
    </xf>
    <xf numFmtId="0" fontId="5" fillId="26" borderId="68" xfId="44" applyFill="1" applyBorder="1" applyAlignment="1">
      <alignment horizontal="center"/>
    </xf>
    <xf numFmtId="167" fontId="0" fillId="0" borderId="33" xfId="0" applyNumberFormat="1" applyBorder="1"/>
    <xf numFmtId="0" fontId="0" fillId="0" borderId="33" xfId="0" applyBorder="1" applyAlignment="1">
      <alignment horizontal="center"/>
    </xf>
    <xf numFmtId="166" fontId="0" fillId="0" borderId="33" xfId="0" applyNumberFormat="1" applyBorder="1"/>
    <xf numFmtId="0" fontId="39" fillId="0" borderId="0" xfId="0" applyFont="1" applyBorder="1"/>
    <xf numFmtId="0" fontId="0" fillId="0" borderId="0" xfId="0" applyAlignment="1"/>
    <xf numFmtId="0" fontId="0" fillId="0" borderId="30" xfId="0" applyBorder="1" applyAlignment="1"/>
    <xf numFmtId="0" fontId="0" fillId="0" borderId="0" xfId="0" applyBorder="1" applyAlignment="1"/>
    <xf numFmtId="167" fontId="0" fillId="0" borderId="0" xfId="0" applyNumberFormat="1" applyBorder="1" applyAlignment="1"/>
    <xf numFmtId="166" fontId="0" fillId="0" borderId="0" xfId="0" applyNumberFormat="1" applyBorder="1" applyAlignment="1"/>
    <xf numFmtId="0" fontId="0" fillId="0" borderId="31" xfId="0" applyBorder="1" applyAlignment="1"/>
    <xf numFmtId="0" fontId="6" fillId="0" borderId="0" xfId="0" applyFont="1" applyBorder="1" applyAlignment="1"/>
    <xf numFmtId="0" fontId="39" fillId="0" borderId="0" xfId="0" applyFont="1" applyBorder="1" applyAlignment="1"/>
    <xf numFmtId="168" fontId="0" fillId="0" borderId="0" xfId="0" applyNumberFormat="1" applyAlignment="1"/>
    <xf numFmtId="0" fontId="0" fillId="26" borderId="0" xfId="0" applyFill="1" applyBorder="1" applyAlignment="1"/>
    <xf numFmtId="0" fontId="6" fillId="26" borderId="0" xfId="0" applyFont="1" applyFill="1" applyBorder="1" applyAlignment="1"/>
    <xf numFmtId="9" fontId="6" fillId="0" borderId="0" xfId="0" applyNumberFormat="1" applyFont="1" applyAlignment="1"/>
    <xf numFmtId="166" fontId="0" fillId="0" borderId="0" xfId="0" applyNumberFormat="1" applyAlignment="1"/>
    <xf numFmtId="0" fontId="0" fillId="0" borderId="32" xfId="0" applyBorder="1" applyAlignment="1"/>
    <xf numFmtId="0" fontId="0" fillId="0" borderId="33" xfId="0" applyBorder="1" applyAlignment="1"/>
    <xf numFmtId="0" fontId="6" fillId="0" borderId="30" xfId="0" applyFont="1" applyBorder="1"/>
    <xf numFmtId="0" fontId="0" fillId="23" borderId="0" xfId="0" applyFill="1" applyAlignment="1"/>
    <xf numFmtId="0" fontId="37" fillId="24" borderId="0" xfId="0" applyFont="1" applyFill="1" applyAlignment="1">
      <alignment horizontal="right"/>
    </xf>
    <xf numFmtId="0" fontId="63" fillId="0" borderId="0" xfId="0" applyFont="1"/>
    <xf numFmtId="0" fontId="6" fillId="23" borderId="0" xfId="0" applyFont="1" applyFill="1" applyBorder="1"/>
    <xf numFmtId="0" fontId="6" fillId="23" borderId="0" xfId="0" applyFont="1" applyFill="1" applyBorder="1" applyAlignment="1"/>
    <xf numFmtId="0" fontId="6" fillId="23" borderId="0" xfId="0" applyFont="1" applyFill="1" applyBorder="1" applyAlignment="1">
      <alignment shrinkToFit="1"/>
    </xf>
    <xf numFmtId="167" fontId="6" fillId="23" borderId="0" xfId="0" applyNumberFormat="1" applyFont="1" applyFill="1" applyBorder="1" applyAlignment="1">
      <alignment horizontal="right"/>
    </xf>
    <xf numFmtId="0" fontId="9" fillId="23" borderId="0" xfId="0" applyFont="1" applyFill="1" applyBorder="1" applyAlignment="1">
      <alignment horizontal="left"/>
    </xf>
    <xf numFmtId="167" fontId="6" fillId="23" borderId="33" xfId="0" applyNumberFormat="1" applyFont="1" applyFill="1" applyBorder="1" applyAlignment="1">
      <alignment horizontal="right"/>
    </xf>
    <xf numFmtId="0" fontId="9" fillId="23" borderId="33" xfId="0" applyFont="1" applyFill="1" applyBorder="1" applyAlignment="1">
      <alignment horizontal="left"/>
    </xf>
    <xf numFmtId="0" fontId="6" fillId="23" borderId="30" xfId="0" applyFont="1" applyFill="1" applyBorder="1"/>
    <xf numFmtId="0" fontId="6" fillId="23" borderId="31" xfId="0" applyFont="1" applyFill="1" applyBorder="1"/>
    <xf numFmtId="0" fontId="6" fillId="23" borderId="30" xfId="0" applyFont="1" applyFill="1" applyBorder="1" applyAlignment="1"/>
    <xf numFmtId="0" fontId="6" fillId="23" borderId="31" xfId="0" applyFont="1" applyFill="1" applyBorder="1" applyAlignment="1"/>
    <xf numFmtId="166" fontId="6" fillId="23" borderId="0" xfId="0" applyNumberFormat="1" applyFont="1" applyFill="1" applyBorder="1" applyAlignment="1">
      <alignment horizontal="left"/>
    </xf>
    <xf numFmtId="0" fontId="6" fillId="23" borderId="0" xfId="0" applyFont="1" applyFill="1" applyBorder="1" applyAlignment="1">
      <alignment horizontal="left"/>
    </xf>
    <xf numFmtId="0" fontId="6" fillId="23" borderId="32" xfId="0" applyFont="1" applyFill="1" applyBorder="1" applyAlignment="1"/>
    <xf numFmtId="0" fontId="6" fillId="23" borderId="33" xfId="0" applyFont="1" applyFill="1" applyBorder="1" applyAlignment="1"/>
    <xf numFmtId="0" fontId="6" fillId="23" borderId="34" xfId="0" applyFont="1" applyFill="1" applyBorder="1" applyAlignment="1"/>
    <xf numFmtId="166" fontId="6" fillId="23" borderId="33" xfId="0" applyNumberFormat="1" applyFont="1" applyFill="1" applyBorder="1" applyAlignment="1">
      <alignment horizontal="left"/>
    </xf>
    <xf numFmtId="0" fontId="6" fillId="28" borderId="0" xfId="0" applyFont="1" applyFill="1" applyBorder="1"/>
    <xf numFmtId="0" fontId="6" fillId="28" borderId="0" xfId="0" applyFont="1" applyFill="1" applyBorder="1" applyAlignment="1"/>
    <xf numFmtId="0" fontId="9" fillId="23" borderId="27" xfId="0" applyFont="1" applyFill="1" applyBorder="1"/>
    <xf numFmtId="0" fontId="9" fillId="23" borderId="28" xfId="0" applyFont="1" applyFill="1" applyBorder="1"/>
    <xf numFmtId="0" fontId="6" fillId="23" borderId="28" xfId="0" applyFont="1" applyFill="1" applyBorder="1"/>
    <xf numFmtId="0" fontId="6" fillId="23" borderId="28" xfId="0" applyFont="1" applyFill="1" applyBorder="1" applyAlignment="1">
      <alignment horizontal="center" vertical="center"/>
    </xf>
    <xf numFmtId="0" fontId="13" fillId="23" borderId="28" xfId="0" applyFont="1" applyFill="1" applyBorder="1" applyAlignment="1" applyProtection="1">
      <alignment horizontal="center" vertical="center"/>
    </xf>
    <xf numFmtId="0" fontId="6" fillId="23" borderId="29" xfId="0" applyFont="1" applyFill="1" applyBorder="1" applyAlignment="1">
      <alignment horizontal="center" vertical="center"/>
    </xf>
    <xf numFmtId="0" fontId="1" fillId="26" borderId="26" xfId="44" applyFont="1" applyFill="1" applyBorder="1" applyAlignment="1">
      <alignment horizontal="center" wrapText="1"/>
    </xf>
    <xf numFmtId="1" fontId="0" fillId="0" borderId="19" xfId="0" applyNumberFormat="1" applyBorder="1"/>
    <xf numFmtId="1" fontId="0" fillId="0" borderId="22" xfId="0" applyNumberFormat="1" applyBorder="1"/>
    <xf numFmtId="0" fontId="7" fillId="45" borderId="20" xfId="0" applyFont="1" applyFill="1" applyBorder="1"/>
    <xf numFmtId="0" fontId="7" fillId="0" borderId="13" xfId="0" applyFont="1" applyFill="1" applyBorder="1"/>
    <xf numFmtId="0" fontId="7" fillId="0" borderId="22" xfId="0" applyFont="1" applyFill="1" applyBorder="1"/>
    <xf numFmtId="0" fontId="5" fillId="26" borderId="26" xfId="44" applyFill="1" applyBorder="1" applyAlignment="1">
      <alignment horizontal="center" wrapText="1"/>
    </xf>
    <xf numFmtId="0" fontId="0" fillId="0" borderId="18" xfId="0" applyFill="1" applyBorder="1" applyAlignment="1">
      <alignment horizontal="center"/>
    </xf>
    <xf numFmtId="0" fontId="0" fillId="0" borderId="20" xfId="0" applyFill="1" applyBorder="1" applyAlignment="1">
      <alignment horizontal="center"/>
    </xf>
    <xf numFmtId="0" fontId="5" fillId="26" borderId="69" xfId="44" applyFill="1" applyBorder="1" applyAlignment="1">
      <alignment horizontal="center"/>
    </xf>
    <xf numFmtId="0" fontId="5" fillId="0" borderId="0" xfId="44" applyFill="1" applyBorder="1" applyAlignment="1">
      <alignment horizontal="center"/>
    </xf>
    <xf numFmtId="0" fontId="37" fillId="0" borderId="0" xfId="0" applyFont="1" applyFill="1" applyAlignment="1">
      <alignment horizontal="right"/>
    </xf>
    <xf numFmtId="171" fontId="6" fillId="41" borderId="17" xfId="46" applyNumberFormat="1" applyFill="1" applyBorder="1"/>
    <xf numFmtId="171" fontId="6" fillId="43" borderId="17" xfId="46" applyNumberFormat="1" applyFill="1" applyBorder="1"/>
    <xf numFmtId="171" fontId="6" fillId="39" borderId="17" xfId="46" applyNumberFormat="1" applyFill="1" applyBorder="1"/>
    <xf numFmtId="171" fontId="6" fillId="42" borderId="17" xfId="46" applyNumberFormat="1" applyFill="1" applyBorder="1"/>
    <xf numFmtId="171" fontId="6" fillId="44" borderId="17" xfId="46" applyNumberFormat="1" applyFill="1" applyBorder="1"/>
    <xf numFmtId="171" fontId="6" fillId="44" borderId="0" xfId="46" applyNumberFormat="1" applyFill="1" applyBorder="1"/>
    <xf numFmtId="0" fontId="21" fillId="0" borderId="3" xfId="30"/>
    <xf numFmtId="0" fontId="66" fillId="0" borderId="0" xfId="39" applyFont="1"/>
    <xf numFmtId="0" fontId="67" fillId="0" borderId="0" xfId="0" applyFont="1"/>
    <xf numFmtId="0" fontId="68" fillId="0" borderId="0" xfId="0" applyFont="1"/>
    <xf numFmtId="0" fontId="69" fillId="0" borderId="0" xfId="0" applyFont="1"/>
    <xf numFmtId="0" fontId="71" fillId="14" borderId="7" xfId="23" applyFont="1" applyBorder="1"/>
    <xf numFmtId="1" fontId="0" fillId="0" borderId="0" xfId="0" applyNumberFormat="1" applyBorder="1"/>
    <xf numFmtId="0" fontId="0" fillId="0" borderId="0" xfId="0" applyFill="1" applyBorder="1" applyAlignment="1">
      <alignment horizontal="center"/>
    </xf>
    <xf numFmtId="14" fontId="0" fillId="0" borderId="0" xfId="0" applyNumberFormat="1" applyAlignment="1">
      <alignment horizontal="center"/>
    </xf>
    <xf numFmtId="0" fontId="64" fillId="26" borderId="70" xfId="44" applyFont="1" applyFill="1" applyBorder="1" applyAlignment="1">
      <alignment horizontal="center" wrapText="1"/>
    </xf>
    <xf numFmtId="0" fontId="64" fillId="26" borderId="71" xfId="44" applyFont="1" applyFill="1" applyBorder="1" applyAlignment="1">
      <alignment horizontal="center" wrapText="1"/>
    </xf>
    <xf numFmtId="165" fontId="64" fillId="26" borderId="71" xfId="44" applyNumberFormat="1" applyFont="1" applyFill="1" applyBorder="1" applyAlignment="1">
      <alignment horizontal="center" wrapText="1"/>
    </xf>
    <xf numFmtId="0" fontId="65" fillId="26" borderId="71" xfId="43" applyFont="1" applyFill="1" applyBorder="1" applyAlignment="1" applyProtection="1">
      <alignment horizontal="center" wrapText="1"/>
      <protection hidden="1"/>
    </xf>
    <xf numFmtId="166" fontId="64" fillId="27" borderId="71" xfId="44" applyNumberFormat="1" applyFont="1" applyFill="1" applyBorder="1" applyAlignment="1">
      <alignment horizontal="center" wrapText="1"/>
    </xf>
    <xf numFmtId="0" fontId="64" fillId="27" borderId="71" xfId="44" applyFont="1" applyFill="1" applyBorder="1" applyAlignment="1">
      <alignment horizontal="center" wrapText="1"/>
    </xf>
    <xf numFmtId="0" fontId="64" fillId="26" borderId="72" xfId="44" applyFont="1" applyFill="1" applyBorder="1" applyAlignment="1">
      <alignment horizontal="center" wrapText="1"/>
    </xf>
    <xf numFmtId="0" fontId="0" fillId="0" borderId="27" xfId="0" applyBorder="1"/>
    <xf numFmtId="167" fontId="0" fillId="0" borderId="28" xfId="0" applyNumberFormat="1" applyBorder="1"/>
    <xf numFmtId="0" fontId="0" fillId="0" borderId="28" xfId="0" applyBorder="1" applyAlignment="1">
      <alignment horizontal="center"/>
    </xf>
    <xf numFmtId="166" fontId="0" fillId="0" borderId="28" xfId="0" applyNumberFormat="1" applyBorder="1"/>
    <xf numFmtId="0" fontId="0" fillId="0" borderId="29" xfId="0" applyBorder="1"/>
    <xf numFmtId="0" fontId="14" fillId="0" borderId="62" xfId="43" applyFont="1" applyFill="1" applyBorder="1" applyAlignment="1" applyProtection="1">
      <alignment horizontal="center" wrapText="1"/>
      <protection hidden="1"/>
    </xf>
    <xf numFmtId="0" fontId="9" fillId="22" borderId="35" xfId="0" applyFont="1" applyFill="1" applyBorder="1" applyAlignment="1">
      <alignment horizontal="center" vertical="center" wrapText="1"/>
    </xf>
    <xf numFmtId="0" fontId="9" fillId="22" borderId="36" xfId="0" applyFont="1" applyFill="1" applyBorder="1" applyAlignment="1">
      <alignment horizontal="center" vertical="center" wrapText="1"/>
    </xf>
    <xf numFmtId="0" fontId="9" fillId="22" borderId="37" xfId="0" applyFont="1" applyFill="1" applyBorder="1" applyAlignment="1">
      <alignment horizontal="center" vertical="center" wrapText="1"/>
    </xf>
    <xf numFmtId="0" fontId="5" fillId="26" borderId="73" xfId="44" applyFill="1" applyBorder="1" applyAlignment="1">
      <alignment horizontal="center"/>
    </xf>
    <xf numFmtId="0" fontId="14" fillId="0" borderId="62" xfId="50" applyFont="1" applyFill="1" applyBorder="1" applyAlignment="1">
      <alignment wrapText="1"/>
    </xf>
    <xf numFmtId="0" fontId="14" fillId="26" borderId="73" xfId="43" applyFont="1" applyFill="1" applyBorder="1" applyAlignment="1" applyProtection="1">
      <alignment horizontal="center" wrapText="1"/>
      <protection hidden="1"/>
    </xf>
    <xf numFmtId="0" fontId="5" fillId="26" borderId="73" xfId="44" applyFill="1" applyBorder="1" applyAlignment="1">
      <alignment horizontal="center" wrapText="1"/>
    </xf>
    <xf numFmtId="0" fontId="5" fillId="27" borderId="73" xfId="44" applyFill="1" applyBorder="1" applyAlignment="1">
      <alignment horizontal="center" wrapText="1"/>
    </xf>
    <xf numFmtId="172" fontId="14" fillId="0" borderId="62" xfId="50" applyNumberFormat="1" applyFont="1" applyFill="1" applyBorder="1" applyAlignment="1">
      <alignment horizontal="right" wrapText="1"/>
    </xf>
    <xf numFmtId="0" fontId="14" fillId="0" borderId="62" xfId="50" applyFont="1" applyFill="1" applyBorder="1" applyAlignment="1">
      <alignment horizontal="right" wrapText="1"/>
    </xf>
    <xf numFmtId="173" fontId="14" fillId="0" borderId="62" xfId="50" applyNumberFormat="1" applyFont="1" applyFill="1" applyBorder="1" applyAlignment="1">
      <alignment horizontal="right" wrapText="1"/>
    </xf>
    <xf numFmtId="0" fontId="34" fillId="0" borderId="0" xfId="50"/>
    <xf numFmtId="0" fontId="47" fillId="0" borderId="38" xfId="44" applyFont="1" applyBorder="1" applyAlignment="1">
      <alignment horizontal="center"/>
    </xf>
    <xf numFmtId="0" fontId="47" fillId="0" borderId="39" xfId="44" applyFont="1" applyBorder="1" applyAlignment="1">
      <alignment horizontal="center"/>
    </xf>
    <xf numFmtId="0" fontId="47" fillId="0" borderId="40" xfId="44" applyFont="1" applyBorder="1" applyAlignment="1">
      <alignment horizontal="center"/>
    </xf>
    <xf numFmtId="0" fontId="37" fillId="24" borderId="0" xfId="0" applyFont="1" applyFill="1" applyAlignment="1">
      <alignment horizontal="right"/>
    </xf>
    <xf numFmtId="0" fontId="7" fillId="45" borderId="35" xfId="0" applyFont="1" applyFill="1" applyBorder="1" applyAlignment="1">
      <alignment horizontal="center"/>
    </xf>
    <xf numFmtId="0" fontId="7" fillId="45" borderId="36" xfId="0" applyFont="1" applyFill="1" applyBorder="1" applyAlignment="1">
      <alignment horizontal="center"/>
    </xf>
    <xf numFmtId="0" fontId="7" fillId="45" borderId="37" xfId="0" applyFont="1" applyFill="1" applyBorder="1" applyAlignment="1">
      <alignment horizontal="center"/>
    </xf>
    <xf numFmtId="0" fontId="39" fillId="22" borderId="35" xfId="0" applyFont="1" applyFill="1" applyBorder="1" applyAlignment="1">
      <alignment horizontal="center"/>
    </xf>
    <xf numFmtId="0" fontId="39" fillId="22" borderId="36" xfId="0" applyFont="1" applyFill="1" applyBorder="1" applyAlignment="1">
      <alignment horizontal="center"/>
    </xf>
    <xf numFmtId="0" fontId="39" fillId="22" borderId="37" xfId="0" applyFont="1" applyFill="1" applyBorder="1" applyAlignment="1">
      <alignment horizontal="center"/>
    </xf>
    <xf numFmtId="0" fontId="39" fillId="28" borderId="16" xfId="0" applyFont="1" applyFill="1" applyBorder="1" applyAlignment="1">
      <alignment horizontal="center"/>
    </xf>
    <xf numFmtId="0" fontId="39" fillId="28" borderId="17" xfId="0" applyFont="1" applyFill="1" applyBorder="1" applyAlignment="1">
      <alignment horizontal="center"/>
    </xf>
    <xf numFmtId="0" fontId="39" fillId="28" borderId="23" xfId="0" applyFont="1" applyFill="1" applyBorder="1" applyAlignment="1">
      <alignment horizontal="center"/>
    </xf>
    <xf numFmtId="0" fontId="37" fillId="24" borderId="52" xfId="0" applyFont="1" applyFill="1" applyBorder="1" applyAlignment="1">
      <alignment horizontal="center"/>
    </xf>
    <xf numFmtId="0" fontId="39" fillId="22" borderId="16" xfId="0" applyFont="1" applyFill="1" applyBorder="1" applyAlignment="1">
      <alignment horizontal="center"/>
    </xf>
    <xf numFmtId="0" fontId="39" fillId="22" borderId="17" xfId="0" applyFont="1" applyFill="1" applyBorder="1" applyAlignment="1">
      <alignment horizontal="center"/>
    </xf>
    <xf numFmtId="0" fontId="39" fillId="22" borderId="23" xfId="0" applyFont="1" applyFill="1" applyBorder="1" applyAlignment="1">
      <alignment horizontal="center"/>
    </xf>
    <xf numFmtId="0" fontId="39" fillId="0" borderId="0" xfId="0" applyFont="1" applyAlignment="1">
      <alignment horizontal="center" wrapText="1"/>
    </xf>
    <xf numFmtId="0" fontId="39" fillId="0" borderId="0" xfId="0" applyFont="1" applyBorder="1" applyAlignment="1">
      <alignment horizontal="center" wrapText="1"/>
    </xf>
    <xf numFmtId="0" fontId="33" fillId="0" borderId="35" xfId="0" applyFont="1" applyBorder="1" applyAlignment="1">
      <alignment horizontal="center"/>
    </xf>
    <xf numFmtId="0" fontId="33" fillId="0" borderId="36" xfId="0" applyFont="1" applyBorder="1" applyAlignment="1">
      <alignment horizontal="center"/>
    </xf>
    <xf numFmtId="0" fontId="33" fillId="0" borderId="37" xfId="0" applyFont="1" applyBorder="1" applyAlignment="1">
      <alignment horizontal="center"/>
    </xf>
    <xf numFmtId="0" fontId="49" fillId="39" borderId="16" xfId="0" applyFont="1" applyFill="1" applyBorder="1" applyAlignment="1">
      <alignment horizontal="center" vertical="center"/>
    </xf>
    <xf numFmtId="0" fontId="49" fillId="39" borderId="17" xfId="0" applyFont="1" applyFill="1" applyBorder="1" applyAlignment="1">
      <alignment horizontal="center" vertical="center"/>
    </xf>
    <xf numFmtId="0" fontId="49" fillId="39" borderId="23" xfId="0" applyFont="1" applyFill="1" applyBorder="1" applyAlignment="1">
      <alignment horizontal="center" vertical="center"/>
    </xf>
    <xf numFmtId="0" fontId="9" fillId="0" borderId="0" xfId="0" applyFont="1" applyBorder="1" applyAlignment="1">
      <alignment horizontal="right"/>
    </xf>
    <xf numFmtId="0" fontId="9" fillId="0" borderId="33" xfId="0" applyFont="1" applyBorder="1" applyAlignment="1">
      <alignment horizontal="right"/>
    </xf>
    <xf numFmtId="0" fontId="49" fillId="24" borderId="35" xfId="46" applyFont="1" applyFill="1" applyBorder="1" applyAlignment="1">
      <alignment horizontal="right"/>
    </xf>
    <xf numFmtId="0" fontId="49" fillId="24" borderId="36" xfId="46" applyFont="1" applyFill="1" applyBorder="1" applyAlignment="1">
      <alignment horizontal="right"/>
    </xf>
    <xf numFmtId="0" fontId="49" fillId="24" borderId="37" xfId="46" applyFont="1" applyFill="1" applyBorder="1" applyAlignment="1">
      <alignment horizontal="right"/>
    </xf>
    <xf numFmtId="0" fontId="39" fillId="23" borderId="35" xfId="46" applyFont="1" applyFill="1" applyBorder="1" applyAlignment="1">
      <alignment horizontal="center" vertical="center"/>
    </xf>
    <xf numFmtId="0" fontId="39" fillId="23" borderId="37" xfId="46" applyFont="1" applyFill="1" applyBorder="1" applyAlignment="1">
      <alignment horizontal="center" vertical="center"/>
    </xf>
    <xf numFmtId="0" fontId="49" fillId="37" borderId="35" xfId="46" applyFont="1" applyFill="1" applyBorder="1" applyAlignment="1">
      <alignment horizontal="center" vertical="center"/>
    </xf>
    <xf numFmtId="0" fontId="49" fillId="37" borderId="37" xfId="46" applyFont="1" applyFill="1" applyBorder="1" applyAlignment="1">
      <alignment horizontal="center" vertical="center"/>
    </xf>
    <xf numFmtId="0" fontId="49" fillId="24" borderId="16" xfId="46" applyFont="1" applyFill="1" applyBorder="1" applyAlignment="1">
      <alignment horizontal="center" vertical="center"/>
    </xf>
    <xf numFmtId="0" fontId="49" fillId="24" borderId="23" xfId="46" applyFont="1" applyFill="1" applyBorder="1" applyAlignment="1">
      <alignment horizontal="center" vertical="center"/>
    </xf>
    <xf numFmtId="0" fontId="58" fillId="24" borderId="35" xfId="46" applyFont="1" applyFill="1" applyBorder="1" applyAlignment="1">
      <alignment horizontal="center"/>
    </xf>
    <xf numFmtId="0" fontId="58" fillId="24" borderId="36" xfId="46" applyFont="1" applyFill="1" applyBorder="1" applyAlignment="1">
      <alignment horizontal="center"/>
    </xf>
    <xf numFmtId="0" fontId="58" fillId="24" borderId="37" xfId="46" applyFont="1" applyFill="1" applyBorder="1" applyAlignment="1">
      <alignment horizontal="center"/>
    </xf>
    <xf numFmtId="0" fontId="54" fillId="39" borderId="35" xfId="46" applyFont="1" applyFill="1" applyBorder="1" applyAlignment="1">
      <alignment horizontal="center" vertical="center"/>
    </xf>
    <xf numFmtId="0" fontId="54" fillId="39" borderId="36" xfId="46" applyFont="1" applyFill="1" applyBorder="1" applyAlignment="1">
      <alignment horizontal="center" vertical="center"/>
    </xf>
    <xf numFmtId="0" fontId="54" fillId="39" borderId="37" xfId="46" applyFont="1" applyFill="1" applyBorder="1" applyAlignment="1">
      <alignment horizontal="center" vertical="center"/>
    </xf>
    <xf numFmtId="0" fontId="6" fillId="0" borderId="18" xfId="46" applyFont="1" applyBorder="1" applyAlignment="1">
      <alignment horizontal="right" vertical="center" wrapText="1"/>
    </xf>
    <xf numFmtId="0" fontId="58" fillId="40" borderId="35" xfId="46" applyFont="1" applyFill="1" applyBorder="1" applyAlignment="1">
      <alignment horizontal="center"/>
    </xf>
    <xf numFmtId="0" fontId="58" fillId="40" borderId="36" xfId="46" applyFont="1" applyFill="1" applyBorder="1" applyAlignment="1">
      <alignment horizontal="center"/>
    </xf>
    <xf numFmtId="0" fontId="58" fillId="40" borderId="37" xfId="46" applyFont="1" applyFill="1" applyBorder="1" applyAlignment="1">
      <alignment horizontal="center"/>
    </xf>
    <xf numFmtId="0" fontId="37" fillId="37" borderId="35" xfId="46" applyFont="1" applyFill="1" applyBorder="1" applyAlignment="1">
      <alignment horizontal="center" vertical="center"/>
    </xf>
    <xf numFmtId="0" fontId="37" fillId="37" borderId="36" xfId="46" applyFont="1" applyFill="1" applyBorder="1" applyAlignment="1">
      <alignment horizontal="center" vertical="center"/>
    </xf>
    <xf numFmtId="0" fontId="26" fillId="5" borderId="35" xfId="36" applyBorder="1" applyAlignment="1">
      <alignment horizontal="center"/>
    </xf>
    <xf numFmtId="0" fontId="26" fillId="5" borderId="37" xfId="36" applyBorder="1" applyAlignment="1">
      <alignment horizontal="center"/>
    </xf>
    <xf numFmtId="0" fontId="13" fillId="0" borderId="0" xfId="46" applyFont="1" applyBorder="1" applyAlignment="1">
      <alignment horizontal="center"/>
    </xf>
    <xf numFmtId="0" fontId="6" fillId="0" borderId="21" xfId="46" applyBorder="1" applyAlignment="1">
      <alignment horizontal="center"/>
    </xf>
    <xf numFmtId="0" fontId="26" fillId="5" borderId="16" xfId="36" applyBorder="1" applyAlignment="1">
      <alignment horizontal="center"/>
    </xf>
    <xf numFmtId="0" fontId="26" fillId="5" borderId="17" xfId="36" applyBorder="1" applyAlignment="1">
      <alignment horizontal="center"/>
    </xf>
    <xf numFmtId="0" fontId="26" fillId="5" borderId="23" xfId="36" applyBorder="1" applyAlignment="1">
      <alignment horizontal="center"/>
    </xf>
    <xf numFmtId="0" fontId="26" fillId="5" borderId="36" xfId="36" applyBorder="1" applyAlignment="1">
      <alignment horizontal="center"/>
    </xf>
    <xf numFmtId="0" fontId="26" fillId="5" borderId="20" xfId="36" applyBorder="1" applyAlignment="1">
      <alignment horizontal="center"/>
    </xf>
    <xf numFmtId="0" fontId="26" fillId="5" borderId="21" xfId="36" applyBorder="1" applyAlignment="1">
      <alignment horizontal="center"/>
    </xf>
    <xf numFmtId="0" fontId="26" fillId="5" borderId="22" xfId="36" applyBorder="1" applyAlignment="1">
      <alignment horizontal="center"/>
    </xf>
    <xf numFmtId="0" fontId="56" fillId="24" borderId="35" xfId="46" applyFont="1" applyFill="1" applyBorder="1" applyAlignment="1">
      <alignment horizontal="right"/>
    </xf>
    <xf numFmtId="0" fontId="56" fillId="24" borderId="37" xfId="46" applyFont="1" applyFill="1" applyBorder="1" applyAlignment="1">
      <alignment horizontal="right"/>
    </xf>
    <xf numFmtId="0" fontId="33" fillId="0" borderId="35" xfId="46" applyFont="1" applyBorder="1" applyAlignment="1">
      <alignment horizontal="center"/>
    </xf>
    <xf numFmtId="0" fontId="33" fillId="0" borderId="37" xfId="46" applyFont="1" applyBorder="1" applyAlignment="1">
      <alignment horizontal="center"/>
    </xf>
    <xf numFmtId="0" fontId="9" fillId="23" borderId="35" xfId="46" applyFont="1" applyFill="1" applyBorder="1" applyAlignment="1">
      <alignment horizontal="center" vertical="center"/>
    </xf>
    <xf numFmtId="0" fontId="9" fillId="23" borderId="37" xfId="46" applyFont="1" applyFill="1" applyBorder="1" applyAlignment="1">
      <alignment horizontal="center" vertical="center"/>
    </xf>
    <xf numFmtId="0" fontId="60" fillId="39" borderId="20" xfId="46" applyFont="1" applyFill="1" applyBorder="1" applyAlignment="1">
      <alignment horizontal="right"/>
    </xf>
    <xf numFmtId="0" fontId="60" fillId="39" borderId="21" xfId="46" applyFont="1" applyFill="1" applyBorder="1" applyAlignment="1">
      <alignment horizontal="right"/>
    </xf>
    <xf numFmtId="0" fontId="39" fillId="42" borderId="35" xfId="46" applyFont="1" applyFill="1" applyBorder="1" applyAlignment="1">
      <alignment horizontal="center" vertical="center"/>
    </xf>
    <xf numFmtId="0" fontId="39" fillId="42" borderId="37" xfId="46" applyFont="1" applyFill="1" applyBorder="1" applyAlignment="1">
      <alignment horizontal="center" vertical="center"/>
    </xf>
    <xf numFmtId="0" fontId="49" fillId="42" borderId="35" xfId="46" applyFont="1" applyFill="1" applyBorder="1" applyAlignment="1">
      <alignment horizontal="center" vertical="center"/>
    </xf>
    <xf numFmtId="0" fontId="49" fillId="42" borderId="37" xfId="46" applyFont="1" applyFill="1" applyBorder="1" applyAlignment="1">
      <alignment horizontal="center" vertical="center"/>
    </xf>
    <xf numFmtId="0" fontId="49" fillId="42" borderId="17" xfId="46" applyFont="1" applyFill="1" applyBorder="1" applyAlignment="1">
      <alignment horizontal="center" vertical="center"/>
    </xf>
    <xf numFmtId="0" fontId="49" fillId="42" borderId="23" xfId="46" applyFont="1" applyFill="1" applyBorder="1" applyAlignment="1">
      <alignment horizontal="center" vertical="center"/>
    </xf>
    <xf numFmtId="0" fontId="6" fillId="42" borderId="18" xfId="46" applyFont="1" applyFill="1" applyBorder="1" applyAlignment="1">
      <alignment horizontal="right" vertical="center" wrapText="1"/>
    </xf>
    <xf numFmtId="0" fontId="6" fillId="42" borderId="0" xfId="46" applyFont="1" applyFill="1" applyBorder="1" applyAlignment="1">
      <alignment horizontal="right" vertical="center" wrapText="1"/>
    </xf>
    <xf numFmtId="0" fontId="60" fillId="44" borderId="20" xfId="46" applyFont="1" applyFill="1" applyBorder="1" applyAlignment="1">
      <alignment horizontal="right"/>
    </xf>
    <xf numFmtId="0" fontId="60" fillId="44" borderId="21" xfId="46" applyFont="1" applyFill="1" applyBorder="1" applyAlignment="1">
      <alignment horizontal="right"/>
    </xf>
    <xf numFmtId="0" fontId="60" fillId="42" borderId="20" xfId="46" applyFont="1" applyFill="1" applyBorder="1" applyAlignment="1">
      <alignment horizontal="right"/>
    </xf>
    <xf numFmtId="0" fontId="60" fillId="42" borderId="21" xfId="46" applyFont="1" applyFill="1" applyBorder="1" applyAlignment="1">
      <alignment horizontal="right"/>
    </xf>
    <xf numFmtId="0" fontId="39" fillId="44" borderId="35" xfId="46" applyFont="1" applyFill="1" applyBorder="1" applyAlignment="1">
      <alignment horizontal="center" vertical="center"/>
    </xf>
    <xf numFmtId="0" fontId="39" fillId="44" borderId="37" xfId="46" applyFont="1" applyFill="1" applyBorder="1" applyAlignment="1">
      <alignment horizontal="center" vertical="center"/>
    </xf>
    <xf numFmtId="0" fontId="49" fillId="44" borderId="35" xfId="46" applyFont="1" applyFill="1" applyBorder="1" applyAlignment="1">
      <alignment horizontal="center" vertical="center"/>
    </xf>
    <xf numFmtId="0" fontId="49" fillId="44" borderId="37" xfId="46" applyFont="1" applyFill="1" applyBorder="1" applyAlignment="1">
      <alignment horizontal="center" vertical="center"/>
    </xf>
    <xf numFmtId="0" fontId="49" fillId="44" borderId="17" xfId="46" applyFont="1" applyFill="1" applyBorder="1" applyAlignment="1">
      <alignment horizontal="center" vertical="center"/>
    </xf>
    <xf numFmtId="0" fontId="49" fillId="44" borderId="23" xfId="46" applyFont="1" applyFill="1" applyBorder="1" applyAlignment="1">
      <alignment horizontal="center" vertical="center"/>
    </xf>
    <xf numFmtId="0" fontId="6" fillId="44" borderId="18" xfId="46" applyFont="1" applyFill="1" applyBorder="1" applyAlignment="1">
      <alignment horizontal="right" vertical="center" wrapText="1"/>
    </xf>
    <xf numFmtId="0" fontId="6" fillId="44" borderId="0" xfId="46" applyFont="1" applyFill="1" applyBorder="1" applyAlignment="1">
      <alignment horizontal="right" vertical="center" wrapText="1"/>
    </xf>
    <xf numFmtId="0" fontId="6" fillId="39" borderId="18" xfId="46" applyFont="1" applyFill="1" applyBorder="1" applyAlignment="1">
      <alignment horizontal="right" vertical="center" wrapText="1"/>
    </xf>
    <xf numFmtId="0" fontId="6" fillId="39" borderId="0" xfId="46" applyFont="1" applyFill="1" applyBorder="1" applyAlignment="1">
      <alignment horizontal="right" vertical="center" wrapText="1"/>
    </xf>
    <xf numFmtId="0" fontId="60" fillId="43" borderId="20" xfId="46" applyFont="1" applyFill="1" applyBorder="1" applyAlignment="1">
      <alignment horizontal="right"/>
    </xf>
    <xf numFmtId="0" fontId="60" fillId="43" borderId="21" xfId="46" applyFont="1" applyFill="1" applyBorder="1" applyAlignment="1">
      <alignment horizontal="right"/>
    </xf>
    <xf numFmtId="0" fontId="39" fillId="43" borderId="35" xfId="46" applyFont="1" applyFill="1" applyBorder="1" applyAlignment="1">
      <alignment horizontal="center" vertical="center"/>
    </xf>
    <xf numFmtId="0" fontId="39" fillId="43" borderId="37" xfId="46" applyFont="1" applyFill="1" applyBorder="1" applyAlignment="1">
      <alignment horizontal="center" vertical="center"/>
    </xf>
    <xf numFmtId="0" fontId="49" fillId="43" borderId="35" xfId="46" applyFont="1" applyFill="1" applyBorder="1" applyAlignment="1">
      <alignment horizontal="center" vertical="center"/>
    </xf>
    <xf numFmtId="0" fontId="49" fillId="43" borderId="37" xfId="46" applyFont="1" applyFill="1" applyBorder="1" applyAlignment="1">
      <alignment horizontal="center" vertical="center"/>
    </xf>
    <xf numFmtId="0" fontId="49" fillId="43" borderId="17" xfId="46" applyFont="1" applyFill="1" applyBorder="1" applyAlignment="1">
      <alignment horizontal="center" vertical="center"/>
    </xf>
    <xf numFmtId="0" fontId="49" fillId="43" borderId="23" xfId="46" applyFont="1" applyFill="1" applyBorder="1" applyAlignment="1">
      <alignment horizontal="center" vertical="center"/>
    </xf>
    <xf numFmtId="0" fontId="6" fillId="43" borderId="18" xfId="46" applyFont="1" applyFill="1" applyBorder="1" applyAlignment="1">
      <alignment horizontal="right" vertical="center" wrapText="1"/>
    </xf>
    <xf numFmtId="0" fontId="6" fillId="43" borderId="0" xfId="46" applyFont="1" applyFill="1" applyBorder="1" applyAlignment="1">
      <alignment horizontal="right" vertical="center" wrapText="1"/>
    </xf>
    <xf numFmtId="0" fontId="6" fillId="0" borderId="0" xfId="46" applyBorder="1" applyAlignment="1">
      <alignment horizontal="center"/>
    </xf>
    <xf numFmtId="0" fontId="6" fillId="41" borderId="18" xfId="46" applyFont="1" applyFill="1" applyBorder="1" applyAlignment="1">
      <alignment horizontal="right" vertical="center" wrapText="1"/>
    </xf>
    <xf numFmtId="0" fontId="6" fillId="41" borderId="0" xfId="46" applyFont="1" applyFill="1" applyBorder="1" applyAlignment="1">
      <alignment horizontal="right" vertical="center" wrapText="1"/>
    </xf>
    <xf numFmtId="0" fontId="39" fillId="41" borderId="35" xfId="46" applyFont="1" applyFill="1" applyBorder="1" applyAlignment="1">
      <alignment horizontal="center" vertical="center"/>
    </xf>
    <xf numFmtId="0" fontId="39" fillId="41" borderId="37" xfId="46" applyFont="1" applyFill="1" applyBorder="1" applyAlignment="1">
      <alignment horizontal="center" vertical="center"/>
    </xf>
    <xf numFmtId="0" fontId="39" fillId="41" borderId="17" xfId="46" applyFont="1" applyFill="1" applyBorder="1" applyAlignment="1">
      <alignment horizontal="center" vertical="center"/>
    </xf>
    <xf numFmtId="0" fontId="39" fillId="41" borderId="23" xfId="46" applyFont="1" applyFill="1" applyBorder="1" applyAlignment="1">
      <alignment horizontal="center" vertical="center"/>
    </xf>
    <xf numFmtId="0" fontId="60" fillId="41" borderId="20" xfId="46" applyFont="1" applyFill="1" applyBorder="1" applyAlignment="1">
      <alignment horizontal="right"/>
    </xf>
    <xf numFmtId="0" fontId="60" fillId="41" borderId="21" xfId="46" applyFont="1" applyFill="1" applyBorder="1" applyAlignment="1">
      <alignment horizontal="right"/>
    </xf>
    <xf numFmtId="0" fontId="39" fillId="39" borderId="35" xfId="46" applyFont="1" applyFill="1" applyBorder="1" applyAlignment="1">
      <alignment horizontal="center" vertical="center"/>
    </xf>
    <xf numFmtId="0" fontId="39" fillId="39" borderId="37" xfId="46" applyFont="1" applyFill="1" applyBorder="1" applyAlignment="1">
      <alignment horizontal="center" vertical="center"/>
    </xf>
    <xf numFmtId="0" fontId="49" fillId="39" borderId="35" xfId="46" applyFont="1" applyFill="1" applyBorder="1" applyAlignment="1">
      <alignment horizontal="center" vertical="center"/>
    </xf>
    <xf numFmtId="0" fontId="49" fillId="39" borderId="37" xfId="46" applyFont="1" applyFill="1" applyBorder="1" applyAlignment="1">
      <alignment horizontal="center" vertical="center"/>
    </xf>
    <xf numFmtId="0" fontId="49" fillId="39" borderId="17" xfId="46" applyFont="1" applyFill="1" applyBorder="1" applyAlignment="1">
      <alignment horizontal="center" vertical="center"/>
    </xf>
    <xf numFmtId="0" fontId="49" fillId="39" borderId="23" xfId="46" applyFont="1" applyFill="1" applyBorder="1" applyAlignment="1">
      <alignment horizontal="center" vertical="center"/>
    </xf>
    <xf numFmtId="0" fontId="39" fillId="42" borderId="61" xfId="0" applyFont="1" applyFill="1" applyBorder="1" applyAlignment="1">
      <alignment horizontal="right" vertical="center" wrapText="1"/>
    </xf>
    <xf numFmtId="0" fontId="39" fillId="42" borderId="39" xfId="0" applyFont="1" applyFill="1" applyBorder="1" applyAlignment="1">
      <alignment horizontal="right" vertical="center" wrapText="1"/>
    </xf>
    <xf numFmtId="0" fontId="6" fillId="44" borderId="61" xfId="0" applyFont="1" applyFill="1" applyBorder="1" applyAlignment="1">
      <alignment horizontal="right" vertical="center" wrapText="1"/>
    </xf>
    <xf numFmtId="0" fontId="6" fillId="44" borderId="40" xfId="0" applyFont="1" applyFill="1" applyBorder="1" applyAlignment="1">
      <alignment horizontal="right" vertical="center" wrapText="1"/>
    </xf>
    <xf numFmtId="0" fontId="39" fillId="44" borderId="61" xfId="0" applyFont="1" applyFill="1" applyBorder="1" applyAlignment="1">
      <alignment horizontal="right" vertical="center" wrapText="1"/>
    </xf>
    <xf numFmtId="0" fontId="39" fillId="44" borderId="39" xfId="0" applyFont="1" applyFill="1" applyBorder="1" applyAlignment="1">
      <alignment horizontal="right" vertical="center" wrapText="1"/>
    </xf>
    <xf numFmtId="0" fontId="39" fillId="41" borderId="61" xfId="0" applyFont="1" applyFill="1" applyBorder="1" applyAlignment="1">
      <alignment horizontal="right" vertical="center" wrapText="1"/>
    </xf>
    <xf numFmtId="0" fontId="39" fillId="41" borderId="39" xfId="0" applyFont="1" applyFill="1" applyBorder="1" applyAlignment="1">
      <alignment horizontal="right" vertical="center" wrapText="1"/>
    </xf>
    <xf numFmtId="0" fontId="39" fillId="43" borderId="61" xfId="0" applyFont="1" applyFill="1" applyBorder="1" applyAlignment="1">
      <alignment horizontal="right" vertical="center" wrapText="1"/>
    </xf>
    <xf numFmtId="0" fontId="39" fillId="43" borderId="39" xfId="0" applyFont="1" applyFill="1" applyBorder="1" applyAlignment="1">
      <alignment horizontal="right" vertical="center" wrapText="1"/>
    </xf>
    <xf numFmtId="0" fontId="39" fillId="39" borderId="61" xfId="0" applyFont="1" applyFill="1" applyBorder="1" applyAlignment="1">
      <alignment horizontal="right" vertical="center" wrapText="1"/>
    </xf>
    <xf numFmtId="0" fontId="39" fillId="39" borderId="39" xfId="0" applyFont="1" applyFill="1" applyBorder="1" applyAlignment="1">
      <alignment horizontal="right" vertical="center" wrapText="1"/>
    </xf>
    <xf numFmtId="0" fontId="6" fillId="43" borderId="61" xfId="0" applyFont="1" applyFill="1" applyBorder="1" applyAlignment="1">
      <alignment horizontal="right" vertical="center" wrapText="1"/>
    </xf>
    <xf numFmtId="0" fontId="6" fillId="43" borderId="40" xfId="0" applyFont="1" applyFill="1" applyBorder="1" applyAlignment="1">
      <alignment horizontal="right" vertical="center" wrapText="1"/>
    </xf>
    <xf numFmtId="0" fontId="6" fillId="39" borderId="61" xfId="0" applyFont="1" applyFill="1" applyBorder="1" applyAlignment="1">
      <alignment horizontal="right" vertical="center" wrapText="1"/>
    </xf>
    <xf numFmtId="0" fontId="6" fillId="39" borderId="40" xfId="0" applyFont="1" applyFill="1" applyBorder="1" applyAlignment="1">
      <alignment horizontal="right" vertical="center" wrapText="1"/>
    </xf>
    <xf numFmtId="0" fontId="6" fillId="42" borderId="61" xfId="0" applyFont="1" applyFill="1" applyBorder="1" applyAlignment="1">
      <alignment horizontal="right" vertical="center" wrapText="1"/>
    </xf>
    <xf numFmtId="0" fontId="6" fillId="42" borderId="40" xfId="0" applyFont="1" applyFill="1" applyBorder="1" applyAlignment="1">
      <alignment horizontal="right" vertical="center" wrapText="1"/>
    </xf>
    <xf numFmtId="0" fontId="6" fillId="41" borderId="61" xfId="0" applyFont="1" applyFill="1" applyBorder="1" applyAlignment="1">
      <alignment horizontal="right" vertical="center" wrapText="1"/>
    </xf>
    <xf numFmtId="0" fontId="6" fillId="41" borderId="40" xfId="0" applyFont="1" applyFill="1" applyBorder="1" applyAlignment="1">
      <alignment horizontal="right" vertical="center" wrapText="1"/>
    </xf>
    <xf numFmtId="0" fontId="60" fillId="41" borderId="35" xfId="46" applyFont="1" applyFill="1" applyBorder="1" applyAlignment="1">
      <alignment horizontal="right"/>
    </xf>
    <xf numFmtId="0" fontId="60" fillId="41" borderId="64" xfId="46" applyFont="1" applyFill="1" applyBorder="1" applyAlignment="1">
      <alignment horizontal="right"/>
    </xf>
    <xf numFmtId="0" fontId="39" fillId="41" borderId="63" xfId="0" applyFont="1" applyFill="1" applyBorder="1" applyAlignment="1">
      <alignment horizontal="right" vertical="center" wrapText="1"/>
    </xf>
    <xf numFmtId="0" fontId="39" fillId="41" borderId="16" xfId="46" applyFont="1" applyFill="1" applyBorder="1" applyAlignment="1">
      <alignment horizontal="center" vertical="center"/>
    </xf>
    <xf numFmtId="0" fontId="72" fillId="0" borderId="35" xfId="46" applyFont="1" applyBorder="1" applyAlignment="1">
      <alignment horizontal="center"/>
    </xf>
    <xf numFmtId="0" fontId="72" fillId="0" borderId="37" xfId="46" applyFont="1" applyBorder="1" applyAlignment="1">
      <alignment horizontal="center"/>
    </xf>
  </cellXfs>
  <cellStyles count="51">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44" xr:uid="{00000000-0005-0000-0000-000025000000}"/>
    <cellStyle name="Normal 2 2" xfId="48" xr:uid="{00000000-0005-0000-0000-000026000000}"/>
    <cellStyle name="Normal 3" xfId="46" xr:uid="{00000000-0005-0000-0000-000027000000}"/>
    <cellStyle name="Normal 4" xfId="50" xr:uid="{00000000-0005-0000-0000-000028000000}"/>
    <cellStyle name="Normal_MASTER SCHEDULE" xfId="42" xr:uid="{00000000-0005-0000-0000-000029000000}"/>
    <cellStyle name="Normal_MASTER SCHEDULE_1" xfId="43" xr:uid="{00000000-0005-0000-0000-00002A000000}"/>
    <cellStyle name="Normal_Sheet1" xfId="45" xr:uid="{00000000-0005-0000-0000-00002B000000}"/>
    <cellStyle name="Note" xfId="37" builtinId="10" customBuiltin="1"/>
    <cellStyle name="Note 2" xfId="47" xr:uid="{00000000-0005-0000-0000-00002D000000}"/>
    <cellStyle name="Output" xfId="38" builtinId="21" customBuiltin="1"/>
    <cellStyle name="Percent 2" xfId="49" xr:uid="{00000000-0005-0000-0000-00002F000000}"/>
    <cellStyle name="Title" xfId="39" builtinId="15" customBuiltin="1"/>
    <cellStyle name="Total" xfId="40" builtinId="25" customBuiltin="1"/>
    <cellStyle name="Warning Text" xfId="41" builtinId="11" customBuiltin="1"/>
  </cellStyles>
  <dxfs count="405">
    <dxf>
      <font>
        <b val="0"/>
        <i/>
      </font>
      <fill>
        <patternFill>
          <bgColor rgb="FFFFC000"/>
        </patternFill>
      </fill>
    </dxf>
    <dxf>
      <font>
        <b/>
        <i val="0"/>
      </font>
      <fill>
        <patternFill>
          <bgColor theme="0" tint="-0.24994659260841701"/>
        </patternFill>
      </fill>
    </dxf>
    <dxf>
      <font>
        <b/>
        <i val="0"/>
      </font>
      <fill>
        <patternFill>
          <bgColor rgb="FF0070C0"/>
        </patternFill>
      </fill>
    </dxf>
    <dxf>
      <fill>
        <patternFill>
          <bgColor rgb="FF92D050"/>
        </patternFill>
      </fill>
    </dxf>
    <dxf>
      <fill>
        <patternFill>
          <bgColor rgb="FFFF0000"/>
        </patternFill>
      </fill>
    </dxf>
    <dxf>
      <fill>
        <patternFill>
          <bgColor rgb="FFFFFF00"/>
        </patternFill>
      </fill>
      <border>
        <left style="thin">
          <color auto="1"/>
        </left>
        <right style="thin">
          <color auto="1"/>
        </right>
        <top style="thin">
          <color auto="1"/>
        </top>
        <bottom style="thin">
          <color auto="1"/>
        </bottom>
      </border>
    </dxf>
    <dxf>
      <fill>
        <patternFill>
          <bgColor theme="5"/>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theme="5"/>
        </patternFill>
      </fill>
      <border>
        <left style="thin">
          <color auto="1"/>
        </left>
        <right style="thin">
          <color auto="1"/>
        </right>
        <top style="thin">
          <color auto="1"/>
        </top>
        <bottom style="thin">
          <color auto="1"/>
        </bottom>
      </border>
    </dxf>
    <dxf>
      <fill>
        <patternFill>
          <bgColor rgb="FF92D05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33CCFF"/>
        </patternFill>
      </fill>
      <border>
        <left style="thin">
          <color auto="1"/>
        </left>
        <right style="thin">
          <color auto="1"/>
        </right>
        <top style="thin">
          <color auto="1"/>
        </top>
        <bottom style="thin">
          <color auto="1"/>
        </bottom>
      </border>
    </dxf>
    <dxf>
      <fill>
        <patternFill>
          <bgColor rgb="FF33CCFF"/>
        </patternFill>
      </fill>
      <border>
        <left style="thin">
          <color auto="1"/>
        </left>
        <right style="thin">
          <color auto="1"/>
        </right>
        <top style="thin">
          <color auto="1"/>
        </top>
        <bottom style="thin">
          <color auto="1"/>
        </bottom>
      </border>
    </dxf>
    <dxf>
      <font>
        <color theme="0"/>
      </font>
      <fill>
        <patternFill>
          <bgColor rgb="FF00B0F0"/>
        </patternFill>
      </fill>
      <border>
        <left style="thin">
          <color auto="1"/>
        </left>
        <right style="thin">
          <color auto="1"/>
        </right>
        <top style="thin">
          <color auto="1"/>
        </top>
        <bottom style="thin">
          <color auto="1"/>
        </bottom>
      </border>
    </dxf>
    <dxf>
      <fill>
        <patternFill>
          <bgColor rgb="FFFF9900"/>
        </patternFill>
      </fill>
      <border>
        <left style="thin">
          <color auto="1"/>
        </left>
        <right style="thin">
          <color auto="1"/>
        </right>
        <top style="thin">
          <color auto="1"/>
        </top>
        <bottom style="thin">
          <color auto="1"/>
        </bottom>
      </border>
    </dxf>
    <dxf>
      <fill>
        <patternFill>
          <bgColor rgb="FF33CCFF"/>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FF9933"/>
        </patternFill>
      </fill>
      <border>
        <left style="thin">
          <color auto="1"/>
        </left>
        <right style="thin">
          <color auto="1"/>
        </right>
        <top style="thin">
          <color auto="1"/>
        </top>
        <bottom style="thin">
          <color auto="1"/>
        </bottom>
      </border>
    </dxf>
    <dxf>
      <font>
        <color theme="0"/>
      </font>
      <fill>
        <patternFill>
          <bgColor rgb="FF00B0F0"/>
        </patternFill>
      </fill>
      <border>
        <left style="thin">
          <color auto="1"/>
        </left>
        <right style="thin">
          <color auto="1"/>
        </right>
        <top style="thin">
          <color auto="1"/>
        </top>
        <bottom style="thin">
          <color auto="1"/>
        </bottom>
      </border>
    </dxf>
    <dxf>
      <font>
        <b val="0"/>
        <i/>
      </font>
      <fill>
        <patternFill>
          <bgColor rgb="FFFFC000"/>
        </patternFill>
      </fill>
    </dxf>
    <dxf>
      <font>
        <b/>
        <i val="0"/>
      </font>
      <fill>
        <patternFill>
          <bgColor theme="0" tint="-0.24994659260841701"/>
        </patternFill>
      </fill>
    </dxf>
    <dxf>
      <font>
        <b/>
        <i val="0"/>
      </font>
      <fill>
        <patternFill>
          <bgColor rgb="FF0070C0"/>
        </patternFill>
      </fill>
    </dxf>
    <dxf>
      <fill>
        <patternFill>
          <bgColor rgb="FF92D050"/>
        </patternFill>
      </fill>
    </dxf>
    <dxf>
      <font>
        <b val="0"/>
        <i/>
      </font>
      <fill>
        <patternFill>
          <bgColor rgb="FFFFC000"/>
        </patternFill>
      </fill>
    </dxf>
    <dxf>
      <font>
        <b/>
        <i val="0"/>
      </font>
      <fill>
        <patternFill>
          <bgColor theme="0" tint="-0.24994659260841701"/>
        </patternFill>
      </fill>
    </dxf>
    <dxf>
      <font>
        <b/>
        <i val="0"/>
      </font>
      <fill>
        <patternFill>
          <bgColor rgb="FF0070C0"/>
        </patternFill>
      </fill>
    </dxf>
    <dxf>
      <fill>
        <patternFill>
          <bgColor rgb="FF92D050"/>
        </patternFill>
      </fill>
    </dxf>
    <dxf>
      <fill>
        <patternFill>
          <bgColor rgb="FFFF0000"/>
        </patternFill>
      </fill>
    </dxf>
    <dxf>
      <fill>
        <patternFill>
          <bgColor rgb="FFFFFF00"/>
        </patternFill>
      </fill>
      <border>
        <left style="thin">
          <color auto="1"/>
        </left>
        <right style="thin">
          <color auto="1"/>
        </right>
        <top style="thin">
          <color auto="1"/>
        </top>
        <bottom style="thin">
          <color auto="1"/>
        </bottom>
      </border>
    </dxf>
    <dxf>
      <fill>
        <patternFill>
          <bgColor theme="5"/>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theme="5"/>
        </patternFill>
      </fill>
      <border>
        <left style="thin">
          <color auto="1"/>
        </left>
        <right style="thin">
          <color auto="1"/>
        </right>
        <top style="thin">
          <color auto="1"/>
        </top>
        <bottom style="thin">
          <color auto="1"/>
        </bottom>
      </border>
    </dxf>
    <dxf>
      <fill>
        <patternFill>
          <bgColor rgb="FF92D05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33CCFF"/>
        </patternFill>
      </fill>
      <border>
        <left style="thin">
          <color auto="1"/>
        </left>
        <right style="thin">
          <color auto="1"/>
        </right>
        <top style="thin">
          <color auto="1"/>
        </top>
        <bottom style="thin">
          <color auto="1"/>
        </bottom>
      </border>
    </dxf>
    <dxf>
      <fill>
        <patternFill>
          <bgColor rgb="FF33CCFF"/>
        </patternFill>
      </fill>
      <border>
        <left style="thin">
          <color auto="1"/>
        </left>
        <right style="thin">
          <color auto="1"/>
        </right>
        <top style="thin">
          <color auto="1"/>
        </top>
        <bottom style="thin">
          <color auto="1"/>
        </bottom>
      </border>
    </dxf>
    <dxf>
      <font>
        <color theme="0"/>
      </font>
      <fill>
        <patternFill>
          <bgColor rgb="FF00B0F0"/>
        </patternFill>
      </fill>
      <border>
        <left style="thin">
          <color auto="1"/>
        </left>
        <right style="thin">
          <color auto="1"/>
        </right>
        <top style="thin">
          <color auto="1"/>
        </top>
        <bottom style="thin">
          <color auto="1"/>
        </bottom>
      </border>
    </dxf>
    <dxf>
      <fill>
        <patternFill>
          <bgColor rgb="FFFF9900"/>
        </patternFill>
      </fill>
      <border>
        <left style="thin">
          <color auto="1"/>
        </left>
        <right style="thin">
          <color auto="1"/>
        </right>
        <top style="thin">
          <color auto="1"/>
        </top>
        <bottom style="thin">
          <color auto="1"/>
        </bottom>
      </border>
    </dxf>
    <dxf>
      <font>
        <b val="0"/>
        <i/>
      </font>
      <fill>
        <patternFill>
          <bgColor rgb="FFFFC000"/>
        </patternFill>
      </fill>
    </dxf>
    <dxf>
      <font>
        <b/>
        <i val="0"/>
      </font>
      <fill>
        <patternFill>
          <bgColor theme="0" tint="-0.24994659260841701"/>
        </patternFill>
      </fill>
    </dxf>
    <dxf>
      <font>
        <b/>
        <i val="0"/>
      </font>
      <fill>
        <patternFill>
          <bgColor rgb="FF0070C0"/>
        </patternFill>
      </fill>
    </dxf>
    <dxf>
      <fill>
        <patternFill>
          <bgColor rgb="FF92D050"/>
        </patternFill>
      </fill>
    </dxf>
    <dxf>
      <font>
        <b val="0"/>
        <i/>
      </font>
      <fill>
        <patternFill>
          <bgColor rgb="FFFFC000"/>
        </patternFill>
      </fill>
    </dxf>
    <dxf>
      <font>
        <b/>
        <i val="0"/>
      </font>
      <fill>
        <patternFill>
          <bgColor theme="0" tint="-0.24994659260841701"/>
        </patternFill>
      </fill>
    </dxf>
    <dxf>
      <font>
        <b/>
        <i val="0"/>
      </font>
      <fill>
        <patternFill>
          <bgColor rgb="FF0070C0"/>
        </patternFill>
      </fill>
    </dxf>
    <dxf>
      <fill>
        <patternFill>
          <bgColor rgb="FF92D050"/>
        </patternFill>
      </fill>
    </dxf>
    <dxf>
      <fill>
        <patternFill>
          <bgColor rgb="FFFF0000"/>
        </patternFill>
      </fill>
    </dxf>
    <dxf>
      <fill>
        <patternFill>
          <bgColor rgb="FFFFFF00"/>
        </patternFill>
      </fill>
      <border>
        <left style="thin">
          <color auto="1"/>
        </left>
        <right style="thin">
          <color auto="1"/>
        </right>
        <top style="thin">
          <color auto="1"/>
        </top>
        <bottom style="thin">
          <color auto="1"/>
        </bottom>
      </border>
    </dxf>
    <dxf>
      <fill>
        <patternFill>
          <bgColor theme="5"/>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theme="5"/>
        </patternFill>
      </fill>
      <border>
        <left style="thin">
          <color auto="1"/>
        </left>
        <right style="thin">
          <color auto="1"/>
        </right>
        <top style="thin">
          <color auto="1"/>
        </top>
        <bottom style="thin">
          <color auto="1"/>
        </bottom>
      </border>
    </dxf>
    <dxf>
      <fill>
        <patternFill>
          <bgColor rgb="FF92D05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33CCFF"/>
        </patternFill>
      </fill>
      <border>
        <left style="thin">
          <color auto="1"/>
        </left>
        <right style="thin">
          <color auto="1"/>
        </right>
        <top style="thin">
          <color auto="1"/>
        </top>
        <bottom style="thin">
          <color auto="1"/>
        </bottom>
      </border>
    </dxf>
    <dxf>
      <fill>
        <patternFill>
          <bgColor rgb="FF33CCFF"/>
        </patternFill>
      </fill>
      <border>
        <left style="thin">
          <color auto="1"/>
        </left>
        <right style="thin">
          <color auto="1"/>
        </right>
        <top style="thin">
          <color auto="1"/>
        </top>
        <bottom style="thin">
          <color auto="1"/>
        </bottom>
      </border>
    </dxf>
    <dxf>
      <fill>
        <patternFill>
          <bgColor rgb="FFFF9933"/>
        </patternFill>
      </fill>
      <border>
        <left style="thin">
          <color auto="1"/>
        </left>
        <right style="thin">
          <color auto="1"/>
        </right>
        <top style="thin">
          <color auto="1"/>
        </top>
        <bottom style="thin">
          <color auto="1"/>
        </bottom>
      </border>
    </dxf>
    <dxf>
      <font>
        <color theme="0"/>
      </font>
      <fill>
        <patternFill>
          <bgColor rgb="FF00B0F0"/>
        </patternFill>
      </fill>
      <border>
        <left style="thin">
          <color auto="1"/>
        </left>
        <right style="thin">
          <color auto="1"/>
        </right>
        <top style="thin">
          <color auto="1"/>
        </top>
        <bottom style="thin">
          <color auto="1"/>
        </bottom>
      </border>
    </dxf>
    <dxf>
      <fill>
        <patternFill>
          <bgColor rgb="FF33CCFF"/>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00B0F0"/>
        </patternFill>
      </fill>
      <border>
        <left style="thin">
          <color auto="1"/>
        </left>
        <right style="thin">
          <color auto="1"/>
        </right>
        <top style="thin">
          <color auto="1"/>
        </top>
        <bottom style="thin">
          <color auto="1"/>
        </bottom>
      </border>
    </dxf>
    <dxf>
      <fill>
        <patternFill>
          <bgColor rgb="FFFF9900"/>
        </patternFill>
      </fill>
      <border>
        <left style="thin">
          <color auto="1"/>
        </left>
        <right style="thin">
          <color auto="1"/>
        </right>
        <top style="thin">
          <color auto="1"/>
        </top>
        <bottom style="thin">
          <color auto="1"/>
        </bottom>
      </border>
    </dxf>
    <dxf>
      <font>
        <b val="0"/>
        <i/>
      </font>
      <fill>
        <patternFill>
          <bgColor rgb="FFFFC000"/>
        </patternFill>
      </fill>
    </dxf>
    <dxf>
      <font>
        <b/>
        <i val="0"/>
      </font>
      <fill>
        <patternFill>
          <bgColor theme="0" tint="-0.24994659260841701"/>
        </patternFill>
      </fill>
    </dxf>
    <dxf>
      <font>
        <b/>
        <i val="0"/>
      </font>
      <fill>
        <patternFill>
          <bgColor rgb="FF0070C0"/>
        </patternFill>
      </fill>
    </dxf>
    <dxf>
      <fill>
        <patternFill>
          <bgColor rgb="FF92D050"/>
        </patternFill>
      </fill>
    </dxf>
    <dxf>
      <font>
        <b val="0"/>
        <i/>
      </font>
      <fill>
        <patternFill>
          <bgColor rgb="FFFFC000"/>
        </patternFill>
      </fill>
    </dxf>
    <dxf>
      <font>
        <b/>
        <i val="0"/>
      </font>
      <fill>
        <patternFill>
          <bgColor theme="0" tint="-0.24994659260841701"/>
        </patternFill>
      </fill>
    </dxf>
    <dxf>
      <font>
        <b/>
        <i val="0"/>
      </font>
      <fill>
        <patternFill>
          <bgColor rgb="FF0070C0"/>
        </patternFill>
      </fill>
    </dxf>
    <dxf>
      <fill>
        <patternFill>
          <bgColor rgb="FF92D050"/>
        </patternFill>
      </fill>
    </dxf>
    <dxf>
      <fill>
        <patternFill>
          <bgColor rgb="FFFF0000"/>
        </patternFill>
      </fill>
    </dxf>
    <dxf>
      <fill>
        <patternFill>
          <bgColor rgb="FFFFFF00"/>
        </patternFill>
      </fill>
      <border>
        <left style="thin">
          <color auto="1"/>
        </left>
        <right style="thin">
          <color auto="1"/>
        </right>
        <top style="thin">
          <color auto="1"/>
        </top>
        <bottom style="thin">
          <color auto="1"/>
        </bottom>
      </border>
    </dxf>
    <dxf>
      <fill>
        <patternFill>
          <bgColor theme="5"/>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theme="5"/>
        </patternFill>
      </fill>
      <border>
        <left style="thin">
          <color auto="1"/>
        </left>
        <right style="thin">
          <color auto="1"/>
        </right>
        <top style="thin">
          <color auto="1"/>
        </top>
        <bottom style="thin">
          <color auto="1"/>
        </bottom>
      </border>
    </dxf>
    <dxf>
      <fill>
        <patternFill>
          <bgColor rgb="FF92D05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33CCFF"/>
        </patternFill>
      </fill>
      <border>
        <left style="thin">
          <color auto="1"/>
        </left>
        <right style="thin">
          <color auto="1"/>
        </right>
        <top style="thin">
          <color auto="1"/>
        </top>
        <bottom style="thin">
          <color auto="1"/>
        </bottom>
      </border>
    </dxf>
    <dxf>
      <fill>
        <patternFill>
          <bgColor rgb="FF33CCFF"/>
        </patternFill>
      </fill>
      <border>
        <left style="thin">
          <color auto="1"/>
        </left>
        <right style="thin">
          <color auto="1"/>
        </right>
        <top style="thin">
          <color auto="1"/>
        </top>
        <bottom style="thin">
          <color auto="1"/>
        </bottom>
      </border>
    </dxf>
    <dxf>
      <fill>
        <patternFill>
          <bgColor rgb="FFFF9933"/>
        </patternFill>
      </fill>
      <border>
        <left style="thin">
          <color auto="1"/>
        </left>
        <right style="thin">
          <color auto="1"/>
        </right>
        <top style="thin">
          <color auto="1"/>
        </top>
        <bottom style="thin">
          <color auto="1"/>
        </bottom>
      </border>
    </dxf>
    <dxf>
      <font>
        <color theme="0"/>
      </font>
      <fill>
        <patternFill>
          <bgColor rgb="FF00B0F0"/>
        </patternFill>
      </fill>
      <border>
        <left style="thin">
          <color auto="1"/>
        </left>
        <right style="thin">
          <color auto="1"/>
        </right>
        <top style="thin">
          <color auto="1"/>
        </top>
        <bottom style="thin">
          <color auto="1"/>
        </bottom>
      </border>
    </dxf>
    <dxf>
      <font>
        <b val="0"/>
        <i/>
      </font>
      <fill>
        <patternFill>
          <bgColor rgb="FFFFC000"/>
        </patternFill>
      </fill>
    </dxf>
    <dxf>
      <font>
        <b/>
        <i val="0"/>
      </font>
      <fill>
        <patternFill>
          <bgColor theme="0" tint="-0.24994659260841701"/>
        </patternFill>
      </fill>
    </dxf>
    <dxf>
      <font>
        <b/>
        <i val="0"/>
      </font>
      <fill>
        <patternFill>
          <bgColor rgb="FF0070C0"/>
        </patternFill>
      </fill>
    </dxf>
    <dxf>
      <fill>
        <patternFill>
          <bgColor rgb="FF92D050"/>
        </patternFill>
      </fill>
    </dxf>
    <dxf>
      <font>
        <b val="0"/>
        <i/>
      </font>
      <fill>
        <patternFill>
          <bgColor rgb="FFFFC000"/>
        </patternFill>
      </fill>
    </dxf>
    <dxf>
      <font>
        <b/>
        <i val="0"/>
      </font>
      <fill>
        <patternFill>
          <bgColor theme="0" tint="-0.24994659260841701"/>
        </patternFill>
      </fill>
    </dxf>
    <dxf>
      <font>
        <b/>
        <i val="0"/>
      </font>
      <fill>
        <patternFill>
          <bgColor rgb="FF0070C0"/>
        </patternFill>
      </fill>
    </dxf>
    <dxf>
      <fill>
        <patternFill>
          <bgColor rgb="FF92D050"/>
        </patternFill>
      </fill>
    </dxf>
    <dxf>
      <fill>
        <patternFill>
          <bgColor rgb="FFFF0000"/>
        </patternFill>
      </fill>
    </dxf>
    <dxf>
      <fill>
        <patternFill>
          <bgColor rgb="FFFFFF00"/>
        </patternFill>
      </fill>
      <border>
        <left style="thin">
          <color auto="1"/>
        </left>
        <right style="thin">
          <color auto="1"/>
        </right>
        <top style="thin">
          <color auto="1"/>
        </top>
        <bottom style="thin">
          <color auto="1"/>
        </bottom>
      </border>
    </dxf>
    <dxf>
      <fill>
        <patternFill>
          <bgColor theme="5"/>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theme="5"/>
        </patternFill>
      </fill>
      <border>
        <left style="thin">
          <color auto="1"/>
        </left>
        <right style="thin">
          <color auto="1"/>
        </right>
        <top style="thin">
          <color auto="1"/>
        </top>
        <bottom style="thin">
          <color auto="1"/>
        </bottom>
      </border>
    </dxf>
    <dxf>
      <fill>
        <patternFill>
          <bgColor rgb="FF92D05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33CCFF"/>
        </patternFill>
      </fill>
      <border>
        <left style="thin">
          <color auto="1"/>
        </left>
        <right style="thin">
          <color auto="1"/>
        </right>
        <top style="thin">
          <color auto="1"/>
        </top>
        <bottom style="thin">
          <color auto="1"/>
        </bottom>
      </border>
    </dxf>
    <dxf>
      <fill>
        <patternFill>
          <bgColor rgb="FF33CCFF"/>
        </patternFill>
      </fill>
      <border>
        <left style="thin">
          <color auto="1"/>
        </left>
        <right style="thin">
          <color auto="1"/>
        </right>
        <top style="thin">
          <color auto="1"/>
        </top>
        <bottom style="thin">
          <color auto="1"/>
        </bottom>
      </border>
    </dxf>
    <dxf>
      <font>
        <color theme="0"/>
      </font>
      <fill>
        <patternFill>
          <bgColor rgb="FF00B0F0"/>
        </patternFill>
      </fill>
      <border>
        <left style="thin">
          <color auto="1"/>
        </left>
        <right style="thin">
          <color auto="1"/>
        </right>
        <top style="thin">
          <color auto="1"/>
        </top>
        <bottom style="thin">
          <color auto="1"/>
        </bottom>
      </border>
    </dxf>
    <dxf>
      <fill>
        <patternFill>
          <bgColor rgb="FFFF9900"/>
        </patternFill>
      </fill>
      <border>
        <left style="thin">
          <color auto="1"/>
        </left>
        <right style="thin">
          <color auto="1"/>
        </right>
        <top style="thin">
          <color auto="1"/>
        </top>
        <bottom style="thin">
          <color auto="1"/>
        </bottom>
      </border>
    </dxf>
    <dxf>
      <fill>
        <patternFill>
          <bgColor rgb="FF33CCFF"/>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FF9933"/>
        </patternFill>
      </fill>
      <border>
        <left style="thin">
          <color auto="1"/>
        </left>
        <right style="thin">
          <color auto="1"/>
        </right>
        <top style="thin">
          <color auto="1"/>
        </top>
        <bottom style="thin">
          <color auto="1"/>
        </bottom>
      </border>
    </dxf>
    <dxf>
      <font>
        <color theme="0"/>
      </font>
      <fill>
        <patternFill>
          <bgColor rgb="FF00B0F0"/>
        </patternFill>
      </fill>
      <border>
        <left style="thin">
          <color auto="1"/>
        </left>
        <right style="thin">
          <color auto="1"/>
        </right>
        <top style="thin">
          <color auto="1"/>
        </top>
        <bottom style="thin">
          <color auto="1"/>
        </bottom>
      </border>
    </dxf>
    <dxf>
      <font>
        <b val="0"/>
        <i/>
      </font>
      <fill>
        <patternFill>
          <bgColor rgb="FFFFC000"/>
        </patternFill>
      </fill>
    </dxf>
    <dxf>
      <font>
        <b/>
        <i val="0"/>
      </font>
      <fill>
        <patternFill>
          <bgColor theme="0" tint="-0.24994659260841701"/>
        </patternFill>
      </fill>
    </dxf>
    <dxf>
      <font>
        <b/>
        <i val="0"/>
      </font>
      <fill>
        <patternFill>
          <bgColor rgb="FF0070C0"/>
        </patternFill>
      </fill>
    </dxf>
    <dxf>
      <fill>
        <patternFill>
          <bgColor rgb="FF92D050"/>
        </patternFill>
      </fill>
    </dxf>
    <dxf>
      <font>
        <b val="0"/>
        <i/>
      </font>
      <fill>
        <patternFill>
          <bgColor rgb="FFFFC000"/>
        </patternFill>
      </fill>
    </dxf>
    <dxf>
      <font>
        <b/>
        <i val="0"/>
      </font>
      <fill>
        <patternFill>
          <bgColor theme="0" tint="-0.24994659260841701"/>
        </patternFill>
      </fill>
    </dxf>
    <dxf>
      <font>
        <b/>
        <i val="0"/>
      </font>
      <fill>
        <patternFill>
          <bgColor rgb="FF0070C0"/>
        </patternFill>
      </fill>
    </dxf>
    <dxf>
      <fill>
        <patternFill>
          <bgColor rgb="FF92D050"/>
        </patternFill>
      </fill>
    </dxf>
    <dxf>
      <fill>
        <patternFill>
          <bgColor rgb="FFFF0000"/>
        </patternFill>
      </fill>
    </dxf>
    <dxf>
      <fill>
        <patternFill>
          <bgColor rgb="FFFFFF00"/>
        </patternFill>
      </fill>
      <border>
        <left style="thin">
          <color auto="1"/>
        </left>
        <right style="thin">
          <color auto="1"/>
        </right>
        <top style="thin">
          <color auto="1"/>
        </top>
        <bottom style="thin">
          <color auto="1"/>
        </bottom>
      </border>
    </dxf>
    <dxf>
      <fill>
        <patternFill>
          <bgColor theme="5"/>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theme="5"/>
        </patternFill>
      </fill>
      <border>
        <left style="thin">
          <color auto="1"/>
        </left>
        <right style="thin">
          <color auto="1"/>
        </right>
        <top style="thin">
          <color auto="1"/>
        </top>
        <bottom style="thin">
          <color auto="1"/>
        </bottom>
      </border>
    </dxf>
    <dxf>
      <fill>
        <patternFill>
          <bgColor rgb="FF92D05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33CCFF"/>
        </patternFill>
      </fill>
      <border>
        <left style="thin">
          <color auto="1"/>
        </left>
        <right style="thin">
          <color auto="1"/>
        </right>
        <top style="thin">
          <color auto="1"/>
        </top>
        <bottom style="thin">
          <color auto="1"/>
        </bottom>
      </border>
    </dxf>
    <dxf>
      <fill>
        <patternFill>
          <bgColor rgb="FF33CCFF"/>
        </patternFill>
      </fill>
      <border>
        <left style="thin">
          <color auto="1"/>
        </left>
        <right style="thin">
          <color auto="1"/>
        </right>
        <top style="thin">
          <color auto="1"/>
        </top>
        <bottom style="thin">
          <color auto="1"/>
        </bottom>
      </border>
    </dxf>
    <dxf>
      <font>
        <color theme="0"/>
      </font>
      <fill>
        <patternFill>
          <bgColor rgb="FF00B0F0"/>
        </patternFill>
      </fill>
      <border>
        <left style="thin">
          <color auto="1"/>
        </left>
        <right style="thin">
          <color auto="1"/>
        </right>
        <top style="thin">
          <color auto="1"/>
        </top>
        <bottom style="thin">
          <color auto="1"/>
        </bottom>
      </border>
    </dxf>
    <dxf>
      <fill>
        <patternFill>
          <bgColor rgb="FFFF9900"/>
        </patternFill>
      </fill>
      <border>
        <left style="thin">
          <color auto="1"/>
        </left>
        <right style="thin">
          <color auto="1"/>
        </right>
        <top style="thin">
          <color auto="1"/>
        </top>
        <bottom style="thin">
          <color auto="1"/>
        </bottom>
      </border>
    </dxf>
    <dxf>
      <font>
        <b val="0"/>
        <i/>
      </font>
      <fill>
        <patternFill>
          <bgColor rgb="FFFFC000"/>
        </patternFill>
      </fill>
    </dxf>
    <dxf>
      <font>
        <b/>
        <i val="0"/>
      </font>
      <fill>
        <patternFill>
          <bgColor theme="0" tint="-0.24994659260841701"/>
        </patternFill>
      </fill>
    </dxf>
    <dxf>
      <font>
        <b/>
        <i val="0"/>
      </font>
      <fill>
        <patternFill>
          <bgColor rgb="FF0070C0"/>
        </patternFill>
      </fill>
    </dxf>
    <dxf>
      <fill>
        <patternFill>
          <bgColor rgb="FF92D050"/>
        </patternFill>
      </fill>
    </dxf>
    <dxf>
      <font>
        <b val="0"/>
        <i/>
      </font>
      <fill>
        <patternFill>
          <bgColor rgb="FFFFC000"/>
        </patternFill>
      </fill>
    </dxf>
    <dxf>
      <font>
        <b/>
        <i val="0"/>
      </font>
      <fill>
        <patternFill>
          <bgColor theme="0" tint="-0.24994659260841701"/>
        </patternFill>
      </fill>
    </dxf>
    <dxf>
      <font>
        <b/>
        <i val="0"/>
      </font>
      <fill>
        <patternFill>
          <bgColor rgb="FF0070C0"/>
        </patternFill>
      </fill>
    </dxf>
    <dxf>
      <fill>
        <patternFill>
          <bgColor rgb="FF92D050"/>
        </patternFill>
      </fill>
    </dxf>
    <dxf>
      <fill>
        <patternFill>
          <bgColor rgb="FFFF0000"/>
        </patternFill>
      </fill>
    </dxf>
    <dxf>
      <fill>
        <patternFill>
          <bgColor rgb="FFFFFF00"/>
        </patternFill>
      </fill>
      <border>
        <left style="thin">
          <color auto="1"/>
        </left>
        <right style="thin">
          <color auto="1"/>
        </right>
        <top style="thin">
          <color auto="1"/>
        </top>
        <bottom style="thin">
          <color auto="1"/>
        </bottom>
      </border>
    </dxf>
    <dxf>
      <fill>
        <patternFill>
          <bgColor theme="5"/>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theme="5"/>
        </patternFill>
      </fill>
      <border>
        <left style="thin">
          <color auto="1"/>
        </left>
        <right style="thin">
          <color auto="1"/>
        </right>
        <top style="thin">
          <color auto="1"/>
        </top>
        <bottom style="thin">
          <color auto="1"/>
        </bottom>
      </border>
    </dxf>
    <dxf>
      <fill>
        <patternFill>
          <bgColor rgb="FF92D05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33CCFF"/>
        </patternFill>
      </fill>
      <border>
        <left style="thin">
          <color auto="1"/>
        </left>
        <right style="thin">
          <color auto="1"/>
        </right>
        <top style="thin">
          <color auto="1"/>
        </top>
        <bottom style="thin">
          <color auto="1"/>
        </bottom>
      </border>
    </dxf>
    <dxf>
      <fill>
        <patternFill>
          <bgColor rgb="FF33CCFF"/>
        </patternFill>
      </fill>
      <border>
        <left style="thin">
          <color auto="1"/>
        </left>
        <right style="thin">
          <color auto="1"/>
        </right>
        <top style="thin">
          <color auto="1"/>
        </top>
        <bottom style="thin">
          <color auto="1"/>
        </bottom>
      </border>
    </dxf>
    <dxf>
      <fill>
        <patternFill>
          <bgColor rgb="FFFF9933"/>
        </patternFill>
      </fill>
      <border>
        <left style="thin">
          <color auto="1"/>
        </left>
        <right style="thin">
          <color auto="1"/>
        </right>
        <top style="thin">
          <color auto="1"/>
        </top>
        <bottom style="thin">
          <color auto="1"/>
        </bottom>
      </border>
    </dxf>
    <dxf>
      <font>
        <color theme="0"/>
      </font>
      <fill>
        <patternFill>
          <bgColor rgb="FF00B0F0"/>
        </patternFill>
      </fill>
      <border>
        <left style="thin">
          <color auto="1"/>
        </left>
        <right style="thin">
          <color auto="1"/>
        </right>
        <top style="thin">
          <color auto="1"/>
        </top>
        <bottom style="thin">
          <color auto="1"/>
        </bottom>
      </border>
    </dxf>
    <dxf>
      <fill>
        <patternFill>
          <bgColor rgb="FF33CCFF"/>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00B0F0"/>
        </patternFill>
      </fill>
      <border>
        <left style="thin">
          <color auto="1"/>
        </left>
        <right style="thin">
          <color auto="1"/>
        </right>
        <top style="thin">
          <color auto="1"/>
        </top>
        <bottom style="thin">
          <color auto="1"/>
        </bottom>
      </border>
    </dxf>
    <dxf>
      <fill>
        <patternFill>
          <bgColor rgb="FFFF9900"/>
        </patternFill>
      </fill>
      <border>
        <left style="thin">
          <color auto="1"/>
        </left>
        <right style="thin">
          <color auto="1"/>
        </right>
        <top style="thin">
          <color auto="1"/>
        </top>
        <bottom style="thin">
          <color auto="1"/>
        </bottom>
      </border>
    </dxf>
    <dxf>
      <font>
        <b val="0"/>
        <i/>
      </font>
      <fill>
        <patternFill>
          <bgColor rgb="FFFFC000"/>
        </patternFill>
      </fill>
    </dxf>
    <dxf>
      <font>
        <b/>
        <i val="0"/>
      </font>
      <fill>
        <patternFill>
          <bgColor theme="0" tint="-0.24994659260841701"/>
        </patternFill>
      </fill>
    </dxf>
    <dxf>
      <font>
        <b/>
        <i val="0"/>
      </font>
      <fill>
        <patternFill>
          <bgColor rgb="FF0070C0"/>
        </patternFill>
      </fill>
    </dxf>
    <dxf>
      <fill>
        <patternFill>
          <bgColor rgb="FF92D050"/>
        </patternFill>
      </fill>
    </dxf>
    <dxf>
      <font>
        <b val="0"/>
        <i/>
      </font>
      <fill>
        <patternFill>
          <bgColor rgb="FFFFC000"/>
        </patternFill>
      </fill>
    </dxf>
    <dxf>
      <font>
        <b/>
        <i val="0"/>
      </font>
      <fill>
        <patternFill>
          <bgColor theme="0" tint="-0.24994659260841701"/>
        </patternFill>
      </fill>
    </dxf>
    <dxf>
      <font>
        <b/>
        <i val="0"/>
      </font>
      <fill>
        <patternFill>
          <bgColor rgb="FF0070C0"/>
        </patternFill>
      </fill>
    </dxf>
    <dxf>
      <fill>
        <patternFill>
          <bgColor rgb="FF92D050"/>
        </patternFill>
      </fill>
    </dxf>
    <dxf>
      <fill>
        <patternFill>
          <bgColor rgb="FFFF0000"/>
        </patternFill>
      </fill>
    </dxf>
    <dxf>
      <fill>
        <patternFill>
          <bgColor rgb="FFFFFF00"/>
        </patternFill>
      </fill>
      <border>
        <left style="thin">
          <color auto="1"/>
        </left>
        <right style="thin">
          <color auto="1"/>
        </right>
        <top style="thin">
          <color auto="1"/>
        </top>
        <bottom style="thin">
          <color auto="1"/>
        </bottom>
      </border>
    </dxf>
    <dxf>
      <fill>
        <patternFill>
          <bgColor theme="5"/>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theme="5"/>
        </patternFill>
      </fill>
      <border>
        <left style="thin">
          <color auto="1"/>
        </left>
        <right style="thin">
          <color auto="1"/>
        </right>
        <top style="thin">
          <color auto="1"/>
        </top>
        <bottom style="thin">
          <color auto="1"/>
        </bottom>
      </border>
    </dxf>
    <dxf>
      <fill>
        <patternFill>
          <bgColor rgb="FF92D05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33CCFF"/>
        </patternFill>
      </fill>
      <border>
        <left style="thin">
          <color auto="1"/>
        </left>
        <right style="thin">
          <color auto="1"/>
        </right>
        <top style="thin">
          <color auto="1"/>
        </top>
        <bottom style="thin">
          <color auto="1"/>
        </bottom>
      </border>
    </dxf>
    <dxf>
      <fill>
        <patternFill>
          <bgColor rgb="FF33CCFF"/>
        </patternFill>
      </fill>
      <border>
        <left style="thin">
          <color auto="1"/>
        </left>
        <right style="thin">
          <color auto="1"/>
        </right>
        <top style="thin">
          <color auto="1"/>
        </top>
        <bottom style="thin">
          <color auto="1"/>
        </bottom>
      </border>
    </dxf>
    <dxf>
      <fill>
        <patternFill>
          <bgColor rgb="FFFF9933"/>
        </patternFill>
      </fill>
      <border>
        <left style="thin">
          <color auto="1"/>
        </left>
        <right style="thin">
          <color auto="1"/>
        </right>
        <top style="thin">
          <color auto="1"/>
        </top>
        <bottom style="thin">
          <color auto="1"/>
        </bottom>
      </border>
    </dxf>
    <dxf>
      <font>
        <color theme="0"/>
      </font>
      <fill>
        <patternFill>
          <bgColor rgb="FF00B0F0"/>
        </patternFill>
      </fill>
      <border>
        <left style="thin">
          <color auto="1"/>
        </left>
        <right style="thin">
          <color auto="1"/>
        </right>
        <top style="thin">
          <color auto="1"/>
        </top>
        <bottom style="thin">
          <color auto="1"/>
        </bottom>
      </border>
    </dxf>
    <dxf>
      <font>
        <b val="0"/>
        <i/>
      </font>
      <fill>
        <patternFill>
          <bgColor rgb="FFFFC000"/>
        </patternFill>
      </fill>
    </dxf>
    <dxf>
      <font>
        <b/>
        <i val="0"/>
      </font>
      <fill>
        <patternFill>
          <bgColor theme="0" tint="-0.24994659260841701"/>
        </patternFill>
      </fill>
    </dxf>
    <dxf>
      <font>
        <b/>
        <i val="0"/>
      </font>
      <fill>
        <patternFill>
          <bgColor rgb="FF0070C0"/>
        </patternFill>
      </fill>
    </dxf>
    <dxf>
      <fill>
        <patternFill>
          <bgColor rgb="FF92D050"/>
        </patternFill>
      </fill>
    </dxf>
    <dxf>
      <font>
        <b val="0"/>
        <i/>
      </font>
      <fill>
        <patternFill>
          <bgColor rgb="FFFFC000"/>
        </patternFill>
      </fill>
    </dxf>
    <dxf>
      <font>
        <b/>
        <i val="0"/>
      </font>
      <fill>
        <patternFill>
          <bgColor theme="0" tint="-0.24994659260841701"/>
        </patternFill>
      </fill>
    </dxf>
    <dxf>
      <font>
        <b/>
        <i val="0"/>
      </font>
      <fill>
        <patternFill>
          <bgColor rgb="FF0070C0"/>
        </patternFill>
      </fill>
    </dxf>
    <dxf>
      <fill>
        <patternFill>
          <bgColor rgb="FF92D050"/>
        </patternFill>
      </fill>
    </dxf>
    <dxf>
      <fill>
        <patternFill>
          <bgColor rgb="FFFF0000"/>
        </patternFill>
      </fill>
    </dxf>
    <dxf>
      <fill>
        <patternFill>
          <bgColor rgb="FFFFFF00"/>
        </patternFill>
      </fill>
      <border>
        <left style="thin">
          <color auto="1"/>
        </left>
        <right style="thin">
          <color auto="1"/>
        </right>
        <top style="thin">
          <color auto="1"/>
        </top>
        <bottom style="thin">
          <color auto="1"/>
        </bottom>
      </border>
    </dxf>
    <dxf>
      <fill>
        <patternFill>
          <bgColor theme="5"/>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theme="5"/>
        </patternFill>
      </fill>
      <border>
        <left style="thin">
          <color auto="1"/>
        </left>
        <right style="thin">
          <color auto="1"/>
        </right>
        <top style="thin">
          <color auto="1"/>
        </top>
        <bottom style="thin">
          <color auto="1"/>
        </bottom>
      </border>
    </dxf>
    <dxf>
      <fill>
        <patternFill>
          <bgColor rgb="FF92D05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33CCFF"/>
        </patternFill>
      </fill>
      <border>
        <left style="thin">
          <color auto="1"/>
        </left>
        <right style="thin">
          <color auto="1"/>
        </right>
        <top style="thin">
          <color auto="1"/>
        </top>
        <bottom style="thin">
          <color auto="1"/>
        </bottom>
      </border>
    </dxf>
    <dxf>
      <fill>
        <patternFill>
          <bgColor rgb="FF33CCFF"/>
        </patternFill>
      </fill>
      <border>
        <left style="thin">
          <color auto="1"/>
        </left>
        <right style="thin">
          <color auto="1"/>
        </right>
        <top style="thin">
          <color auto="1"/>
        </top>
        <bottom style="thin">
          <color auto="1"/>
        </bottom>
      </border>
    </dxf>
    <dxf>
      <fill>
        <patternFill>
          <bgColor rgb="FF33CCFF"/>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00B0F0"/>
        </patternFill>
      </fill>
      <border>
        <left style="thin">
          <color auto="1"/>
        </left>
        <right style="thin">
          <color auto="1"/>
        </right>
        <top style="thin">
          <color auto="1"/>
        </top>
        <bottom style="thin">
          <color auto="1"/>
        </bottom>
      </border>
    </dxf>
    <dxf>
      <fill>
        <patternFill>
          <bgColor rgb="FFFF9900"/>
        </patternFill>
      </fill>
      <border>
        <left style="thin">
          <color auto="1"/>
        </left>
        <right style="thin">
          <color auto="1"/>
        </right>
        <top style="thin">
          <color auto="1"/>
        </top>
        <bottom style="thin">
          <color auto="1"/>
        </bottom>
      </border>
    </dxf>
    <dxf>
      <fill>
        <patternFill>
          <bgColor rgb="FFFF9933"/>
        </patternFill>
      </fill>
      <border>
        <left style="thin">
          <color auto="1"/>
        </left>
        <right style="thin">
          <color auto="1"/>
        </right>
        <top style="thin">
          <color auto="1"/>
        </top>
        <bottom style="thin">
          <color auto="1"/>
        </bottom>
      </border>
    </dxf>
    <dxf>
      <font>
        <color theme="0"/>
      </font>
      <fill>
        <patternFill>
          <bgColor rgb="FF00B0F0"/>
        </patternFill>
      </fill>
      <border>
        <left style="thin">
          <color auto="1"/>
        </left>
        <right style="thin">
          <color auto="1"/>
        </right>
        <top style="thin">
          <color auto="1"/>
        </top>
        <bottom style="thin">
          <color auto="1"/>
        </bottom>
      </border>
    </dxf>
    <dxf>
      <font>
        <b val="0"/>
        <i/>
      </font>
      <fill>
        <patternFill>
          <bgColor rgb="FFFFC000"/>
        </patternFill>
      </fill>
    </dxf>
    <dxf>
      <font>
        <b/>
        <i val="0"/>
      </font>
      <fill>
        <patternFill>
          <bgColor theme="0" tint="-0.24994659260841701"/>
        </patternFill>
      </fill>
    </dxf>
    <dxf>
      <font>
        <b/>
        <i val="0"/>
      </font>
      <fill>
        <patternFill>
          <bgColor rgb="FF0070C0"/>
        </patternFill>
      </fill>
    </dxf>
    <dxf>
      <fill>
        <patternFill>
          <bgColor rgb="FF92D050"/>
        </patternFill>
      </fill>
    </dxf>
    <dxf>
      <font>
        <b val="0"/>
        <i/>
      </font>
      <fill>
        <patternFill>
          <bgColor rgb="FFFFC000"/>
        </patternFill>
      </fill>
    </dxf>
    <dxf>
      <font>
        <b/>
        <i val="0"/>
      </font>
      <fill>
        <patternFill>
          <bgColor theme="0" tint="-0.24994659260841701"/>
        </patternFill>
      </fill>
    </dxf>
    <dxf>
      <font>
        <b/>
        <i val="0"/>
      </font>
      <fill>
        <patternFill>
          <bgColor rgb="FF0070C0"/>
        </patternFill>
      </fill>
    </dxf>
    <dxf>
      <fill>
        <patternFill>
          <bgColor rgb="FF92D050"/>
        </patternFill>
      </fill>
    </dxf>
    <dxf>
      <font>
        <b val="0"/>
        <i/>
      </font>
      <fill>
        <patternFill>
          <bgColor rgb="FFFFC000"/>
        </patternFill>
      </fill>
    </dxf>
    <dxf>
      <font>
        <b/>
        <i val="0"/>
      </font>
      <fill>
        <patternFill>
          <bgColor theme="0" tint="-0.24994659260841701"/>
        </patternFill>
      </fill>
    </dxf>
    <dxf>
      <font>
        <b/>
        <i val="0"/>
      </font>
      <fill>
        <patternFill>
          <bgColor rgb="FF0070C0"/>
        </patternFill>
      </fill>
    </dxf>
    <dxf>
      <fill>
        <patternFill>
          <bgColor rgb="FF92D050"/>
        </patternFill>
      </fill>
    </dxf>
    <dxf>
      <font>
        <b val="0"/>
        <i/>
      </font>
      <fill>
        <patternFill>
          <bgColor rgb="FFFFC000"/>
        </patternFill>
      </fill>
    </dxf>
    <dxf>
      <font>
        <b/>
        <i val="0"/>
      </font>
      <fill>
        <patternFill>
          <bgColor theme="0" tint="-0.24994659260841701"/>
        </patternFill>
      </fill>
    </dxf>
    <dxf>
      <font>
        <b/>
        <i val="0"/>
      </font>
      <fill>
        <patternFill>
          <bgColor rgb="FF0070C0"/>
        </patternFill>
      </fill>
    </dxf>
    <dxf>
      <fill>
        <patternFill>
          <bgColor rgb="FF92D050"/>
        </patternFill>
      </fill>
    </dxf>
    <dxf>
      <fill>
        <patternFill>
          <bgColor rgb="FFAEFFA1"/>
        </patternFill>
      </fill>
    </dxf>
    <dxf>
      <fill>
        <patternFill>
          <bgColor rgb="FFAEFFA1"/>
        </patternFill>
      </fill>
    </dxf>
    <dxf>
      <font>
        <b val="0"/>
        <i/>
      </font>
      <fill>
        <patternFill>
          <bgColor rgb="FFFFC000"/>
        </patternFill>
      </fill>
    </dxf>
    <dxf>
      <font>
        <b/>
        <i val="0"/>
      </font>
      <fill>
        <patternFill>
          <bgColor theme="0" tint="-0.24994659260841701"/>
        </patternFill>
      </fill>
    </dxf>
    <dxf>
      <font>
        <b/>
        <i val="0"/>
      </font>
      <fill>
        <patternFill>
          <bgColor rgb="FF0070C0"/>
        </patternFill>
      </fill>
    </dxf>
    <dxf>
      <fill>
        <patternFill>
          <bgColor rgb="FF92D050"/>
        </patternFill>
      </fill>
    </dxf>
    <dxf>
      <font>
        <b val="0"/>
        <i/>
      </font>
      <fill>
        <patternFill>
          <bgColor rgb="FFFFC000"/>
        </patternFill>
      </fill>
    </dxf>
    <dxf>
      <font>
        <b/>
        <i val="0"/>
      </font>
      <fill>
        <patternFill>
          <bgColor theme="0" tint="-0.24994659260841701"/>
        </patternFill>
      </fill>
    </dxf>
    <dxf>
      <font>
        <b/>
        <i val="0"/>
      </font>
      <fill>
        <patternFill>
          <bgColor rgb="FF0070C0"/>
        </patternFill>
      </fill>
    </dxf>
    <dxf>
      <fill>
        <patternFill>
          <bgColor rgb="FF92D050"/>
        </patternFill>
      </fill>
    </dxf>
    <dxf>
      <font>
        <b val="0"/>
        <i/>
      </font>
      <fill>
        <patternFill>
          <bgColor rgb="FFFFC000"/>
        </patternFill>
      </fill>
    </dxf>
    <dxf>
      <font>
        <b/>
        <i val="0"/>
      </font>
      <fill>
        <patternFill>
          <bgColor theme="0" tint="-0.24994659260841701"/>
        </patternFill>
      </fill>
    </dxf>
    <dxf>
      <font>
        <b/>
        <i val="0"/>
      </font>
      <fill>
        <patternFill>
          <bgColor rgb="FF0070C0"/>
        </patternFill>
      </fill>
    </dxf>
    <dxf>
      <fill>
        <patternFill>
          <bgColor rgb="FF92D050"/>
        </patternFill>
      </fill>
    </dxf>
    <dxf>
      <font>
        <b val="0"/>
        <i/>
      </font>
      <fill>
        <patternFill>
          <bgColor rgb="FFFFC000"/>
        </patternFill>
      </fill>
    </dxf>
    <dxf>
      <font>
        <b/>
        <i val="0"/>
      </font>
      <fill>
        <patternFill>
          <bgColor theme="0" tint="-0.24994659260841701"/>
        </patternFill>
      </fill>
    </dxf>
    <dxf>
      <font>
        <b/>
        <i val="0"/>
      </font>
      <fill>
        <patternFill>
          <bgColor rgb="FF0070C0"/>
        </patternFill>
      </fill>
    </dxf>
    <dxf>
      <fill>
        <patternFill>
          <bgColor rgb="FF92D050"/>
        </patternFill>
      </fill>
    </dxf>
    <dxf>
      <font>
        <b val="0"/>
        <i/>
      </font>
      <fill>
        <patternFill>
          <bgColor rgb="FFFFC000"/>
        </patternFill>
      </fill>
    </dxf>
    <dxf>
      <font>
        <b/>
        <i val="0"/>
      </font>
      <fill>
        <patternFill>
          <bgColor theme="0" tint="-0.24994659260841701"/>
        </patternFill>
      </fill>
    </dxf>
    <dxf>
      <font>
        <b/>
        <i val="0"/>
      </font>
      <fill>
        <patternFill>
          <bgColor rgb="FF0070C0"/>
        </patternFill>
      </fill>
    </dxf>
    <dxf>
      <fill>
        <patternFill>
          <bgColor rgb="FF92D050"/>
        </patternFill>
      </fill>
    </dxf>
    <dxf>
      <font>
        <b val="0"/>
        <i/>
      </font>
      <fill>
        <patternFill>
          <bgColor rgb="FFFFC000"/>
        </patternFill>
      </fill>
    </dxf>
    <dxf>
      <font>
        <b/>
        <i val="0"/>
      </font>
      <fill>
        <patternFill>
          <bgColor theme="0" tint="-0.24994659260841701"/>
        </patternFill>
      </fill>
    </dxf>
    <dxf>
      <font>
        <b/>
        <i val="0"/>
      </font>
      <fill>
        <patternFill>
          <bgColor rgb="FF0070C0"/>
        </patternFill>
      </fill>
    </dxf>
    <dxf>
      <fill>
        <patternFill>
          <bgColor rgb="FF92D050"/>
        </patternFill>
      </fill>
    </dxf>
    <dxf>
      <font>
        <b val="0"/>
        <i/>
      </font>
      <fill>
        <patternFill>
          <bgColor rgb="FFFFC000"/>
        </patternFill>
      </fill>
    </dxf>
    <dxf>
      <font>
        <b/>
        <i val="0"/>
      </font>
      <fill>
        <patternFill>
          <bgColor theme="0" tint="-0.24994659260841701"/>
        </patternFill>
      </fill>
    </dxf>
    <dxf>
      <font>
        <b/>
        <i val="0"/>
      </font>
      <fill>
        <patternFill>
          <bgColor rgb="FF0070C0"/>
        </patternFill>
      </fill>
    </dxf>
    <dxf>
      <fill>
        <patternFill>
          <bgColor rgb="FF92D050"/>
        </patternFill>
      </fill>
    </dxf>
    <dxf>
      <font>
        <b val="0"/>
        <i/>
      </font>
      <fill>
        <patternFill>
          <bgColor rgb="FFFFC000"/>
        </patternFill>
      </fill>
    </dxf>
    <dxf>
      <font>
        <b/>
        <i val="0"/>
      </font>
      <fill>
        <patternFill>
          <bgColor theme="0" tint="-0.24994659260841701"/>
        </patternFill>
      </fill>
    </dxf>
    <dxf>
      <font>
        <b/>
        <i val="0"/>
      </font>
      <fill>
        <patternFill>
          <bgColor rgb="FF0070C0"/>
        </patternFill>
      </fill>
    </dxf>
    <dxf>
      <fill>
        <patternFill>
          <bgColor rgb="FF92D050"/>
        </patternFill>
      </fill>
    </dxf>
    <dxf>
      <fill>
        <patternFill>
          <bgColor rgb="FFFF0000"/>
        </patternFill>
      </fill>
    </dxf>
    <dxf>
      <fill>
        <patternFill>
          <bgColor rgb="FFFFFF00"/>
        </patternFill>
      </fill>
      <border>
        <left style="thin">
          <color auto="1"/>
        </left>
        <right style="thin">
          <color auto="1"/>
        </right>
        <top style="thin">
          <color auto="1"/>
        </top>
        <bottom style="thin">
          <color auto="1"/>
        </bottom>
      </border>
    </dxf>
    <dxf>
      <fill>
        <patternFill>
          <bgColor theme="5"/>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theme="5"/>
        </patternFill>
      </fill>
      <border>
        <left style="thin">
          <color auto="1"/>
        </left>
        <right style="thin">
          <color auto="1"/>
        </right>
        <top style="thin">
          <color auto="1"/>
        </top>
        <bottom style="thin">
          <color auto="1"/>
        </bottom>
      </border>
    </dxf>
    <dxf>
      <fill>
        <patternFill>
          <bgColor rgb="FF92D05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33CCFF"/>
        </patternFill>
      </fill>
      <border>
        <left style="thin">
          <color auto="1"/>
        </left>
        <right style="thin">
          <color auto="1"/>
        </right>
        <top style="thin">
          <color auto="1"/>
        </top>
        <bottom style="thin">
          <color auto="1"/>
        </bottom>
      </border>
    </dxf>
    <dxf>
      <fill>
        <patternFill>
          <bgColor rgb="FF33CCFF"/>
        </patternFill>
      </fill>
      <border>
        <left style="thin">
          <color auto="1"/>
        </left>
        <right style="thin">
          <color auto="1"/>
        </right>
        <top style="thin">
          <color auto="1"/>
        </top>
        <bottom style="thin">
          <color auto="1"/>
        </bottom>
      </border>
    </dxf>
    <dxf>
      <fill>
        <patternFill>
          <bgColor rgb="FF33CCFF"/>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00B0F0"/>
        </patternFill>
      </fill>
      <border>
        <left style="thin">
          <color auto="1"/>
        </left>
        <right style="thin">
          <color auto="1"/>
        </right>
        <top style="thin">
          <color auto="1"/>
        </top>
        <bottom style="thin">
          <color auto="1"/>
        </bottom>
      </border>
    </dxf>
    <dxf>
      <fill>
        <patternFill>
          <bgColor rgb="FFFF9900"/>
        </patternFill>
      </fill>
      <border>
        <left style="thin">
          <color auto="1"/>
        </left>
        <right style="thin">
          <color auto="1"/>
        </right>
        <top style="thin">
          <color auto="1"/>
        </top>
        <bottom style="thin">
          <color auto="1"/>
        </bottom>
      </border>
    </dxf>
    <dxf>
      <fill>
        <patternFill>
          <bgColor rgb="FFFF9933"/>
        </patternFill>
      </fill>
      <border>
        <left style="thin">
          <color auto="1"/>
        </left>
        <right style="thin">
          <color auto="1"/>
        </right>
        <top style="thin">
          <color auto="1"/>
        </top>
        <bottom style="thin">
          <color auto="1"/>
        </bottom>
      </border>
    </dxf>
    <dxf>
      <font>
        <color theme="0"/>
      </font>
      <fill>
        <patternFill>
          <bgColor rgb="FF00B0F0"/>
        </patternFill>
      </fill>
      <border>
        <left style="thin">
          <color auto="1"/>
        </left>
        <right style="thin">
          <color auto="1"/>
        </right>
        <top style="thin">
          <color auto="1"/>
        </top>
        <bottom style="thin">
          <color auto="1"/>
        </bottom>
      </border>
    </dxf>
    <dxf>
      <font>
        <b val="0"/>
        <i/>
      </font>
      <fill>
        <patternFill>
          <bgColor rgb="FFFFC000"/>
        </patternFill>
      </fill>
    </dxf>
    <dxf>
      <font>
        <b/>
        <i val="0"/>
      </font>
      <fill>
        <patternFill>
          <bgColor theme="0" tint="-0.24994659260841701"/>
        </patternFill>
      </fill>
    </dxf>
    <dxf>
      <font>
        <b/>
        <i val="0"/>
      </font>
      <fill>
        <patternFill>
          <bgColor rgb="FF0070C0"/>
        </patternFill>
      </fill>
    </dxf>
    <dxf>
      <fill>
        <patternFill>
          <bgColor rgb="FF92D050"/>
        </patternFill>
      </fill>
    </dxf>
    <dxf>
      <fill>
        <patternFill>
          <bgColor rgb="FFFF0000"/>
        </patternFill>
      </fill>
    </dxf>
    <dxf>
      <fill>
        <patternFill>
          <bgColor rgb="FFFFFF00"/>
        </patternFill>
      </fill>
      <border>
        <left style="thin">
          <color auto="1"/>
        </left>
        <right style="thin">
          <color auto="1"/>
        </right>
        <top style="thin">
          <color auto="1"/>
        </top>
        <bottom style="thin">
          <color auto="1"/>
        </bottom>
      </border>
    </dxf>
    <dxf>
      <fill>
        <patternFill>
          <bgColor theme="5"/>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theme="5"/>
        </patternFill>
      </fill>
      <border>
        <left style="thin">
          <color auto="1"/>
        </left>
        <right style="thin">
          <color auto="1"/>
        </right>
        <top style="thin">
          <color auto="1"/>
        </top>
        <bottom style="thin">
          <color auto="1"/>
        </bottom>
      </border>
    </dxf>
    <dxf>
      <fill>
        <patternFill>
          <bgColor rgb="FF92D05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33CCFF"/>
        </patternFill>
      </fill>
      <border>
        <left style="thin">
          <color auto="1"/>
        </left>
        <right style="thin">
          <color auto="1"/>
        </right>
        <top style="thin">
          <color auto="1"/>
        </top>
        <bottom style="thin">
          <color auto="1"/>
        </bottom>
      </border>
    </dxf>
    <dxf>
      <fill>
        <patternFill>
          <bgColor rgb="FF33CCFF"/>
        </patternFill>
      </fill>
      <border>
        <left style="thin">
          <color auto="1"/>
        </left>
        <right style="thin">
          <color auto="1"/>
        </right>
        <top style="thin">
          <color auto="1"/>
        </top>
        <bottom style="thin">
          <color auto="1"/>
        </bottom>
      </border>
    </dxf>
    <dxf>
      <fill>
        <patternFill>
          <bgColor rgb="FF33CCFF"/>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00B0F0"/>
        </patternFill>
      </fill>
      <border>
        <left style="thin">
          <color auto="1"/>
        </left>
        <right style="thin">
          <color auto="1"/>
        </right>
        <top style="thin">
          <color auto="1"/>
        </top>
        <bottom style="thin">
          <color auto="1"/>
        </bottom>
      </border>
    </dxf>
    <dxf>
      <fill>
        <patternFill>
          <bgColor rgb="FFFF9900"/>
        </patternFill>
      </fill>
      <border>
        <left style="thin">
          <color auto="1"/>
        </left>
        <right style="thin">
          <color auto="1"/>
        </right>
        <top style="thin">
          <color auto="1"/>
        </top>
        <bottom style="thin">
          <color auto="1"/>
        </bottom>
      </border>
    </dxf>
    <dxf>
      <fill>
        <patternFill>
          <bgColor rgb="FFFF9933"/>
        </patternFill>
      </fill>
      <border>
        <left style="thin">
          <color auto="1"/>
        </left>
        <right style="thin">
          <color auto="1"/>
        </right>
        <top style="thin">
          <color auto="1"/>
        </top>
        <bottom style="thin">
          <color auto="1"/>
        </bottom>
      </border>
    </dxf>
    <dxf>
      <font>
        <color theme="0"/>
      </font>
      <fill>
        <patternFill>
          <bgColor rgb="FF00B0F0"/>
        </patternFill>
      </fill>
      <border>
        <left style="thin">
          <color auto="1"/>
        </left>
        <right style="thin">
          <color auto="1"/>
        </right>
        <top style="thin">
          <color auto="1"/>
        </top>
        <bottom style="thin">
          <color auto="1"/>
        </bottom>
      </border>
    </dxf>
    <dxf>
      <fill>
        <patternFill>
          <bgColor rgb="FFAEFFA1"/>
        </patternFill>
      </fill>
    </dxf>
    <dxf>
      <font>
        <color auto="1"/>
      </font>
    </dxf>
    <dxf>
      <font>
        <strike val="0"/>
        <color auto="1"/>
      </font>
    </dxf>
    <dxf>
      <font>
        <strike val="0"/>
        <color auto="1"/>
      </font>
    </dxf>
    <dxf>
      <font>
        <strike val="0"/>
        <color auto="1"/>
      </font>
    </dxf>
    <dxf>
      <font>
        <strike val="0"/>
        <color auto="1"/>
      </font>
    </dxf>
    <dxf>
      <font>
        <strike val="0"/>
        <color auto="1"/>
      </font>
    </dxf>
    <dxf>
      <font>
        <strike val="0"/>
        <color auto="1"/>
      </font>
    </dxf>
    <dxf>
      <font>
        <color auto="1"/>
      </font>
    </dxf>
    <dxf>
      <font>
        <b val="0"/>
        <i/>
      </font>
      <fill>
        <patternFill>
          <bgColor rgb="FFFFC000"/>
        </patternFill>
      </fill>
    </dxf>
    <dxf>
      <font>
        <b/>
        <i val="0"/>
      </font>
      <fill>
        <patternFill>
          <bgColor theme="0" tint="-0.24994659260841701"/>
        </patternFill>
      </fill>
    </dxf>
    <dxf>
      <font>
        <b/>
        <i val="0"/>
      </font>
      <fill>
        <patternFill>
          <bgColor rgb="FF0070C0"/>
        </patternFill>
      </fill>
    </dxf>
    <dxf>
      <fill>
        <patternFill>
          <bgColor rgb="FF92D050"/>
        </patternFill>
      </fill>
    </dxf>
    <dxf>
      <font>
        <color theme="0"/>
      </font>
    </dxf>
    <dxf>
      <fill>
        <patternFill>
          <bgColor rgb="FF92D050"/>
        </patternFill>
      </fill>
    </dxf>
    <dxf>
      <font>
        <color theme="0"/>
      </font>
    </dxf>
    <dxf>
      <font>
        <b val="0"/>
        <i/>
      </font>
      <fill>
        <patternFill>
          <bgColor rgb="FFFFC000"/>
        </patternFill>
      </fill>
    </dxf>
    <dxf>
      <font>
        <b/>
        <i val="0"/>
      </font>
      <fill>
        <patternFill>
          <bgColor theme="0" tint="-0.24994659260841701"/>
        </patternFill>
      </fill>
    </dxf>
    <dxf>
      <font>
        <b/>
        <i val="0"/>
      </font>
      <fill>
        <patternFill>
          <bgColor rgb="FF0070C0"/>
        </patternFill>
      </fill>
    </dxf>
    <dxf>
      <fill>
        <patternFill>
          <bgColor rgb="FF92D050"/>
        </patternFill>
      </fill>
    </dxf>
    <dxf>
      <fill>
        <patternFill>
          <bgColor rgb="FFFF0000"/>
        </patternFill>
      </fill>
    </dxf>
    <dxf>
      <fill>
        <patternFill>
          <bgColor rgb="FFFFFF00"/>
        </patternFill>
      </fill>
      <border>
        <left style="thin">
          <color auto="1"/>
        </left>
        <right style="thin">
          <color auto="1"/>
        </right>
        <top style="thin">
          <color auto="1"/>
        </top>
        <bottom style="thin">
          <color auto="1"/>
        </bottom>
      </border>
    </dxf>
    <dxf>
      <fill>
        <patternFill>
          <bgColor theme="5"/>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theme="5"/>
        </patternFill>
      </fill>
      <border>
        <left style="thin">
          <color auto="1"/>
        </left>
        <right style="thin">
          <color auto="1"/>
        </right>
        <top style="thin">
          <color auto="1"/>
        </top>
        <bottom style="thin">
          <color auto="1"/>
        </bottom>
      </border>
    </dxf>
    <dxf>
      <fill>
        <patternFill>
          <bgColor rgb="FF92D05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33CCFF"/>
        </patternFill>
      </fill>
      <border>
        <left style="thin">
          <color auto="1"/>
        </left>
        <right style="thin">
          <color auto="1"/>
        </right>
        <top style="thin">
          <color auto="1"/>
        </top>
        <bottom style="thin">
          <color auto="1"/>
        </bottom>
      </border>
    </dxf>
    <dxf>
      <fill>
        <patternFill>
          <bgColor rgb="FF33CCFF"/>
        </patternFill>
      </fill>
      <border>
        <left style="thin">
          <color auto="1"/>
        </left>
        <right style="thin">
          <color auto="1"/>
        </right>
        <top style="thin">
          <color auto="1"/>
        </top>
        <bottom style="thin">
          <color auto="1"/>
        </bottom>
      </border>
    </dxf>
    <dxf>
      <fill>
        <patternFill>
          <bgColor rgb="FF33CCFF"/>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00B0F0"/>
        </patternFill>
      </fill>
      <border>
        <left style="thin">
          <color auto="1"/>
        </left>
        <right style="thin">
          <color auto="1"/>
        </right>
        <top style="thin">
          <color auto="1"/>
        </top>
        <bottom style="thin">
          <color auto="1"/>
        </bottom>
      </border>
    </dxf>
    <dxf>
      <fill>
        <patternFill>
          <bgColor rgb="FFFF9900"/>
        </patternFill>
      </fill>
      <border>
        <left style="thin">
          <color auto="1"/>
        </left>
        <right style="thin">
          <color auto="1"/>
        </right>
        <top style="thin">
          <color auto="1"/>
        </top>
        <bottom style="thin">
          <color auto="1"/>
        </bottom>
      </border>
    </dxf>
    <dxf>
      <fill>
        <patternFill>
          <bgColor rgb="FFFF9933"/>
        </patternFill>
      </fill>
      <border>
        <left style="thin">
          <color auto="1"/>
        </left>
        <right style="thin">
          <color auto="1"/>
        </right>
        <top style="thin">
          <color auto="1"/>
        </top>
        <bottom style="thin">
          <color auto="1"/>
        </bottom>
      </border>
    </dxf>
    <dxf>
      <font>
        <color theme="0"/>
      </font>
      <fill>
        <patternFill>
          <bgColor rgb="FF00B0F0"/>
        </patternFill>
      </fill>
      <border>
        <left style="thin">
          <color auto="1"/>
        </left>
        <right style="thin">
          <color auto="1"/>
        </right>
        <top style="thin">
          <color auto="1"/>
        </top>
        <bottom style="thin">
          <color auto="1"/>
        </bottom>
      </border>
    </dxf>
    <dxf>
      <fill>
        <patternFill>
          <bgColor rgb="FFFF0000"/>
        </patternFill>
      </fill>
    </dxf>
    <dxf>
      <fill>
        <patternFill>
          <bgColor rgb="FFFFFF00"/>
        </patternFill>
      </fill>
      <border>
        <left style="thin">
          <color auto="1"/>
        </left>
        <right style="thin">
          <color auto="1"/>
        </right>
        <top style="thin">
          <color auto="1"/>
        </top>
        <bottom style="thin">
          <color auto="1"/>
        </bottom>
      </border>
    </dxf>
    <dxf>
      <fill>
        <patternFill>
          <bgColor theme="5"/>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theme="5"/>
        </patternFill>
      </fill>
      <border>
        <left style="thin">
          <color auto="1"/>
        </left>
        <right style="thin">
          <color auto="1"/>
        </right>
        <top style="thin">
          <color auto="1"/>
        </top>
        <bottom style="thin">
          <color auto="1"/>
        </bottom>
      </border>
    </dxf>
    <dxf>
      <fill>
        <patternFill>
          <bgColor rgb="FF92D05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33CCFF"/>
        </patternFill>
      </fill>
      <border>
        <left style="thin">
          <color auto="1"/>
        </left>
        <right style="thin">
          <color auto="1"/>
        </right>
        <top style="thin">
          <color auto="1"/>
        </top>
        <bottom style="thin">
          <color auto="1"/>
        </bottom>
      </border>
    </dxf>
    <dxf>
      <fill>
        <patternFill>
          <bgColor rgb="FF33CCFF"/>
        </patternFill>
      </fill>
      <border>
        <left style="thin">
          <color auto="1"/>
        </left>
        <right style="thin">
          <color auto="1"/>
        </right>
        <top style="thin">
          <color auto="1"/>
        </top>
        <bottom style="thin">
          <color auto="1"/>
        </bottom>
      </border>
    </dxf>
    <dxf>
      <fill>
        <patternFill>
          <bgColor rgb="FF33CCFF"/>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00B0F0"/>
        </patternFill>
      </fill>
      <border>
        <left style="thin">
          <color auto="1"/>
        </left>
        <right style="thin">
          <color auto="1"/>
        </right>
        <top style="thin">
          <color auto="1"/>
        </top>
        <bottom style="thin">
          <color auto="1"/>
        </bottom>
      </border>
    </dxf>
    <dxf>
      <fill>
        <patternFill>
          <bgColor rgb="FFFF9900"/>
        </patternFill>
      </fill>
      <border>
        <left style="thin">
          <color auto="1"/>
        </left>
        <right style="thin">
          <color auto="1"/>
        </right>
        <top style="thin">
          <color auto="1"/>
        </top>
        <bottom style="thin">
          <color auto="1"/>
        </bottom>
      </border>
    </dxf>
    <dxf>
      <fill>
        <patternFill>
          <bgColor rgb="FFFF9933"/>
        </patternFill>
      </fill>
      <border>
        <left style="thin">
          <color auto="1"/>
        </left>
        <right style="thin">
          <color auto="1"/>
        </right>
        <top style="thin">
          <color auto="1"/>
        </top>
        <bottom style="thin">
          <color auto="1"/>
        </bottom>
      </border>
    </dxf>
    <dxf>
      <font>
        <color theme="0"/>
      </font>
      <fill>
        <patternFill>
          <bgColor rgb="FF00B0F0"/>
        </patternFill>
      </fill>
      <border>
        <left style="thin">
          <color auto="1"/>
        </left>
        <right style="thin">
          <color auto="1"/>
        </right>
        <top style="thin">
          <color auto="1"/>
        </top>
        <bottom style="thin">
          <color auto="1"/>
        </bottom>
      </border>
    </dxf>
    <dxf>
      <font>
        <b/>
        <i/>
        <color rgb="FF00B050"/>
      </font>
    </dxf>
    <dxf>
      <font>
        <b/>
        <i/>
        <color rgb="FF00B050"/>
      </font>
    </dxf>
    <dxf>
      <font>
        <strike/>
      </font>
      <fill>
        <patternFill>
          <bgColor rgb="FFFF0000"/>
        </patternFill>
      </fill>
    </dxf>
    <dxf>
      <fill>
        <patternFill patternType="none">
          <bgColor auto="1"/>
        </patternFill>
      </fill>
      <border>
        <left style="thin">
          <color auto="1"/>
        </left>
        <right style="thin">
          <color auto="1"/>
        </right>
        <top style="thin">
          <color auto="1"/>
        </top>
        <bottom style="thin">
          <color auto="1"/>
        </bottom>
      </border>
    </dxf>
    <dxf>
      <font>
        <b/>
        <i/>
        <color rgb="FF00B050"/>
      </font>
    </dxf>
    <dxf>
      <font>
        <b/>
        <i/>
        <color rgb="FF00B050"/>
      </font>
    </dxf>
    <dxf>
      <font>
        <strike/>
      </font>
      <fill>
        <patternFill>
          <bgColor rgb="FFFF0000"/>
        </patternFill>
      </fill>
    </dxf>
    <dxf>
      <fill>
        <patternFill patternType="none">
          <bgColor auto="1"/>
        </patternFill>
      </fill>
      <border>
        <left style="thin">
          <color auto="1"/>
        </left>
        <right style="thin">
          <color auto="1"/>
        </right>
        <top style="thin">
          <color auto="1"/>
        </top>
        <bottom style="thin">
          <color auto="1"/>
        </bottom>
      </border>
    </dxf>
    <dxf>
      <font>
        <b/>
        <i/>
        <color rgb="FF00B050"/>
      </font>
    </dxf>
    <dxf>
      <font>
        <b/>
        <i/>
        <color rgb="FF00B050"/>
      </font>
    </dxf>
    <dxf>
      <font>
        <strike/>
      </font>
      <fill>
        <patternFill>
          <bgColor rgb="FFFF0000"/>
        </patternFill>
      </fill>
    </dxf>
    <dxf>
      <fill>
        <patternFill patternType="none">
          <bgColor auto="1"/>
        </patternFill>
      </fill>
      <border>
        <left style="thin">
          <color auto="1"/>
        </left>
        <right style="thin">
          <color auto="1"/>
        </right>
        <top style="thin">
          <color auto="1"/>
        </top>
        <bottom style="thin">
          <color auto="1"/>
        </bottom>
      </border>
    </dxf>
    <dxf>
      <font>
        <b/>
        <i/>
        <color rgb="FF00B050"/>
      </font>
    </dxf>
    <dxf>
      <font>
        <b/>
        <i/>
        <color rgb="FF00B050"/>
      </font>
    </dxf>
    <dxf>
      <font>
        <strike/>
      </font>
      <fill>
        <patternFill>
          <bgColor rgb="FFFF0000"/>
        </patternFill>
      </fill>
    </dxf>
    <dxf>
      <fill>
        <patternFill patternType="none">
          <bgColor auto="1"/>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theme="5"/>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theme="5"/>
        </patternFill>
      </fill>
      <border>
        <left style="thin">
          <color auto="1"/>
        </left>
        <right style="thin">
          <color auto="1"/>
        </right>
        <top style="thin">
          <color auto="1"/>
        </top>
        <bottom style="thin">
          <color auto="1"/>
        </bottom>
      </border>
    </dxf>
    <dxf>
      <fill>
        <patternFill>
          <bgColor rgb="FF92D05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33CCFF"/>
        </patternFill>
      </fill>
      <border>
        <left style="thin">
          <color auto="1"/>
        </left>
        <right style="thin">
          <color auto="1"/>
        </right>
        <top style="thin">
          <color auto="1"/>
        </top>
        <bottom style="thin">
          <color auto="1"/>
        </bottom>
      </border>
    </dxf>
    <dxf>
      <fill>
        <patternFill>
          <bgColor rgb="FF33CCFF"/>
        </patternFill>
      </fill>
      <border>
        <left style="thin">
          <color auto="1"/>
        </left>
        <right style="thin">
          <color auto="1"/>
        </right>
        <top style="thin">
          <color auto="1"/>
        </top>
        <bottom style="thin">
          <color auto="1"/>
        </bottom>
      </border>
    </dxf>
    <dxf>
      <fill>
        <patternFill>
          <bgColor rgb="FF33CCFF"/>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00B0F0"/>
        </patternFill>
      </fill>
      <border>
        <left style="thin">
          <color auto="1"/>
        </left>
        <right style="thin">
          <color auto="1"/>
        </right>
        <top style="thin">
          <color auto="1"/>
        </top>
        <bottom style="thin">
          <color auto="1"/>
        </bottom>
      </border>
    </dxf>
    <dxf>
      <fill>
        <patternFill>
          <bgColor rgb="FFFF9900"/>
        </patternFill>
      </fill>
      <border>
        <left style="thin">
          <color auto="1"/>
        </left>
        <right style="thin">
          <color auto="1"/>
        </right>
        <top style="thin">
          <color auto="1"/>
        </top>
        <bottom style="thin">
          <color auto="1"/>
        </bottom>
      </border>
    </dxf>
    <dxf>
      <fill>
        <patternFill>
          <bgColor rgb="FFFF9933"/>
        </patternFill>
      </fill>
      <border>
        <left style="thin">
          <color auto="1"/>
        </left>
        <right style="thin">
          <color auto="1"/>
        </right>
        <top style="thin">
          <color auto="1"/>
        </top>
        <bottom style="thin">
          <color auto="1"/>
        </bottom>
      </border>
    </dxf>
    <dxf>
      <font>
        <color theme="0"/>
      </font>
      <fill>
        <patternFill>
          <bgColor rgb="FF00B0F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rgb="FFFFFF00"/>
        </patternFill>
      </fill>
      <border>
        <left style="thin">
          <color auto="1"/>
        </left>
        <right style="thin">
          <color auto="1"/>
        </right>
        <top style="thin">
          <color auto="1"/>
        </top>
        <bottom style="thin">
          <color auto="1"/>
        </bottom>
      </border>
    </dxf>
    <dxf>
      <fill>
        <patternFill>
          <bgColor theme="5"/>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theme="5"/>
        </patternFill>
      </fill>
      <border>
        <left style="thin">
          <color auto="1"/>
        </left>
        <right style="thin">
          <color auto="1"/>
        </right>
        <top style="thin">
          <color auto="1"/>
        </top>
        <bottom style="thin">
          <color auto="1"/>
        </bottom>
      </border>
    </dxf>
    <dxf>
      <fill>
        <patternFill>
          <bgColor rgb="FF92D05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33CCFF"/>
        </patternFill>
      </fill>
      <border>
        <left style="thin">
          <color auto="1"/>
        </left>
        <right style="thin">
          <color auto="1"/>
        </right>
        <top style="thin">
          <color auto="1"/>
        </top>
        <bottom style="thin">
          <color auto="1"/>
        </bottom>
      </border>
    </dxf>
    <dxf>
      <fill>
        <patternFill>
          <bgColor rgb="FF33CCFF"/>
        </patternFill>
      </fill>
      <border>
        <left style="thin">
          <color auto="1"/>
        </left>
        <right style="thin">
          <color auto="1"/>
        </right>
        <top style="thin">
          <color auto="1"/>
        </top>
        <bottom style="thin">
          <color auto="1"/>
        </bottom>
      </border>
    </dxf>
    <dxf>
      <fill>
        <patternFill>
          <bgColor rgb="FF33CCFF"/>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00B0F0"/>
        </patternFill>
      </fill>
      <border>
        <left style="thin">
          <color auto="1"/>
        </left>
        <right style="thin">
          <color auto="1"/>
        </right>
        <top style="thin">
          <color auto="1"/>
        </top>
        <bottom style="thin">
          <color auto="1"/>
        </bottom>
      </border>
    </dxf>
    <dxf>
      <fill>
        <patternFill>
          <bgColor rgb="FFFF9900"/>
        </patternFill>
      </fill>
      <border>
        <left style="thin">
          <color auto="1"/>
        </left>
        <right style="thin">
          <color auto="1"/>
        </right>
        <top style="thin">
          <color auto="1"/>
        </top>
        <bottom style="thin">
          <color auto="1"/>
        </bottom>
      </border>
    </dxf>
    <dxf>
      <fill>
        <patternFill>
          <bgColor rgb="FFFF9933"/>
        </patternFill>
      </fill>
      <border>
        <left style="thin">
          <color auto="1"/>
        </left>
        <right style="thin">
          <color auto="1"/>
        </right>
        <top style="thin">
          <color auto="1"/>
        </top>
        <bottom style="thin">
          <color auto="1"/>
        </bottom>
      </border>
    </dxf>
    <dxf>
      <font>
        <color theme="0"/>
      </font>
      <fill>
        <patternFill>
          <bgColor rgb="FF00B0F0"/>
        </patternFill>
      </fill>
      <border>
        <left style="thin">
          <color auto="1"/>
        </left>
        <right style="thin">
          <color auto="1"/>
        </right>
        <top style="thin">
          <color auto="1"/>
        </top>
        <bottom style="thin">
          <color auto="1"/>
        </bottom>
      </border>
    </dxf>
    <dxf>
      <fill>
        <patternFill>
          <bgColor rgb="FFFF0000"/>
        </patternFill>
      </fill>
    </dxf>
    <dxf>
      <fill>
        <patternFill>
          <bgColor rgb="FFFFFF00"/>
        </patternFill>
      </fill>
      <border>
        <left style="thin">
          <color auto="1"/>
        </left>
        <right style="thin">
          <color auto="1"/>
        </right>
        <top style="thin">
          <color auto="1"/>
        </top>
        <bottom style="thin">
          <color auto="1"/>
        </bottom>
      </border>
    </dxf>
    <dxf>
      <fill>
        <patternFill>
          <bgColor theme="5"/>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theme="5"/>
        </patternFill>
      </fill>
      <border>
        <left style="thin">
          <color auto="1"/>
        </left>
        <right style="thin">
          <color auto="1"/>
        </right>
        <top style="thin">
          <color auto="1"/>
        </top>
        <bottom style="thin">
          <color auto="1"/>
        </bottom>
      </border>
    </dxf>
    <dxf>
      <fill>
        <patternFill>
          <bgColor rgb="FF92D05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33CCFF"/>
        </patternFill>
      </fill>
      <border>
        <left style="thin">
          <color auto="1"/>
        </left>
        <right style="thin">
          <color auto="1"/>
        </right>
        <top style="thin">
          <color auto="1"/>
        </top>
        <bottom style="thin">
          <color auto="1"/>
        </bottom>
      </border>
    </dxf>
    <dxf>
      <fill>
        <patternFill>
          <bgColor rgb="FF33CCFF"/>
        </patternFill>
      </fill>
      <border>
        <left style="thin">
          <color auto="1"/>
        </left>
        <right style="thin">
          <color auto="1"/>
        </right>
        <top style="thin">
          <color auto="1"/>
        </top>
        <bottom style="thin">
          <color auto="1"/>
        </bottom>
      </border>
    </dxf>
    <dxf>
      <fill>
        <patternFill>
          <bgColor rgb="FF33CCFF"/>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00B0F0"/>
        </patternFill>
      </fill>
      <border>
        <left style="thin">
          <color auto="1"/>
        </left>
        <right style="thin">
          <color auto="1"/>
        </right>
        <top style="thin">
          <color auto="1"/>
        </top>
        <bottom style="thin">
          <color auto="1"/>
        </bottom>
      </border>
    </dxf>
    <dxf>
      <fill>
        <patternFill>
          <bgColor rgb="FFFF9900"/>
        </patternFill>
      </fill>
      <border>
        <left style="thin">
          <color auto="1"/>
        </left>
        <right style="thin">
          <color auto="1"/>
        </right>
        <top style="thin">
          <color auto="1"/>
        </top>
        <bottom style="thin">
          <color auto="1"/>
        </bottom>
      </border>
    </dxf>
    <dxf>
      <fill>
        <patternFill>
          <bgColor rgb="FFFF9933"/>
        </patternFill>
      </fill>
      <border>
        <left style="thin">
          <color auto="1"/>
        </left>
        <right style="thin">
          <color auto="1"/>
        </right>
        <top style="thin">
          <color auto="1"/>
        </top>
        <bottom style="thin">
          <color auto="1"/>
        </bottom>
      </border>
    </dxf>
    <dxf>
      <font>
        <color theme="0"/>
      </font>
      <fill>
        <patternFill>
          <bgColor rgb="FF00B0F0"/>
        </patternFill>
      </fill>
      <border>
        <left style="thin">
          <color auto="1"/>
        </left>
        <right style="thin">
          <color auto="1"/>
        </right>
        <top style="thin">
          <color auto="1"/>
        </top>
        <bottom style="thin">
          <color auto="1"/>
        </bottom>
      </border>
    </dxf>
    <dxf>
      <fill>
        <patternFill>
          <bgColor rgb="FFFF0000"/>
        </patternFill>
      </fill>
    </dxf>
    <dxf>
      <fill>
        <patternFill>
          <bgColor theme="5" tint="0.79998168889431442"/>
        </patternFill>
      </fill>
    </dxf>
    <dxf>
      <fill>
        <patternFill>
          <bgColor theme="3" tint="0.79998168889431442"/>
        </patternFill>
      </fill>
    </dxf>
    <dxf>
      <fill>
        <patternFill>
          <bgColor theme="7" tint="0.79998168889431442"/>
        </patternFill>
      </fill>
    </dxf>
    <dxf>
      <fill>
        <patternFill>
          <bgColor theme="8" tint="0.59996337778862885"/>
        </patternFill>
      </fill>
    </dxf>
    <dxf>
      <fill>
        <patternFill>
          <bgColor theme="9" tint="0.59996337778862885"/>
        </patternFill>
      </fill>
    </dxf>
    <dxf>
      <font>
        <strike/>
      </font>
      <fill>
        <patternFill patternType="darkHorizontal">
          <fgColor auto="1"/>
          <bgColor rgb="FFFF0000"/>
        </patternFill>
      </fill>
    </dxf>
    <dxf>
      <fill>
        <patternFill>
          <bgColor rgb="FFFF0000"/>
        </patternFill>
      </fill>
    </dxf>
    <dxf>
      <fill>
        <patternFill>
          <bgColor rgb="FFFF0000"/>
        </patternFill>
      </fill>
    </dxf>
    <dxf>
      <fill>
        <patternFill>
          <bgColor rgb="FFFFFF00"/>
        </patternFill>
      </fill>
      <border>
        <left style="thin">
          <color auto="1"/>
        </left>
        <right style="thin">
          <color auto="1"/>
        </right>
        <top style="thin">
          <color auto="1"/>
        </top>
        <bottom style="thin">
          <color auto="1"/>
        </bottom>
      </border>
    </dxf>
    <dxf>
      <fill>
        <patternFill>
          <bgColor theme="5"/>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theme="5"/>
        </patternFill>
      </fill>
      <border>
        <left style="thin">
          <color auto="1"/>
        </left>
        <right style="thin">
          <color auto="1"/>
        </right>
        <top style="thin">
          <color auto="1"/>
        </top>
        <bottom style="thin">
          <color auto="1"/>
        </bottom>
      </border>
    </dxf>
    <dxf>
      <fill>
        <patternFill>
          <bgColor rgb="FF92D05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33CCFF"/>
        </patternFill>
      </fill>
      <border>
        <left style="thin">
          <color auto="1"/>
        </left>
        <right style="thin">
          <color auto="1"/>
        </right>
        <top style="thin">
          <color auto="1"/>
        </top>
        <bottom style="thin">
          <color auto="1"/>
        </bottom>
      </border>
    </dxf>
    <dxf>
      <fill>
        <patternFill>
          <bgColor rgb="FF33CCFF"/>
        </patternFill>
      </fill>
      <border>
        <left style="thin">
          <color auto="1"/>
        </left>
        <right style="thin">
          <color auto="1"/>
        </right>
        <top style="thin">
          <color auto="1"/>
        </top>
        <bottom style="thin">
          <color auto="1"/>
        </bottom>
      </border>
    </dxf>
    <dxf>
      <fill>
        <patternFill>
          <bgColor rgb="FF33CCFF"/>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00B0F0"/>
        </patternFill>
      </fill>
      <border>
        <left style="thin">
          <color auto="1"/>
        </left>
        <right style="thin">
          <color auto="1"/>
        </right>
        <top style="thin">
          <color auto="1"/>
        </top>
        <bottom style="thin">
          <color auto="1"/>
        </bottom>
      </border>
    </dxf>
    <dxf>
      <fill>
        <patternFill>
          <bgColor rgb="FFFF9900"/>
        </patternFill>
      </fill>
      <border>
        <left style="thin">
          <color auto="1"/>
        </left>
        <right style="thin">
          <color auto="1"/>
        </right>
        <top style="thin">
          <color auto="1"/>
        </top>
        <bottom style="thin">
          <color auto="1"/>
        </bottom>
      </border>
    </dxf>
    <dxf>
      <fill>
        <patternFill>
          <bgColor rgb="FFFF9933"/>
        </patternFill>
      </fill>
      <border>
        <left style="thin">
          <color auto="1"/>
        </left>
        <right style="thin">
          <color auto="1"/>
        </right>
        <top style="thin">
          <color auto="1"/>
        </top>
        <bottom style="thin">
          <color auto="1"/>
        </bottom>
      </border>
    </dxf>
    <dxf>
      <font>
        <color theme="0"/>
      </font>
      <fill>
        <patternFill>
          <bgColor rgb="FF00B0F0"/>
        </patternFill>
      </fill>
      <border>
        <left style="thin">
          <color auto="1"/>
        </left>
        <right style="thin">
          <color auto="1"/>
        </right>
        <top style="thin">
          <color auto="1"/>
        </top>
        <bottom style="thin">
          <color auto="1"/>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99FF99"/>
      <rgbColor rgb="000000FF"/>
      <rgbColor rgb="00FFFF00"/>
      <rgbColor rgb="00DE3018"/>
      <rgbColor rgb="0053D4C9"/>
      <rgbColor rgb="006B0C00"/>
      <rgbColor rgb="00006500"/>
      <rgbColor rgb="00182C63"/>
      <rgbColor rgb="00819C00"/>
      <rgbColor rgb="00C9B783"/>
      <rgbColor rgb="00007F74"/>
      <rgbColor rgb="00EAEAEA"/>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6699FF"/>
      <rgbColor rgb="00CCECFF"/>
      <rgbColor rgb="00D6F4D9"/>
      <rgbColor rgb="00FFFFCC"/>
      <rgbColor rgb="0099CCFF"/>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FFCCCC"/>
      <color rgb="FFFF9933"/>
      <color rgb="FFAEFFA1"/>
      <color rgb="FF00FF00"/>
      <color rgb="FFFF9900"/>
      <color rgb="FF33CCFF"/>
      <color rgb="FF91D0FF"/>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9" Type="http://schemas.openxmlformats.org/officeDocument/2006/relationships/customXml" Target="../customXml/item13.xml"/><Relationship Id="rId21" Type="http://schemas.openxmlformats.org/officeDocument/2006/relationships/theme" Target="theme/theme1.xml"/><Relationship Id="rId34" Type="http://schemas.openxmlformats.org/officeDocument/2006/relationships/customXml" Target="../customXml/item8.xml"/><Relationship Id="rId42" Type="http://schemas.openxmlformats.org/officeDocument/2006/relationships/customXml" Target="../customXml/item1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29" Type="http://schemas.openxmlformats.org/officeDocument/2006/relationships/customXml" Target="../customXml/item3.xml"/><Relationship Id="rId41" Type="http://schemas.openxmlformats.org/officeDocument/2006/relationships/customXml" Target="../customXml/item1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32" Type="http://schemas.openxmlformats.org/officeDocument/2006/relationships/customXml" Target="../customXml/item6.xml"/><Relationship Id="rId37" Type="http://schemas.openxmlformats.org/officeDocument/2006/relationships/customXml" Target="../customXml/item11.xml"/><Relationship Id="rId40" Type="http://schemas.openxmlformats.org/officeDocument/2006/relationships/customXml" Target="../customXml/item1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2.xml"/><Relationship Id="rId36" Type="http://schemas.openxmlformats.org/officeDocument/2006/relationships/customXml" Target="../customXml/item10.xml"/><Relationship Id="rId10" Type="http://schemas.openxmlformats.org/officeDocument/2006/relationships/worksheet" Target="worksheets/sheet10.xml"/><Relationship Id="rId19" Type="http://schemas.openxmlformats.org/officeDocument/2006/relationships/externalLink" Target="externalLinks/externalLink1.xml"/><Relationship Id="rId31" Type="http://schemas.openxmlformats.org/officeDocument/2006/relationships/customXml" Target="../customXml/item5.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openxmlformats.org/officeDocument/2006/relationships/customXml" Target="../customXml/item1.xml"/><Relationship Id="rId30" Type="http://schemas.openxmlformats.org/officeDocument/2006/relationships/customXml" Target="../customXml/item4.xml"/><Relationship Id="rId35" Type="http://schemas.openxmlformats.org/officeDocument/2006/relationships/customXml" Target="../customXml/item9.xml"/><Relationship Id="rId43" Type="http://schemas.openxmlformats.org/officeDocument/2006/relationships/customXml" Target="../customXml/item1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owerPivotData" Target="model/item.data"/><Relationship Id="rId33" Type="http://schemas.openxmlformats.org/officeDocument/2006/relationships/customXml" Target="../customXml/item7.xml"/><Relationship Id="rId38" Type="http://schemas.openxmlformats.org/officeDocument/2006/relationships/customXml" Target="../customXml/item1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xdr:colOff>
          <xdr:row>6</xdr:row>
          <xdr:rowOff>133350</xdr:rowOff>
        </xdr:from>
        <xdr:to>
          <xdr:col>7</xdr:col>
          <xdr:colOff>1028700</xdr:colOff>
          <xdr:row>9</xdr:row>
          <xdr:rowOff>142875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5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&amp; CONVERT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opy%20of%20PRODUCTION%20REPORT%20early%20morning%202%204%2016.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PRODUCTION%20REPORT%20reformatt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LANK SCHED"/>
      <sheetName val="Prod. SCHED"/>
      <sheetName val="CURRENT WIP"/>
      <sheetName val="WIP REPORT"/>
      <sheetName val="MOVEMENT"/>
      <sheetName val="EFFICIENCY"/>
      <sheetName val="Sheet1"/>
      <sheetName val="Sheet2"/>
      <sheetName val="DAILY SUMMARIES"/>
      <sheetName val="Help"/>
      <sheetName val="TermsOfUse"/>
    </sheetNames>
    <sheetDataSet>
      <sheetData sheetId="0"/>
      <sheetData sheetId="1">
        <row r="2">
          <cell r="B2" t="str">
            <v>155-0929B</v>
          </cell>
          <cell r="C2" t="str">
            <v>Harris Teeter</v>
          </cell>
          <cell r="D2" t="str">
            <v>HT-404</v>
          </cell>
          <cell r="E2" t="str">
            <v>Bethesda, MD</v>
          </cell>
          <cell r="F2">
            <v>42401</v>
          </cell>
          <cell r="G2">
            <v>42409</v>
          </cell>
          <cell r="I2">
            <v>42410</v>
          </cell>
          <cell r="J2" t="str">
            <v>RC</v>
          </cell>
          <cell r="L2">
            <v>2561</v>
          </cell>
          <cell r="M2">
            <v>0</v>
          </cell>
          <cell r="N2">
            <v>1</v>
          </cell>
          <cell r="O2">
            <v>18787.27</v>
          </cell>
          <cell r="P2" t="str">
            <v>GA</v>
          </cell>
          <cell r="Q2" t="str">
            <v>4PD</v>
          </cell>
          <cell r="R2">
            <v>23820.244500000001</v>
          </cell>
          <cell r="S2" t="b">
            <v>1</v>
          </cell>
          <cell r="T2" t="str">
            <v>Yes</v>
          </cell>
          <cell r="V2" t="str">
            <v>A</v>
          </cell>
        </row>
        <row r="3">
          <cell r="B3" t="str">
            <v>155-1153A</v>
          </cell>
          <cell r="C3" t="str">
            <v>Publix Super Markets Inc.</v>
          </cell>
          <cell r="D3" t="str">
            <v>Publix # 1304 - Remodel</v>
          </cell>
          <cell r="E3" t="str">
            <v>Lake Mary FL</v>
          </cell>
          <cell r="F3">
            <v>42408</v>
          </cell>
          <cell r="G3">
            <v>42411</v>
          </cell>
          <cell r="I3">
            <v>42412</v>
          </cell>
          <cell r="J3" t="str">
            <v>SS</v>
          </cell>
          <cell r="L3">
            <v>1194</v>
          </cell>
          <cell r="M3">
            <v>0</v>
          </cell>
          <cell r="N3">
            <v>2</v>
          </cell>
          <cell r="O3">
            <v>11042.53</v>
          </cell>
          <cell r="P3" t="str">
            <v>GA</v>
          </cell>
          <cell r="Q3" t="str">
            <v>4PD</v>
          </cell>
          <cell r="R3">
            <v>13381.978300000001</v>
          </cell>
          <cell r="S3" t="b">
            <v>1</v>
          </cell>
          <cell r="T3" t="str">
            <v>Yes</v>
          </cell>
          <cell r="V3" t="str">
            <v>A</v>
          </cell>
        </row>
        <row r="4">
          <cell r="B4" t="str">
            <v>167-0168</v>
          </cell>
          <cell r="C4" t="str">
            <v>Wal-Mart Store Planning</v>
          </cell>
          <cell r="D4" t="str">
            <v>Walmart 2110-SC-REM</v>
          </cell>
          <cell r="E4" t="str">
            <v>Paramount, CA</v>
          </cell>
          <cell r="F4">
            <v>42408</v>
          </cell>
          <cell r="G4">
            <v>42411</v>
          </cell>
          <cell r="I4">
            <v>42412</v>
          </cell>
          <cell r="J4" t="str">
            <v>PQ</v>
          </cell>
          <cell r="L4">
            <v>79</v>
          </cell>
          <cell r="M4">
            <v>0</v>
          </cell>
          <cell r="N4">
            <v>1</v>
          </cell>
          <cell r="O4">
            <v>2582.04</v>
          </cell>
          <cell r="P4" t="str">
            <v>GA</v>
          </cell>
          <cell r="Q4" t="str">
            <v>4PD</v>
          </cell>
          <cell r="R4">
            <v>10565.609899999999</v>
          </cell>
          <cell r="S4" t="b">
            <v>0</v>
          </cell>
          <cell r="T4" t="str">
            <v>No</v>
          </cell>
          <cell r="V4" t="str">
            <v>A</v>
          </cell>
        </row>
        <row r="5">
          <cell r="B5" t="str">
            <v>167-0121</v>
          </cell>
          <cell r="C5" t="str">
            <v>Wal-Mart Store Planning</v>
          </cell>
          <cell r="D5" t="str">
            <v>Walmart Layout Center (Vista B &amp; C)</v>
          </cell>
          <cell r="E5" t="str">
            <v>Bentonville, AR</v>
          </cell>
          <cell r="F5">
            <v>42408</v>
          </cell>
          <cell r="G5">
            <v>42411</v>
          </cell>
          <cell r="H5">
            <v>28</v>
          </cell>
          <cell r="I5">
            <v>42412</v>
          </cell>
          <cell r="J5" t="str">
            <v>PF</v>
          </cell>
          <cell r="K5" t="str">
            <v>CC</v>
          </cell>
          <cell r="L5">
            <v>278</v>
          </cell>
          <cell r="M5">
            <v>10</v>
          </cell>
          <cell r="N5">
            <v>0</v>
          </cell>
          <cell r="O5">
            <v>1946.56</v>
          </cell>
          <cell r="P5" t="str">
            <v>GA</v>
          </cell>
          <cell r="Q5" t="str">
            <v>4PD</v>
          </cell>
          <cell r="R5">
            <v>24418.3485</v>
          </cell>
          <cell r="S5" t="b">
            <v>1</v>
          </cell>
          <cell r="T5" t="str">
            <v>Yes</v>
          </cell>
        </row>
        <row r="6">
          <cell r="B6" t="str">
            <v>155-1147</v>
          </cell>
          <cell r="C6" t="str">
            <v>Publix Super Markets Inc.</v>
          </cell>
          <cell r="D6" t="str">
            <v>Publix#1043, Kings Market</v>
          </cell>
          <cell r="E6" t="str">
            <v>Roswell, GA</v>
          </cell>
          <cell r="F6">
            <v>42408</v>
          </cell>
          <cell r="G6">
            <v>42411</v>
          </cell>
          <cell r="I6">
            <v>42412</v>
          </cell>
          <cell r="J6" t="str">
            <v>PC</v>
          </cell>
          <cell r="L6">
            <v>0</v>
          </cell>
          <cell r="M6">
            <v>0</v>
          </cell>
          <cell r="N6">
            <v>1</v>
          </cell>
          <cell r="O6">
            <v>1610.1</v>
          </cell>
          <cell r="P6" t="str">
            <v>GA</v>
          </cell>
          <cell r="Q6" t="str">
            <v>4PD</v>
          </cell>
          <cell r="R6">
            <v>1856.06</v>
          </cell>
          <cell r="S6" t="b">
            <v>1</v>
          </cell>
          <cell r="T6" t="str">
            <v>Yes</v>
          </cell>
          <cell r="V6" t="str">
            <v>A</v>
          </cell>
        </row>
        <row r="7">
          <cell r="B7" t="str">
            <v>155-1133C</v>
          </cell>
          <cell r="C7" t="str">
            <v>Publix Super Markets Inc.</v>
          </cell>
          <cell r="D7" t="str">
            <v>Publix #1097</v>
          </cell>
          <cell r="E7" t="str">
            <v>Fort Lauderdale, FL</v>
          </cell>
          <cell r="F7">
            <v>42408</v>
          </cell>
          <cell r="G7">
            <v>42411</v>
          </cell>
          <cell r="I7">
            <v>42412</v>
          </cell>
          <cell r="J7" t="str">
            <v>SW</v>
          </cell>
          <cell r="L7">
            <v>0</v>
          </cell>
          <cell r="M7">
            <v>0</v>
          </cell>
          <cell r="N7">
            <v>0</v>
          </cell>
          <cell r="O7">
            <v>8407</v>
          </cell>
          <cell r="P7" t="str">
            <v>GA</v>
          </cell>
          <cell r="Q7" t="str">
            <v>4PD</v>
          </cell>
          <cell r="R7">
            <v>18044.900000000001</v>
          </cell>
          <cell r="S7" t="b">
            <v>1</v>
          </cell>
          <cell r="T7" t="str">
            <v>Yes</v>
          </cell>
          <cell r="V7" t="str">
            <v>A</v>
          </cell>
        </row>
        <row r="8">
          <cell r="B8" t="str">
            <v>165-0120</v>
          </cell>
          <cell r="C8" t="str">
            <v>Market Refrigeration Inc.</v>
          </cell>
          <cell r="D8" t="str">
            <v>Market Ref/PX 24</v>
          </cell>
          <cell r="E8" t="str">
            <v>Florida</v>
          </cell>
          <cell r="F8">
            <v>42408</v>
          </cell>
          <cell r="G8">
            <v>42412</v>
          </cell>
          <cell r="I8">
            <v>42415</v>
          </cell>
          <cell r="J8" t="str">
            <v>.</v>
          </cell>
          <cell r="L8">
            <v>0</v>
          </cell>
          <cell r="M8">
            <v>0</v>
          </cell>
          <cell r="N8">
            <v>1</v>
          </cell>
          <cell r="O8">
            <v>1732.5</v>
          </cell>
          <cell r="P8" t="str">
            <v>GA</v>
          </cell>
          <cell r="Q8" t="str">
            <v>4PD</v>
          </cell>
          <cell r="R8">
            <v>1794.6</v>
          </cell>
          <cell r="S8" t="b">
            <v>0</v>
          </cell>
          <cell r="T8" t="str">
            <v>No</v>
          </cell>
        </row>
        <row r="9">
          <cell r="B9" t="str">
            <v>157-1994</v>
          </cell>
          <cell r="C9" t="str">
            <v>Wal-Mart Store Planning</v>
          </cell>
          <cell r="D9" t="str">
            <v>Walmart 1081-06-SC-NEW-182</v>
          </cell>
          <cell r="E9" t="str">
            <v>Gainesville, FL</v>
          </cell>
          <cell r="F9">
            <v>42408</v>
          </cell>
          <cell r="G9">
            <v>42415</v>
          </cell>
          <cell r="I9">
            <v>42416</v>
          </cell>
          <cell r="J9" t="str">
            <v>PC2</v>
          </cell>
          <cell r="K9" t="str">
            <v>wip</v>
          </cell>
          <cell r="L9">
            <v>13154</v>
          </cell>
          <cell r="M9">
            <v>0</v>
          </cell>
          <cell r="N9">
            <v>6</v>
          </cell>
          <cell r="O9">
            <v>85940.22</v>
          </cell>
          <cell r="P9" t="str">
            <v>GA</v>
          </cell>
          <cell r="Q9" t="str">
            <v>4PD</v>
          </cell>
          <cell r="R9">
            <v>136867.6568</v>
          </cell>
          <cell r="S9" t="b">
            <v>1</v>
          </cell>
          <cell r="T9" t="str">
            <v>Yes</v>
          </cell>
          <cell r="V9" t="str">
            <v>a</v>
          </cell>
        </row>
        <row r="10">
          <cell r="B10" t="str">
            <v>167-0155</v>
          </cell>
          <cell r="C10" t="str">
            <v>KPS, LLC Nashville #026</v>
          </cell>
          <cell r="D10" t="str">
            <v>U-503</v>
          </cell>
          <cell r="E10" t="str">
            <v>Decherd TX</v>
          </cell>
          <cell r="F10">
            <v>42408</v>
          </cell>
          <cell r="G10">
            <v>42415</v>
          </cell>
          <cell r="I10">
            <v>42416</v>
          </cell>
          <cell r="J10" t="str">
            <v>AP</v>
          </cell>
          <cell r="L10">
            <v>326</v>
          </cell>
          <cell r="M10">
            <v>0</v>
          </cell>
          <cell r="N10">
            <v>0</v>
          </cell>
          <cell r="O10">
            <v>4075.59</v>
          </cell>
          <cell r="P10" t="str">
            <v>GA</v>
          </cell>
          <cell r="Q10" t="str">
            <v>4PD</v>
          </cell>
          <cell r="R10">
            <v>4075.59</v>
          </cell>
          <cell r="S10" t="b">
            <v>0</v>
          </cell>
          <cell r="T10" t="str">
            <v>No</v>
          </cell>
          <cell r="U10" t="str">
            <v>FBed</v>
          </cell>
        </row>
        <row r="11">
          <cell r="B11" t="str">
            <v>155-0991D</v>
          </cell>
          <cell r="C11" t="str">
            <v>Publix Super Markets Inc.</v>
          </cell>
          <cell r="D11" t="str">
            <v>Publix 1342 - Manatee, FL</v>
          </cell>
          <cell r="E11" t="str">
            <v>Manatee, FL</v>
          </cell>
          <cell r="F11">
            <v>42408</v>
          </cell>
          <cell r="G11">
            <v>42415</v>
          </cell>
          <cell r="I11">
            <v>42416</v>
          </cell>
          <cell r="J11" t="str">
            <v>SS</v>
          </cell>
          <cell r="L11">
            <v>1010</v>
          </cell>
          <cell r="M11">
            <v>0</v>
          </cell>
          <cell r="N11">
            <v>2</v>
          </cell>
          <cell r="O11">
            <v>8438.4699999999993</v>
          </cell>
          <cell r="P11" t="str">
            <v>GA</v>
          </cell>
          <cell r="Q11" t="str">
            <v>4PD</v>
          </cell>
          <cell r="R11">
            <v>8930.3894</v>
          </cell>
          <cell r="S11" t="b">
            <v>1</v>
          </cell>
          <cell r="T11" t="str">
            <v>Yes</v>
          </cell>
          <cell r="V11" t="str">
            <v>A</v>
          </cell>
        </row>
        <row r="12">
          <cell r="B12" t="str">
            <v>157-2149C</v>
          </cell>
          <cell r="C12" t="str">
            <v>SUPERVALU</v>
          </cell>
          <cell r="D12" t="str">
            <v>Save-A-Lot 168</v>
          </cell>
          <cell r="E12" t="str">
            <v>FORT PIERCE FL</v>
          </cell>
          <cell r="F12">
            <v>42408</v>
          </cell>
          <cell r="G12">
            <v>42418</v>
          </cell>
          <cell r="I12">
            <v>42419</v>
          </cell>
          <cell r="J12" t="str">
            <v>PF</v>
          </cell>
          <cell r="L12">
            <v>816</v>
          </cell>
          <cell r="M12">
            <v>23</v>
          </cell>
          <cell r="N12">
            <v>1</v>
          </cell>
          <cell r="O12">
            <v>5954.93</v>
          </cell>
          <cell r="P12" t="str">
            <v>GA</v>
          </cell>
          <cell r="Q12" t="str">
            <v>4PD</v>
          </cell>
          <cell r="R12">
            <v>11546.424000000001</v>
          </cell>
          <cell r="S12" t="b">
            <v>0</v>
          </cell>
          <cell r="T12" t="str">
            <v>No</v>
          </cell>
          <cell r="V12" t="str">
            <v>A</v>
          </cell>
        </row>
        <row r="13">
          <cell r="B13" t="str">
            <v>155-1107</v>
          </cell>
          <cell r="C13" t="str">
            <v>AMF Refrigerated Products Co.</v>
          </cell>
          <cell r="D13" t="str">
            <v>H Mart</v>
          </cell>
          <cell r="E13" t="str">
            <v>Columbis, MD</v>
          </cell>
          <cell r="F13">
            <v>42408</v>
          </cell>
          <cell r="G13">
            <v>42418</v>
          </cell>
          <cell r="I13">
            <v>42419</v>
          </cell>
          <cell r="J13" t="str">
            <v>PC</v>
          </cell>
          <cell r="L13">
            <v>7918</v>
          </cell>
          <cell r="M13">
            <v>0</v>
          </cell>
          <cell r="N13">
            <v>1</v>
          </cell>
          <cell r="O13">
            <v>59941.440000000002</v>
          </cell>
          <cell r="P13" t="str">
            <v>GA</v>
          </cell>
          <cell r="Q13" t="str">
            <v>4PD</v>
          </cell>
          <cell r="R13">
            <v>128582.6444</v>
          </cell>
          <cell r="S13" t="b">
            <v>1</v>
          </cell>
          <cell r="T13" t="str">
            <v>Yes</v>
          </cell>
          <cell r="V13" t="str">
            <v>A</v>
          </cell>
        </row>
        <row r="14">
          <cell r="B14" t="str">
            <v>157-2194</v>
          </cell>
          <cell r="C14" t="str">
            <v>Walmart Canada Corp.</v>
          </cell>
          <cell r="D14" t="str">
            <v>Walmart 3136-BR-IPAC-MDGP-B</v>
          </cell>
          <cell r="E14" t="str">
            <v>Rouyn-Noranda QC</v>
          </cell>
          <cell r="F14">
            <v>42408</v>
          </cell>
          <cell r="G14">
            <v>42418</v>
          </cell>
          <cell r="I14">
            <v>42419</v>
          </cell>
          <cell r="J14" t="str">
            <v>AP</v>
          </cell>
          <cell r="L14">
            <v>4720</v>
          </cell>
          <cell r="M14">
            <v>0</v>
          </cell>
          <cell r="N14">
            <v>1</v>
          </cell>
          <cell r="O14">
            <v>48499.28</v>
          </cell>
          <cell r="P14" t="str">
            <v>GA</v>
          </cell>
          <cell r="Q14" t="str">
            <v>4PD</v>
          </cell>
          <cell r="R14">
            <v>83996.516600000003</v>
          </cell>
          <cell r="S14" t="b">
            <v>0</v>
          </cell>
          <cell r="T14" t="str">
            <v>No</v>
          </cell>
          <cell r="U14" t="str">
            <v>FBed</v>
          </cell>
          <cell r="V14" t="str">
            <v>A</v>
          </cell>
        </row>
        <row r="15">
          <cell r="B15" t="str">
            <v>155-1003A</v>
          </cell>
          <cell r="C15" t="str">
            <v>Publix Super Markets Inc.</v>
          </cell>
          <cell r="D15" t="str">
            <v>Publix #1514</v>
          </cell>
          <cell r="E15" t="str">
            <v>Wake Forest NC</v>
          </cell>
          <cell r="F15">
            <v>42408</v>
          </cell>
          <cell r="G15">
            <v>42418</v>
          </cell>
          <cell r="I15">
            <v>42419</v>
          </cell>
          <cell r="J15" t="str">
            <v>AP</v>
          </cell>
          <cell r="L15">
            <v>12758</v>
          </cell>
          <cell r="M15">
            <v>0</v>
          </cell>
          <cell r="N15">
            <v>12</v>
          </cell>
          <cell r="O15">
            <v>84257.279999999999</v>
          </cell>
          <cell r="P15" t="str">
            <v>GA</v>
          </cell>
          <cell r="Q15" t="str">
            <v>4PD</v>
          </cell>
          <cell r="R15">
            <v>84257.282300000006</v>
          </cell>
          <cell r="S15" t="b">
            <v>1</v>
          </cell>
          <cell r="T15" t="str">
            <v>Yes</v>
          </cell>
        </row>
        <row r="16">
          <cell r="B16" t="str">
            <v>165-0015A</v>
          </cell>
          <cell r="C16" t="str">
            <v>Publix Super Markets Inc.</v>
          </cell>
          <cell r="D16" t="str">
            <v>Publix #1530</v>
          </cell>
          <cell r="E16" t="str">
            <v>Saint Augustine, FL</v>
          </cell>
          <cell r="F16">
            <v>42408</v>
          </cell>
          <cell r="G16">
            <v>42419</v>
          </cell>
          <cell r="I16">
            <v>42422</v>
          </cell>
          <cell r="J16" t="str">
            <v>AP</v>
          </cell>
          <cell r="L16">
            <v>13511</v>
          </cell>
          <cell r="M16">
            <v>0</v>
          </cell>
          <cell r="N16">
            <v>14</v>
          </cell>
          <cell r="O16">
            <v>91594.32</v>
          </cell>
          <cell r="P16" t="str">
            <v>GA</v>
          </cell>
          <cell r="Q16" t="str">
            <v>4PD</v>
          </cell>
          <cell r="R16">
            <v>91594.316300000006</v>
          </cell>
          <cell r="S16" t="b">
            <v>1</v>
          </cell>
          <cell r="T16" t="str">
            <v>Yes</v>
          </cell>
        </row>
        <row r="17">
          <cell r="B17" t="str">
            <v>155-0629</v>
          </cell>
          <cell r="C17" t="str">
            <v>Dollar Tree Sourcing Comp. LLC</v>
          </cell>
          <cell r="D17" t="str">
            <v>DT STOCK   WM FRDRCLDL  Rem/No Rack</v>
          </cell>
          <cell r="F17">
            <v>42254</v>
          </cell>
          <cell r="G17">
            <v>42257</v>
          </cell>
          <cell r="H17">
            <v>21.2</v>
          </cell>
          <cell r="J17" t="str">
            <v>PF</v>
          </cell>
          <cell r="K17" t="str">
            <v>D</v>
          </cell>
          <cell r="L17">
            <v>551</v>
          </cell>
          <cell r="M17">
            <v>19</v>
          </cell>
          <cell r="N17">
            <v>2</v>
          </cell>
          <cell r="O17">
            <v>5398.44</v>
          </cell>
          <cell r="P17" t="str">
            <v>GA</v>
          </cell>
          <cell r="Q17" t="str">
            <v>4PD</v>
          </cell>
          <cell r="R17">
            <v>9561.8916000000008</v>
          </cell>
          <cell r="S17" t="b">
            <v>1</v>
          </cell>
          <cell r="T17" t="str">
            <v>Yes</v>
          </cell>
          <cell r="V17" t="str">
            <v>A</v>
          </cell>
        </row>
        <row r="18">
          <cell r="B18" t="str">
            <v>157-1897</v>
          </cell>
          <cell r="C18" t="str">
            <v>Kroger Atlanta # 011</v>
          </cell>
          <cell r="D18" t="str">
            <v>Kroger GA-672</v>
          </cell>
          <cell r="E18" t="str">
            <v xml:space="preserve"> </v>
          </cell>
          <cell r="F18">
            <v>42380</v>
          </cell>
          <cell r="G18">
            <v>42387</v>
          </cell>
          <cell r="H18">
            <v>30</v>
          </cell>
          <cell r="I18">
            <v>42426</v>
          </cell>
          <cell r="J18" t="str">
            <v>PF</v>
          </cell>
          <cell r="K18" t="str">
            <v>M</v>
          </cell>
          <cell r="L18">
            <v>15893</v>
          </cell>
          <cell r="M18">
            <v>415</v>
          </cell>
          <cell r="N18">
            <v>10</v>
          </cell>
          <cell r="O18">
            <v>144952.01999999999</v>
          </cell>
          <cell r="P18" t="str">
            <v>GA</v>
          </cell>
          <cell r="Q18" t="str">
            <v>4PD</v>
          </cell>
          <cell r="R18">
            <v>144952.03469999999</v>
          </cell>
          <cell r="S18" t="b">
            <v>0</v>
          </cell>
          <cell r="T18" t="str">
            <v>No</v>
          </cell>
          <cell r="U18" t="str">
            <v>FBed</v>
          </cell>
          <cell r="V18" t="str">
            <v>A</v>
          </cell>
        </row>
        <row r="19">
          <cell r="B19" t="str">
            <v>157-1897</v>
          </cell>
          <cell r="C19" t="str">
            <v>Kroger Atlanta # 011</v>
          </cell>
          <cell r="D19" t="str">
            <v>Kroger GA-672</v>
          </cell>
          <cell r="E19" t="str">
            <v xml:space="preserve"> </v>
          </cell>
          <cell r="F19">
            <v>42380</v>
          </cell>
          <cell r="G19">
            <v>42387</v>
          </cell>
          <cell r="H19">
            <v>30</v>
          </cell>
          <cell r="I19">
            <v>42426</v>
          </cell>
          <cell r="J19" t="str">
            <v>PF</v>
          </cell>
          <cell r="K19" t="str">
            <v>CC</v>
          </cell>
          <cell r="L19">
            <v>4090</v>
          </cell>
          <cell r="M19">
            <v>115</v>
          </cell>
          <cell r="N19">
            <v>9</v>
          </cell>
          <cell r="O19">
            <v>144952.01999999999</v>
          </cell>
          <cell r="P19" t="str">
            <v>GA</v>
          </cell>
          <cell r="Q19" t="str">
            <v>4PD</v>
          </cell>
          <cell r="R19">
            <v>144952.03469999999</v>
          </cell>
          <cell r="S19" t="b">
            <v>0</v>
          </cell>
          <cell r="T19" t="str">
            <v>No</v>
          </cell>
          <cell r="U19" t="str">
            <v>FBed</v>
          </cell>
          <cell r="V19" t="str">
            <v>A</v>
          </cell>
        </row>
        <row r="20">
          <cell r="B20" t="str">
            <v>155-1098A</v>
          </cell>
          <cell r="C20" t="str">
            <v>Publix Super Markets Inc.</v>
          </cell>
          <cell r="D20" t="str">
            <v>Publix #1519   49.4</v>
          </cell>
          <cell r="E20" t="str">
            <v>Mooresville NC</v>
          </cell>
          <cell r="F20">
            <v>42387</v>
          </cell>
          <cell r="G20">
            <v>42382</v>
          </cell>
          <cell r="H20">
            <v>13</v>
          </cell>
          <cell r="I20">
            <v>42419</v>
          </cell>
          <cell r="J20" t="str">
            <v>PF</v>
          </cell>
          <cell r="K20" t="str">
            <v>F</v>
          </cell>
          <cell r="L20">
            <v>12382</v>
          </cell>
          <cell r="M20">
            <v>296</v>
          </cell>
          <cell r="N20">
            <v>12</v>
          </cell>
          <cell r="O20">
            <v>82680.59</v>
          </cell>
          <cell r="P20" t="str">
            <v>GA</v>
          </cell>
          <cell r="Q20" t="str">
            <v>4PD</v>
          </cell>
          <cell r="R20">
            <v>82680.591199999995</v>
          </cell>
          <cell r="S20" t="b">
            <v>1</v>
          </cell>
          <cell r="T20" t="str">
            <v>Yes</v>
          </cell>
        </row>
        <row r="21">
          <cell r="B21" t="str">
            <v>157-2203</v>
          </cell>
          <cell r="C21" t="str">
            <v>Aldi Inc- Tuly NY Division</v>
          </cell>
          <cell r="D21" t="str">
            <v>Aldi Store 86</v>
          </cell>
          <cell r="E21" t="str">
            <v>FAIRPORT NY</v>
          </cell>
          <cell r="F21">
            <v>42401</v>
          </cell>
          <cell r="G21">
            <v>42402</v>
          </cell>
          <cell r="I21">
            <v>42405</v>
          </cell>
          <cell r="J21" t="str">
            <v>PF</v>
          </cell>
          <cell r="K21" t="str">
            <v>F</v>
          </cell>
          <cell r="L21">
            <v>3884</v>
          </cell>
          <cell r="M21">
            <v>104</v>
          </cell>
          <cell r="N21">
            <v>1</v>
          </cell>
          <cell r="O21">
            <v>27909.13</v>
          </cell>
          <cell r="P21" t="str">
            <v>GA</v>
          </cell>
          <cell r="Q21" t="str">
            <v>4PD</v>
          </cell>
          <cell r="R21">
            <v>33365.975700000003</v>
          </cell>
          <cell r="S21" t="b">
            <v>1</v>
          </cell>
          <cell r="T21" t="str">
            <v>Yes</v>
          </cell>
          <cell r="V21" t="str">
            <v>A</v>
          </cell>
        </row>
        <row r="22">
          <cell r="B22" t="str">
            <v>157-0743</v>
          </cell>
          <cell r="C22" t="str">
            <v>Wal-Mart Store Planning</v>
          </cell>
          <cell r="D22" t="str">
            <v>Walmart 0655-10-FuelStation-NEW</v>
          </cell>
          <cell r="E22" t="str">
            <v>Madisonville (Hanson), KY</v>
          </cell>
          <cell r="F22">
            <v>42401</v>
          </cell>
          <cell r="G22">
            <v>42402</v>
          </cell>
          <cell r="H22">
            <v>20</v>
          </cell>
          <cell r="I22">
            <v>42412</v>
          </cell>
          <cell r="J22" t="str">
            <v>PF</v>
          </cell>
          <cell r="K22" t="str">
            <v>F</v>
          </cell>
          <cell r="L22">
            <v>887</v>
          </cell>
          <cell r="M22">
            <v>30</v>
          </cell>
          <cell r="N22">
            <v>0</v>
          </cell>
          <cell r="O22">
            <v>6092.5</v>
          </cell>
          <cell r="P22" t="str">
            <v>GA</v>
          </cell>
          <cell r="Q22" t="str">
            <v>4PD</v>
          </cell>
          <cell r="R22">
            <v>16638.018100000001</v>
          </cell>
          <cell r="S22" t="b">
            <v>1</v>
          </cell>
          <cell r="T22" t="str">
            <v>Yes</v>
          </cell>
          <cell r="V22" t="str">
            <v>a</v>
          </cell>
        </row>
        <row r="23">
          <cell r="B23" t="str">
            <v>157-2209</v>
          </cell>
          <cell r="C23" t="str">
            <v>Wal-Mart Store Planning</v>
          </cell>
          <cell r="D23" t="str">
            <v>Walmart 0071-216-REM-SP</v>
          </cell>
          <cell r="E23" t="str">
            <v>Pocahontas, AR</v>
          </cell>
          <cell r="F23">
            <v>42401</v>
          </cell>
          <cell r="G23">
            <v>42402</v>
          </cell>
          <cell r="H23">
            <v>21.2</v>
          </cell>
          <cell r="I23">
            <v>42405</v>
          </cell>
          <cell r="J23" t="str">
            <v>PF</v>
          </cell>
          <cell r="K23" t="str">
            <v>F</v>
          </cell>
          <cell r="L23">
            <v>1092</v>
          </cell>
          <cell r="M23">
            <v>31</v>
          </cell>
          <cell r="N23">
            <v>2</v>
          </cell>
          <cell r="O23">
            <v>10332.11</v>
          </cell>
          <cell r="P23" t="str">
            <v>GA</v>
          </cell>
          <cell r="Q23" t="str">
            <v>4PD</v>
          </cell>
          <cell r="R23">
            <v>19523.1348</v>
          </cell>
          <cell r="S23" t="b">
            <v>1</v>
          </cell>
          <cell r="T23" t="str">
            <v>Yes</v>
          </cell>
          <cell r="V23" t="str">
            <v>A</v>
          </cell>
        </row>
        <row r="24">
          <cell r="B24" t="str">
            <v>157-1151</v>
          </cell>
          <cell r="C24" t="str">
            <v>Wal-Mart Store Planning</v>
          </cell>
          <cell r="D24" t="str">
            <v>Walmart 4586-00-NHM-NEW-41</v>
          </cell>
          <cell r="E24" t="str">
            <v>Biloxi, MS</v>
          </cell>
          <cell r="F24">
            <v>42401</v>
          </cell>
          <cell r="G24">
            <v>42402</v>
          </cell>
          <cell r="H24">
            <v>22</v>
          </cell>
          <cell r="I24">
            <v>42412</v>
          </cell>
          <cell r="J24" t="str">
            <v>PF</v>
          </cell>
          <cell r="K24" t="str">
            <v>F</v>
          </cell>
          <cell r="L24">
            <v>4929</v>
          </cell>
          <cell r="M24">
            <v>125</v>
          </cell>
          <cell r="N24">
            <v>1</v>
          </cell>
          <cell r="O24">
            <v>27040.75</v>
          </cell>
          <cell r="P24" t="str">
            <v>GA</v>
          </cell>
          <cell r="Q24" t="str">
            <v>4PD</v>
          </cell>
          <cell r="R24">
            <v>57025.961300000003</v>
          </cell>
          <cell r="S24" t="b">
            <v>1</v>
          </cell>
          <cell r="T24" t="str">
            <v>Yes</v>
          </cell>
          <cell r="V24" t="str">
            <v>A</v>
          </cell>
        </row>
        <row r="25">
          <cell r="B25" t="str">
            <v>155-1038ADD2</v>
          </cell>
          <cell r="C25" t="str">
            <v>K-Va-T Stores</v>
          </cell>
          <cell r="D25" t="str">
            <v>Food City 608</v>
          </cell>
          <cell r="E25" t="str">
            <v>Greenville, TN</v>
          </cell>
          <cell r="F25">
            <v>42401</v>
          </cell>
          <cell r="G25">
            <v>42402</v>
          </cell>
          <cell r="H25">
            <v>25</v>
          </cell>
          <cell r="I25">
            <v>42409</v>
          </cell>
          <cell r="J25" t="str">
            <v>PF</v>
          </cell>
          <cell r="K25" t="str">
            <v>A</v>
          </cell>
          <cell r="L25">
            <v>1972</v>
          </cell>
          <cell r="M25">
            <v>62</v>
          </cell>
          <cell r="N25">
            <v>0</v>
          </cell>
          <cell r="O25">
            <v>17946.68</v>
          </cell>
          <cell r="P25" t="str">
            <v>GA</v>
          </cell>
          <cell r="Q25" t="str">
            <v>4PD</v>
          </cell>
          <cell r="R25">
            <v>24172.04</v>
          </cell>
          <cell r="S25" t="b">
            <v>1</v>
          </cell>
          <cell r="T25" t="str">
            <v>Yes</v>
          </cell>
          <cell r="V25" t="str">
            <v>A</v>
          </cell>
        </row>
        <row r="26">
          <cell r="B26" t="str">
            <v xml:space="preserve">167-0006 </v>
          </cell>
          <cell r="C26" t="str">
            <v>Two Farms, Inc.</v>
          </cell>
          <cell r="D26" t="str">
            <v>Royal Farms 221</v>
          </cell>
          <cell r="E26" t="str">
            <v>GLENOLDEN PA</v>
          </cell>
          <cell r="F26">
            <v>42401</v>
          </cell>
          <cell r="G26">
            <v>42402</v>
          </cell>
          <cell r="H26">
            <v>29</v>
          </cell>
          <cell r="I26">
            <v>42412</v>
          </cell>
          <cell r="J26" t="str">
            <v>PF</v>
          </cell>
          <cell r="K26" t="str">
            <v>F</v>
          </cell>
          <cell r="L26">
            <v>2323</v>
          </cell>
          <cell r="M26">
            <v>82</v>
          </cell>
          <cell r="N26">
            <v>5</v>
          </cell>
          <cell r="O26">
            <v>21463.46</v>
          </cell>
          <cell r="P26" t="str">
            <v>GA</v>
          </cell>
          <cell r="Q26" t="str">
            <v>4PD</v>
          </cell>
          <cell r="R26">
            <v>37206.055899999999</v>
          </cell>
          <cell r="S26" t="b">
            <v>1</v>
          </cell>
          <cell r="T26" t="str">
            <v>Yes</v>
          </cell>
          <cell r="U26" t="str">
            <v>FBed</v>
          </cell>
          <cell r="V26" t="str">
            <v>A</v>
          </cell>
        </row>
        <row r="27">
          <cell r="B27" t="str">
            <v>157-2046</v>
          </cell>
          <cell r="C27" t="str">
            <v>Walmart Canada Corp.</v>
          </cell>
          <cell r="D27" t="str">
            <v>Walmart 3148-BRSP-IPAC-DMP2I9-G-B</v>
          </cell>
          <cell r="E27" t="str">
            <v>Levis, QC</v>
          </cell>
          <cell r="F27">
            <v>42401</v>
          </cell>
          <cell r="G27">
            <v>42402</v>
          </cell>
          <cell r="H27">
            <v>31</v>
          </cell>
          <cell r="I27">
            <v>42404</v>
          </cell>
          <cell r="J27" t="str">
            <v>PF</v>
          </cell>
          <cell r="K27" t="str">
            <v>M</v>
          </cell>
          <cell r="L27">
            <v>5624</v>
          </cell>
          <cell r="M27">
            <v>135</v>
          </cell>
          <cell r="N27">
            <v>0</v>
          </cell>
          <cell r="O27">
            <v>52553.37</v>
          </cell>
          <cell r="P27" t="str">
            <v>GA</v>
          </cell>
          <cell r="Q27" t="str">
            <v>4PD</v>
          </cell>
          <cell r="R27">
            <v>97622.662299999996</v>
          </cell>
          <cell r="S27" t="b">
            <v>1</v>
          </cell>
          <cell r="T27" t="str">
            <v>Yes</v>
          </cell>
          <cell r="U27" t="str">
            <v>FBed</v>
          </cell>
          <cell r="V27" t="str">
            <v>A</v>
          </cell>
        </row>
        <row r="28">
          <cell r="B28" t="str">
            <v>155-1102A</v>
          </cell>
          <cell r="C28" t="str">
            <v>Publix Super Markets Inc.</v>
          </cell>
          <cell r="D28" t="str">
            <v>Publix #1528</v>
          </cell>
          <cell r="E28" t="str">
            <v>Arcadia FL</v>
          </cell>
          <cell r="F28">
            <v>42401</v>
          </cell>
          <cell r="G28">
            <v>42403</v>
          </cell>
          <cell r="H28">
            <v>27</v>
          </cell>
          <cell r="I28">
            <v>42412</v>
          </cell>
          <cell r="J28" t="str">
            <v>PF</v>
          </cell>
          <cell r="K28" t="str">
            <v>M</v>
          </cell>
          <cell r="L28">
            <v>11483</v>
          </cell>
          <cell r="M28">
            <v>275</v>
          </cell>
          <cell r="N28">
            <v>12</v>
          </cell>
          <cell r="O28">
            <v>78359.3</v>
          </cell>
          <cell r="P28" t="str">
            <v>GA</v>
          </cell>
          <cell r="Q28" t="str">
            <v>4PD</v>
          </cell>
          <cell r="R28">
            <v>78359.296400000007</v>
          </cell>
          <cell r="S28" t="b">
            <v>1</v>
          </cell>
          <cell r="T28" t="str">
            <v>Yes</v>
          </cell>
          <cell r="V28" t="str">
            <v>A</v>
          </cell>
        </row>
        <row r="29">
          <cell r="B29" t="str">
            <v xml:space="preserve">157-1438ADD2 </v>
          </cell>
          <cell r="C29" t="str">
            <v>Wal-Mart Store Planning</v>
          </cell>
          <cell r="D29" t="str">
            <v>Walmart 2237-219--SC-REM</v>
          </cell>
          <cell r="E29" t="str">
            <v>Lehigh Acres, FL</v>
          </cell>
          <cell r="F29">
            <v>42401</v>
          </cell>
          <cell r="G29">
            <v>42403</v>
          </cell>
          <cell r="H29">
            <v>32</v>
          </cell>
          <cell r="I29">
            <v>42410</v>
          </cell>
          <cell r="J29" t="str">
            <v>PF</v>
          </cell>
          <cell r="K29" t="str">
            <v>M</v>
          </cell>
          <cell r="L29">
            <v>1055</v>
          </cell>
          <cell r="M29">
            <v>22</v>
          </cell>
          <cell r="N29">
            <v>0</v>
          </cell>
          <cell r="O29">
            <v>8359.14</v>
          </cell>
          <cell r="P29" t="str">
            <v>GA</v>
          </cell>
          <cell r="Q29" t="str">
            <v>4PD</v>
          </cell>
          <cell r="R29">
            <v>17369.200099999998</v>
          </cell>
          <cell r="S29" t="b">
            <v>1</v>
          </cell>
          <cell r="T29" t="str">
            <v>Yes</v>
          </cell>
          <cell r="V29" t="str">
            <v>A</v>
          </cell>
        </row>
        <row r="30">
          <cell r="B30" t="str">
            <v>155-1008AADD1</v>
          </cell>
          <cell r="C30" t="str">
            <v>Organic Foods Exp/Mom's</v>
          </cell>
          <cell r="D30" t="str">
            <v>Moms Organic Market</v>
          </cell>
          <cell r="E30" t="str">
            <v>Baltimore, MD</v>
          </cell>
          <cell r="F30">
            <v>42401</v>
          </cell>
          <cell r="G30">
            <v>42404</v>
          </cell>
          <cell r="I30">
            <v>42404</v>
          </cell>
          <cell r="J30" t="str">
            <v>PF</v>
          </cell>
          <cell r="K30" t="str">
            <v>M</v>
          </cell>
          <cell r="L30">
            <v>0</v>
          </cell>
          <cell r="M30">
            <v>0</v>
          </cell>
          <cell r="N30">
            <v>0</v>
          </cell>
          <cell r="O30">
            <v>1377</v>
          </cell>
          <cell r="P30" t="str">
            <v>GA</v>
          </cell>
          <cell r="Q30" t="str">
            <v>4PD</v>
          </cell>
          <cell r="R30">
            <v>1377</v>
          </cell>
          <cell r="S30" t="b">
            <v>1</v>
          </cell>
          <cell r="T30" t="str">
            <v>Yes</v>
          </cell>
        </row>
        <row r="31">
          <cell r="B31" t="str">
            <v>167-0080</v>
          </cell>
          <cell r="C31" t="str">
            <v>Equipment Resources &amp; Sol.</v>
          </cell>
          <cell r="D31" t="str">
            <v>Mobil Station</v>
          </cell>
          <cell r="E31" t="str">
            <v>STEWARTSVILLE NJ</v>
          </cell>
          <cell r="F31">
            <v>42401</v>
          </cell>
          <cell r="G31">
            <v>42412</v>
          </cell>
          <cell r="H31">
            <v>30</v>
          </cell>
          <cell r="I31">
            <v>42415</v>
          </cell>
          <cell r="J31" t="str">
            <v>PF</v>
          </cell>
          <cell r="K31" t="str">
            <v>CC</v>
          </cell>
          <cell r="L31">
            <v>1060</v>
          </cell>
          <cell r="M31">
            <v>41</v>
          </cell>
          <cell r="N31">
            <v>1</v>
          </cell>
          <cell r="O31">
            <v>7543.64</v>
          </cell>
          <cell r="P31" t="str">
            <v>GA</v>
          </cell>
          <cell r="Q31" t="str">
            <v>4PD</v>
          </cell>
          <cell r="R31">
            <v>22616.174900000002</v>
          </cell>
          <cell r="S31" t="b">
            <v>1</v>
          </cell>
          <cell r="T31" t="str">
            <v>Yes</v>
          </cell>
          <cell r="U31" t="str">
            <v>FBed</v>
          </cell>
          <cell r="V31" t="str">
            <v>CIA</v>
          </cell>
        </row>
        <row r="32">
          <cell r="B32" t="str">
            <v>155-1179</v>
          </cell>
          <cell r="C32" t="str">
            <v>Dollar Tree Sourcing Comp. LLC</v>
          </cell>
          <cell r="D32" t="str">
            <v>DT# 6307   WM FLDLCRDR</v>
          </cell>
          <cell r="E32" t="str">
            <v>TOMS RIVER, NJ</v>
          </cell>
          <cell r="F32">
            <v>42408</v>
          </cell>
          <cell r="G32">
            <v>42402</v>
          </cell>
          <cell r="H32">
            <v>23</v>
          </cell>
          <cell r="I32">
            <v>42416</v>
          </cell>
          <cell r="J32" t="str">
            <v>PF</v>
          </cell>
          <cell r="K32" t="str">
            <v>F</v>
          </cell>
          <cell r="L32">
            <v>551</v>
          </cell>
          <cell r="M32">
            <v>19</v>
          </cell>
          <cell r="N32">
            <v>2</v>
          </cell>
          <cell r="O32">
            <v>5302.05</v>
          </cell>
          <cell r="P32" t="str">
            <v>GA</v>
          </cell>
          <cell r="Q32" t="str">
            <v>4PD</v>
          </cell>
          <cell r="R32">
            <v>9631.1023999999998</v>
          </cell>
          <cell r="S32" t="b">
            <v>1</v>
          </cell>
          <cell r="T32" t="str">
            <v>Yes</v>
          </cell>
          <cell r="V32" t="str">
            <v>a</v>
          </cell>
        </row>
        <row r="33">
          <cell r="B33" t="str">
            <v>165-0036</v>
          </cell>
          <cell r="C33" t="str">
            <v>Dannemiller Diversified</v>
          </cell>
          <cell r="D33" t="str">
            <v>Dirty Bird</v>
          </cell>
          <cell r="E33" t="str">
            <v>New York, NY</v>
          </cell>
          <cell r="F33">
            <v>42408</v>
          </cell>
          <cell r="G33">
            <v>42403</v>
          </cell>
          <cell r="H33">
            <v>35</v>
          </cell>
          <cell r="I33">
            <v>42411</v>
          </cell>
          <cell r="J33" t="str">
            <v>PF</v>
          </cell>
          <cell r="K33" t="str">
            <v>M</v>
          </cell>
          <cell r="L33">
            <v>458</v>
          </cell>
          <cell r="M33">
            <v>18</v>
          </cell>
          <cell r="N33">
            <v>1</v>
          </cell>
          <cell r="O33">
            <v>4059.62</v>
          </cell>
          <cell r="P33" t="str">
            <v>GA</v>
          </cell>
          <cell r="Q33" t="str">
            <v>4PD</v>
          </cell>
          <cell r="R33">
            <v>6036.1018999999997</v>
          </cell>
          <cell r="S33" t="b">
            <v>1</v>
          </cell>
          <cell r="T33" t="str">
            <v>Yes</v>
          </cell>
          <cell r="V33" t="str">
            <v>A</v>
          </cell>
        </row>
        <row r="34">
          <cell r="B34" t="str">
            <v>157-2213</v>
          </cell>
          <cell r="C34" t="str">
            <v>KPS, LLC Mid-Atlantic # 029</v>
          </cell>
          <cell r="D34" t="str">
            <v>Kroger R-503</v>
          </cell>
          <cell r="E34" t="str">
            <v>Richmond VA</v>
          </cell>
          <cell r="F34">
            <v>42408</v>
          </cell>
          <cell r="G34">
            <v>42411</v>
          </cell>
          <cell r="H34">
            <v>33</v>
          </cell>
          <cell r="I34">
            <v>42412</v>
          </cell>
          <cell r="J34" t="str">
            <v>PF</v>
          </cell>
          <cell r="K34" t="str">
            <v>CC</v>
          </cell>
          <cell r="L34">
            <v>380</v>
          </cell>
          <cell r="M34">
            <v>19</v>
          </cell>
          <cell r="N34">
            <v>2</v>
          </cell>
          <cell r="O34">
            <v>7250.78</v>
          </cell>
          <cell r="P34" t="str">
            <v>GA</v>
          </cell>
          <cell r="Q34" t="str">
            <v>4PD</v>
          </cell>
          <cell r="R34">
            <v>7250.78</v>
          </cell>
          <cell r="S34" t="b">
            <v>1</v>
          </cell>
          <cell r="T34" t="str">
            <v>Yes</v>
          </cell>
          <cell r="U34" t="str">
            <v>FBed</v>
          </cell>
          <cell r="V34" t="str">
            <v>A</v>
          </cell>
        </row>
        <row r="35">
          <cell r="B35" t="str">
            <v xml:space="preserve">150-0358 </v>
          </cell>
          <cell r="C35" t="str">
            <v>Supermarket Source, Inc</v>
          </cell>
          <cell r="D35" t="str">
            <v xml:space="preserve">Bedners </v>
          </cell>
          <cell r="E35" t="str">
            <v xml:space="preserve"> </v>
          </cell>
          <cell r="F35">
            <v>42408</v>
          </cell>
          <cell r="G35">
            <v>42411</v>
          </cell>
          <cell r="H35">
            <v>36</v>
          </cell>
          <cell r="I35">
            <v>42412</v>
          </cell>
          <cell r="J35" t="str">
            <v>PF</v>
          </cell>
          <cell r="K35" t="str">
            <v>CC</v>
          </cell>
          <cell r="L35">
            <v>1416</v>
          </cell>
          <cell r="M35">
            <v>30</v>
          </cell>
          <cell r="N35">
            <v>0</v>
          </cell>
          <cell r="O35">
            <v>10435.25</v>
          </cell>
          <cell r="P35" t="str">
            <v>GA</v>
          </cell>
          <cell r="Q35" t="str">
            <v>4PD</v>
          </cell>
          <cell r="R35">
            <v>14652.911400000001</v>
          </cell>
          <cell r="S35" t="b">
            <v>1</v>
          </cell>
          <cell r="T35" t="str">
            <v>Yes</v>
          </cell>
          <cell r="U35" t="str">
            <v>40 HC</v>
          </cell>
          <cell r="V35" t="str">
            <v>A</v>
          </cell>
        </row>
        <row r="36">
          <cell r="B36" t="str">
            <v>168-0136</v>
          </cell>
          <cell r="C36" t="str">
            <v>KPS, LLC Delta #025</v>
          </cell>
          <cell r="D36" t="str">
            <v>Kroger V-426</v>
          </cell>
          <cell r="E36" t="str">
            <v>CORDOVA TN</v>
          </cell>
          <cell r="F36">
            <v>42408</v>
          </cell>
          <cell r="G36">
            <v>42411</v>
          </cell>
          <cell r="I36">
            <v>42412</v>
          </cell>
          <cell r="J36" t="str">
            <v>PF</v>
          </cell>
          <cell r="K36" t="str">
            <v>M</v>
          </cell>
          <cell r="L36">
            <v>0</v>
          </cell>
          <cell r="M36">
            <v>0</v>
          </cell>
          <cell r="N36">
            <v>1</v>
          </cell>
          <cell r="O36">
            <v>2704.8</v>
          </cell>
          <cell r="P36" t="str">
            <v>GA</v>
          </cell>
          <cell r="Q36" t="str">
            <v>4PD</v>
          </cell>
          <cell r="R36">
            <v>2704.8</v>
          </cell>
          <cell r="S36" t="b">
            <v>1</v>
          </cell>
          <cell r="T36" t="str">
            <v>Yes</v>
          </cell>
          <cell r="U36" t="str">
            <v>LTL</v>
          </cell>
          <cell r="V36" t="str">
            <v>A</v>
          </cell>
        </row>
        <row r="37">
          <cell r="B37" t="str">
            <v>155-1212B</v>
          </cell>
          <cell r="C37" t="str">
            <v>Publix Super Markets Inc.</v>
          </cell>
          <cell r="D37" t="str">
            <v>Publix #737</v>
          </cell>
          <cell r="E37" t="str">
            <v>Englewood, FL</v>
          </cell>
          <cell r="F37">
            <v>42408</v>
          </cell>
          <cell r="G37">
            <v>42411</v>
          </cell>
          <cell r="I37">
            <v>42412</v>
          </cell>
          <cell r="J37" t="str">
            <v>PF</v>
          </cell>
          <cell r="K37" t="str">
            <v>T</v>
          </cell>
          <cell r="L37">
            <v>0</v>
          </cell>
          <cell r="M37">
            <v>0</v>
          </cell>
          <cell r="N37">
            <v>0</v>
          </cell>
          <cell r="O37">
            <v>950</v>
          </cell>
          <cell r="P37" t="str">
            <v>GA</v>
          </cell>
          <cell r="Q37" t="str">
            <v>4PD</v>
          </cell>
          <cell r="R37">
            <v>4387.5</v>
          </cell>
          <cell r="S37" t="b">
            <v>1</v>
          </cell>
          <cell r="T37" t="str">
            <v>Yes</v>
          </cell>
          <cell r="V37" t="str">
            <v>A</v>
          </cell>
        </row>
        <row r="38">
          <cell r="B38" t="str">
            <v>167-0058</v>
          </cell>
          <cell r="C38" t="str">
            <v>Backyard Trading Establishment</v>
          </cell>
          <cell r="D38" t="str">
            <v>Backyard Middle East</v>
          </cell>
          <cell r="E38" t="str">
            <v>Al Khobar 31952 Saudi Arabia</v>
          </cell>
          <cell r="F38">
            <v>42408</v>
          </cell>
          <cell r="G38">
            <v>42412</v>
          </cell>
          <cell r="H38">
            <v>34</v>
          </cell>
          <cell r="I38">
            <v>42415</v>
          </cell>
          <cell r="J38" t="str">
            <v>PF</v>
          </cell>
          <cell r="K38" t="str">
            <v>CC</v>
          </cell>
          <cell r="L38">
            <v>577</v>
          </cell>
          <cell r="M38">
            <v>23</v>
          </cell>
          <cell r="N38">
            <v>1</v>
          </cell>
          <cell r="O38">
            <v>6877.58</v>
          </cell>
          <cell r="P38" t="str">
            <v>GA</v>
          </cell>
          <cell r="Q38" t="str">
            <v>4PD</v>
          </cell>
          <cell r="R38">
            <v>8516.8320000000003</v>
          </cell>
          <cell r="S38" t="b">
            <v>1</v>
          </cell>
          <cell r="T38" t="str">
            <v>Yes</v>
          </cell>
          <cell r="U38" t="str">
            <v>WCall</v>
          </cell>
          <cell r="V38" t="str">
            <v>CIA</v>
          </cell>
        </row>
        <row r="39">
          <cell r="B39" t="str">
            <v>155-1097</v>
          </cell>
          <cell r="C39" t="str">
            <v>Triple S International</v>
          </cell>
          <cell r="D39" t="str">
            <v>Nutrition Smart Pembroke Pines</v>
          </cell>
          <cell r="E39" t="str">
            <v xml:space="preserve"> </v>
          </cell>
          <cell r="F39">
            <v>42408</v>
          </cell>
          <cell r="G39">
            <v>42415</v>
          </cell>
          <cell r="I39">
            <v>42416</v>
          </cell>
          <cell r="J39" t="str">
            <v>PF</v>
          </cell>
          <cell r="L39">
            <v>1144</v>
          </cell>
          <cell r="M39">
            <v>35</v>
          </cell>
          <cell r="N39">
            <v>2</v>
          </cell>
          <cell r="O39">
            <v>11739.44</v>
          </cell>
          <cell r="P39" t="str">
            <v>GA</v>
          </cell>
          <cell r="Q39" t="str">
            <v>4PD</v>
          </cell>
          <cell r="R39">
            <v>11845.441999999999</v>
          </cell>
          <cell r="S39" t="b">
            <v>1</v>
          </cell>
          <cell r="T39" t="str">
            <v>Yes</v>
          </cell>
          <cell r="V39" t="str">
            <v>A</v>
          </cell>
        </row>
        <row r="40">
          <cell r="B40" t="str">
            <v>155-1174</v>
          </cell>
          <cell r="C40" t="str">
            <v>Dollar Tree Sourcing Comp. LLC</v>
          </cell>
          <cell r="D40" t="str">
            <v>DT #6316   WM FLDLCRDR</v>
          </cell>
          <cell r="E40" t="str">
            <v>ASHDOWN AR</v>
          </cell>
          <cell r="F40">
            <v>42408</v>
          </cell>
          <cell r="G40">
            <v>42415</v>
          </cell>
          <cell r="H40">
            <v>24</v>
          </cell>
          <cell r="I40">
            <v>42416</v>
          </cell>
          <cell r="J40" t="str">
            <v>PF</v>
          </cell>
          <cell r="K40" t="str">
            <v>CC</v>
          </cell>
          <cell r="L40">
            <v>551</v>
          </cell>
          <cell r="M40">
            <v>19</v>
          </cell>
          <cell r="N40">
            <v>2</v>
          </cell>
          <cell r="O40">
            <v>5302.05</v>
          </cell>
          <cell r="P40" t="str">
            <v>GA</v>
          </cell>
          <cell r="Q40" t="str">
            <v>4PD</v>
          </cell>
          <cell r="R40">
            <v>9631.1023999999998</v>
          </cell>
          <cell r="S40" t="b">
            <v>1</v>
          </cell>
          <cell r="T40" t="str">
            <v>Yes</v>
          </cell>
          <cell r="V40" t="str">
            <v>a</v>
          </cell>
        </row>
        <row r="41">
          <cell r="B41" t="str">
            <v>155-1058</v>
          </cell>
          <cell r="C41" t="str">
            <v>Giant Tiger Stores Unlimited</v>
          </cell>
          <cell r="D41" t="str">
            <v>Giant Tiger 214</v>
          </cell>
          <cell r="E41" t="str">
            <v>Burlington Ontario</v>
          </cell>
          <cell r="F41">
            <v>42408</v>
          </cell>
          <cell r="G41">
            <v>42416</v>
          </cell>
          <cell r="I41">
            <v>42417</v>
          </cell>
          <cell r="J41" t="str">
            <v>PF</v>
          </cell>
          <cell r="L41">
            <v>1748</v>
          </cell>
          <cell r="M41">
            <v>44</v>
          </cell>
          <cell r="N41">
            <v>2</v>
          </cell>
          <cell r="O41">
            <v>13754.86</v>
          </cell>
          <cell r="P41" t="str">
            <v>GA</v>
          </cell>
          <cell r="Q41" t="str">
            <v>4PD</v>
          </cell>
          <cell r="R41">
            <v>13754.863799999999</v>
          </cell>
          <cell r="S41" t="b">
            <v>0</v>
          </cell>
          <cell r="T41" t="str">
            <v>Yes</v>
          </cell>
          <cell r="U41" t="str">
            <v>CPUp</v>
          </cell>
          <cell r="V41" t="str">
            <v>A</v>
          </cell>
        </row>
        <row r="42">
          <cell r="B42" t="str">
            <v>165-0031</v>
          </cell>
          <cell r="C42" t="str">
            <v>Dollar Tree Sourcing Comp. LLC</v>
          </cell>
          <cell r="D42" t="str">
            <v>DT# 6336   WM FRDRCLDL</v>
          </cell>
          <cell r="E42" t="str">
            <v>BUFFALO, NY</v>
          </cell>
          <cell r="F42">
            <v>42408</v>
          </cell>
          <cell r="G42">
            <v>42416</v>
          </cell>
          <cell r="I42">
            <v>42417</v>
          </cell>
          <cell r="J42" t="str">
            <v>PF</v>
          </cell>
          <cell r="L42">
            <v>551</v>
          </cell>
          <cell r="M42">
            <v>19</v>
          </cell>
          <cell r="N42">
            <v>2</v>
          </cell>
          <cell r="O42">
            <v>5500.12</v>
          </cell>
          <cell r="P42" t="str">
            <v>GA</v>
          </cell>
          <cell r="Q42" t="str">
            <v>4PD</v>
          </cell>
          <cell r="R42">
            <v>9933.2451999999994</v>
          </cell>
          <cell r="S42" t="b">
            <v>1</v>
          </cell>
          <cell r="T42" t="str">
            <v>Yes</v>
          </cell>
          <cell r="V42" t="str">
            <v>a</v>
          </cell>
        </row>
        <row r="43">
          <cell r="B43" t="str">
            <v>157-1778</v>
          </cell>
          <cell r="C43" t="str">
            <v>KPS, LLC Mid-Atlantic # 029</v>
          </cell>
          <cell r="D43" t="str">
            <v>Kroger R-557</v>
          </cell>
          <cell r="E43" t="str">
            <v>CHESAPEAKE VA</v>
          </cell>
          <cell r="F43">
            <v>42408</v>
          </cell>
          <cell r="G43">
            <v>42418</v>
          </cell>
          <cell r="H43" t="str">
            <v>WIP</v>
          </cell>
          <cell r="I43">
            <v>42419</v>
          </cell>
          <cell r="J43" t="str">
            <v>PF</v>
          </cell>
          <cell r="L43">
            <v>16472</v>
          </cell>
          <cell r="M43">
            <v>0</v>
          </cell>
          <cell r="N43">
            <v>17</v>
          </cell>
          <cell r="O43">
            <v>120487.81</v>
          </cell>
          <cell r="P43" t="str">
            <v>GA</v>
          </cell>
          <cell r="Q43" t="str">
            <v>4PD</v>
          </cell>
          <cell r="R43">
            <v>120487.8171</v>
          </cell>
          <cell r="S43" t="b">
            <v>1</v>
          </cell>
          <cell r="T43" t="str">
            <v>Yes</v>
          </cell>
          <cell r="U43" t="str">
            <v>FBed</v>
          </cell>
          <cell r="V43" t="str">
            <v>A</v>
          </cell>
        </row>
        <row r="44">
          <cell r="B44" t="str">
            <v>157-2191A</v>
          </cell>
          <cell r="C44" t="str">
            <v>Wal-Mart Store Planning</v>
          </cell>
          <cell r="D44" t="str">
            <v>Walmart 0578-226-SC-REM</v>
          </cell>
          <cell r="E44" t="str">
            <v>Sevierville, TN</v>
          </cell>
          <cell r="F44">
            <v>42408</v>
          </cell>
          <cell r="G44">
            <v>42418</v>
          </cell>
          <cell r="I44">
            <v>42419</v>
          </cell>
          <cell r="J44" t="str">
            <v>PF</v>
          </cell>
          <cell r="L44">
            <v>2058</v>
          </cell>
          <cell r="M44">
            <v>0</v>
          </cell>
          <cell r="N44">
            <v>2</v>
          </cell>
          <cell r="O44">
            <v>18571.419999999998</v>
          </cell>
          <cell r="P44" t="str">
            <v>GA</v>
          </cell>
          <cell r="Q44" t="str">
            <v>4PD</v>
          </cell>
          <cell r="R44">
            <v>51035.2978</v>
          </cell>
          <cell r="S44" t="b">
            <v>1</v>
          </cell>
          <cell r="T44" t="str">
            <v>Yes</v>
          </cell>
          <cell r="V44" t="str">
            <v>A</v>
          </cell>
        </row>
        <row r="45">
          <cell r="B45" t="str">
            <v>157-1426</v>
          </cell>
          <cell r="C45" t="str">
            <v>Wal-Mart Store Planning</v>
          </cell>
          <cell r="D45" t="str">
            <v>Walmart 6807-0-FuelStation-NEW</v>
          </cell>
          <cell r="E45" t="str">
            <v>Memphis, TN</v>
          </cell>
          <cell r="F45">
            <v>42408</v>
          </cell>
          <cell r="G45">
            <v>42418</v>
          </cell>
          <cell r="I45">
            <v>42419</v>
          </cell>
          <cell r="J45" t="str">
            <v>PF</v>
          </cell>
          <cell r="L45">
            <v>887</v>
          </cell>
          <cell r="M45">
            <v>0</v>
          </cell>
          <cell r="N45">
            <v>0</v>
          </cell>
          <cell r="O45">
            <v>6092.5</v>
          </cell>
          <cell r="P45" t="str">
            <v>GA</v>
          </cell>
          <cell r="Q45" t="str">
            <v>4PD</v>
          </cell>
          <cell r="R45">
            <v>17324.768100000001</v>
          </cell>
          <cell r="S45" t="b">
            <v>1</v>
          </cell>
          <cell r="T45" t="str">
            <v>Yes</v>
          </cell>
          <cell r="V45" t="str">
            <v>A</v>
          </cell>
        </row>
        <row r="46">
          <cell r="B46" t="str">
            <v>157-2234</v>
          </cell>
          <cell r="C46" t="str">
            <v>Aldi, Inc. Springfield OH</v>
          </cell>
          <cell r="D46" t="str">
            <v>Aldi Store 9</v>
          </cell>
          <cell r="E46" t="str">
            <v>MILLEDGEVILLE GA</v>
          </cell>
          <cell r="F46">
            <v>42415</v>
          </cell>
          <cell r="G46">
            <v>42411</v>
          </cell>
          <cell r="I46">
            <v>42429</v>
          </cell>
          <cell r="J46" t="str">
            <v>RS</v>
          </cell>
          <cell r="L46">
            <v>4977</v>
          </cell>
          <cell r="M46">
            <v>0</v>
          </cell>
          <cell r="N46">
            <v>1</v>
          </cell>
          <cell r="O46">
            <v>34594.379999999997</v>
          </cell>
          <cell r="P46" t="str">
            <v>GA</v>
          </cell>
          <cell r="Q46" t="str">
            <v>4PD</v>
          </cell>
          <cell r="R46">
            <v>40137.065499999997</v>
          </cell>
          <cell r="S46" t="b">
            <v>0</v>
          </cell>
          <cell r="T46" t="str">
            <v>No</v>
          </cell>
          <cell r="V46" t="str">
            <v>A</v>
          </cell>
        </row>
        <row r="47">
          <cell r="B47" t="str">
            <v>155-0913A</v>
          </cell>
          <cell r="C47" t="str">
            <v>Publix Super Markets Inc.</v>
          </cell>
          <cell r="D47" t="str">
            <v>Publix Rocket Court Pharmacy</v>
          </cell>
          <cell r="F47">
            <v>42415</v>
          </cell>
          <cell r="G47">
            <v>42418</v>
          </cell>
          <cell r="I47">
            <v>42419</v>
          </cell>
          <cell r="J47" t="str">
            <v>AP</v>
          </cell>
          <cell r="L47">
            <v>1901</v>
          </cell>
          <cell r="M47">
            <v>0</v>
          </cell>
          <cell r="N47">
            <v>1</v>
          </cell>
          <cell r="O47">
            <v>15993.67</v>
          </cell>
          <cell r="P47" t="str">
            <v>GA</v>
          </cell>
          <cell r="Q47" t="str">
            <v>4PD</v>
          </cell>
          <cell r="R47">
            <v>42008.654399999999</v>
          </cell>
          <cell r="S47" t="b">
            <v>1</v>
          </cell>
          <cell r="T47" t="str">
            <v>Yes</v>
          </cell>
        </row>
        <row r="48">
          <cell r="B48" t="str">
            <v>165-0093</v>
          </cell>
          <cell r="C48" t="str">
            <v>Publix Super Markets Inc.</v>
          </cell>
          <cell r="D48" t="str">
            <v>Publix #736</v>
          </cell>
          <cell r="E48" t="str">
            <v>Middleburg, FL</v>
          </cell>
          <cell r="F48">
            <v>42415</v>
          </cell>
          <cell r="G48">
            <v>42418</v>
          </cell>
          <cell r="I48">
            <v>42419</v>
          </cell>
          <cell r="J48" t="str">
            <v>.</v>
          </cell>
          <cell r="L48">
            <v>0</v>
          </cell>
          <cell r="M48">
            <v>0</v>
          </cell>
          <cell r="N48">
            <v>0</v>
          </cell>
          <cell r="O48">
            <v>950</v>
          </cell>
          <cell r="P48" t="str">
            <v>GA</v>
          </cell>
          <cell r="Q48" t="str">
            <v>4PD</v>
          </cell>
          <cell r="R48">
            <v>3518.75</v>
          </cell>
          <cell r="S48" t="b">
            <v>0</v>
          </cell>
          <cell r="T48" t="str">
            <v>No</v>
          </cell>
          <cell r="V48" t="str">
            <v>A</v>
          </cell>
        </row>
        <row r="49">
          <cell r="B49" t="str">
            <v>167-0047PEV1</v>
          </cell>
          <cell r="C49" t="str">
            <v>KPS, LLC Mid-Atlantic # 029</v>
          </cell>
          <cell r="D49" t="str">
            <v>Kroger R-512 OLS</v>
          </cell>
          <cell r="E49" t="str">
            <v>MIDLOTHIAN VA</v>
          </cell>
          <cell r="F49">
            <v>42415</v>
          </cell>
          <cell r="G49">
            <v>42418</v>
          </cell>
          <cell r="I49">
            <v>42419</v>
          </cell>
          <cell r="J49" t="str">
            <v>RS</v>
          </cell>
          <cell r="L49">
            <v>1106</v>
          </cell>
          <cell r="M49">
            <v>0</v>
          </cell>
          <cell r="N49">
            <v>3</v>
          </cell>
          <cell r="O49">
            <v>10986.78</v>
          </cell>
          <cell r="P49" t="str">
            <v>GA</v>
          </cell>
          <cell r="Q49" t="str">
            <v>4PD</v>
          </cell>
          <cell r="R49">
            <v>12672.4954</v>
          </cell>
          <cell r="S49" t="b">
            <v>0</v>
          </cell>
          <cell r="T49" t="str">
            <v>No</v>
          </cell>
          <cell r="U49" t="str">
            <v>FBed</v>
          </cell>
          <cell r="V49" t="str">
            <v>A</v>
          </cell>
        </row>
        <row r="50">
          <cell r="B50" t="str">
            <v>165-0028</v>
          </cell>
          <cell r="C50" t="str">
            <v>Dollar Tree Sourcing Comp. LLC</v>
          </cell>
          <cell r="D50" t="str">
            <v>DT# 6290   WM FLDLCRDR  DP WIC/LED</v>
          </cell>
          <cell r="E50" t="str">
            <v>FAIRVIEW PARK, OH</v>
          </cell>
          <cell r="F50">
            <v>42415</v>
          </cell>
          <cell r="G50">
            <v>42418</v>
          </cell>
          <cell r="I50">
            <v>42419</v>
          </cell>
          <cell r="J50" t="str">
            <v>.</v>
          </cell>
          <cell r="L50">
            <v>551</v>
          </cell>
          <cell r="M50">
            <v>0</v>
          </cell>
          <cell r="N50">
            <v>2</v>
          </cell>
          <cell r="O50">
            <v>5669.12</v>
          </cell>
          <cell r="P50" t="str">
            <v>GA</v>
          </cell>
          <cell r="Q50" t="str">
            <v>4PD</v>
          </cell>
          <cell r="R50">
            <v>10225.245199999999</v>
          </cell>
          <cell r="S50" t="b">
            <v>1</v>
          </cell>
          <cell r="T50" t="str">
            <v>Yes</v>
          </cell>
        </row>
        <row r="51">
          <cell r="B51" t="str">
            <v>167-0020</v>
          </cell>
          <cell r="C51" t="str">
            <v>Two Farms, Inc.</v>
          </cell>
          <cell r="D51" t="str">
            <v>Royal Farms 192</v>
          </cell>
          <cell r="E51" t="str">
            <v>MARCUS HOOK PA</v>
          </cell>
          <cell r="F51">
            <v>42415</v>
          </cell>
          <cell r="G51">
            <v>42418</v>
          </cell>
          <cell r="I51">
            <v>42419</v>
          </cell>
          <cell r="J51" t="str">
            <v>PC</v>
          </cell>
          <cell r="L51">
            <v>2309</v>
          </cell>
          <cell r="M51">
            <v>0</v>
          </cell>
          <cell r="N51">
            <v>5</v>
          </cell>
          <cell r="O51">
            <v>21512.09</v>
          </cell>
          <cell r="P51" t="str">
            <v>GA</v>
          </cell>
          <cell r="Q51" t="str">
            <v>4PD</v>
          </cell>
          <cell r="R51">
            <v>34999.693500000001</v>
          </cell>
          <cell r="S51" t="b">
            <v>0</v>
          </cell>
          <cell r="T51" t="str">
            <v>No</v>
          </cell>
          <cell r="U51" t="str">
            <v>FBed</v>
          </cell>
          <cell r="V51" t="str">
            <v>A</v>
          </cell>
        </row>
        <row r="52">
          <cell r="B52" t="str">
            <v>165-0011</v>
          </cell>
          <cell r="C52" t="str">
            <v>Roche Brothers / DTX</v>
          </cell>
          <cell r="D52" t="str">
            <v>Roche Brothers</v>
          </cell>
          <cell r="E52" t="str">
            <v>Boston, MA</v>
          </cell>
          <cell r="F52">
            <v>42415</v>
          </cell>
          <cell r="G52">
            <v>42418</v>
          </cell>
          <cell r="I52">
            <v>42419</v>
          </cell>
          <cell r="J52" t="str">
            <v>SC</v>
          </cell>
          <cell r="L52">
            <v>4491</v>
          </cell>
          <cell r="M52">
            <v>0</v>
          </cell>
          <cell r="N52">
            <v>3</v>
          </cell>
          <cell r="O52">
            <v>76860.41</v>
          </cell>
          <cell r="P52" t="str">
            <v>GA</v>
          </cell>
          <cell r="Q52" t="str">
            <v>4PD</v>
          </cell>
          <cell r="R52">
            <v>79809.3122</v>
          </cell>
          <cell r="S52" t="b">
            <v>0</v>
          </cell>
          <cell r="T52" t="str">
            <v>No</v>
          </cell>
          <cell r="V52" t="str">
            <v>A</v>
          </cell>
        </row>
        <row r="53">
          <cell r="B53" t="str">
            <v>167-0135</v>
          </cell>
          <cell r="C53" t="str">
            <v>SMI Procurement Co./Schnucks</v>
          </cell>
          <cell r="D53" t="str">
            <v>SchnucksTelegraph #118</v>
          </cell>
          <cell r="E53" t="str">
            <v>SAINT LOUIS MO</v>
          </cell>
          <cell r="F53">
            <v>42415</v>
          </cell>
          <cell r="G53">
            <v>42418</v>
          </cell>
          <cell r="I53">
            <v>42419</v>
          </cell>
          <cell r="J53" t="str">
            <v>SS</v>
          </cell>
          <cell r="L53">
            <v>274</v>
          </cell>
          <cell r="M53">
            <v>0</v>
          </cell>
          <cell r="N53">
            <v>0</v>
          </cell>
          <cell r="O53">
            <v>4008.91</v>
          </cell>
          <cell r="P53" t="str">
            <v>GA</v>
          </cell>
          <cell r="Q53" t="str">
            <v>4PD</v>
          </cell>
          <cell r="R53">
            <v>4008.9110000000001</v>
          </cell>
          <cell r="S53" t="b">
            <v>0</v>
          </cell>
          <cell r="T53" t="str">
            <v>No</v>
          </cell>
          <cell r="U53" t="str">
            <v>LTL</v>
          </cell>
        </row>
        <row r="54">
          <cell r="B54" t="str">
            <v>155-0913B</v>
          </cell>
          <cell r="C54" t="str">
            <v>Publix Super Markets Inc.</v>
          </cell>
          <cell r="D54" t="str">
            <v>Publix Rocket Court Pharmacy</v>
          </cell>
          <cell r="F54">
            <v>42415</v>
          </cell>
          <cell r="G54">
            <v>42418</v>
          </cell>
          <cell r="I54">
            <v>42419</v>
          </cell>
          <cell r="J54" t="str">
            <v>AP</v>
          </cell>
          <cell r="L54">
            <v>0</v>
          </cell>
          <cell r="M54">
            <v>0</v>
          </cell>
          <cell r="N54">
            <v>0</v>
          </cell>
          <cell r="O54">
            <v>0</v>
          </cell>
          <cell r="P54" t="str">
            <v>GA</v>
          </cell>
          <cell r="Q54" t="str">
            <v>4PD</v>
          </cell>
          <cell r="R54">
            <v>16904.03</v>
          </cell>
          <cell r="S54" t="b">
            <v>1</v>
          </cell>
          <cell r="T54" t="str">
            <v>Yes</v>
          </cell>
        </row>
        <row r="55">
          <cell r="B55" t="str">
            <v>157-2217</v>
          </cell>
          <cell r="C55" t="str">
            <v>Wal-Mart Store Planning</v>
          </cell>
          <cell r="D55" t="str">
            <v>Walmart 5087-211-SC-REM</v>
          </cell>
          <cell r="E55" t="str">
            <v>N. Myrtle Beach, SC</v>
          </cell>
          <cell r="F55">
            <v>42415</v>
          </cell>
          <cell r="G55">
            <v>42418</v>
          </cell>
          <cell r="I55">
            <v>42419</v>
          </cell>
          <cell r="J55" t="str">
            <v>PQ</v>
          </cell>
          <cell r="L55">
            <v>0</v>
          </cell>
          <cell r="M55">
            <v>0</v>
          </cell>
          <cell r="N55">
            <v>1</v>
          </cell>
          <cell r="O55">
            <v>16517.48</v>
          </cell>
          <cell r="P55" t="str">
            <v>GA</v>
          </cell>
          <cell r="Q55" t="str">
            <v>4PD</v>
          </cell>
          <cell r="R55">
            <v>73792.409700000004</v>
          </cell>
          <cell r="S55" t="b">
            <v>1</v>
          </cell>
          <cell r="T55" t="str">
            <v>Yes</v>
          </cell>
          <cell r="V55" t="str">
            <v>A</v>
          </cell>
        </row>
        <row r="56">
          <cell r="B56" t="str">
            <v>157-2229</v>
          </cell>
          <cell r="C56" t="str">
            <v>Madigan Refrigeration</v>
          </cell>
          <cell r="D56" t="str">
            <v>Baraboo Freezer</v>
          </cell>
          <cell r="E56" t="str">
            <v>Wisconsin</v>
          </cell>
          <cell r="F56">
            <v>42415</v>
          </cell>
          <cell r="G56">
            <v>42418</v>
          </cell>
          <cell r="H56">
            <v>46.2</v>
          </cell>
          <cell r="I56">
            <v>42419</v>
          </cell>
          <cell r="J56" t="str">
            <v>PF</v>
          </cell>
          <cell r="K56" t="str">
            <v>CC</v>
          </cell>
          <cell r="L56">
            <v>1841</v>
          </cell>
          <cell r="M56">
            <v>38</v>
          </cell>
          <cell r="N56">
            <v>2</v>
          </cell>
          <cell r="O56">
            <v>15670.95</v>
          </cell>
          <cell r="P56" t="str">
            <v>GA</v>
          </cell>
          <cell r="Q56" t="str">
            <v>4PD</v>
          </cell>
          <cell r="R56">
            <v>15882.7562</v>
          </cell>
          <cell r="S56" t="b">
            <v>1</v>
          </cell>
          <cell r="T56" t="str">
            <v>Yes</v>
          </cell>
          <cell r="V56" t="str">
            <v>A</v>
          </cell>
        </row>
        <row r="57">
          <cell r="B57" t="str">
            <v>150-0578</v>
          </cell>
          <cell r="C57" t="str">
            <v>Tamimi Company</v>
          </cell>
          <cell r="D57" t="str">
            <v>Tamimi # 124 - Dammam</v>
          </cell>
          <cell r="E57" t="str">
            <v xml:space="preserve">Dammam </v>
          </cell>
          <cell r="F57">
            <v>42415</v>
          </cell>
          <cell r="G57">
            <v>42419</v>
          </cell>
          <cell r="I57">
            <v>42422</v>
          </cell>
          <cell r="J57" t="str">
            <v>SF</v>
          </cell>
          <cell r="L57">
            <v>6412</v>
          </cell>
          <cell r="M57">
            <v>0</v>
          </cell>
          <cell r="N57">
            <v>9</v>
          </cell>
          <cell r="O57">
            <v>58428.26</v>
          </cell>
          <cell r="P57" t="str">
            <v>GA</v>
          </cell>
          <cell r="Q57" t="str">
            <v>4PD</v>
          </cell>
          <cell r="R57">
            <v>63129.088799999998</v>
          </cell>
          <cell r="S57" t="b">
            <v>0</v>
          </cell>
          <cell r="T57" t="str">
            <v>No</v>
          </cell>
          <cell r="V57" t="str">
            <v>CIA</v>
          </cell>
        </row>
        <row r="58">
          <cell r="B58" t="str">
            <v>155-0989</v>
          </cell>
          <cell r="C58" t="str">
            <v>Associated Grocers of Florida</v>
          </cell>
          <cell r="D58" t="str">
            <v>Chase</v>
          </cell>
          <cell r="E58" t="str">
            <v xml:space="preserve"> </v>
          </cell>
          <cell r="F58">
            <v>42415</v>
          </cell>
          <cell r="G58">
            <v>42419</v>
          </cell>
          <cell r="I58">
            <v>42422</v>
          </cell>
          <cell r="J58" t="str">
            <v>RS</v>
          </cell>
          <cell r="L58">
            <v>3262</v>
          </cell>
          <cell r="M58">
            <v>0</v>
          </cell>
          <cell r="N58">
            <v>0</v>
          </cell>
          <cell r="O58">
            <v>28524.62</v>
          </cell>
          <cell r="P58" t="str">
            <v>GA</v>
          </cell>
          <cell r="Q58" t="str">
            <v>4PD</v>
          </cell>
          <cell r="R58">
            <v>40498.794000000002</v>
          </cell>
          <cell r="S58" t="b">
            <v>1</v>
          </cell>
          <cell r="T58" t="str">
            <v>Yes</v>
          </cell>
          <cell r="V58" t="str">
            <v>A</v>
          </cell>
        </row>
        <row r="59">
          <cell r="B59" t="str">
            <v xml:space="preserve">165-0057 </v>
          </cell>
          <cell r="C59" t="str">
            <v>Berachah Air</v>
          </cell>
          <cell r="D59" t="str">
            <v>Tuckernuck Grocery</v>
          </cell>
          <cell r="E59" t="str">
            <v xml:space="preserve"> Henrico, VA</v>
          </cell>
          <cell r="F59">
            <v>42415</v>
          </cell>
          <cell r="G59">
            <v>42422</v>
          </cell>
          <cell r="I59">
            <v>42419</v>
          </cell>
          <cell r="J59" t="str">
            <v>VSS</v>
          </cell>
          <cell r="L59">
            <v>3261</v>
          </cell>
          <cell r="M59">
            <v>0</v>
          </cell>
          <cell r="N59">
            <v>2</v>
          </cell>
          <cell r="O59">
            <v>31813.05</v>
          </cell>
          <cell r="P59" t="str">
            <v>GA</v>
          </cell>
          <cell r="Q59" t="str">
            <v>4PD</v>
          </cell>
          <cell r="R59">
            <v>44844.669000000002</v>
          </cell>
          <cell r="S59" t="b">
            <v>0</v>
          </cell>
          <cell r="T59" t="str">
            <v>No</v>
          </cell>
          <cell r="V59" t="str">
            <v>A</v>
          </cell>
        </row>
        <row r="60">
          <cell r="B60" t="str">
            <v>155-1127</v>
          </cell>
          <cell r="C60" t="str">
            <v>Bay Area Electric &amp; Refrig.</v>
          </cell>
          <cell r="D60" t="str">
            <v>Palm Bay</v>
          </cell>
          <cell r="E60" t="str">
            <v xml:space="preserve"> </v>
          </cell>
          <cell r="F60">
            <v>42415</v>
          </cell>
          <cell r="G60">
            <v>42422</v>
          </cell>
          <cell r="I60">
            <v>42423</v>
          </cell>
          <cell r="J60" t="str">
            <v>PC</v>
          </cell>
          <cell r="L60">
            <v>286</v>
          </cell>
          <cell r="M60">
            <v>0</v>
          </cell>
          <cell r="N60">
            <v>0</v>
          </cell>
          <cell r="O60">
            <v>2917.24</v>
          </cell>
          <cell r="P60" t="str">
            <v>GA</v>
          </cell>
          <cell r="Q60" t="str">
            <v>4PD</v>
          </cell>
          <cell r="R60">
            <v>2917.2395999999999</v>
          </cell>
          <cell r="S60" t="b">
            <v>0</v>
          </cell>
          <cell r="T60" t="str">
            <v>No</v>
          </cell>
          <cell r="V60" t="str">
            <v>A</v>
          </cell>
        </row>
        <row r="61">
          <cell r="B61" t="str">
            <v>165-0021</v>
          </cell>
          <cell r="C61" t="str">
            <v>Dollar Tree Sourcing Comp. LLC</v>
          </cell>
          <cell r="D61" t="str">
            <v>DT# 6243   WM FRDRCLDL</v>
          </cell>
          <cell r="E61" t="str">
            <v>HOULTON, ME</v>
          </cell>
          <cell r="F61">
            <v>42415</v>
          </cell>
          <cell r="G61">
            <v>42422</v>
          </cell>
          <cell r="I61">
            <v>42423</v>
          </cell>
          <cell r="J61" t="str">
            <v>.</v>
          </cell>
          <cell r="L61">
            <v>551</v>
          </cell>
          <cell r="M61">
            <v>0</v>
          </cell>
          <cell r="N61">
            <v>2</v>
          </cell>
          <cell r="O61">
            <v>5500.12</v>
          </cell>
          <cell r="P61" t="str">
            <v>GA</v>
          </cell>
          <cell r="Q61" t="str">
            <v>4PD</v>
          </cell>
          <cell r="R61">
            <v>9933.2451999999994</v>
          </cell>
          <cell r="S61" t="b">
            <v>1</v>
          </cell>
          <cell r="T61" t="str">
            <v>Yes</v>
          </cell>
        </row>
        <row r="62">
          <cell r="B62" t="str">
            <v>155-0991E</v>
          </cell>
          <cell r="C62" t="str">
            <v>Publix Super Markets Inc.</v>
          </cell>
          <cell r="D62" t="str">
            <v>Publix 1342 - Manatee, FL</v>
          </cell>
          <cell r="E62" t="str">
            <v>Manatee, FL</v>
          </cell>
          <cell r="F62">
            <v>42415</v>
          </cell>
          <cell r="G62">
            <v>42422</v>
          </cell>
          <cell r="I62">
            <v>42423</v>
          </cell>
          <cell r="J62" t="str">
            <v>SC</v>
          </cell>
          <cell r="L62">
            <v>1920</v>
          </cell>
          <cell r="M62">
            <v>0</v>
          </cell>
          <cell r="N62">
            <v>2</v>
          </cell>
          <cell r="O62">
            <v>15584.2</v>
          </cell>
          <cell r="P62" t="str">
            <v>GA</v>
          </cell>
          <cell r="Q62" t="str">
            <v>4PD</v>
          </cell>
          <cell r="R62">
            <v>16450.839</v>
          </cell>
          <cell r="S62" t="b">
            <v>0</v>
          </cell>
          <cell r="T62" t="str">
            <v>No</v>
          </cell>
          <cell r="V62" t="str">
            <v>A</v>
          </cell>
        </row>
        <row r="63">
          <cell r="B63" t="str">
            <v>155-1148</v>
          </cell>
          <cell r="C63" t="str">
            <v>Publix Super Markets Inc.</v>
          </cell>
          <cell r="D63" t="str">
            <v>Publix #1047, Spring Hill Village</v>
          </cell>
          <cell r="E63" t="str">
            <v>Williamson, TN</v>
          </cell>
          <cell r="F63">
            <v>42415</v>
          </cell>
          <cell r="G63">
            <v>42422</v>
          </cell>
          <cell r="I63">
            <v>42423</v>
          </cell>
          <cell r="J63" t="str">
            <v>AP</v>
          </cell>
          <cell r="L63">
            <v>0</v>
          </cell>
          <cell r="M63">
            <v>0</v>
          </cell>
          <cell r="N63">
            <v>1</v>
          </cell>
          <cell r="O63">
            <v>1610.1</v>
          </cell>
          <cell r="P63" t="str">
            <v>GA</v>
          </cell>
          <cell r="Q63" t="str">
            <v>4PD</v>
          </cell>
          <cell r="R63">
            <v>1856.06</v>
          </cell>
          <cell r="S63" t="b">
            <v>0</v>
          </cell>
          <cell r="T63" t="str">
            <v>No</v>
          </cell>
          <cell r="V63" t="str">
            <v>A</v>
          </cell>
        </row>
        <row r="64">
          <cell r="B64" t="str">
            <v>165-0020</v>
          </cell>
          <cell r="C64" t="str">
            <v>Dollar Tree Sourcing Comp. LLC</v>
          </cell>
          <cell r="D64" t="str">
            <v>DT# 6278   WM FLDLCRDR  DP WIC/LED</v>
          </cell>
          <cell r="E64" t="str">
            <v>MT GILEAD, OH</v>
          </cell>
          <cell r="F64">
            <v>42415</v>
          </cell>
          <cell r="G64">
            <v>42425</v>
          </cell>
          <cell r="I64">
            <v>42426</v>
          </cell>
          <cell r="J64" t="str">
            <v>.</v>
          </cell>
          <cell r="L64">
            <v>551</v>
          </cell>
          <cell r="M64">
            <v>0</v>
          </cell>
          <cell r="N64">
            <v>2</v>
          </cell>
          <cell r="O64">
            <v>5669.12</v>
          </cell>
          <cell r="P64" t="str">
            <v>GA</v>
          </cell>
          <cell r="Q64" t="str">
            <v>4PD</v>
          </cell>
          <cell r="R64">
            <v>10225.245199999999</v>
          </cell>
          <cell r="S64" t="b">
            <v>1</v>
          </cell>
          <cell r="T64" t="str">
            <v>Yes</v>
          </cell>
        </row>
        <row r="65">
          <cell r="B65" t="str">
            <v>165-0102</v>
          </cell>
          <cell r="C65" t="str">
            <v>Frey - Moss Structures</v>
          </cell>
          <cell r="D65" t="str">
            <v>R-1 Template Murphy #1200 G626601</v>
          </cell>
          <cell r="E65" t="str">
            <v>Conyers, GA</v>
          </cell>
          <cell r="F65">
            <v>42415</v>
          </cell>
          <cell r="G65">
            <v>42425</v>
          </cell>
          <cell r="I65">
            <v>42426</v>
          </cell>
          <cell r="J65" t="str">
            <v>AP</v>
          </cell>
          <cell r="L65">
            <v>799</v>
          </cell>
          <cell r="M65">
            <v>0</v>
          </cell>
          <cell r="N65">
            <v>1</v>
          </cell>
          <cell r="O65">
            <v>7090.6</v>
          </cell>
          <cell r="P65" t="str">
            <v>GA</v>
          </cell>
          <cell r="Q65" t="str">
            <v>4PD</v>
          </cell>
          <cell r="R65">
            <v>26045.000100000001</v>
          </cell>
          <cell r="S65" t="b">
            <v>0</v>
          </cell>
          <cell r="T65" t="str">
            <v>No</v>
          </cell>
        </row>
        <row r="66">
          <cell r="B66" t="str">
            <v>165-0101</v>
          </cell>
          <cell r="C66" t="str">
            <v>Frey - Moss Structures</v>
          </cell>
          <cell r="D66" t="str">
            <v>R-1 Template Murphy #1200 G626601</v>
          </cell>
          <cell r="E66" t="str">
            <v>Conyers, GA</v>
          </cell>
          <cell r="F66">
            <v>42415</v>
          </cell>
          <cell r="G66">
            <v>42425</v>
          </cell>
          <cell r="I66">
            <v>42426</v>
          </cell>
          <cell r="J66" t="str">
            <v>AP</v>
          </cell>
          <cell r="L66">
            <v>799</v>
          </cell>
          <cell r="M66">
            <v>0</v>
          </cell>
          <cell r="N66">
            <v>1</v>
          </cell>
          <cell r="O66">
            <v>7090.6</v>
          </cell>
          <cell r="P66" t="str">
            <v>GA</v>
          </cell>
          <cell r="Q66" t="str">
            <v>4PD</v>
          </cell>
          <cell r="R66">
            <v>26045.000100000001</v>
          </cell>
          <cell r="S66" t="b">
            <v>0</v>
          </cell>
          <cell r="T66" t="str">
            <v>No</v>
          </cell>
        </row>
        <row r="67">
          <cell r="B67" t="str">
            <v>165-0100</v>
          </cell>
          <cell r="C67" t="str">
            <v>Frey - Moss Structures</v>
          </cell>
          <cell r="D67" t="str">
            <v>R-1 Template Murphy #1200 G626601</v>
          </cell>
          <cell r="E67" t="str">
            <v>Conyers, GA</v>
          </cell>
          <cell r="F67">
            <v>42415</v>
          </cell>
          <cell r="G67">
            <v>42425</v>
          </cell>
          <cell r="I67">
            <v>42426</v>
          </cell>
          <cell r="J67" t="str">
            <v>AP</v>
          </cell>
          <cell r="L67">
            <v>799</v>
          </cell>
          <cell r="M67">
            <v>0</v>
          </cell>
          <cell r="N67">
            <v>1</v>
          </cell>
          <cell r="O67">
            <v>7090.6</v>
          </cell>
          <cell r="P67" t="str">
            <v>GA</v>
          </cell>
          <cell r="Q67" t="str">
            <v>4PD</v>
          </cell>
          <cell r="R67">
            <v>26045.000100000001</v>
          </cell>
          <cell r="S67" t="b">
            <v>0</v>
          </cell>
          <cell r="T67" t="str">
            <v>No</v>
          </cell>
        </row>
        <row r="68">
          <cell r="B68" t="str">
            <v>165-0099</v>
          </cell>
          <cell r="C68" t="str">
            <v>Frey - Moss Structures</v>
          </cell>
          <cell r="D68" t="str">
            <v>R-1 Template Murphy #1200 G626601</v>
          </cell>
          <cell r="E68" t="str">
            <v>Conyers, GA</v>
          </cell>
          <cell r="F68">
            <v>42415</v>
          </cell>
          <cell r="G68">
            <v>42425</v>
          </cell>
          <cell r="I68">
            <v>42426</v>
          </cell>
          <cell r="J68" t="str">
            <v>AP</v>
          </cell>
          <cell r="L68">
            <v>799</v>
          </cell>
          <cell r="M68">
            <v>0</v>
          </cell>
          <cell r="N68">
            <v>1</v>
          </cell>
          <cell r="O68">
            <v>7090.6</v>
          </cell>
          <cell r="P68" t="str">
            <v>GA</v>
          </cell>
          <cell r="Q68" t="str">
            <v>4PD</v>
          </cell>
          <cell r="R68">
            <v>26045.000100000001</v>
          </cell>
          <cell r="S68" t="b">
            <v>0</v>
          </cell>
          <cell r="T68" t="str">
            <v>No</v>
          </cell>
        </row>
        <row r="69">
          <cell r="B69" t="str">
            <v>165-0098</v>
          </cell>
          <cell r="C69" t="str">
            <v>Frey - Moss Structures</v>
          </cell>
          <cell r="D69" t="str">
            <v>R-1 Template Murphy #1200 G626601</v>
          </cell>
          <cell r="E69" t="str">
            <v>Conyers, GA</v>
          </cell>
          <cell r="F69">
            <v>42415</v>
          </cell>
          <cell r="G69">
            <v>42425</v>
          </cell>
          <cell r="I69">
            <v>42426</v>
          </cell>
          <cell r="J69" t="str">
            <v>AP</v>
          </cell>
          <cell r="L69">
            <v>799</v>
          </cell>
          <cell r="M69">
            <v>0</v>
          </cell>
          <cell r="N69">
            <v>1</v>
          </cell>
          <cell r="O69">
            <v>7090.6</v>
          </cell>
          <cell r="P69" t="str">
            <v>GA</v>
          </cell>
          <cell r="Q69" t="str">
            <v>4PD</v>
          </cell>
          <cell r="R69">
            <v>26045.000100000001</v>
          </cell>
          <cell r="S69" t="b">
            <v>0</v>
          </cell>
          <cell r="T69" t="str">
            <v>No</v>
          </cell>
        </row>
        <row r="70">
          <cell r="B70" t="str">
            <v>165-0097</v>
          </cell>
          <cell r="C70" t="str">
            <v>Frey - Moss Structures</v>
          </cell>
          <cell r="D70" t="str">
            <v>R-1 Template Murphy #1200 G626601</v>
          </cell>
          <cell r="E70" t="str">
            <v>Conyers, GA</v>
          </cell>
          <cell r="F70">
            <v>42415</v>
          </cell>
          <cell r="G70">
            <v>42425</v>
          </cell>
          <cell r="I70">
            <v>42426</v>
          </cell>
          <cell r="J70" t="str">
            <v>AP</v>
          </cell>
          <cell r="L70">
            <v>799</v>
          </cell>
          <cell r="M70">
            <v>0</v>
          </cell>
          <cell r="N70">
            <v>1</v>
          </cell>
          <cell r="O70">
            <v>7090.6</v>
          </cell>
          <cell r="P70" t="str">
            <v>GA</v>
          </cell>
          <cell r="Q70" t="str">
            <v>4PD</v>
          </cell>
          <cell r="R70">
            <v>26045.000100000001</v>
          </cell>
          <cell r="S70" t="b">
            <v>0</v>
          </cell>
          <cell r="T70" t="str">
            <v>No</v>
          </cell>
        </row>
        <row r="71">
          <cell r="B71" t="str">
            <v>165-0096</v>
          </cell>
          <cell r="C71" t="str">
            <v>Frey - Moss Structures</v>
          </cell>
          <cell r="D71" t="str">
            <v>R-1 Template Murphy #1200 G626601</v>
          </cell>
          <cell r="E71" t="str">
            <v>Conyers, GA</v>
          </cell>
          <cell r="F71">
            <v>42415</v>
          </cell>
          <cell r="G71">
            <v>42425</v>
          </cell>
          <cell r="I71">
            <v>42426</v>
          </cell>
          <cell r="J71" t="str">
            <v>AP</v>
          </cell>
          <cell r="L71">
            <v>799</v>
          </cell>
          <cell r="M71">
            <v>0</v>
          </cell>
          <cell r="N71">
            <v>1</v>
          </cell>
          <cell r="O71">
            <v>7090.6</v>
          </cell>
          <cell r="P71" t="str">
            <v>GA</v>
          </cell>
          <cell r="Q71" t="str">
            <v>4PD</v>
          </cell>
          <cell r="R71">
            <v>26045.000100000001</v>
          </cell>
          <cell r="S71" t="b">
            <v>0</v>
          </cell>
          <cell r="T71" t="str">
            <v>No</v>
          </cell>
        </row>
        <row r="72">
          <cell r="B72" t="str">
            <v>165-0095</v>
          </cell>
          <cell r="C72" t="str">
            <v>Frey - Moss Structures</v>
          </cell>
          <cell r="D72" t="str">
            <v>R-1 Template Murphy #1200 G626601</v>
          </cell>
          <cell r="E72" t="str">
            <v>Conyers, GA</v>
          </cell>
          <cell r="F72">
            <v>42415</v>
          </cell>
          <cell r="G72">
            <v>42425</v>
          </cell>
          <cell r="I72">
            <v>42426</v>
          </cell>
          <cell r="J72" t="str">
            <v>AP</v>
          </cell>
          <cell r="L72">
            <v>799</v>
          </cell>
          <cell r="M72">
            <v>0</v>
          </cell>
          <cell r="N72">
            <v>1</v>
          </cell>
          <cell r="O72">
            <v>7090.6</v>
          </cell>
          <cell r="P72" t="str">
            <v>GA</v>
          </cell>
          <cell r="Q72" t="str">
            <v>4PD</v>
          </cell>
          <cell r="R72">
            <v>26045.000100000001</v>
          </cell>
          <cell r="S72" t="b">
            <v>0</v>
          </cell>
          <cell r="T72" t="str">
            <v>No</v>
          </cell>
        </row>
        <row r="73">
          <cell r="B73" t="str">
            <v xml:space="preserve">157-1876 </v>
          </cell>
          <cell r="C73" t="str">
            <v>KPS, LLC Columbus #016</v>
          </cell>
          <cell r="D73" t="str">
            <v>Kroger N-822</v>
          </cell>
          <cell r="E73" t="str">
            <v>WASHINGTON COURT HOUSE OH</v>
          </cell>
          <cell r="F73">
            <v>42415</v>
          </cell>
          <cell r="G73">
            <v>42425</v>
          </cell>
          <cell r="I73">
            <v>42426</v>
          </cell>
          <cell r="J73" t="str">
            <v>AP</v>
          </cell>
          <cell r="L73">
            <v>1674</v>
          </cell>
          <cell r="M73">
            <v>0</v>
          </cell>
          <cell r="N73">
            <v>2</v>
          </cell>
          <cell r="O73">
            <v>13927.63</v>
          </cell>
          <cell r="P73" t="str">
            <v>GA</v>
          </cell>
          <cell r="Q73" t="str">
            <v>4PD</v>
          </cell>
          <cell r="R73">
            <v>13927.6312</v>
          </cell>
          <cell r="S73" t="b">
            <v>1</v>
          </cell>
          <cell r="T73" t="str">
            <v>Yes</v>
          </cell>
          <cell r="U73" t="str">
            <v>FBed</v>
          </cell>
          <cell r="V73" t="str">
            <v>A</v>
          </cell>
        </row>
        <row r="74">
          <cell r="B74" t="str">
            <v>157-1395</v>
          </cell>
          <cell r="C74" t="str">
            <v>KPS, LLC Michigan # 018</v>
          </cell>
          <cell r="D74" t="str">
            <v>Kroger D-759</v>
          </cell>
          <cell r="E74" t="str">
            <v>White Lake MI</v>
          </cell>
          <cell r="F74">
            <v>42415</v>
          </cell>
          <cell r="G74">
            <v>42425</v>
          </cell>
          <cell r="I74">
            <v>42426</v>
          </cell>
          <cell r="J74" t="str">
            <v>RW</v>
          </cell>
          <cell r="L74">
            <v>17363</v>
          </cell>
          <cell r="M74">
            <v>0</v>
          </cell>
          <cell r="N74">
            <v>17</v>
          </cell>
          <cell r="O74">
            <v>126233.63</v>
          </cell>
          <cell r="P74" t="str">
            <v>GA</v>
          </cell>
          <cell r="Q74" t="str">
            <v>4PD</v>
          </cell>
          <cell r="R74">
            <v>126233.6292</v>
          </cell>
          <cell r="S74" t="b">
            <v>0</v>
          </cell>
          <cell r="T74" t="str">
            <v>No</v>
          </cell>
          <cell r="U74" t="str">
            <v>FBed</v>
          </cell>
        </row>
        <row r="75">
          <cell r="B75" t="str">
            <v>157-1792</v>
          </cell>
          <cell r="C75" t="str">
            <v>KPS, LLC Atlanta # 011</v>
          </cell>
          <cell r="D75" t="str">
            <v>Kroger GA-644</v>
          </cell>
          <cell r="E75" t="str">
            <v>Augusta GA</v>
          </cell>
          <cell r="F75">
            <v>42415</v>
          </cell>
          <cell r="G75">
            <v>42425</v>
          </cell>
          <cell r="I75">
            <v>42426</v>
          </cell>
          <cell r="J75" t="str">
            <v>SS</v>
          </cell>
          <cell r="L75">
            <v>16444</v>
          </cell>
          <cell r="M75">
            <v>0</v>
          </cell>
          <cell r="N75">
            <v>14</v>
          </cell>
          <cell r="O75">
            <v>122376.55</v>
          </cell>
          <cell r="P75" t="str">
            <v>GA</v>
          </cell>
          <cell r="Q75" t="str">
            <v>4PD</v>
          </cell>
          <cell r="R75">
            <v>122376.5469</v>
          </cell>
          <cell r="S75" t="b">
            <v>1</v>
          </cell>
          <cell r="T75" t="str">
            <v>Yes</v>
          </cell>
          <cell r="U75" t="str">
            <v>FBed</v>
          </cell>
          <cell r="V75" t="str">
            <v>A</v>
          </cell>
        </row>
        <row r="76">
          <cell r="B76" t="str">
            <v>167-0048PEV1</v>
          </cell>
          <cell r="C76" t="str">
            <v>KPS, LLC Mid-Atlantic # 029</v>
          </cell>
          <cell r="D76" t="str">
            <v>Kroger R-514 OLS</v>
          </cell>
          <cell r="E76" t="str">
            <v>RICHMOND VA</v>
          </cell>
          <cell r="F76">
            <v>42415</v>
          </cell>
          <cell r="G76">
            <v>42425</v>
          </cell>
          <cell r="I76">
            <v>42426</v>
          </cell>
          <cell r="J76" t="str">
            <v>RS</v>
          </cell>
          <cell r="L76">
            <v>1352</v>
          </cell>
          <cell r="M76">
            <v>0</v>
          </cell>
          <cell r="N76">
            <v>3</v>
          </cell>
          <cell r="O76">
            <v>12407.08</v>
          </cell>
          <cell r="P76" t="str">
            <v>GA</v>
          </cell>
          <cell r="Q76" t="str">
            <v>4PD</v>
          </cell>
          <cell r="R76">
            <v>14249.4112</v>
          </cell>
          <cell r="S76" t="b">
            <v>0</v>
          </cell>
          <cell r="T76" t="str">
            <v>No</v>
          </cell>
          <cell r="U76" t="str">
            <v>FBed</v>
          </cell>
          <cell r="V76" t="str">
            <v>A</v>
          </cell>
        </row>
        <row r="77">
          <cell r="B77" t="str">
            <v>157-0520A</v>
          </cell>
          <cell r="C77" t="str">
            <v>KPS, LLC Cincinnati #014</v>
          </cell>
          <cell r="D77" t="str">
            <v>A-935</v>
          </cell>
          <cell r="E77" t="str">
            <v>Centerville, OH</v>
          </cell>
          <cell r="F77">
            <v>42415</v>
          </cell>
          <cell r="G77">
            <v>42425</v>
          </cell>
          <cell r="I77">
            <v>42426</v>
          </cell>
          <cell r="J77" t="str">
            <v>AP</v>
          </cell>
          <cell r="L77">
            <v>3179</v>
          </cell>
          <cell r="M77">
            <v>0</v>
          </cell>
          <cell r="N77">
            <v>2</v>
          </cell>
          <cell r="O77">
            <v>22465.53</v>
          </cell>
          <cell r="P77" t="str">
            <v>GA</v>
          </cell>
          <cell r="Q77" t="str">
            <v>4PD</v>
          </cell>
          <cell r="R77">
            <v>22465.5288</v>
          </cell>
          <cell r="S77" t="b">
            <v>0</v>
          </cell>
          <cell r="T77" t="str">
            <v>No</v>
          </cell>
          <cell r="U77" t="str">
            <v>FBed</v>
          </cell>
        </row>
        <row r="78">
          <cell r="B78" t="str">
            <v>165-0104</v>
          </cell>
          <cell r="C78" t="str">
            <v>Frey - Moss Structures</v>
          </cell>
          <cell r="D78" t="str">
            <v>R-1 Template Murphy #1200 G626601</v>
          </cell>
          <cell r="E78" t="str">
            <v>Conyers, GA</v>
          </cell>
          <cell r="F78">
            <v>42415</v>
          </cell>
          <cell r="G78">
            <v>42425</v>
          </cell>
          <cell r="I78">
            <v>42426</v>
          </cell>
          <cell r="J78" t="str">
            <v>AP</v>
          </cell>
          <cell r="L78">
            <v>799</v>
          </cell>
          <cell r="M78">
            <v>0</v>
          </cell>
          <cell r="N78">
            <v>1</v>
          </cell>
          <cell r="O78">
            <v>7090.6</v>
          </cell>
          <cell r="P78" t="str">
            <v>GA</v>
          </cell>
          <cell r="Q78" t="str">
            <v>4PD</v>
          </cell>
          <cell r="R78">
            <v>26045.000100000001</v>
          </cell>
          <cell r="S78" t="b">
            <v>0</v>
          </cell>
          <cell r="T78" t="str">
            <v>No</v>
          </cell>
        </row>
        <row r="79">
          <cell r="B79" t="str">
            <v>165-0103</v>
          </cell>
          <cell r="C79" t="str">
            <v>Frey - Moss Structures</v>
          </cell>
          <cell r="D79" t="str">
            <v>R-1 Template Murphy #1200 G626601</v>
          </cell>
          <cell r="E79" t="str">
            <v>Conyers, GA</v>
          </cell>
          <cell r="F79">
            <v>42415</v>
          </cell>
          <cell r="G79">
            <v>42425</v>
          </cell>
          <cell r="I79">
            <v>42426</v>
          </cell>
          <cell r="J79" t="str">
            <v>AP</v>
          </cell>
          <cell r="L79">
            <v>799</v>
          </cell>
          <cell r="M79">
            <v>0</v>
          </cell>
          <cell r="N79">
            <v>1</v>
          </cell>
          <cell r="O79">
            <v>7090.6</v>
          </cell>
          <cell r="P79" t="str">
            <v>GA</v>
          </cell>
          <cell r="Q79" t="str">
            <v>4PD</v>
          </cell>
          <cell r="R79">
            <v>26045.000100000001</v>
          </cell>
          <cell r="S79" t="b">
            <v>0</v>
          </cell>
          <cell r="T79" t="str">
            <v>No</v>
          </cell>
        </row>
        <row r="80">
          <cell r="B80" t="str">
            <v>155-1149</v>
          </cell>
          <cell r="C80" t="str">
            <v>Publix Super Markets Inc.</v>
          </cell>
          <cell r="D80" t="str">
            <v>Publix #1006, Mirasol Walk</v>
          </cell>
          <cell r="E80" t="str">
            <v>Paolm Beach, FL</v>
          </cell>
          <cell r="F80">
            <v>42415</v>
          </cell>
          <cell r="G80">
            <v>42425</v>
          </cell>
          <cell r="I80">
            <v>42426</v>
          </cell>
          <cell r="J80" t="str">
            <v>AP</v>
          </cell>
          <cell r="L80">
            <v>0</v>
          </cell>
          <cell r="M80">
            <v>0</v>
          </cell>
          <cell r="N80">
            <v>1</v>
          </cell>
          <cell r="O80">
            <v>1610.1</v>
          </cell>
          <cell r="P80" t="str">
            <v>GA</v>
          </cell>
          <cell r="Q80" t="str">
            <v>4PD</v>
          </cell>
          <cell r="R80">
            <v>1856.06</v>
          </cell>
          <cell r="S80" t="b">
            <v>0</v>
          </cell>
          <cell r="T80" t="str">
            <v>No</v>
          </cell>
          <cell r="V80" t="str">
            <v>A</v>
          </cell>
        </row>
        <row r="81">
          <cell r="B81" t="str">
            <v>165-0007</v>
          </cell>
          <cell r="C81" t="str">
            <v>Dollar Tree Sourcing Comp. LLC</v>
          </cell>
          <cell r="D81" t="str">
            <v>DT# 6209   WSM FLDLCRDR Floor w/DP CL</v>
          </cell>
          <cell r="E81" t="str">
            <v>BROOKLYN, NY</v>
          </cell>
          <cell r="F81">
            <v>42415</v>
          </cell>
          <cell r="G81">
            <v>42425</v>
          </cell>
          <cell r="I81">
            <v>42426</v>
          </cell>
          <cell r="J81" t="str">
            <v>.</v>
          </cell>
          <cell r="L81">
            <v>657</v>
          </cell>
          <cell r="M81">
            <v>0</v>
          </cell>
          <cell r="N81">
            <v>2</v>
          </cell>
          <cell r="O81">
            <v>6158.99</v>
          </cell>
          <cell r="P81" t="str">
            <v>GA</v>
          </cell>
          <cell r="Q81" t="str">
            <v>4PD</v>
          </cell>
          <cell r="R81">
            <v>10537.237499999999</v>
          </cell>
          <cell r="S81" t="b">
            <v>1</v>
          </cell>
          <cell r="T81" t="str">
            <v>Yes</v>
          </cell>
        </row>
        <row r="82">
          <cell r="B82" t="str">
            <v>155-1099</v>
          </cell>
          <cell r="C82" t="str">
            <v>Giant Eagle-Aetos Construction</v>
          </cell>
          <cell r="D82" t="str">
            <v>Giant Eagle 5107</v>
          </cell>
          <cell r="E82" t="str">
            <v>Bexley, OH</v>
          </cell>
          <cell r="F82">
            <v>42415</v>
          </cell>
          <cell r="G82">
            <v>42425</v>
          </cell>
          <cell r="I82">
            <v>42426</v>
          </cell>
          <cell r="J82" t="str">
            <v>SQ</v>
          </cell>
          <cell r="L82">
            <v>4155</v>
          </cell>
          <cell r="M82">
            <v>0</v>
          </cell>
          <cell r="N82">
            <v>7</v>
          </cell>
          <cell r="O82">
            <v>42109.16</v>
          </cell>
          <cell r="P82" t="str">
            <v>GA</v>
          </cell>
          <cell r="Q82" t="str">
            <v>4PD</v>
          </cell>
          <cell r="R82">
            <v>76812.948000000004</v>
          </cell>
          <cell r="S82" t="b">
            <v>0</v>
          </cell>
          <cell r="T82" t="str">
            <v>No</v>
          </cell>
        </row>
        <row r="83">
          <cell r="B83" t="str">
            <v>157-0520B</v>
          </cell>
          <cell r="C83" t="str">
            <v>KPS, LLC Cincinnati #014</v>
          </cell>
          <cell r="D83" t="str">
            <v>A-935</v>
          </cell>
          <cell r="E83" t="str">
            <v>Centerville, OH</v>
          </cell>
          <cell r="F83">
            <v>42415</v>
          </cell>
          <cell r="G83">
            <v>42425</v>
          </cell>
          <cell r="I83">
            <v>42426</v>
          </cell>
          <cell r="J83" t="str">
            <v>AP</v>
          </cell>
          <cell r="L83">
            <v>3667</v>
          </cell>
          <cell r="M83">
            <v>0</v>
          </cell>
          <cell r="N83">
            <v>6</v>
          </cell>
          <cell r="O83">
            <v>30802.45</v>
          </cell>
          <cell r="P83" t="str">
            <v>GA</v>
          </cell>
          <cell r="Q83" t="str">
            <v>4PD</v>
          </cell>
          <cell r="R83">
            <v>30802.445</v>
          </cell>
          <cell r="S83" t="b">
            <v>0</v>
          </cell>
          <cell r="T83" t="str">
            <v>No</v>
          </cell>
          <cell r="U83" t="str">
            <v>FBed</v>
          </cell>
        </row>
        <row r="84">
          <cell r="B84" t="str">
            <v>155-0908</v>
          </cell>
          <cell r="C84" t="str">
            <v>Giant Eagle-Aetos Construction</v>
          </cell>
          <cell r="D84" t="str">
            <v>GE 4096  Dairy Remodel</v>
          </cell>
          <cell r="E84" t="str">
            <v>STOW OH</v>
          </cell>
          <cell r="F84">
            <v>42415</v>
          </cell>
          <cell r="G84">
            <v>42425</v>
          </cell>
          <cell r="I84">
            <v>42426</v>
          </cell>
          <cell r="J84" t="str">
            <v>.</v>
          </cell>
          <cell r="L84">
            <v>410</v>
          </cell>
          <cell r="M84">
            <v>0</v>
          </cell>
          <cell r="N84">
            <v>1</v>
          </cell>
          <cell r="O84">
            <v>3752.89</v>
          </cell>
          <cell r="P84" t="str">
            <v>GA</v>
          </cell>
          <cell r="Q84" t="str">
            <v>4PD</v>
          </cell>
          <cell r="R84">
            <v>3829.5360000000001</v>
          </cell>
          <cell r="S84" t="b">
            <v>0</v>
          </cell>
          <cell r="T84" t="str">
            <v>No</v>
          </cell>
          <cell r="V84" t="str">
            <v>A</v>
          </cell>
        </row>
        <row r="85">
          <cell r="B85" t="str">
            <v>157-1792ADD1</v>
          </cell>
          <cell r="C85" t="str">
            <v>Kroger Atlanta # 011</v>
          </cell>
          <cell r="D85" t="str">
            <v>Kroger GA-644OLS</v>
          </cell>
          <cell r="E85" t="str">
            <v>GROVETOWN GA</v>
          </cell>
          <cell r="F85">
            <v>42415</v>
          </cell>
          <cell r="G85">
            <v>42425</v>
          </cell>
          <cell r="I85">
            <v>42426</v>
          </cell>
          <cell r="J85" t="str">
            <v>PF</v>
          </cell>
          <cell r="L85">
            <v>1415</v>
          </cell>
          <cell r="M85">
            <v>41</v>
          </cell>
          <cell r="N85">
            <v>3</v>
          </cell>
          <cell r="O85">
            <v>12716.89</v>
          </cell>
          <cell r="P85" t="str">
            <v>GA</v>
          </cell>
          <cell r="Q85" t="str">
            <v>4PD</v>
          </cell>
          <cell r="R85">
            <v>12716.8902</v>
          </cell>
          <cell r="S85" t="b">
            <v>1</v>
          </cell>
          <cell r="T85" t="str">
            <v>Yes</v>
          </cell>
          <cell r="U85" t="str">
            <v>FBed</v>
          </cell>
          <cell r="V85" t="str">
            <v>A</v>
          </cell>
        </row>
        <row r="86">
          <cell r="B86" t="str">
            <v>157-2055</v>
          </cell>
          <cell r="C86" t="str">
            <v>Walmart Canada Corp.</v>
          </cell>
          <cell r="D86" t="str">
            <v>Walmart 3139-BR-IPAC-MG2I-DP-B</v>
          </cell>
          <cell r="E86" t="str">
            <v>Val d'Or, QC</v>
          </cell>
          <cell r="F86">
            <v>42415</v>
          </cell>
          <cell r="G86">
            <v>42431</v>
          </cell>
          <cell r="I86">
            <v>42432</v>
          </cell>
          <cell r="J86" t="str">
            <v>AP</v>
          </cell>
          <cell r="L86">
            <v>5216</v>
          </cell>
          <cell r="M86">
            <v>0</v>
          </cell>
          <cell r="N86">
            <v>0</v>
          </cell>
          <cell r="O86">
            <v>44639.03</v>
          </cell>
          <cell r="P86" t="str">
            <v>GA</v>
          </cell>
          <cell r="Q86" t="str">
            <v>4PD</v>
          </cell>
          <cell r="R86">
            <v>80231.968099999998</v>
          </cell>
          <cell r="S86" t="b">
            <v>0</v>
          </cell>
          <cell r="T86" t="str">
            <v>No</v>
          </cell>
          <cell r="V86" t="str">
            <v>A</v>
          </cell>
        </row>
        <row r="87">
          <cell r="B87" t="str">
            <v>155-1062</v>
          </cell>
          <cell r="C87" t="str">
            <v>Giant Tiger Stores Unlimited</v>
          </cell>
          <cell r="D87" t="str">
            <v>Giant Tiger 215, Moncton, N.B.</v>
          </cell>
          <cell r="E87" t="str">
            <v>MONCTON NB</v>
          </cell>
          <cell r="F87">
            <v>42415</v>
          </cell>
          <cell r="I87">
            <v>42424</v>
          </cell>
          <cell r="J87" t="str">
            <v>PC</v>
          </cell>
          <cell r="L87">
            <v>2099</v>
          </cell>
          <cell r="M87">
            <v>0</v>
          </cell>
          <cell r="N87">
            <v>2</v>
          </cell>
          <cell r="O87">
            <v>16339.93</v>
          </cell>
          <cell r="P87" t="str">
            <v>GA</v>
          </cell>
          <cell r="Q87" t="str">
            <v>4PD</v>
          </cell>
          <cell r="R87">
            <v>16339.925499999999</v>
          </cell>
          <cell r="S87" t="b">
            <v>0</v>
          </cell>
          <cell r="T87" t="str">
            <v>No</v>
          </cell>
          <cell r="U87" t="str">
            <v>CPUp</v>
          </cell>
          <cell r="V87" t="str">
            <v>A</v>
          </cell>
        </row>
        <row r="88">
          <cell r="B88" t="str">
            <v>167-0138</v>
          </cell>
          <cell r="C88" t="str">
            <v>KPS, LLC Columbus #016</v>
          </cell>
          <cell r="D88" t="str">
            <v>Kroger N-965</v>
          </cell>
          <cell r="E88" t="str">
            <v>Westerville OH</v>
          </cell>
          <cell r="F88">
            <v>42422</v>
          </cell>
          <cell r="G88">
            <v>42425</v>
          </cell>
          <cell r="I88">
            <v>42426</v>
          </cell>
          <cell r="J88" t="str">
            <v>SQ</v>
          </cell>
          <cell r="L88">
            <v>1034</v>
          </cell>
          <cell r="M88">
            <v>0</v>
          </cell>
          <cell r="N88">
            <v>3</v>
          </cell>
          <cell r="O88">
            <v>12717.27</v>
          </cell>
          <cell r="P88" t="str">
            <v>GA</v>
          </cell>
          <cell r="Q88" t="str">
            <v>4PD</v>
          </cell>
          <cell r="R88">
            <v>12717.2736</v>
          </cell>
          <cell r="S88" t="b">
            <v>0</v>
          </cell>
          <cell r="T88" t="str">
            <v>No</v>
          </cell>
          <cell r="U88" t="str">
            <v>FBed</v>
          </cell>
        </row>
        <row r="89">
          <cell r="B89" t="str">
            <v>157-2198</v>
          </cell>
          <cell r="C89" t="str">
            <v>Wal-Mart Store Planning</v>
          </cell>
          <cell r="D89" t="str">
            <v>Walmart 1373-219-SC-REM</v>
          </cell>
          <cell r="E89" t="str">
            <v>Lilburn, GA</v>
          </cell>
          <cell r="F89">
            <v>42422</v>
          </cell>
          <cell r="G89">
            <v>42425</v>
          </cell>
          <cell r="I89">
            <v>42426</v>
          </cell>
          <cell r="J89" t="str">
            <v>PQ</v>
          </cell>
          <cell r="L89">
            <v>0</v>
          </cell>
          <cell r="M89">
            <v>0</v>
          </cell>
          <cell r="N89">
            <v>0</v>
          </cell>
          <cell r="O89">
            <v>8424</v>
          </cell>
          <cell r="P89" t="str">
            <v>GA</v>
          </cell>
          <cell r="Q89" t="str">
            <v>4PD</v>
          </cell>
          <cell r="R89">
            <v>38861.930500000002</v>
          </cell>
          <cell r="S89" t="b">
            <v>0</v>
          </cell>
          <cell r="T89" t="str">
            <v>No</v>
          </cell>
          <cell r="V89" t="str">
            <v>A</v>
          </cell>
        </row>
        <row r="90">
          <cell r="B90" t="str">
            <v>157-2000A</v>
          </cell>
          <cell r="C90" t="str">
            <v>Wal-Mart Store Planning</v>
          </cell>
          <cell r="D90" t="str">
            <v>Walmart 1675-221-SC-REM</v>
          </cell>
          <cell r="E90" t="str">
            <v>Lebanon, KY</v>
          </cell>
          <cell r="F90">
            <v>42422</v>
          </cell>
          <cell r="G90">
            <v>42425</v>
          </cell>
          <cell r="I90">
            <v>42426</v>
          </cell>
          <cell r="J90" t="str">
            <v>PF</v>
          </cell>
          <cell r="K90" t="str">
            <v>CC</v>
          </cell>
          <cell r="L90">
            <v>0</v>
          </cell>
          <cell r="M90">
            <v>0</v>
          </cell>
          <cell r="N90">
            <v>0</v>
          </cell>
          <cell r="O90">
            <v>10085.780000000001</v>
          </cell>
          <cell r="P90" t="str">
            <v>GA</v>
          </cell>
          <cell r="Q90" t="str">
            <v>4PD</v>
          </cell>
          <cell r="R90">
            <v>74232.912400000001</v>
          </cell>
          <cell r="S90" t="b">
            <v>0</v>
          </cell>
          <cell r="T90" t="str">
            <v>No</v>
          </cell>
          <cell r="V90" t="str">
            <v>A</v>
          </cell>
        </row>
        <row r="91">
          <cell r="B91" t="str">
            <v>166-0006</v>
          </cell>
          <cell r="C91" t="str">
            <v>MG Automation &amp; Controls Corp</v>
          </cell>
          <cell r="D91" t="str">
            <v>MG Automation &amp; Controls</v>
          </cell>
          <cell r="E91" t="str">
            <v>JACKSONVILLE FL</v>
          </cell>
          <cell r="F91">
            <v>42422</v>
          </cell>
          <cell r="G91">
            <v>42425</v>
          </cell>
          <cell r="I91">
            <v>42426</v>
          </cell>
          <cell r="J91" t="str">
            <v>PC</v>
          </cell>
          <cell r="L91">
            <v>0</v>
          </cell>
          <cell r="M91">
            <v>0</v>
          </cell>
          <cell r="N91">
            <v>1</v>
          </cell>
          <cell r="O91">
            <v>2343.0100000000002</v>
          </cell>
          <cell r="P91" t="str">
            <v>GA</v>
          </cell>
          <cell r="Q91" t="str">
            <v>4PD</v>
          </cell>
          <cell r="R91">
            <v>2343.0100000000002</v>
          </cell>
          <cell r="S91" t="b">
            <v>0</v>
          </cell>
          <cell r="T91" t="str">
            <v>No</v>
          </cell>
          <cell r="V91" t="str">
            <v>A</v>
          </cell>
        </row>
        <row r="92">
          <cell r="B92" t="str">
            <v>167-0079</v>
          </cell>
          <cell r="C92" t="str">
            <v>Phoenix Refrigeration</v>
          </cell>
          <cell r="D92" t="str">
            <v>Harrisville Harbor Groc</v>
          </cell>
          <cell r="E92" t="str">
            <v>Harrisville, MI 48740</v>
          </cell>
          <cell r="F92">
            <v>42422</v>
          </cell>
          <cell r="G92">
            <v>42425</v>
          </cell>
          <cell r="I92">
            <v>42426</v>
          </cell>
          <cell r="J92" t="str">
            <v>AP</v>
          </cell>
          <cell r="L92">
            <v>1013</v>
          </cell>
          <cell r="M92">
            <v>0</v>
          </cell>
          <cell r="N92">
            <v>2</v>
          </cell>
          <cell r="O92">
            <v>7857.46</v>
          </cell>
          <cell r="P92" t="str">
            <v>GA</v>
          </cell>
          <cell r="Q92" t="str">
            <v>4PD</v>
          </cell>
          <cell r="R92">
            <v>21355.563699999999</v>
          </cell>
          <cell r="S92" t="b">
            <v>1</v>
          </cell>
          <cell r="T92" t="str">
            <v>Yes</v>
          </cell>
          <cell r="V92" t="str">
            <v>A</v>
          </cell>
        </row>
        <row r="93">
          <cell r="B93" t="str">
            <v>157-2048</v>
          </cell>
          <cell r="C93" t="str">
            <v>KPS, LLC Delta #025</v>
          </cell>
          <cell r="D93" t="str">
            <v>V-387</v>
          </cell>
          <cell r="E93" t="str">
            <v>Collierville TN</v>
          </cell>
          <cell r="F93">
            <v>42422</v>
          </cell>
          <cell r="G93">
            <v>42425</v>
          </cell>
          <cell r="I93">
            <v>42426</v>
          </cell>
          <cell r="J93" t="str">
            <v>AP</v>
          </cell>
          <cell r="L93">
            <v>716</v>
          </cell>
          <cell r="M93">
            <v>0</v>
          </cell>
          <cell r="N93">
            <v>1</v>
          </cell>
          <cell r="O93">
            <v>5598.82</v>
          </cell>
          <cell r="P93" t="str">
            <v>GA</v>
          </cell>
          <cell r="Q93" t="str">
            <v>4PD</v>
          </cell>
          <cell r="R93">
            <v>6498.8164999999999</v>
          </cell>
          <cell r="S93" t="b">
            <v>0</v>
          </cell>
          <cell r="T93" t="str">
            <v>No</v>
          </cell>
          <cell r="U93" t="str">
            <v>FBed</v>
          </cell>
        </row>
        <row r="94">
          <cell r="B94" t="str">
            <v>157-2191B</v>
          </cell>
          <cell r="C94" t="str">
            <v>Wal-Mart Store Planning</v>
          </cell>
          <cell r="D94" t="str">
            <v>Walmart 0578-226-SC-REM</v>
          </cell>
          <cell r="E94" t="str">
            <v>Sevierville, TN</v>
          </cell>
          <cell r="F94">
            <v>42422</v>
          </cell>
          <cell r="G94">
            <v>42425</v>
          </cell>
          <cell r="I94">
            <v>42426</v>
          </cell>
          <cell r="J94" t="str">
            <v>PC2</v>
          </cell>
          <cell r="L94">
            <v>2105</v>
          </cell>
          <cell r="M94">
            <v>0</v>
          </cell>
          <cell r="N94">
            <v>0</v>
          </cell>
          <cell r="O94">
            <v>15093.52</v>
          </cell>
          <cell r="P94" t="str">
            <v>GA</v>
          </cell>
          <cell r="Q94" t="str">
            <v>4PD</v>
          </cell>
          <cell r="R94">
            <v>17871.329699999998</v>
          </cell>
          <cell r="S94" t="b">
            <v>1</v>
          </cell>
          <cell r="T94" t="str">
            <v>Yes</v>
          </cell>
          <cell r="V94" t="str">
            <v>A</v>
          </cell>
        </row>
        <row r="95">
          <cell r="B95" t="str">
            <v>157-2200A</v>
          </cell>
          <cell r="C95" t="str">
            <v>Wal-Mart Store Planning</v>
          </cell>
          <cell r="D95" t="str">
            <v>Walmart 2035-219-SC-REM</v>
          </cell>
          <cell r="E95" t="str">
            <v>Greenville, OH</v>
          </cell>
          <cell r="F95">
            <v>42422</v>
          </cell>
          <cell r="G95">
            <v>42425</v>
          </cell>
          <cell r="I95">
            <v>42426</v>
          </cell>
          <cell r="J95" t="str">
            <v>RS</v>
          </cell>
          <cell r="L95">
            <v>0</v>
          </cell>
          <cell r="M95">
            <v>0</v>
          </cell>
          <cell r="N95">
            <v>0</v>
          </cell>
          <cell r="O95">
            <v>1559.97</v>
          </cell>
          <cell r="P95" t="str">
            <v>GA</v>
          </cell>
          <cell r="Q95" t="str">
            <v>4PD</v>
          </cell>
          <cell r="R95">
            <v>23045.280299999999</v>
          </cell>
          <cell r="S95" t="b">
            <v>0</v>
          </cell>
          <cell r="T95" t="str">
            <v>No</v>
          </cell>
          <cell r="V95" t="str">
            <v>A</v>
          </cell>
        </row>
        <row r="96">
          <cell r="B96" t="str">
            <v>157-2210</v>
          </cell>
          <cell r="C96" t="str">
            <v>Wal-Mart Store Planning</v>
          </cell>
          <cell r="D96" t="str">
            <v>Walmart 2265-223-SC-REM</v>
          </cell>
          <cell r="E96" t="str">
            <v>Simpsonville, SC</v>
          </cell>
          <cell r="F96">
            <v>42422</v>
          </cell>
          <cell r="G96">
            <v>42425</v>
          </cell>
          <cell r="I96">
            <v>42426</v>
          </cell>
          <cell r="J96" t="str">
            <v>PC</v>
          </cell>
          <cell r="L96">
            <v>0</v>
          </cell>
          <cell r="M96">
            <v>0</v>
          </cell>
          <cell r="N96">
            <v>1</v>
          </cell>
          <cell r="O96">
            <v>2674.86</v>
          </cell>
          <cell r="P96" t="str">
            <v>GA</v>
          </cell>
          <cell r="Q96" t="str">
            <v>4PD</v>
          </cell>
          <cell r="R96">
            <v>10189.7701</v>
          </cell>
          <cell r="S96" t="b">
            <v>0</v>
          </cell>
          <cell r="T96" t="str">
            <v>No</v>
          </cell>
          <cell r="V96" t="str">
            <v>A</v>
          </cell>
        </row>
        <row r="97">
          <cell r="B97" t="str">
            <v xml:space="preserve">165-0122 </v>
          </cell>
          <cell r="C97" t="str">
            <v>Watson Refrigeration</v>
          </cell>
          <cell r="D97" t="str">
            <v xml:space="preserve">Piggly Wiggly 40  </v>
          </cell>
          <cell r="E97" t="str">
            <v>Tarboro NC</v>
          </cell>
          <cell r="F97">
            <v>42422</v>
          </cell>
          <cell r="G97">
            <v>42425</v>
          </cell>
          <cell r="I97">
            <v>42426</v>
          </cell>
          <cell r="J97" t="str">
            <v>PQ</v>
          </cell>
          <cell r="L97">
            <v>1348</v>
          </cell>
          <cell r="M97">
            <v>0</v>
          </cell>
          <cell r="N97">
            <v>1</v>
          </cell>
          <cell r="O97">
            <v>12347.44</v>
          </cell>
          <cell r="P97" t="str">
            <v>GA</v>
          </cell>
          <cell r="Q97" t="str">
            <v>4PD</v>
          </cell>
          <cell r="R97">
            <v>12447.74</v>
          </cell>
          <cell r="S97" t="b">
            <v>0</v>
          </cell>
          <cell r="T97" t="str">
            <v>No</v>
          </cell>
        </row>
        <row r="98">
          <cell r="B98" t="str">
            <v>157-2196B</v>
          </cell>
          <cell r="C98" t="str">
            <v>Glenn's Commercial Service</v>
          </cell>
          <cell r="D98" t="str">
            <v>Thorntons 20</v>
          </cell>
          <cell r="E98" t="str">
            <v>LOUISVILLE KY</v>
          </cell>
          <cell r="F98">
            <v>42422</v>
          </cell>
          <cell r="G98">
            <v>42425</v>
          </cell>
          <cell r="H98">
            <v>1</v>
          </cell>
          <cell r="I98">
            <v>42426</v>
          </cell>
          <cell r="J98" t="str">
            <v>RR</v>
          </cell>
          <cell r="K98" t="str">
            <v>CC</v>
          </cell>
          <cell r="L98">
            <v>2032</v>
          </cell>
          <cell r="M98">
            <v>0</v>
          </cell>
          <cell r="N98">
            <v>2</v>
          </cell>
          <cell r="O98">
            <v>18818.95</v>
          </cell>
          <cell r="P98" t="str">
            <v>GA</v>
          </cell>
          <cell r="Q98" t="str">
            <v>4PD</v>
          </cell>
          <cell r="R98">
            <v>18818.945</v>
          </cell>
          <cell r="S98" t="b">
            <v>1</v>
          </cell>
          <cell r="T98" t="str">
            <v>Yes</v>
          </cell>
          <cell r="V98" t="str">
            <v>A</v>
          </cell>
        </row>
        <row r="99">
          <cell r="B99" t="str">
            <v>157-2053</v>
          </cell>
          <cell r="C99" t="str">
            <v>Wal-Mart Store Planning</v>
          </cell>
          <cell r="D99" t="str">
            <v>Walmart 5923-00-NHM-41</v>
          </cell>
          <cell r="E99" t="str">
            <v>Myrtle Beach, SC</v>
          </cell>
          <cell r="F99">
            <v>42422</v>
          </cell>
          <cell r="G99">
            <v>42426</v>
          </cell>
          <cell r="I99">
            <v>42429</v>
          </cell>
          <cell r="J99" t="str">
            <v>PC</v>
          </cell>
          <cell r="L99">
            <v>4713</v>
          </cell>
          <cell r="M99">
            <v>0</v>
          </cell>
          <cell r="N99">
            <v>1</v>
          </cell>
          <cell r="O99">
            <v>26978.42</v>
          </cell>
          <cell r="P99" t="str">
            <v>GA</v>
          </cell>
          <cell r="Q99" t="str">
            <v>4PD</v>
          </cell>
          <cell r="R99">
            <v>64555.477200000001</v>
          </cell>
          <cell r="S99" t="b">
            <v>0</v>
          </cell>
          <cell r="T99" t="str">
            <v>No</v>
          </cell>
          <cell r="V99" t="str">
            <v>A</v>
          </cell>
        </row>
        <row r="100">
          <cell r="B100" t="str">
            <v>155-0620</v>
          </cell>
          <cell r="C100" t="str">
            <v>Certified Comm Serv &amp; Equip</v>
          </cell>
          <cell r="D100" t="str">
            <v>Pilot Travel Center 1047</v>
          </cell>
          <cell r="E100" t="str">
            <v>JACKSONVILLE FL</v>
          </cell>
          <cell r="F100">
            <v>42422</v>
          </cell>
          <cell r="G100">
            <v>42426</v>
          </cell>
          <cell r="I100">
            <v>42429</v>
          </cell>
          <cell r="J100" t="str">
            <v>PC</v>
          </cell>
          <cell r="L100">
            <v>4211</v>
          </cell>
          <cell r="M100">
            <v>0</v>
          </cell>
          <cell r="N100">
            <v>6</v>
          </cell>
          <cell r="O100">
            <v>35900.160000000003</v>
          </cell>
          <cell r="P100" t="str">
            <v>GA</v>
          </cell>
          <cell r="Q100" t="str">
            <v>4PD</v>
          </cell>
          <cell r="R100">
            <v>35900.154999999999</v>
          </cell>
          <cell r="S100" t="b">
            <v>0</v>
          </cell>
          <cell r="T100" t="str">
            <v>No</v>
          </cell>
          <cell r="V100" t="str">
            <v>A</v>
          </cell>
        </row>
        <row r="101">
          <cell r="B101" t="str">
            <v>165-0119</v>
          </cell>
          <cell r="C101" t="str">
            <v>Dollar Tree Sourcing Comp. LLC</v>
          </cell>
          <cell r="D101" t="str">
            <v>DT# 6351   WSM FRDRCLDL</v>
          </cell>
          <cell r="E101" t="str">
            <v>ESSEX, MD</v>
          </cell>
          <cell r="F101">
            <v>42422</v>
          </cell>
          <cell r="G101">
            <v>42430</v>
          </cell>
          <cell r="I101">
            <v>42431</v>
          </cell>
          <cell r="J101" t="str">
            <v>.</v>
          </cell>
          <cell r="L101">
            <v>629</v>
          </cell>
          <cell r="M101">
            <v>0</v>
          </cell>
          <cell r="N101">
            <v>2</v>
          </cell>
          <cell r="O101">
            <v>6220.32</v>
          </cell>
          <cell r="P101" t="str">
            <v>GA</v>
          </cell>
          <cell r="Q101" t="str">
            <v>4PD</v>
          </cell>
          <cell r="R101">
            <v>10439.953</v>
          </cell>
          <cell r="S101" t="b">
            <v>1</v>
          </cell>
          <cell r="T101" t="str">
            <v>Yes</v>
          </cell>
        </row>
        <row r="102">
          <cell r="B102" t="str">
            <v>157-1233</v>
          </cell>
          <cell r="C102" t="str">
            <v>KPS, LLC Cincinnati #014</v>
          </cell>
          <cell r="D102" t="str">
            <v>Kroger A-423OLS</v>
          </cell>
          <cell r="E102" t="str">
            <v>NEWPORT KY</v>
          </cell>
          <cell r="F102">
            <v>42422</v>
          </cell>
          <cell r="G102">
            <v>42432</v>
          </cell>
          <cell r="I102">
            <v>42433</v>
          </cell>
          <cell r="J102" t="str">
            <v>PC2</v>
          </cell>
          <cell r="L102">
            <v>1390</v>
          </cell>
          <cell r="M102">
            <v>49</v>
          </cell>
          <cell r="N102">
            <v>2</v>
          </cell>
          <cell r="O102">
            <v>10908.16</v>
          </cell>
          <cell r="P102" t="str">
            <v>GA</v>
          </cell>
          <cell r="Q102" t="str">
            <v>4PD</v>
          </cell>
          <cell r="R102">
            <v>10908.155699999999</v>
          </cell>
          <cell r="S102" t="b">
            <v>0</v>
          </cell>
          <cell r="T102" t="str">
            <v>No</v>
          </cell>
          <cell r="U102" t="str">
            <v>FBed</v>
          </cell>
        </row>
        <row r="103">
          <cell r="B103" t="str">
            <v>155-1177A</v>
          </cell>
          <cell r="C103" t="str">
            <v>Publix Super Markets Inc.</v>
          </cell>
          <cell r="D103" t="str">
            <v>Publix #1511</v>
          </cell>
          <cell r="E103" t="str">
            <v>Chapin  SC</v>
          </cell>
          <cell r="F103">
            <v>42422</v>
          </cell>
          <cell r="G103">
            <v>42432</v>
          </cell>
          <cell r="I103">
            <v>42433</v>
          </cell>
          <cell r="J103" t="str">
            <v>AP</v>
          </cell>
          <cell r="L103">
            <v>11440</v>
          </cell>
          <cell r="M103">
            <v>0</v>
          </cell>
          <cell r="N103">
            <v>12</v>
          </cell>
          <cell r="O103">
            <v>78675.149999999994</v>
          </cell>
          <cell r="P103" t="str">
            <v>GA</v>
          </cell>
          <cell r="Q103" t="str">
            <v>4PD</v>
          </cell>
          <cell r="R103">
            <v>78675.145199999999</v>
          </cell>
          <cell r="S103" t="b">
            <v>1</v>
          </cell>
          <cell r="T103" t="str">
            <v>Yes</v>
          </cell>
        </row>
        <row r="104">
          <cell r="B104" t="str">
            <v>155-1106</v>
          </cell>
          <cell r="C104" t="str">
            <v>Publix Super Markets Inc.</v>
          </cell>
          <cell r="D104" t="str">
            <v>Publix # 1533  49.4</v>
          </cell>
          <cell r="E104" t="str">
            <v>New Bern NC</v>
          </cell>
          <cell r="F104">
            <v>42422</v>
          </cell>
          <cell r="G104">
            <v>42432</v>
          </cell>
          <cell r="I104">
            <v>42433</v>
          </cell>
          <cell r="J104" t="str">
            <v>.</v>
          </cell>
          <cell r="L104">
            <v>12333</v>
          </cell>
          <cell r="M104">
            <v>0</v>
          </cell>
          <cell r="N104">
            <v>12</v>
          </cell>
          <cell r="O104">
            <v>80314.33</v>
          </cell>
          <cell r="P104" t="str">
            <v>GA</v>
          </cell>
          <cell r="Q104" t="str">
            <v>4PD</v>
          </cell>
          <cell r="R104">
            <v>92099.102599999998</v>
          </cell>
          <cell r="S104" t="b">
            <v>0</v>
          </cell>
          <cell r="T104" t="str">
            <v>No</v>
          </cell>
        </row>
        <row r="105">
          <cell r="B105" t="str">
            <v>157-2128</v>
          </cell>
          <cell r="C105" t="str">
            <v>KPS, LLC Cincinnati #014</v>
          </cell>
          <cell r="D105" t="str">
            <v>A-929</v>
          </cell>
          <cell r="E105" t="str">
            <v>Cincinnati OH</v>
          </cell>
          <cell r="F105">
            <v>42422</v>
          </cell>
          <cell r="G105">
            <v>42432</v>
          </cell>
          <cell r="I105">
            <v>42433</v>
          </cell>
          <cell r="J105" t="str">
            <v>SQ</v>
          </cell>
          <cell r="L105">
            <v>22710</v>
          </cell>
          <cell r="M105">
            <v>0</v>
          </cell>
          <cell r="N105">
            <v>18</v>
          </cell>
          <cell r="O105">
            <v>177313.85</v>
          </cell>
          <cell r="P105" t="str">
            <v>GA</v>
          </cell>
          <cell r="Q105" t="str">
            <v>4PD</v>
          </cell>
          <cell r="R105">
            <v>177313.845</v>
          </cell>
          <cell r="S105" t="b">
            <v>0</v>
          </cell>
          <cell r="T105" t="str">
            <v>No</v>
          </cell>
          <cell r="U105" t="str">
            <v>FBed</v>
          </cell>
        </row>
        <row r="106">
          <cell r="B106" t="str">
            <v>157-1758</v>
          </cell>
          <cell r="C106" t="str">
            <v>KPS, LLC Mid-South #024</v>
          </cell>
          <cell r="D106" t="str">
            <v>Kroger L-785</v>
          </cell>
          <cell r="E106" t="str">
            <v>LOUISVILLE KY</v>
          </cell>
          <cell r="F106">
            <v>42422</v>
          </cell>
          <cell r="G106">
            <v>42432</v>
          </cell>
          <cell r="I106">
            <v>42433</v>
          </cell>
          <cell r="J106" t="str">
            <v>VSS</v>
          </cell>
          <cell r="L106">
            <v>17086</v>
          </cell>
          <cell r="M106">
            <v>0</v>
          </cell>
          <cell r="N106">
            <v>19</v>
          </cell>
          <cell r="O106">
            <v>126155.11</v>
          </cell>
          <cell r="P106" t="str">
            <v>GA</v>
          </cell>
          <cell r="Q106" t="str">
            <v>4PD</v>
          </cell>
          <cell r="R106">
            <v>126155.11410000001</v>
          </cell>
          <cell r="S106" t="b">
            <v>0</v>
          </cell>
          <cell r="T106" t="str">
            <v>No</v>
          </cell>
          <cell r="U106" t="str">
            <v>FBed</v>
          </cell>
        </row>
        <row r="107">
          <cell r="B107" t="str">
            <v>157-1708B</v>
          </cell>
          <cell r="C107" t="str">
            <v>KPS, LLC Mid-South #024</v>
          </cell>
          <cell r="D107" t="str">
            <v>Kroger L-745</v>
          </cell>
          <cell r="E107" t="str">
            <v>SOMERSET KY</v>
          </cell>
          <cell r="F107">
            <v>42429</v>
          </cell>
          <cell r="G107">
            <v>42411</v>
          </cell>
          <cell r="H107">
            <v>26</v>
          </cell>
          <cell r="I107">
            <v>42436</v>
          </cell>
          <cell r="J107" t="str">
            <v>PF</v>
          </cell>
          <cell r="K107" t="str">
            <v>CC</v>
          </cell>
          <cell r="L107">
            <v>11623</v>
          </cell>
          <cell r="M107">
            <v>406</v>
          </cell>
          <cell r="N107">
            <v>15</v>
          </cell>
          <cell r="O107">
            <v>101627.64</v>
          </cell>
          <cell r="P107" t="str">
            <v>GA</v>
          </cell>
          <cell r="Q107" t="str">
            <v>4PD</v>
          </cell>
          <cell r="R107">
            <v>101627.6447</v>
          </cell>
          <cell r="S107" t="b">
            <v>1</v>
          </cell>
          <cell r="T107" t="str">
            <v>Yes</v>
          </cell>
          <cell r="V107" t="str">
            <v>A</v>
          </cell>
        </row>
        <row r="108">
          <cell r="B108" t="str">
            <v>167-0100</v>
          </cell>
          <cell r="C108" t="str">
            <v>KPS, LLC Mid-South #024</v>
          </cell>
          <cell r="D108" t="str">
            <v>Kroger L-376 OLS</v>
          </cell>
          <cell r="E108" t="str">
            <v>LOUISVILLE KY</v>
          </cell>
          <cell r="F108">
            <v>42429</v>
          </cell>
          <cell r="G108">
            <v>42432</v>
          </cell>
          <cell r="I108">
            <v>42433</v>
          </cell>
          <cell r="J108" t="str">
            <v>VSS</v>
          </cell>
          <cell r="L108">
            <v>1078</v>
          </cell>
          <cell r="M108">
            <v>0</v>
          </cell>
          <cell r="N108">
            <v>2</v>
          </cell>
          <cell r="O108">
            <v>10037.51</v>
          </cell>
          <cell r="P108" t="str">
            <v>GA</v>
          </cell>
          <cell r="Q108" t="str">
            <v>4PD</v>
          </cell>
          <cell r="R108">
            <v>10037.5087</v>
          </cell>
          <cell r="S108" t="b">
            <v>0</v>
          </cell>
          <cell r="T108" t="str">
            <v>No</v>
          </cell>
          <cell r="U108" t="str">
            <v>FBed</v>
          </cell>
        </row>
        <row r="109">
          <cell r="B109" t="str">
            <v>167-0103</v>
          </cell>
          <cell r="C109" t="str">
            <v>KPS, LLC Mid-South #024</v>
          </cell>
          <cell r="D109" t="str">
            <v>Kroger L-744 OLS</v>
          </cell>
          <cell r="E109" t="str">
            <v>NEW ALBANY IN</v>
          </cell>
          <cell r="F109">
            <v>42429</v>
          </cell>
          <cell r="G109">
            <v>42432</v>
          </cell>
          <cell r="I109">
            <v>42433</v>
          </cell>
          <cell r="J109" t="str">
            <v>VSS</v>
          </cell>
          <cell r="L109">
            <v>1033</v>
          </cell>
          <cell r="M109">
            <v>0</v>
          </cell>
          <cell r="N109">
            <v>2</v>
          </cell>
          <cell r="O109">
            <v>9469.6</v>
          </cell>
          <cell r="P109" t="str">
            <v>GA</v>
          </cell>
          <cell r="Q109" t="str">
            <v>4PD</v>
          </cell>
          <cell r="R109">
            <v>9469.6008999999995</v>
          </cell>
          <cell r="S109" t="b">
            <v>0</v>
          </cell>
          <cell r="T109" t="str">
            <v>No</v>
          </cell>
          <cell r="U109" t="str">
            <v>FBed</v>
          </cell>
        </row>
        <row r="110">
          <cell r="B110" t="str">
            <v>167-0098</v>
          </cell>
          <cell r="C110" t="str">
            <v>KPS, LLC Mid-South #024</v>
          </cell>
          <cell r="D110" t="str">
            <v>Kroger L-366 OLS</v>
          </cell>
          <cell r="E110" t="str">
            <v>LOUISVILLE KY</v>
          </cell>
          <cell r="F110">
            <v>42429</v>
          </cell>
          <cell r="G110">
            <v>42432</v>
          </cell>
          <cell r="I110">
            <v>42433</v>
          </cell>
          <cell r="J110" t="str">
            <v>VSS</v>
          </cell>
          <cell r="L110">
            <v>1355</v>
          </cell>
          <cell r="M110">
            <v>0</v>
          </cell>
          <cell r="N110">
            <v>2</v>
          </cell>
          <cell r="O110">
            <v>11089.74</v>
          </cell>
          <cell r="P110" t="str">
            <v>GA</v>
          </cell>
          <cell r="Q110" t="str">
            <v>4PD</v>
          </cell>
          <cell r="R110">
            <v>11775.292600000001</v>
          </cell>
          <cell r="S110" t="b">
            <v>0</v>
          </cell>
          <cell r="T110" t="str">
            <v>No</v>
          </cell>
          <cell r="U110" t="str">
            <v>FBed</v>
          </cell>
        </row>
        <row r="111">
          <cell r="B111" t="str">
            <v>167-0109</v>
          </cell>
          <cell r="C111" t="str">
            <v>Aldi Inc - Center Valley</v>
          </cell>
          <cell r="D111" t="str">
            <v>Aldi Store 70</v>
          </cell>
          <cell r="E111" t="str">
            <v>BLOOMFIELD NJ</v>
          </cell>
          <cell r="F111">
            <v>42429</v>
          </cell>
          <cell r="G111">
            <v>42432</v>
          </cell>
          <cell r="I111">
            <v>42433</v>
          </cell>
          <cell r="J111" t="str">
            <v>SW</v>
          </cell>
          <cell r="L111">
            <v>4830</v>
          </cell>
          <cell r="M111">
            <v>0</v>
          </cell>
          <cell r="N111">
            <v>1</v>
          </cell>
          <cell r="O111">
            <v>34320.18</v>
          </cell>
          <cell r="P111" t="str">
            <v>GA</v>
          </cell>
          <cell r="Q111" t="str">
            <v>4PD</v>
          </cell>
          <cell r="R111">
            <v>39903.727599999998</v>
          </cell>
          <cell r="S111" t="b">
            <v>0</v>
          </cell>
          <cell r="T111" t="str">
            <v>No</v>
          </cell>
          <cell r="V111" t="str">
            <v>A</v>
          </cell>
        </row>
        <row r="112">
          <cell r="B112" t="str">
            <v>157-2228</v>
          </cell>
          <cell r="C112" t="str">
            <v>Wal-Mart Store Planning</v>
          </cell>
          <cell r="D112" t="str">
            <v>Walmart 0543-219-SC-REM</v>
          </cell>
          <cell r="E112" t="str">
            <v>Opelousas, LA</v>
          </cell>
          <cell r="F112">
            <v>42429</v>
          </cell>
          <cell r="G112">
            <v>42432</v>
          </cell>
          <cell r="I112">
            <v>42433</v>
          </cell>
          <cell r="J112" t="str">
            <v>RS</v>
          </cell>
          <cell r="L112">
            <v>2321</v>
          </cell>
          <cell r="M112">
            <v>0</v>
          </cell>
          <cell r="N112">
            <v>5</v>
          </cell>
          <cell r="O112">
            <v>24081.38</v>
          </cell>
          <cell r="P112" t="str">
            <v>GA</v>
          </cell>
          <cell r="Q112" t="str">
            <v>4PD</v>
          </cell>
          <cell r="R112">
            <v>88399.670299999998</v>
          </cell>
          <cell r="S112" t="b">
            <v>0</v>
          </cell>
          <cell r="T112" t="str">
            <v>No</v>
          </cell>
          <cell r="V112" t="str">
            <v>A</v>
          </cell>
        </row>
        <row r="113">
          <cell r="B113" t="str">
            <v>167-0095</v>
          </cell>
          <cell r="C113" t="str">
            <v>KPS, LLC Mid-South #024</v>
          </cell>
          <cell r="D113" t="str">
            <v>Kroger L-347 OLS</v>
          </cell>
          <cell r="E113" t="str">
            <v>LEXINGTON KY</v>
          </cell>
          <cell r="F113">
            <v>42429</v>
          </cell>
          <cell r="G113">
            <v>42432</v>
          </cell>
          <cell r="I113">
            <v>42433</v>
          </cell>
          <cell r="J113" t="str">
            <v>VSS</v>
          </cell>
          <cell r="L113">
            <v>758</v>
          </cell>
          <cell r="M113">
            <v>0</v>
          </cell>
          <cell r="N113">
            <v>1</v>
          </cell>
          <cell r="O113">
            <v>5537.2</v>
          </cell>
          <cell r="P113" t="str">
            <v>GA</v>
          </cell>
          <cell r="Q113" t="str">
            <v>4PD</v>
          </cell>
          <cell r="R113">
            <v>5537.2029000000002</v>
          </cell>
          <cell r="S113" t="b">
            <v>0</v>
          </cell>
          <cell r="T113" t="str">
            <v>No</v>
          </cell>
          <cell r="U113" t="str">
            <v>FBed</v>
          </cell>
        </row>
        <row r="114">
          <cell r="B114" t="str">
            <v>167-0097</v>
          </cell>
          <cell r="C114" t="str">
            <v>KPS, LLC Mid-South #024</v>
          </cell>
          <cell r="D114" t="str">
            <v>Kroger L-356 OLS</v>
          </cell>
          <cell r="E114" t="str">
            <v>LOUISVILLE KY</v>
          </cell>
          <cell r="F114">
            <v>42429</v>
          </cell>
          <cell r="G114">
            <v>42432</v>
          </cell>
          <cell r="I114">
            <v>42433</v>
          </cell>
          <cell r="J114" t="str">
            <v>VSS</v>
          </cell>
          <cell r="L114">
            <v>1238</v>
          </cell>
          <cell r="M114">
            <v>0</v>
          </cell>
          <cell r="N114">
            <v>3</v>
          </cell>
          <cell r="O114">
            <v>10642.94</v>
          </cell>
          <cell r="P114" t="str">
            <v>GA</v>
          </cell>
          <cell r="Q114" t="str">
            <v>4PD</v>
          </cell>
          <cell r="R114">
            <v>10642.936400000001</v>
          </cell>
          <cell r="S114" t="b">
            <v>0</v>
          </cell>
          <cell r="T114" t="str">
            <v>No</v>
          </cell>
          <cell r="U114" t="str">
            <v>FBed</v>
          </cell>
        </row>
        <row r="115">
          <cell r="B115" t="str">
            <v>167-0106</v>
          </cell>
          <cell r="C115" t="str">
            <v>KPS, LLC Mid-South #024</v>
          </cell>
          <cell r="D115" t="str">
            <v>Kroger L-777 OLS</v>
          </cell>
          <cell r="E115" t="str">
            <v>SHELBYVILLE KY</v>
          </cell>
          <cell r="F115">
            <v>42429</v>
          </cell>
          <cell r="G115">
            <v>42432</v>
          </cell>
          <cell r="I115">
            <v>42433</v>
          </cell>
          <cell r="J115" t="str">
            <v>AP</v>
          </cell>
          <cell r="L115">
            <v>1349</v>
          </cell>
          <cell r="M115">
            <v>0</v>
          </cell>
          <cell r="N115">
            <v>3</v>
          </cell>
          <cell r="O115">
            <v>11882.96</v>
          </cell>
          <cell r="P115" t="str">
            <v>GA</v>
          </cell>
          <cell r="Q115" t="str">
            <v>4PD</v>
          </cell>
          <cell r="R115">
            <v>11882.9606</v>
          </cell>
          <cell r="S115" t="b">
            <v>0</v>
          </cell>
          <cell r="T115" t="str">
            <v>No</v>
          </cell>
          <cell r="U115" t="str">
            <v>FBed</v>
          </cell>
        </row>
        <row r="116">
          <cell r="B116" t="str">
            <v>167-0108</v>
          </cell>
          <cell r="C116" t="str">
            <v>KPS, LLC Mid-South #024</v>
          </cell>
          <cell r="D116" t="str">
            <v>Kroger L-779 OLS</v>
          </cell>
          <cell r="E116" t="str">
            <v>GEORGETOWN KY</v>
          </cell>
          <cell r="F116">
            <v>42429</v>
          </cell>
          <cell r="G116">
            <v>42432</v>
          </cell>
          <cell r="I116">
            <v>42433</v>
          </cell>
          <cell r="J116" t="str">
            <v>VSS</v>
          </cell>
          <cell r="L116">
            <v>1202</v>
          </cell>
          <cell r="M116">
            <v>0</v>
          </cell>
          <cell r="N116">
            <v>3</v>
          </cell>
          <cell r="O116">
            <v>11546.53</v>
          </cell>
          <cell r="P116" t="str">
            <v>GA</v>
          </cell>
          <cell r="Q116" t="str">
            <v>4PD</v>
          </cell>
          <cell r="R116">
            <v>11546.531800000001</v>
          </cell>
          <cell r="S116" t="b">
            <v>0</v>
          </cell>
          <cell r="T116" t="str">
            <v>No</v>
          </cell>
          <cell r="U116" t="str">
            <v>FBed</v>
          </cell>
        </row>
        <row r="117">
          <cell r="B117" t="str">
            <v>157-2191C</v>
          </cell>
          <cell r="C117" t="str">
            <v>Wal-Mart Store Planning</v>
          </cell>
          <cell r="D117" t="str">
            <v>Walmart 0578-226-SC-REM</v>
          </cell>
          <cell r="E117" t="str">
            <v>Sevierville, TN</v>
          </cell>
          <cell r="F117">
            <v>42429</v>
          </cell>
          <cell r="G117">
            <v>42432</v>
          </cell>
          <cell r="I117">
            <v>42433</v>
          </cell>
          <cell r="J117" t="str">
            <v>PC2</v>
          </cell>
          <cell r="L117">
            <v>896</v>
          </cell>
          <cell r="M117">
            <v>0</v>
          </cell>
          <cell r="N117">
            <v>2</v>
          </cell>
          <cell r="O117">
            <v>8602.34</v>
          </cell>
          <cell r="P117" t="str">
            <v>GA</v>
          </cell>
          <cell r="Q117" t="str">
            <v>4PD</v>
          </cell>
          <cell r="R117">
            <v>8722.0992000000006</v>
          </cell>
          <cell r="S117" t="b">
            <v>1</v>
          </cell>
          <cell r="T117" t="str">
            <v>Yes</v>
          </cell>
          <cell r="V117" t="str">
            <v>A</v>
          </cell>
        </row>
        <row r="118">
          <cell r="B118" t="str">
            <v>157-2236</v>
          </cell>
          <cell r="C118" t="str">
            <v>Wal-Mart Store Planning</v>
          </cell>
          <cell r="D118" t="str">
            <v>Walmart 1183-224-SC-REM</v>
          </cell>
          <cell r="E118" t="str">
            <v>West Columba, SC</v>
          </cell>
          <cell r="F118">
            <v>42429</v>
          </cell>
          <cell r="G118">
            <v>42432</v>
          </cell>
          <cell r="I118">
            <v>42433</v>
          </cell>
          <cell r="J118" t="str">
            <v>RS</v>
          </cell>
          <cell r="L118">
            <v>0</v>
          </cell>
          <cell r="M118">
            <v>0</v>
          </cell>
          <cell r="N118">
            <v>0</v>
          </cell>
          <cell r="O118">
            <v>2308.8000000000002</v>
          </cell>
          <cell r="P118" t="str">
            <v>GA</v>
          </cell>
          <cell r="Q118" t="str">
            <v>4PD</v>
          </cell>
          <cell r="R118">
            <v>18700.150000000001</v>
          </cell>
          <cell r="S118" t="b">
            <v>0</v>
          </cell>
          <cell r="T118" t="str">
            <v>No</v>
          </cell>
          <cell r="V118" t="str">
            <v>A</v>
          </cell>
        </row>
        <row r="119">
          <cell r="B119" t="str">
            <v>167-0051</v>
          </cell>
          <cell r="C119" t="str">
            <v>Wal-Mart Store Planning</v>
          </cell>
          <cell r="D119" t="str">
            <v>Walmart 0406-223-SC-REM</v>
          </cell>
          <cell r="E119" t="str">
            <v>Smyrna, TN</v>
          </cell>
          <cell r="F119">
            <v>42429</v>
          </cell>
          <cell r="G119">
            <v>42432</v>
          </cell>
          <cell r="I119">
            <v>42433</v>
          </cell>
          <cell r="J119" t="str">
            <v>RS</v>
          </cell>
          <cell r="L119">
            <v>6341</v>
          </cell>
          <cell r="M119">
            <v>0</v>
          </cell>
          <cell r="N119">
            <v>0</v>
          </cell>
          <cell r="O119">
            <v>45496.54</v>
          </cell>
          <cell r="P119" t="str">
            <v>GA</v>
          </cell>
          <cell r="Q119" t="str">
            <v>4PD</v>
          </cell>
          <cell r="R119">
            <v>100212.50260000001</v>
          </cell>
          <cell r="S119" t="b">
            <v>0</v>
          </cell>
          <cell r="T119" t="str">
            <v>No</v>
          </cell>
          <cell r="V119" t="str">
            <v>A</v>
          </cell>
        </row>
        <row r="120">
          <cell r="B120" t="str">
            <v>167-0163</v>
          </cell>
          <cell r="C120" t="str">
            <v>Wal-Mart Store Planning</v>
          </cell>
          <cell r="D120" t="str">
            <v>Walmart 2881-224-SC-REM</v>
          </cell>
          <cell r="E120" t="str">
            <v>Kissimmee, FL</v>
          </cell>
          <cell r="F120">
            <v>42429</v>
          </cell>
          <cell r="G120">
            <v>42432</v>
          </cell>
          <cell r="I120">
            <v>42433</v>
          </cell>
          <cell r="J120" t="str">
            <v>RS</v>
          </cell>
          <cell r="L120">
            <v>1426</v>
          </cell>
          <cell r="M120">
            <v>0</v>
          </cell>
          <cell r="N120">
            <v>0</v>
          </cell>
          <cell r="O120">
            <v>9634.2800000000007</v>
          </cell>
          <cell r="P120" t="str">
            <v>GA</v>
          </cell>
          <cell r="Q120" t="str">
            <v>4PD</v>
          </cell>
          <cell r="R120">
            <v>20216.779200000001</v>
          </cell>
          <cell r="S120" t="b">
            <v>0</v>
          </cell>
          <cell r="T120" t="str">
            <v>No</v>
          </cell>
        </row>
        <row r="121">
          <cell r="B121" t="str">
            <v>167-0094</v>
          </cell>
          <cell r="C121" t="str">
            <v>KPS, LLC Mid-South #024</v>
          </cell>
          <cell r="D121" t="str">
            <v>Kroger L-346 OLS</v>
          </cell>
          <cell r="E121" t="str">
            <v>LOUISVILLE KY</v>
          </cell>
          <cell r="F121">
            <v>42429</v>
          </cell>
          <cell r="G121">
            <v>42432</v>
          </cell>
          <cell r="I121">
            <v>42433</v>
          </cell>
          <cell r="J121" t="str">
            <v>VSS</v>
          </cell>
          <cell r="L121">
            <v>1354</v>
          </cell>
          <cell r="M121">
            <v>0</v>
          </cell>
          <cell r="N121">
            <v>3</v>
          </cell>
          <cell r="O121">
            <v>12801.93</v>
          </cell>
          <cell r="P121" t="str">
            <v>GA</v>
          </cell>
          <cell r="Q121" t="str">
            <v>4PD</v>
          </cell>
          <cell r="R121">
            <v>12801.9288</v>
          </cell>
          <cell r="S121" t="b">
            <v>0</v>
          </cell>
          <cell r="T121" t="str">
            <v>No</v>
          </cell>
          <cell r="U121" t="str">
            <v>FBed</v>
          </cell>
        </row>
        <row r="122">
          <cell r="B122" t="str">
            <v>167-0119</v>
          </cell>
          <cell r="C122" t="str">
            <v>KPS, LLC Mid-Atlantic # 029</v>
          </cell>
          <cell r="D122" t="str">
            <v>Kroger R-505 OLS</v>
          </cell>
          <cell r="E122" t="str">
            <v>MIDLOTHIAN VA</v>
          </cell>
          <cell r="F122">
            <v>42429</v>
          </cell>
          <cell r="G122">
            <v>42432</v>
          </cell>
          <cell r="I122">
            <v>42433</v>
          </cell>
          <cell r="J122" t="str">
            <v>VSS</v>
          </cell>
          <cell r="L122">
            <v>1086</v>
          </cell>
          <cell r="M122">
            <v>0</v>
          </cell>
          <cell r="N122">
            <v>2</v>
          </cell>
          <cell r="O122">
            <v>9952.4699999999993</v>
          </cell>
          <cell r="P122" t="str">
            <v>GA</v>
          </cell>
          <cell r="Q122" t="str">
            <v>4PD</v>
          </cell>
          <cell r="R122">
            <v>9952.4688999999998</v>
          </cell>
          <cell r="S122" t="b">
            <v>0</v>
          </cell>
          <cell r="T122" t="str">
            <v>No</v>
          </cell>
          <cell r="U122" t="str">
            <v>FBed</v>
          </cell>
          <cell r="V122" t="str">
            <v>A</v>
          </cell>
        </row>
        <row r="123">
          <cell r="B123" t="str">
            <v>157-2258</v>
          </cell>
          <cell r="C123" t="str">
            <v>Aldi Inc- Tuly NY Division</v>
          </cell>
          <cell r="D123" t="str">
            <v>Aldi Store</v>
          </cell>
          <cell r="E123" t="str">
            <v>COLONIE NY</v>
          </cell>
          <cell r="F123">
            <v>42429</v>
          </cell>
          <cell r="G123">
            <v>42432</v>
          </cell>
          <cell r="I123">
            <v>42433</v>
          </cell>
          <cell r="J123" t="str">
            <v>SS</v>
          </cell>
          <cell r="L123">
            <v>4821</v>
          </cell>
          <cell r="M123">
            <v>0</v>
          </cell>
          <cell r="N123">
            <v>1</v>
          </cell>
          <cell r="O123">
            <v>32795.5</v>
          </cell>
          <cell r="P123" t="str">
            <v>GA</v>
          </cell>
          <cell r="Q123" t="str">
            <v>4PD</v>
          </cell>
          <cell r="R123">
            <v>38319.882100000003</v>
          </cell>
          <cell r="S123" t="b">
            <v>0</v>
          </cell>
          <cell r="T123" t="str">
            <v>No</v>
          </cell>
          <cell r="V123" t="str">
            <v>A</v>
          </cell>
        </row>
        <row r="124">
          <cell r="B124" t="str">
            <v>167-0005</v>
          </cell>
          <cell r="C124" t="str">
            <v>Wal-Mart Store Planning</v>
          </cell>
          <cell r="D124" t="str">
            <v>Walmart 1969-224-SC-REM</v>
          </cell>
          <cell r="E124" t="str">
            <v>Midlothian, VA</v>
          </cell>
          <cell r="F124">
            <v>42429</v>
          </cell>
          <cell r="G124">
            <v>42432</v>
          </cell>
          <cell r="I124">
            <v>42433</v>
          </cell>
          <cell r="J124" t="str">
            <v>RS</v>
          </cell>
          <cell r="L124">
            <v>0</v>
          </cell>
          <cell r="M124">
            <v>0</v>
          </cell>
          <cell r="N124">
            <v>4</v>
          </cell>
          <cell r="O124">
            <v>10585.29</v>
          </cell>
          <cell r="P124" t="str">
            <v>GA</v>
          </cell>
          <cell r="Q124" t="str">
            <v>4PD</v>
          </cell>
          <cell r="R124">
            <v>36510.406000000003</v>
          </cell>
          <cell r="S124" t="b">
            <v>0</v>
          </cell>
          <cell r="T124" t="str">
            <v>No</v>
          </cell>
          <cell r="V124" t="str">
            <v>A</v>
          </cell>
        </row>
        <row r="125">
          <cell r="B125" t="str">
            <v>157-2231A</v>
          </cell>
          <cell r="C125" t="str">
            <v>Wal-Mart Store Planning</v>
          </cell>
          <cell r="D125" t="str">
            <v>Walmart 1206-225 Remodel</v>
          </cell>
          <cell r="E125" t="str">
            <v>Baton Rouge, LA</v>
          </cell>
          <cell r="F125">
            <v>42429</v>
          </cell>
          <cell r="G125">
            <v>42432</v>
          </cell>
          <cell r="I125">
            <v>42433</v>
          </cell>
          <cell r="J125" t="str">
            <v>RS</v>
          </cell>
          <cell r="L125">
            <v>581</v>
          </cell>
          <cell r="M125">
            <v>0</v>
          </cell>
          <cell r="N125">
            <v>0</v>
          </cell>
          <cell r="O125">
            <v>4450.8999999999996</v>
          </cell>
          <cell r="P125" t="str">
            <v>GA</v>
          </cell>
          <cell r="Q125" t="str">
            <v>4PD</v>
          </cell>
          <cell r="R125">
            <v>34558.637900000002</v>
          </cell>
          <cell r="S125" t="b">
            <v>0</v>
          </cell>
          <cell r="T125" t="str">
            <v>No</v>
          </cell>
          <cell r="V125" t="str">
            <v>A</v>
          </cell>
        </row>
        <row r="126">
          <cell r="B126" t="str">
            <v>157-2235</v>
          </cell>
          <cell r="C126" t="str">
            <v>Wal-Mart Store Planning</v>
          </cell>
          <cell r="D126" t="str">
            <v>Walmart 0708-219-SC-REM</v>
          </cell>
          <cell r="E126" t="str">
            <v>Vicksburg, MS</v>
          </cell>
          <cell r="F126">
            <v>42429</v>
          </cell>
          <cell r="G126">
            <v>42432</v>
          </cell>
          <cell r="I126">
            <v>42433</v>
          </cell>
          <cell r="J126" t="str">
            <v>AP</v>
          </cell>
          <cell r="L126">
            <v>0</v>
          </cell>
          <cell r="M126">
            <v>0</v>
          </cell>
          <cell r="N126">
            <v>0</v>
          </cell>
          <cell r="O126">
            <v>38303.56</v>
          </cell>
          <cell r="P126" t="str">
            <v>GA</v>
          </cell>
          <cell r="Q126" t="str">
            <v>4PD</v>
          </cell>
          <cell r="R126">
            <v>98636.117800000007</v>
          </cell>
          <cell r="S126" t="b">
            <v>0</v>
          </cell>
          <cell r="T126" t="str">
            <v>No</v>
          </cell>
          <cell r="V126" t="str">
            <v>A</v>
          </cell>
        </row>
        <row r="127">
          <cell r="B127" t="str">
            <v>157-2304</v>
          </cell>
          <cell r="C127" t="str">
            <v>Wal-Mart Store Planning</v>
          </cell>
          <cell r="D127" t="str">
            <v>Walmart 0723-226-SC-REM</v>
          </cell>
          <cell r="E127" t="str">
            <v>Troy, AL</v>
          </cell>
          <cell r="F127">
            <v>42429</v>
          </cell>
          <cell r="G127">
            <v>42432</v>
          </cell>
          <cell r="I127">
            <v>42433</v>
          </cell>
          <cell r="J127" t="str">
            <v>RS</v>
          </cell>
          <cell r="L127">
            <v>0</v>
          </cell>
          <cell r="M127">
            <v>0</v>
          </cell>
          <cell r="N127">
            <v>0</v>
          </cell>
          <cell r="O127">
            <v>15787.81</v>
          </cell>
          <cell r="P127" t="str">
            <v>GA</v>
          </cell>
          <cell r="Q127" t="str">
            <v>4PD</v>
          </cell>
          <cell r="R127">
            <v>48884.66</v>
          </cell>
          <cell r="S127" t="b">
            <v>0</v>
          </cell>
          <cell r="T127" t="str">
            <v>No</v>
          </cell>
          <cell r="V127" t="str">
            <v>A</v>
          </cell>
        </row>
        <row r="128">
          <cell r="B128" t="str">
            <v xml:space="preserve">167-0007 </v>
          </cell>
          <cell r="C128" t="str">
            <v>Wal-Mart Store Planning</v>
          </cell>
          <cell r="D128" t="str">
            <v>Walmart 1318-211-SC-REM</v>
          </cell>
          <cell r="E128" t="str">
            <v>Knoxville, TN</v>
          </cell>
          <cell r="F128">
            <v>42429</v>
          </cell>
          <cell r="G128">
            <v>42432</v>
          </cell>
          <cell r="I128">
            <v>42433</v>
          </cell>
          <cell r="J128" t="str">
            <v>RS</v>
          </cell>
          <cell r="L128">
            <v>324</v>
          </cell>
          <cell r="M128">
            <v>0</v>
          </cell>
          <cell r="N128">
            <v>1</v>
          </cell>
          <cell r="O128">
            <v>9571.86</v>
          </cell>
          <cell r="P128" t="str">
            <v>GA</v>
          </cell>
          <cell r="Q128" t="str">
            <v>4PD</v>
          </cell>
          <cell r="R128">
            <v>27673.083600000002</v>
          </cell>
          <cell r="S128" t="b">
            <v>0</v>
          </cell>
          <cell r="T128" t="str">
            <v>No</v>
          </cell>
          <cell r="V128" t="str">
            <v>A</v>
          </cell>
        </row>
        <row r="129">
          <cell r="B129" t="str">
            <v>165-0048</v>
          </cell>
          <cell r="C129" t="str">
            <v>Inno Mechanical</v>
          </cell>
          <cell r="D129" t="str">
            <v>Paris Baguette</v>
          </cell>
          <cell r="E129" t="str">
            <v xml:space="preserve"> </v>
          </cell>
          <cell r="F129">
            <v>42429</v>
          </cell>
          <cell r="G129">
            <v>42432</v>
          </cell>
          <cell r="I129">
            <v>42433</v>
          </cell>
          <cell r="J129" t="str">
            <v>VSS</v>
          </cell>
          <cell r="L129">
            <v>7710</v>
          </cell>
          <cell r="M129">
            <v>0</v>
          </cell>
          <cell r="N129">
            <v>4</v>
          </cell>
          <cell r="O129">
            <v>56848.13</v>
          </cell>
          <cell r="P129" t="str">
            <v>GA</v>
          </cell>
          <cell r="Q129" t="str">
            <v>4PD</v>
          </cell>
          <cell r="R129">
            <v>57154.730799999998</v>
          </cell>
          <cell r="S129" t="b">
            <v>0</v>
          </cell>
          <cell r="T129" t="str">
            <v>No</v>
          </cell>
        </row>
        <row r="130">
          <cell r="B130" t="str">
            <v xml:space="preserve">167-0019 </v>
          </cell>
          <cell r="C130" t="str">
            <v>Wal-Mart Store Planning</v>
          </cell>
          <cell r="D130" t="str">
            <v>Walmart 1640-220-SC-REM</v>
          </cell>
          <cell r="E130" t="str">
            <v>State College, PA</v>
          </cell>
          <cell r="F130">
            <v>42429</v>
          </cell>
          <cell r="G130">
            <v>42432</v>
          </cell>
          <cell r="I130">
            <v>42433</v>
          </cell>
          <cell r="J130" t="str">
            <v>PW</v>
          </cell>
          <cell r="L130">
            <v>11855</v>
          </cell>
          <cell r="M130">
            <v>0</v>
          </cell>
          <cell r="N130">
            <v>8</v>
          </cell>
          <cell r="O130">
            <v>98743.13</v>
          </cell>
          <cell r="P130" t="str">
            <v>GA</v>
          </cell>
          <cell r="Q130" t="str">
            <v>4PD</v>
          </cell>
          <cell r="R130">
            <v>175121.93460000001</v>
          </cell>
          <cell r="S130" t="b">
            <v>0</v>
          </cell>
          <cell r="T130" t="str">
            <v>No</v>
          </cell>
          <cell r="V130" t="str">
            <v>A</v>
          </cell>
        </row>
        <row r="131">
          <cell r="B131" t="str">
            <v>157-2224</v>
          </cell>
          <cell r="C131" t="str">
            <v>Wal-Mart Store Planning</v>
          </cell>
          <cell r="D131" t="str">
            <v>Walmart 0890-226 Remodel</v>
          </cell>
          <cell r="E131" t="str">
            <v>Orlando, FL</v>
          </cell>
          <cell r="F131">
            <v>42429</v>
          </cell>
          <cell r="G131">
            <v>42432</v>
          </cell>
          <cell r="I131">
            <v>42433</v>
          </cell>
          <cell r="J131" t="str">
            <v>RS</v>
          </cell>
          <cell r="L131">
            <v>1260</v>
          </cell>
          <cell r="M131">
            <v>0</v>
          </cell>
          <cell r="N131">
            <v>2</v>
          </cell>
          <cell r="O131">
            <v>10835.73</v>
          </cell>
          <cell r="P131" t="str">
            <v>GA</v>
          </cell>
          <cell r="Q131" t="str">
            <v>4PD</v>
          </cell>
          <cell r="R131">
            <v>20509.338800000001</v>
          </cell>
          <cell r="S131" t="b">
            <v>0</v>
          </cell>
          <cell r="T131" t="str">
            <v>No</v>
          </cell>
          <cell r="V131" t="str">
            <v>A</v>
          </cell>
        </row>
        <row r="132">
          <cell r="B132" t="str">
            <v>167-0009</v>
          </cell>
          <cell r="C132" t="str">
            <v>Wal-Mart Store Planning</v>
          </cell>
          <cell r="D132" t="str">
            <v>Walmart 1392-221-SC-REM</v>
          </cell>
          <cell r="E132" t="str">
            <v>Wilmington, NC</v>
          </cell>
          <cell r="F132">
            <v>42429</v>
          </cell>
          <cell r="G132">
            <v>42432</v>
          </cell>
          <cell r="I132">
            <v>42433</v>
          </cell>
          <cell r="J132" t="str">
            <v>RS</v>
          </cell>
          <cell r="L132">
            <v>0</v>
          </cell>
          <cell r="M132">
            <v>0</v>
          </cell>
          <cell r="N132">
            <v>0</v>
          </cell>
          <cell r="O132">
            <v>18002.66</v>
          </cell>
          <cell r="P132" t="str">
            <v>GA</v>
          </cell>
          <cell r="Q132" t="str">
            <v>4PD</v>
          </cell>
          <cell r="R132">
            <v>62637.680099999998</v>
          </cell>
          <cell r="S132" t="b">
            <v>0</v>
          </cell>
          <cell r="T132" t="str">
            <v>No</v>
          </cell>
          <cell r="V132" t="str">
            <v>A</v>
          </cell>
        </row>
        <row r="133">
          <cell r="B133" t="str">
            <v>157-2135</v>
          </cell>
          <cell r="C133" t="str">
            <v>Wal-Mart Store Planning</v>
          </cell>
          <cell r="D133" t="str">
            <v>Walmart 0537-222-SC-REM</v>
          </cell>
          <cell r="E133" t="str">
            <v>Odessa, TX</v>
          </cell>
          <cell r="F133">
            <v>42429</v>
          </cell>
          <cell r="G133">
            <v>42432</v>
          </cell>
          <cell r="I133">
            <v>42433</v>
          </cell>
          <cell r="J133" t="str">
            <v>PC</v>
          </cell>
          <cell r="L133">
            <v>0</v>
          </cell>
          <cell r="M133">
            <v>0</v>
          </cell>
          <cell r="N133">
            <v>0</v>
          </cell>
          <cell r="O133">
            <v>47964.73</v>
          </cell>
          <cell r="P133" t="str">
            <v>GA</v>
          </cell>
          <cell r="Q133" t="str">
            <v>4PD</v>
          </cell>
          <cell r="R133">
            <v>117499.8904</v>
          </cell>
          <cell r="S133" t="b">
            <v>0</v>
          </cell>
          <cell r="T133" t="str">
            <v>No</v>
          </cell>
          <cell r="V133" t="str">
            <v>A</v>
          </cell>
        </row>
        <row r="134">
          <cell r="B134" t="str">
            <v>157-2200B</v>
          </cell>
          <cell r="C134" t="str">
            <v>Wal-Mart Store Planning</v>
          </cell>
          <cell r="D134" t="str">
            <v>Walmart 2035-219-SC-REM</v>
          </cell>
          <cell r="E134" t="str">
            <v>Greenville, OH</v>
          </cell>
          <cell r="F134">
            <v>42429</v>
          </cell>
          <cell r="G134">
            <v>42432</v>
          </cell>
          <cell r="I134">
            <v>42433</v>
          </cell>
          <cell r="J134" t="str">
            <v>RS</v>
          </cell>
          <cell r="L134">
            <v>0</v>
          </cell>
          <cell r="M134">
            <v>0</v>
          </cell>
          <cell r="N134">
            <v>0</v>
          </cell>
          <cell r="O134">
            <v>2277.5700000000002</v>
          </cell>
          <cell r="P134" t="str">
            <v>GA</v>
          </cell>
          <cell r="Q134" t="str">
            <v>4PD</v>
          </cell>
          <cell r="R134">
            <v>2755.35</v>
          </cell>
          <cell r="S134" t="b">
            <v>0</v>
          </cell>
          <cell r="T134" t="str">
            <v>No</v>
          </cell>
          <cell r="V134" t="str">
            <v>A</v>
          </cell>
        </row>
        <row r="135">
          <cell r="B135" t="str">
            <v>157-2000B</v>
          </cell>
          <cell r="C135" t="str">
            <v>Wal-Mart Store Planning</v>
          </cell>
          <cell r="D135" t="str">
            <v>Walmart 1675-221-SC-REM</v>
          </cell>
          <cell r="E135" t="str">
            <v>Lebanon, KY</v>
          </cell>
          <cell r="F135">
            <v>42429</v>
          </cell>
          <cell r="G135">
            <v>42432</v>
          </cell>
          <cell r="I135">
            <v>42433</v>
          </cell>
          <cell r="J135" t="str">
            <v>PF</v>
          </cell>
          <cell r="K135" t="str">
            <v>CC</v>
          </cell>
          <cell r="L135">
            <v>0</v>
          </cell>
          <cell r="M135">
            <v>0</v>
          </cell>
          <cell r="N135">
            <v>0</v>
          </cell>
          <cell r="O135">
            <v>13783.19</v>
          </cell>
          <cell r="P135" t="str">
            <v>GA</v>
          </cell>
          <cell r="Q135" t="str">
            <v>4PD</v>
          </cell>
          <cell r="R135">
            <v>16043.159900000001</v>
          </cell>
          <cell r="S135" t="b">
            <v>0</v>
          </cell>
          <cell r="T135" t="str">
            <v>No</v>
          </cell>
          <cell r="V135" t="str">
            <v>A</v>
          </cell>
        </row>
        <row r="136">
          <cell r="B136" t="str">
            <v>165-0039</v>
          </cell>
          <cell r="C136" t="str">
            <v>Origin Group Int’l Inc</v>
          </cell>
          <cell r="D136" t="str">
            <v>FD# 8816   WM FLDLCRDR</v>
          </cell>
          <cell r="E136" t="str">
            <v>NORFOLK, VA</v>
          </cell>
          <cell r="F136">
            <v>42429</v>
          </cell>
          <cell r="G136">
            <v>42432</v>
          </cell>
          <cell r="I136">
            <v>42433</v>
          </cell>
          <cell r="J136" t="str">
            <v>.</v>
          </cell>
          <cell r="L136">
            <v>551</v>
          </cell>
          <cell r="M136">
            <v>0</v>
          </cell>
          <cell r="N136">
            <v>2</v>
          </cell>
          <cell r="O136">
            <v>5565.7</v>
          </cell>
          <cell r="P136" t="str">
            <v>GA</v>
          </cell>
          <cell r="Q136" t="str">
            <v>4PD</v>
          </cell>
          <cell r="R136">
            <v>9785.3315000000002</v>
          </cell>
          <cell r="S136" t="b">
            <v>1</v>
          </cell>
          <cell r="T136" t="str">
            <v>Yes</v>
          </cell>
        </row>
        <row r="137">
          <cell r="B137" t="str">
            <v>157-1948</v>
          </cell>
          <cell r="C137" t="str">
            <v>KPS, LLC Mid-Atlantic # 029</v>
          </cell>
          <cell r="D137" t="str">
            <v>Kroger E-783</v>
          </cell>
          <cell r="E137" t="str">
            <v>ASHLAND KY</v>
          </cell>
          <cell r="F137">
            <v>42429</v>
          </cell>
          <cell r="G137">
            <v>42432</v>
          </cell>
          <cell r="I137">
            <v>42433</v>
          </cell>
          <cell r="J137" t="str">
            <v>AP</v>
          </cell>
          <cell r="L137">
            <v>379</v>
          </cell>
          <cell r="M137">
            <v>0</v>
          </cell>
          <cell r="N137">
            <v>1</v>
          </cell>
          <cell r="O137">
            <v>3281.97</v>
          </cell>
          <cell r="P137" t="str">
            <v>GA</v>
          </cell>
          <cell r="Q137" t="str">
            <v>4PD</v>
          </cell>
          <cell r="R137">
            <v>3281.9661000000001</v>
          </cell>
          <cell r="S137" t="b">
            <v>0</v>
          </cell>
          <cell r="T137" t="str">
            <v>No</v>
          </cell>
          <cell r="U137" t="str">
            <v>FBed</v>
          </cell>
          <cell r="V137" t="str">
            <v>A</v>
          </cell>
        </row>
        <row r="138">
          <cell r="B138" t="str">
            <v xml:space="preserve">157-2244 </v>
          </cell>
          <cell r="C138" t="str">
            <v>Wal-Mart Store Planning</v>
          </cell>
          <cell r="D138" t="str">
            <v>Walmart 1703-219-SC-REM</v>
          </cell>
          <cell r="E138" t="str">
            <v>Martinsburg, WV</v>
          </cell>
          <cell r="F138">
            <v>42429</v>
          </cell>
          <cell r="G138">
            <v>42432</v>
          </cell>
          <cell r="I138">
            <v>42433</v>
          </cell>
          <cell r="J138" t="str">
            <v>PW</v>
          </cell>
          <cell r="L138">
            <v>2887</v>
          </cell>
          <cell r="M138">
            <v>0</v>
          </cell>
          <cell r="N138">
            <v>2</v>
          </cell>
          <cell r="O138">
            <v>24343.61</v>
          </cell>
          <cell r="P138" t="str">
            <v>GA</v>
          </cell>
          <cell r="Q138" t="str">
            <v>4PD</v>
          </cell>
          <cell r="R138">
            <v>55864.243300000002</v>
          </cell>
          <cell r="S138" t="b">
            <v>0</v>
          </cell>
          <cell r="T138" t="str">
            <v>No</v>
          </cell>
          <cell r="V138" t="str">
            <v>A</v>
          </cell>
        </row>
        <row r="139">
          <cell r="B139" t="str">
            <v>155-0956B</v>
          </cell>
          <cell r="C139" t="str">
            <v>Harris Teeter</v>
          </cell>
          <cell r="D139" t="str">
            <v>Harris Teeter 177</v>
          </cell>
          <cell r="E139" t="str">
            <v xml:space="preserve"> </v>
          </cell>
          <cell r="F139">
            <v>42429</v>
          </cell>
          <cell r="G139">
            <v>42433</v>
          </cell>
          <cell r="I139">
            <v>42436</v>
          </cell>
          <cell r="J139" t="str">
            <v>PF</v>
          </cell>
          <cell r="K139" t="str">
            <v>CC</v>
          </cell>
          <cell r="L139">
            <v>2400</v>
          </cell>
          <cell r="M139">
            <v>43</v>
          </cell>
          <cell r="N139">
            <v>1</v>
          </cell>
          <cell r="O139">
            <v>19472.55</v>
          </cell>
          <cell r="P139" t="str">
            <v>GA</v>
          </cell>
          <cell r="Q139" t="str">
            <v>4PD</v>
          </cell>
          <cell r="R139">
            <v>32979.648999999998</v>
          </cell>
          <cell r="S139" t="b">
            <v>0</v>
          </cell>
          <cell r="T139" t="str">
            <v>No</v>
          </cell>
          <cell r="V139" t="str">
            <v>A</v>
          </cell>
        </row>
        <row r="140">
          <cell r="B140" t="str">
            <v>157-2060</v>
          </cell>
          <cell r="C140" t="str">
            <v>KPS, LLC Mid-South #024</v>
          </cell>
          <cell r="D140" t="str">
            <v>Kroger L-768</v>
          </cell>
          <cell r="E140" t="str">
            <v>Lexington KY</v>
          </cell>
          <cell r="F140">
            <v>42429</v>
          </cell>
          <cell r="G140">
            <v>42433</v>
          </cell>
          <cell r="I140">
            <v>42436</v>
          </cell>
          <cell r="J140" t="str">
            <v>RS</v>
          </cell>
          <cell r="L140">
            <v>12731</v>
          </cell>
          <cell r="M140">
            <v>0</v>
          </cell>
          <cell r="N140">
            <v>12</v>
          </cell>
          <cell r="O140">
            <v>98767.22</v>
          </cell>
          <cell r="P140" t="str">
            <v>GA</v>
          </cell>
          <cell r="Q140" t="str">
            <v>4PD</v>
          </cell>
          <cell r="R140">
            <v>98767.224000000002</v>
          </cell>
          <cell r="S140" t="b">
            <v>0</v>
          </cell>
          <cell r="T140" t="str">
            <v>No</v>
          </cell>
          <cell r="V140" t="str">
            <v>A</v>
          </cell>
        </row>
        <row r="141">
          <cell r="B141" t="str">
            <v>155-0991F</v>
          </cell>
          <cell r="C141" t="str">
            <v>Publix Super Markets Inc.</v>
          </cell>
          <cell r="D141" t="str">
            <v>Publix 1342 - Manatee, FL</v>
          </cell>
          <cell r="E141" t="str">
            <v>Manatee, FL</v>
          </cell>
          <cell r="F141">
            <v>42429</v>
          </cell>
          <cell r="G141">
            <v>42436</v>
          </cell>
          <cell r="I141">
            <v>42437</v>
          </cell>
          <cell r="J141" t="str">
            <v>SW</v>
          </cell>
          <cell r="L141">
            <v>2953</v>
          </cell>
          <cell r="M141">
            <v>0</v>
          </cell>
          <cell r="N141">
            <v>2</v>
          </cell>
          <cell r="O141">
            <v>19548.03</v>
          </cell>
          <cell r="P141" t="str">
            <v>GA</v>
          </cell>
          <cell r="Q141" t="str">
            <v>4PD</v>
          </cell>
          <cell r="R141">
            <v>20491.469000000001</v>
          </cell>
          <cell r="S141" t="b">
            <v>0</v>
          </cell>
          <cell r="T141" t="str">
            <v>No</v>
          </cell>
          <cell r="V141" t="str">
            <v>A</v>
          </cell>
        </row>
        <row r="142">
          <cell r="B142" t="str">
            <v>165-0094A</v>
          </cell>
          <cell r="C142" t="str">
            <v>Publix Super Markets Inc.</v>
          </cell>
          <cell r="D142" t="str">
            <v>Publix #578</v>
          </cell>
          <cell r="E142" t="str">
            <v>Fort Myers, FL</v>
          </cell>
          <cell r="F142">
            <v>42429</v>
          </cell>
          <cell r="G142">
            <v>42436</v>
          </cell>
          <cell r="I142">
            <v>42437</v>
          </cell>
          <cell r="J142" t="str">
            <v>.</v>
          </cell>
          <cell r="L142">
            <v>0</v>
          </cell>
          <cell r="M142">
            <v>0</v>
          </cell>
          <cell r="N142">
            <v>0</v>
          </cell>
          <cell r="O142">
            <v>950</v>
          </cell>
          <cell r="P142" t="str">
            <v>GA</v>
          </cell>
          <cell r="Q142" t="str">
            <v>4PD</v>
          </cell>
          <cell r="R142">
            <v>950</v>
          </cell>
          <cell r="S142" t="b">
            <v>1</v>
          </cell>
          <cell r="T142" t="str">
            <v>Yes</v>
          </cell>
        </row>
        <row r="143">
          <cell r="B143" t="str">
            <v>167-0166</v>
          </cell>
          <cell r="C143" t="str">
            <v>KPS, LLC Mid-South #024</v>
          </cell>
          <cell r="D143" t="str">
            <v>Kroger L-387</v>
          </cell>
          <cell r="E143" t="str">
            <v>LOUISVILLE KY</v>
          </cell>
          <cell r="F143">
            <v>42429</v>
          </cell>
          <cell r="G143">
            <v>42438</v>
          </cell>
          <cell r="I143">
            <v>42439</v>
          </cell>
          <cell r="J143" t="str">
            <v>VSS</v>
          </cell>
          <cell r="L143">
            <v>5946</v>
          </cell>
          <cell r="M143">
            <v>0</v>
          </cell>
          <cell r="N143">
            <v>4</v>
          </cell>
          <cell r="O143">
            <v>41638.89</v>
          </cell>
          <cell r="P143" t="str">
            <v>GA</v>
          </cell>
          <cell r="Q143" t="str">
            <v>4PD</v>
          </cell>
          <cell r="R143">
            <v>41638.890899999999</v>
          </cell>
          <cell r="S143" t="b">
            <v>0</v>
          </cell>
          <cell r="T143" t="str">
            <v>No</v>
          </cell>
          <cell r="U143" t="str">
            <v>FBed</v>
          </cell>
        </row>
        <row r="144">
          <cell r="B144" t="str">
            <v>165-0010</v>
          </cell>
          <cell r="C144" t="str">
            <v>Certified Comm Serv &amp; Equip</v>
          </cell>
          <cell r="D144" t="str">
            <v>Pilot #1082</v>
          </cell>
          <cell r="E144" t="str">
            <v>Charleston SC</v>
          </cell>
          <cell r="F144">
            <v>42429</v>
          </cell>
          <cell r="G144">
            <v>42438</v>
          </cell>
          <cell r="I144">
            <v>42439</v>
          </cell>
          <cell r="J144" t="str">
            <v>.</v>
          </cell>
          <cell r="L144">
            <v>2915</v>
          </cell>
          <cell r="M144">
            <v>0</v>
          </cell>
          <cell r="N144">
            <v>5</v>
          </cell>
          <cell r="O144">
            <v>25691.99</v>
          </cell>
          <cell r="P144" t="str">
            <v>GA</v>
          </cell>
          <cell r="Q144" t="str">
            <v>4PD</v>
          </cell>
          <cell r="R144">
            <v>25691.9882</v>
          </cell>
          <cell r="S144" t="b">
            <v>0</v>
          </cell>
          <cell r="T144" t="str">
            <v>No</v>
          </cell>
          <cell r="V144" t="str">
            <v>A</v>
          </cell>
        </row>
        <row r="145">
          <cell r="B145" t="str">
            <v>165-0025</v>
          </cell>
          <cell r="C145" t="str">
            <v>Dollar Tree Sourcing Comp. LLC</v>
          </cell>
          <cell r="D145" t="str">
            <v>DT# 3773   WM FLDLCRDR DP/LED/Therm</v>
          </cell>
          <cell r="E145" t="str">
            <v>CRYSTAL, MN</v>
          </cell>
          <cell r="F145">
            <v>42436</v>
          </cell>
          <cell r="G145">
            <v>42439</v>
          </cell>
          <cell r="I145">
            <v>42440</v>
          </cell>
          <cell r="J145" t="str">
            <v>.</v>
          </cell>
          <cell r="L145">
            <v>551</v>
          </cell>
          <cell r="M145">
            <v>0</v>
          </cell>
          <cell r="N145">
            <v>2</v>
          </cell>
          <cell r="O145">
            <v>5669.12</v>
          </cell>
          <cell r="P145" t="str">
            <v>GA</v>
          </cell>
          <cell r="Q145" t="str">
            <v>4PD</v>
          </cell>
          <cell r="R145">
            <v>10229.245199999999</v>
          </cell>
          <cell r="S145" t="b">
            <v>1</v>
          </cell>
          <cell r="T145" t="str">
            <v>Yes</v>
          </cell>
        </row>
        <row r="146">
          <cell r="B146" t="str">
            <v xml:space="preserve">157-2211 </v>
          </cell>
          <cell r="C146" t="str">
            <v>Wal-Mart Store Planning</v>
          </cell>
          <cell r="D146" t="str">
            <v>Walmart 2100-212-SC-REM</v>
          </cell>
          <cell r="E146" t="str">
            <v>Cheboygan, MI</v>
          </cell>
          <cell r="F146">
            <v>42436</v>
          </cell>
          <cell r="G146">
            <v>42439</v>
          </cell>
          <cell r="I146">
            <v>42440</v>
          </cell>
          <cell r="J146" t="str">
            <v>AP</v>
          </cell>
          <cell r="L146">
            <v>81</v>
          </cell>
          <cell r="M146">
            <v>0</v>
          </cell>
          <cell r="N146">
            <v>2</v>
          </cell>
          <cell r="O146">
            <v>10267.73</v>
          </cell>
          <cell r="P146" t="str">
            <v>GA</v>
          </cell>
          <cell r="Q146" t="str">
            <v>4PD</v>
          </cell>
          <cell r="R146">
            <v>45890.4905</v>
          </cell>
          <cell r="S146" t="b">
            <v>0</v>
          </cell>
          <cell r="T146" t="str">
            <v>No</v>
          </cell>
          <cell r="V146" t="str">
            <v>A</v>
          </cell>
        </row>
        <row r="147">
          <cell r="B147" t="str">
            <v>165-0068</v>
          </cell>
          <cell r="C147" t="str">
            <v>K-Va-T Stores</v>
          </cell>
          <cell r="D147" t="str">
            <v>Food City - 717</v>
          </cell>
          <cell r="E147" t="str">
            <v>Harrison TN</v>
          </cell>
          <cell r="F147">
            <v>42436</v>
          </cell>
          <cell r="G147">
            <v>42439</v>
          </cell>
          <cell r="I147">
            <v>42440</v>
          </cell>
          <cell r="J147" t="str">
            <v>.</v>
          </cell>
          <cell r="L147">
            <v>878</v>
          </cell>
          <cell r="M147">
            <v>0</v>
          </cell>
          <cell r="N147">
            <v>1</v>
          </cell>
          <cell r="O147">
            <v>8770.93</v>
          </cell>
          <cell r="P147" t="str">
            <v>GA</v>
          </cell>
          <cell r="Q147" t="str">
            <v>4PD</v>
          </cell>
          <cell r="R147">
            <v>12502.7577</v>
          </cell>
          <cell r="S147" t="b">
            <v>0</v>
          </cell>
          <cell r="T147" t="str">
            <v>No</v>
          </cell>
        </row>
        <row r="148">
          <cell r="B148" t="str">
            <v>157-2084</v>
          </cell>
          <cell r="C148" t="str">
            <v>KPS, LLC Mid-Atlantic # 029</v>
          </cell>
          <cell r="D148" t="str">
            <v>Kroger R-226OLS</v>
          </cell>
          <cell r="E148" t="str">
            <v>SALEM VA</v>
          </cell>
          <cell r="F148">
            <v>42436</v>
          </cell>
          <cell r="G148">
            <v>42439</v>
          </cell>
          <cell r="I148">
            <v>42440</v>
          </cell>
          <cell r="J148" t="str">
            <v>RS</v>
          </cell>
          <cell r="L148">
            <v>1036</v>
          </cell>
          <cell r="M148">
            <v>0</v>
          </cell>
          <cell r="N148">
            <v>3</v>
          </cell>
          <cell r="O148">
            <v>10777.03</v>
          </cell>
          <cell r="P148" t="str">
            <v>GA</v>
          </cell>
          <cell r="Q148" t="str">
            <v>4PD</v>
          </cell>
          <cell r="R148">
            <v>10777.032300000001</v>
          </cell>
          <cell r="S148" t="b">
            <v>0</v>
          </cell>
          <cell r="T148" t="str">
            <v>No</v>
          </cell>
          <cell r="U148" t="str">
            <v>FBed</v>
          </cell>
          <cell r="V148" t="str">
            <v>A</v>
          </cell>
        </row>
        <row r="149">
          <cell r="B149" t="str">
            <v xml:space="preserve">157-2077 </v>
          </cell>
          <cell r="C149" t="str">
            <v>Wal-Mart Store Planning</v>
          </cell>
          <cell r="D149" t="str">
            <v>Walmart 2870-01-NHM-NEW-41.3LC</v>
          </cell>
          <cell r="E149" t="str">
            <v>Myrtle Beach SC</v>
          </cell>
          <cell r="F149">
            <v>42436</v>
          </cell>
          <cell r="G149">
            <v>42439</v>
          </cell>
          <cell r="I149">
            <v>42440</v>
          </cell>
          <cell r="J149" t="str">
            <v>PC</v>
          </cell>
          <cell r="L149">
            <v>6944</v>
          </cell>
          <cell r="M149">
            <v>0</v>
          </cell>
          <cell r="N149">
            <v>1</v>
          </cell>
          <cell r="O149">
            <v>40968.86</v>
          </cell>
          <cell r="P149" t="str">
            <v>GA</v>
          </cell>
          <cell r="Q149" t="str">
            <v>4PD</v>
          </cell>
          <cell r="R149">
            <v>111357.8051</v>
          </cell>
          <cell r="S149" t="b">
            <v>0</v>
          </cell>
          <cell r="T149" t="str">
            <v>No</v>
          </cell>
          <cell r="V149" t="str">
            <v>A</v>
          </cell>
        </row>
        <row r="150">
          <cell r="B150" t="str">
            <v>167-0046</v>
          </cell>
          <cell r="C150" t="str">
            <v>KPS, LLC Mid-Atlantic # 029</v>
          </cell>
          <cell r="D150" t="str">
            <v>Kroger R-519 OLS</v>
          </cell>
          <cell r="E150" t="str">
            <v>RICHMOND VA</v>
          </cell>
          <cell r="F150">
            <v>42436</v>
          </cell>
          <cell r="G150">
            <v>42439</v>
          </cell>
          <cell r="I150">
            <v>42440</v>
          </cell>
          <cell r="J150" t="str">
            <v>RS</v>
          </cell>
          <cell r="L150">
            <v>1354</v>
          </cell>
          <cell r="M150">
            <v>0</v>
          </cell>
          <cell r="N150">
            <v>3</v>
          </cell>
          <cell r="O150">
            <v>12696.79</v>
          </cell>
          <cell r="P150" t="str">
            <v>GA</v>
          </cell>
          <cell r="Q150" t="str">
            <v>4PD</v>
          </cell>
          <cell r="R150">
            <v>14539.122799999999</v>
          </cell>
          <cell r="S150" t="b">
            <v>0</v>
          </cell>
          <cell r="T150" t="str">
            <v>No</v>
          </cell>
          <cell r="V150" t="str">
            <v>A</v>
          </cell>
        </row>
        <row r="151">
          <cell r="B151" t="str">
            <v>167-0129</v>
          </cell>
          <cell r="C151" t="str">
            <v>Berkot's Super Foods</v>
          </cell>
          <cell r="D151" t="str">
            <v>Berkot's Super Foods</v>
          </cell>
          <cell r="E151" t="str">
            <v>BRAIDWOOD IL</v>
          </cell>
          <cell r="F151">
            <v>42436</v>
          </cell>
          <cell r="G151">
            <v>42439</v>
          </cell>
          <cell r="I151">
            <v>42440</v>
          </cell>
          <cell r="J151" t="str">
            <v>SQ</v>
          </cell>
          <cell r="L151">
            <v>1738</v>
          </cell>
          <cell r="M151">
            <v>0</v>
          </cell>
          <cell r="N151">
            <v>0</v>
          </cell>
          <cell r="O151">
            <v>11861.61</v>
          </cell>
          <cell r="P151" t="str">
            <v>GA</v>
          </cell>
          <cell r="Q151" t="str">
            <v>4PD</v>
          </cell>
          <cell r="R151">
            <v>18154.065900000001</v>
          </cell>
          <cell r="S151" t="b">
            <v>0</v>
          </cell>
          <cell r="T151" t="str">
            <v>No</v>
          </cell>
        </row>
        <row r="152">
          <cell r="B152" t="str">
            <v>157-2200C</v>
          </cell>
          <cell r="C152" t="str">
            <v>Wal-Mart Store Planning</v>
          </cell>
          <cell r="D152" t="str">
            <v>Walmart 2035-219-SC-REM</v>
          </cell>
          <cell r="E152" t="str">
            <v>Greenville, OH</v>
          </cell>
          <cell r="F152">
            <v>42436</v>
          </cell>
          <cell r="G152">
            <v>42439</v>
          </cell>
          <cell r="I152">
            <v>42440</v>
          </cell>
          <cell r="J152" t="str">
            <v>RS</v>
          </cell>
          <cell r="L152">
            <v>0</v>
          </cell>
          <cell r="M152">
            <v>0</v>
          </cell>
          <cell r="N152">
            <v>0</v>
          </cell>
          <cell r="O152">
            <v>3090.2</v>
          </cell>
          <cell r="P152" t="str">
            <v>GA</v>
          </cell>
          <cell r="Q152" t="str">
            <v>4PD</v>
          </cell>
          <cell r="R152">
            <v>3090.2024999999999</v>
          </cell>
          <cell r="S152" t="b">
            <v>0</v>
          </cell>
          <cell r="T152" t="str">
            <v>No</v>
          </cell>
          <cell r="V152" t="str">
            <v>A</v>
          </cell>
        </row>
        <row r="153">
          <cell r="B153" t="str">
            <v>157-1926</v>
          </cell>
          <cell r="C153" t="str">
            <v>Wal-Mart Store Planning</v>
          </cell>
          <cell r="D153" t="str">
            <v>Walmart 5367-00-NHM-NEW-41.3LMG016</v>
          </cell>
          <cell r="E153" t="str">
            <v>Myrtle Beach SC</v>
          </cell>
          <cell r="F153">
            <v>42436</v>
          </cell>
          <cell r="G153">
            <v>42439</v>
          </cell>
          <cell r="I153">
            <v>42440</v>
          </cell>
          <cell r="J153" t="str">
            <v>PC</v>
          </cell>
          <cell r="L153">
            <v>6942</v>
          </cell>
          <cell r="M153">
            <v>0</v>
          </cell>
          <cell r="N153">
            <v>1</v>
          </cell>
          <cell r="O153">
            <v>40921.410000000003</v>
          </cell>
          <cell r="P153" t="str">
            <v>GA</v>
          </cell>
          <cell r="Q153" t="str">
            <v>4PD</v>
          </cell>
          <cell r="R153">
            <v>111309.9</v>
          </cell>
          <cell r="S153" t="b">
            <v>0</v>
          </cell>
          <cell r="T153" t="str">
            <v>No</v>
          </cell>
        </row>
        <row r="154">
          <cell r="B154" t="str">
            <v>165-0032</v>
          </cell>
          <cell r="C154" t="str">
            <v>Dollar Tree Sourcing Comp. LLC</v>
          </cell>
          <cell r="D154" t="str">
            <v>DT# 6293   WM FLDLCRDR</v>
          </cell>
          <cell r="E154" t="str">
            <v>FRISCO, TX</v>
          </cell>
          <cell r="F154">
            <v>42436</v>
          </cell>
          <cell r="G154">
            <v>42439</v>
          </cell>
          <cell r="I154">
            <v>42440</v>
          </cell>
          <cell r="J154" t="str">
            <v>.</v>
          </cell>
          <cell r="L154">
            <v>551</v>
          </cell>
          <cell r="M154">
            <v>0</v>
          </cell>
          <cell r="N154">
            <v>2</v>
          </cell>
          <cell r="O154">
            <v>5500.12</v>
          </cell>
          <cell r="P154" t="str">
            <v>GA</v>
          </cell>
          <cell r="Q154" t="str">
            <v>4PD</v>
          </cell>
          <cell r="R154">
            <v>9933.2451999999994</v>
          </cell>
          <cell r="S154" t="b">
            <v>1</v>
          </cell>
          <cell r="T154" t="str">
            <v>Yes</v>
          </cell>
        </row>
        <row r="155">
          <cell r="B155" t="str">
            <v>157-2139</v>
          </cell>
          <cell r="C155" t="str">
            <v>Wal-Mart Store Planning</v>
          </cell>
          <cell r="D155" t="str">
            <v>Walmart 5378-00-NHM-41LMG016</v>
          </cell>
          <cell r="E155" t="str">
            <v>Cayce SC</v>
          </cell>
          <cell r="F155">
            <v>42436</v>
          </cell>
          <cell r="G155">
            <v>42439</v>
          </cell>
          <cell r="I155">
            <v>42440</v>
          </cell>
          <cell r="J155" t="str">
            <v>PC</v>
          </cell>
          <cell r="L155">
            <v>4926</v>
          </cell>
          <cell r="M155">
            <v>0</v>
          </cell>
          <cell r="N155">
            <v>1</v>
          </cell>
          <cell r="O155">
            <v>28855.67</v>
          </cell>
          <cell r="P155" t="str">
            <v>GA</v>
          </cell>
          <cell r="Q155" t="str">
            <v>4PD</v>
          </cell>
          <cell r="R155">
            <v>60656.326699999998</v>
          </cell>
          <cell r="S155" t="b">
            <v>0</v>
          </cell>
          <cell r="T155" t="str">
            <v>No</v>
          </cell>
          <cell r="V155" t="str">
            <v>A</v>
          </cell>
        </row>
        <row r="156">
          <cell r="B156" t="str">
            <v>157-2231B</v>
          </cell>
          <cell r="C156" t="str">
            <v>Wal-Mart Store Planning</v>
          </cell>
          <cell r="D156" t="str">
            <v>Walmart 1206-225 Remodel</v>
          </cell>
          <cell r="E156" t="str">
            <v>Baton Rouge, LA</v>
          </cell>
          <cell r="F156">
            <v>42436</v>
          </cell>
          <cell r="G156">
            <v>42439</v>
          </cell>
          <cell r="I156">
            <v>42440</v>
          </cell>
          <cell r="J156" t="str">
            <v>RS</v>
          </cell>
          <cell r="L156">
            <v>0</v>
          </cell>
          <cell r="M156">
            <v>0</v>
          </cell>
          <cell r="N156">
            <v>1</v>
          </cell>
          <cell r="O156">
            <v>10035</v>
          </cell>
          <cell r="P156" t="str">
            <v>GA</v>
          </cell>
          <cell r="Q156" t="str">
            <v>4PD</v>
          </cell>
          <cell r="R156">
            <v>15842.5764</v>
          </cell>
          <cell r="S156" t="b">
            <v>0</v>
          </cell>
          <cell r="T156" t="str">
            <v>No</v>
          </cell>
          <cell r="V156" t="str">
            <v>A</v>
          </cell>
        </row>
        <row r="157">
          <cell r="B157" t="str">
            <v>165-0009</v>
          </cell>
          <cell r="C157" t="str">
            <v>Certified Comm Serv &amp; Equip</v>
          </cell>
          <cell r="D157" t="str">
            <v>Pilot #1046</v>
          </cell>
          <cell r="E157" t="str">
            <v>South Bay FL</v>
          </cell>
          <cell r="F157">
            <v>42436</v>
          </cell>
          <cell r="G157">
            <v>42439</v>
          </cell>
          <cell r="I157">
            <v>42440</v>
          </cell>
          <cell r="J157" t="str">
            <v>VSS</v>
          </cell>
          <cell r="L157">
            <v>1978</v>
          </cell>
          <cell r="M157">
            <v>0</v>
          </cell>
          <cell r="N157">
            <v>3</v>
          </cell>
          <cell r="O157">
            <v>16294.12</v>
          </cell>
          <cell r="P157" t="str">
            <v>GA</v>
          </cell>
          <cell r="Q157" t="str">
            <v>4PD</v>
          </cell>
          <cell r="R157">
            <v>16294.1173</v>
          </cell>
          <cell r="S157" t="b">
            <v>0</v>
          </cell>
          <cell r="T157" t="str">
            <v>No</v>
          </cell>
          <cell r="V157" t="str">
            <v>A</v>
          </cell>
        </row>
        <row r="158">
          <cell r="B158" t="str">
            <v>157-2195A</v>
          </cell>
          <cell r="C158" t="str">
            <v>Wal-Mart Store Planning</v>
          </cell>
          <cell r="D158" t="str">
            <v>Walmart 1023-219 REM</v>
          </cell>
          <cell r="E158" t="str">
            <v>Galax, VA</v>
          </cell>
          <cell r="F158">
            <v>42436</v>
          </cell>
          <cell r="G158">
            <v>42439</v>
          </cell>
          <cell r="I158">
            <v>42440</v>
          </cell>
          <cell r="J158" t="str">
            <v>RS</v>
          </cell>
          <cell r="L158">
            <v>0</v>
          </cell>
          <cell r="M158">
            <v>0</v>
          </cell>
          <cell r="N158">
            <v>0</v>
          </cell>
          <cell r="O158">
            <v>152</v>
          </cell>
          <cell r="P158" t="str">
            <v>GA</v>
          </cell>
          <cell r="Q158" t="str">
            <v>4PD</v>
          </cell>
          <cell r="R158">
            <v>47969.340700000001</v>
          </cell>
          <cell r="S158" t="b">
            <v>1</v>
          </cell>
          <cell r="T158" t="str">
            <v>Yes</v>
          </cell>
          <cell r="V158" t="str">
            <v>A</v>
          </cell>
        </row>
        <row r="159">
          <cell r="B159" t="str">
            <v>167-0008</v>
          </cell>
          <cell r="C159" t="str">
            <v>Wal-Mart Store Planning</v>
          </cell>
          <cell r="D159" t="str">
            <v>Walmart 2860-220 Remodel</v>
          </cell>
          <cell r="E159" t="str">
            <v>Pooler, GA</v>
          </cell>
          <cell r="F159">
            <v>42436</v>
          </cell>
          <cell r="G159">
            <v>42439</v>
          </cell>
          <cell r="I159">
            <v>42440</v>
          </cell>
          <cell r="J159" t="str">
            <v>RS</v>
          </cell>
          <cell r="L159">
            <v>0</v>
          </cell>
          <cell r="M159">
            <v>0</v>
          </cell>
          <cell r="N159">
            <v>0</v>
          </cell>
          <cell r="O159">
            <v>10760</v>
          </cell>
          <cell r="P159" t="str">
            <v>GA</v>
          </cell>
          <cell r="Q159" t="str">
            <v>4PD</v>
          </cell>
          <cell r="R159">
            <v>43113.69</v>
          </cell>
          <cell r="S159" t="b">
            <v>0</v>
          </cell>
          <cell r="T159" t="str">
            <v>No</v>
          </cell>
          <cell r="V159" t="str">
            <v>A</v>
          </cell>
        </row>
        <row r="160">
          <cell r="B160" t="str">
            <v>157-2195B</v>
          </cell>
          <cell r="C160" t="str">
            <v>Wal-Mart Store Planning</v>
          </cell>
          <cell r="D160" t="str">
            <v>Walmart 1023-219 REM</v>
          </cell>
          <cell r="E160" t="str">
            <v>Galax, VA</v>
          </cell>
          <cell r="F160">
            <v>42436</v>
          </cell>
          <cell r="G160">
            <v>42439</v>
          </cell>
          <cell r="I160">
            <v>42440</v>
          </cell>
          <cell r="J160" t="str">
            <v>RS</v>
          </cell>
          <cell r="L160">
            <v>3039</v>
          </cell>
          <cell r="M160">
            <v>0</v>
          </cell>
          <cell r="N160">
            <v>0</v>
          </cell>
          <cell r="O160">
            <v>21334.86</v>
          </cell>
          <cell r="P160" t="str">
            <v>GA</v>
          </cell>
          <cell r="Q160" t="str">
            <v>4PD</v>
          </cell>
          <cell r="R160">
            <v>25946.056400000001</v>
          </cell>
          <cell r="S160" t="b">
            <v>0</v>
          </cell>
          <cell r="T160" t="str">
            <v>No</v>
          </cell>
          <cell r="V160" t="str">
            <v>A</v>
          </cell>
        </row>
        <row r="161">
          <cell r="B161" t="str">
            <v>157-1053</v>
          </cell>
          <cell r="C161" t="str">
            <v>Wal-Mart Store Planning</v>
          </cell>
          <cell r="D161" t="str">
            <v>Walmart 4619-00-NHM-NEW-45</v>
          </cell>
          <cell r="E161" t="str">
            <v>Tupelo, MS</v>
          </cell>
          <cell r="F161">
            <v>42436</v>
          </cell>
          <cell r="G161">
            <v>42440</v>
          </cell>
          <cell r="I161">
            <v>42443</v>
          </cell>
          <cell r="J161" t="str">
            <v>PC</v>
          </cell>
          <cell r="L161">
            <v>5898</v>
          </cell>
          <cell r="M161">
            <v>0</v>
          </cell>
          <cell r="N161">
            <v>3</v>
          </cell>
          <cell r="O161">
            <v>36565.089999999997</v>
          </cell>
          <cell r="P161" t="str">
            <v>GA</v>
          </cell>
          <cell r="Q161" t="str">
            <v>4PD</v>
          </cell>
          <cell r="R161">
            <v>71879.756099999999</v>
          </cell>
          <cell r="S161" t="b">
            <v>0</v>
          </cell>
          <cell r="T161" t="str">
            <v>No</v>
          </cell>
          <cell r="V161" t="str">
            <v>A</v>
          </cell>
        </row>
        <row r="162">
          <cell r="B162" t="str">
            <v>160-0039</v>
          </cell>
          <cell r="C162" t="str">
            <v>Walmart Puerto Rico</v>
          </cell>
          <cell r="D162" t="str">
            <v>SC Manati Store 3716</v>
          </cell>
          <cell r="E162" t="str">
            <v>San Juan PR</v>
          </cell>
          <cell r="F162">
            <v>42436</v>
          </cell>
          <cell r="G162">
            <v>42440</v>
          </cell>
          <cell r="I162">
            <v>42443</v>
          </cell>
          <cell r="J162" t="str">
            <v>RF</v>
          </cell>
          <cell r="L162">
            <v>7824</v>
          </cell>
          <cell r="M162">
            <v>0</v>
          </cell>
          <cell r="N162">
            <v>5</v>
          </cell>
          <cell r="O162">
            <v>58268.14</v>
          </cell>
          <cell r="P162" t="str">
            <v>GA</v>
          </cell>
          <cell r="Q162" t="str">
            <v>4PD</v>
          </cell>
          <cell r="R162">
            <v>73322.672600000005</v>
          </cell>
          <cell r="S162" t="b">
            <v>0</v>
          </cell>
          <cell r="T162" t="str">
            <v>No</v>
          </cell>
        </row>
        <row r="163">
          <cell r="B163" t="str">
            <v xml:space="preserve">160-0061 </v>
          </cell>
          <cell r="C163" t="str">
            <v>Supermarket Source, Inc</v>
          </cell>
          <cell r="D163" t="str">
            <v>A - 1 Bravo Cape Coral</v>
          </cell>
          <cell r="E163" t="str">
            <v>Cape Coral</v>
          </cell>
          <cell r="F163">
            <v>42436</v>
          </cell>
          <cell r="G163">
            <v>42440</v>
          </cell>
          <cell r="I163">
            <v>42443</v>
          </cell>
          <cell r="J163" t="str">
            <v>SQ</v>
          </cell>
          <cell r="L163">
            <v>5162</v>
          </cell>
          <cell r="M163">
            <v>0</v>
          </cell>
          <cell r="N163">
            <v>5</v>
          </cell>
          <cell r="O163">
            <v>40979.839999999997</v>
          </cell>
          <cell r="P163" t="str">
            <v>GA</v>
          </cell>
          <cell r="Q163" t="str">
            <v>4PD</v>
          </cell>
          <cell r="R163">
            <v>46862.3223</v>
          </cell>
          <cell r="S163" t="b">
            <v>0</v>
          </cell>
          <cell r="T163" t="str">
            <v>No</v>
          </cell>
        </row>
        <row r="164">
          <cell r="B164" t="str">
            <v>165-0079</v>
          </cell>
          <cell r="C164" t="str">
            <v>Dollar Tree Sourcing Comp. LLC</v>
          </cell>
          <cell r="D164" t="str">
            <v>DT# 5774   WSM FLDLCRDR</v>
          </cell>
          <cell r="E164" t="str">
            <v>Bronx, NY</v>
          </cell>
          <cell r="F164">
            <v>42436</v>
          </cell>
          <cell r="G164">
            <v>42443</v>
          </cell>
          <cell r="I164">
            <v>42444</v>
          </cell>
          <cell r="J164" t="str">
            <v>.</v>
          </cell>
          <cell r="L164">
            <v>629</v>
          </cell>
          <cell r="M164">
            <v>0</v>
          </cell>
          <cell r="N164">
            <v>2</v>
          </cell>
          <cell r="O164">
            <v>6083.54</v>
          </cell>
          <cell r="P164" t="str">
            <v>GA</v>
          </cell>
          <cell r="Q164" t="str">
            <v>4PD</v>
          </cell>
          <cell r="R164">
            <v>10516.6674</v>
          </cell>
          <cell r="S164" t="b">
            <v>1</v>
          </cell>
          <cell r="T164" t="str">
            <v>Yes</v>
          </cell>
        </row>
        <row r="165">
          <cell r="B165" t="str">
            <v>165-0066</v>
          </cell>
          <cell r="C165" t="str">
            <v>Dollar Tree Sourcing Comp. LLC</v>
          </cell>
          <cell r="D165" t="str">
            <v>DT# 272   WM FLDLCRDR</v>
          </cell>
          <cell r="E165" t="str">
            <v>Lexington, VA</v>
          </cell>
          <cell r="F165">
            <v>42436</v>
          </cell>
          <cell r="G165">
            <v>42443</v>
          </cell>
          <cell r="I165">
            <v>42444</v>
          </cell>
          <cell r="J165" t="str">
            <v>.</v>
          </cell>
          <cell r="L165">
            <v>551</v>
          </cell>
          <cell r="M165">
            <v>0</v>
          </cell>
          <cell r="N165">
            <v>2</v>
          </cell>
          <cell r="O165">
            <v>5500.12</v>
          </cell>
          <cell r="P165" t="str">
            <v>GA</v>
          </cell>
          <cell r="Q165" t="str">
            <v>4PD</v>
          </cell>
          <cell r="R165">
            <v>9933.2451999999994</v>
          </cell>
          <cell r="S165" t="b">
            <v>1</v>
          </cell>
          <cell r="T165" t="str">
            <v>Yes</v>
          </cell>
        </row>
        <row r="166">
          <cell r="B166" t="str">
            <v xml:space="preserve">167-0165 </v>
          </cell>
          <cell r="C166" t="str">
            <v>Berkot's Super Foods</v>
          </cell>
          <cell r="D166" t="str">
            <v>BERKOTS SUPER FOODS</v>
          </cell>
          <cell r="E166" t="str">
            <v>JOLIET IL</v>
          </cell>
          <cell r="F166">
            <v>42436</v>
          </cell>
          <cell r="G166">
            <v>42443</v>
          </cell>
          <cell r="I166">
            <v>42444</v>
          </cell>
          <cell r="J166" t="str">
            <v>SQ</v>
          </cell>
          <cell r="L166">
            <v>15932</v>
          </cell>
          <cell r="M166">
            <v>0</v>
          </cell>
          <cell r="N166">
            <v>9</v>
          </cell>
          <cell r="O166">
            <v>122789.21</v>
          </cell>
          <cell r="P166" t="str">
            <v>GA</v>
          </cell>
          <cell r="Q166" t="str">
            <v>4PD</v>
          </cell>
          <cell r="R166">
            <v>157089.44440000001</v>
          </cell>
          <cell r="S166" t="b">
            <v>0</v>
          </cell>
          <cell r="T166" t="str">
            <v>No</v>
          </cell>
        </row>
        <row r="167">
          <cell r="B167" t="str">
            <v xml:space="preserve">155-1038ADD1 </v>
          </cell>
          <cell r="C167" t="str">
            <v>K-Va-T Stores</v>
          </cell>
          <cell r="D167" t="str">
            <v>Food City 608</v>
          </cell>
          <cell r="E167" t="str">
            <v>Greenville TN</v>
          </cell>
          <cell r="F167">
            <v>42436</v>
          </cell>
          <cell r="G167">
            <v>42443</v>
          </cell>
          <cell r="I167">
            <v>42444</v>
          </cell>
          <cell r="J167" t="str">
            <v>.</v>
          </cell>
          <cell r="L167">
            <v>931</v>
          </cell>
          <cell r="M167">
            <v>0</v>
          </cell>
          <cell r="N167">
            <v>2</v>
          </cell>
          <cell r="O167">
            <v>8547.15</v>
          </cell>
          <cell r="P167" t="str">
            <v>GA</v>
          </cell>
          <cell r="Q167" t="str">
            <v>4PD</v>
          </cell>
          <cell r="R167">
            <v>8547.1519000000008</v>
          </cell>
          <cell r="S167" t="b">
            <v>1</v>
          </cell>
          <cell r="T167" t="str">
            <v>Yes</v>
          </cell>
          <cell r="V167" t="str">
            <v>A</v>
          </cell>
        </row>
        <row r="168">
          <cell r="B168" t="str">
            <v>165-0034</v>
          </cell>
          <cell r="C168" t="str">
            <v>Dollar Tree Sourcing Comp. LLC</v>
          </cell>
          <cell r="D168" t="str">
            <v>DT# 291   WSM FLDLCRDR</v>
          </cell>
          <cell r="E168" t="str">
            <v>JACKSONVILLE, NC</v>
          </cell>
          <cell r="F168">
            <v>42436</v>
          </cell>
          <cell r="G168">
            <v>42444</v>
          </cell>
          <cell r="I168">
            <v>42445</v>
          </cell>
          <cell r="J168" t="str">
            <v>.</v>
          </cell>
          <cell r="L168">
            <v>629</v>
          </cell>
          <cell r="M168">
            <v>0</v>
          </cell>
          <cell r="N168">
            <v>2</v>
          </cell>
          <cell r="O168">
            <v>6083.54</v>
          </cell>
          <cell r="P168" t="str">
            <v>GA</v>
          </cell>
          <cell r="Q168" t="str">
            <v>4PD</v>
          </cell>
          <cell r="R168">
            <v>10516.6674</v>
          </cell>
          <cell r="S168" t="b">
            <v>1</v>
          </cell>
          <cell r="T168" t="str">
            <v>Yes</v>
          </cell>
        </row>
        <row r="169">
          <cell r="B169" t="str">
            <v>165-0080</v>
          </cell>
          <cell r="C169" t="str">
            <v>Dollar Tree Sourcing Comp. LLC</v>
          </cell>
          <cell r="D169" t="str">
            <v>DT# 565   WSM FRDRCLDL</v>
          </cell>
          <cell r="E169" t="str">
            <v>Augusta, GA</v>
          </cell>
          <cell r="F169">
            <v>42436</v>
          </cell>
          <cell r="G169">
            <v>42445</v>
          </cell>
          <cell r="I169">
            <v>42446</v>
          </cell>
          <cell r="J169" t="str">
            <v>.</v>
          </cell>
          <cell r="L169">
            <v>629</v>
          </cell>
          <cell r="M169">
            <v>0</v>
          </cell>
          <cell r="N169">
            <v>2</v>
          </cell>
          <cell r="O169">
            <v>6083.54</v>
          </cell>
          <cell r="P169" t="str">
            <v>GA</v>
          </cell>
          <cell r="Q169" t="str">
            <v>4PD</v>
          </cell>
          <cell r="R169">
            <v>10516.6674</v>
          </cell>
          <cell r="S169" t="b">
            <v>1</v>
          </cell>
          <cell r="T169" t="str">
            <v>Yes</v>
          </cell>
        </row>
        <row r="170">
          <cell r="B170" t="str">
            <v>157-2219</v>
          </cell>
          <cell r="C170" t="str">
            <v>Wal-Mart Store Planning</v>
          </cell>
          <cell r="D170" t="str">
            <v>Walmart 2010-224 Remodel</v>
          </cell>
          <cell r="E170" t="str">
            <v>Niles, MI</v>
          </cell>
          <cell r="F170">
            <v>42443</v>
          </cell>
          <cell r="G170">
            <v>42439</v>
          </cell>
          <cell r="I170">
            <v>42440</v>
          </cell>
          <cell r="J170" t="str">
            <v>RS</v>
          </cell>
          <cell r="L170">
            <v>0</v>
          </cell>
          <cell r="M170">
            <v>0</v>
          </cell>
          <cell r="N170">
            <v>1</v>
          </cell>
          <cell r="O170">
            <v>3255.72</v>
          </cell>
          <cell r="P170" t="str">
            <v>GA</v>
          </cell>
          <cell r="Q170" t="str">
            <v>4PD</v>
          </cell>
          <cell r="R170">
            <v>10580.79</v>
          </cell>
          <cell r="S170" t="b">
            <v>0</v>
          </cell>
          <cell r="T170" t="str">
            <v>No</v>
          </cell>
          <cell r="V170" t="str">
            <v>A</v>
          </cell>
        </row>
        <row r="171">
          <cell r="B171" t="str">
            <v>165-0035</v>
          </cell>
          <cell r="C171" t="str">
            <v>Dollar Tree Sourcing Comp. LLC</v>
          </cell>
          <cell r="D171" t="str">
            <v>DT# 3945   WSM FLDLCRDR</v>
          </cell>
          <cell r="E171" t="str">
            <v>BRIGHTON, MI</v>
          </cell>
          <cell r="F171">
            <v>42443</v>
          </cell>
          <cell r="G171">
            <v>42446</v>
          </cell>
          <cell r="I171">
            <v>42447</v>
          </cell>
          <cell r="J171" t="str">
            <v>.</v>
          </cell>
          <cell r="L171">
            <v>629</v>
          </cell>
          <cell r="M171">
            <v>0</v>
          </cell>
          <cell r="N171">
            <v>2</v>
          </cell>
          <cell r="O171">
            <v>6083.54</v>
          </cell>
          <cell r="P171" t="str">
            <v>GA</v>
          </cell>
          <cell r="Q171" t="str">
            <v>4PD</v>
          </cell>
          <cell r="R171">
            <v>10516.6674</v>
          </cell>
          <cell r="S171" t="b">
            <v>1</v>
          </cell>
          <cell r="T171" t="str">
            <v>Yes</v>
          </cell>
        </row>
        <row r="172">
          <cell r="B172" t="str">
            <v>157-2000C</v>
          </cell>
          <cell r="C172" t="str">
            <v>Wal-Mart Store Planning</v>
          </cell>
          <cell r="D172" t="str">
            <v>Walmart 1675-221-SC-REM</v>
          </cell>
          <cell r="E172" t="str">
            <v>Lebanon, KY</v>
          </cell>
          <cell r="F172">
            <v>42443</v>
          </cell>
          <cell r="G172">
            <v>42446</v>
          </cell>
          <cell r="I172">
            <v>42447</v>
          </cell>
          <cell r="J172" t="str">
            <v>PF</v>
          </cell>
          <cell r="K172" t="str">
            <v>CC</v>
          </cell>
          <cell r="L172">
            <v>0</v>
          </cell>
          <cell r="M172">
            <v>0</v>
          </cell>
          <cell r="N172">
            <v>0</v>
          </cell>
          <cell r="O172">
            <v>11994.89</v>
          </cell>
          <cell r="P172" t="str">
            <v>GA</v>
          </cell>
          <cell r="Q172" t="str">
            <v>4PD</v>
          </cell>
          <cell r="R172">
            <v>14210.2032</v>
          </cell>
          <cell r="S172" t="b">
            <v>0</v>
          </cell>
          <cell r="T172" t="str">
            <v>No</v>
          </cell>
          <cell r="V172" t="str">
            <v>A</v>
          </cell>
        </row>
        <row r="173">
          <cell r="B173" t="str">
            <v>157-1231</v>
          </cell>
          <cell r="C173" t="str">
            <v>KPS, LLC Cincinnati #014</v>
          </cell>
          <cell r="D173" t="str">
            <v>Kroger A-939OLS</v>
          </cell>
          <cell r="E173" t="str">
            <v>FAIRFIELD OH</v>
          </cell>
          <cell r="F173">
            <v>42443</v>
          </cell>
          <cell r="G173">
            <v>42446</v>
          </cell>
          <cell r="I173">
            <v>42447</v>
          </cell>
          <cell r="J173" t="str">
            <v>SS</v>
          </cell>
          <cell r="L173">
            <v>1420</v>
          </cell>
          <cell r="M173">
            <v>0</v>
          </cell>
          <cell r="N173">
            <v>2</v>
          </cell>
          <cell r="O173">
            <v>11083.41</v>
          </cell>
          <cell r="P173" t="str">
            <v>GA</v>
          </cell>
          <cell r="Q173" t="str">
            <v>4PD</v>
          </cell>
          <cell r="R173">
            <v>11083.405199999999</v>
          </cell>
          <cell r="S173" t="b">
            <v>0</v>
          </cell>
          <cell r="T173" t="str">
            <v>No</v>
          </cell>
          <cell r="U173" t="str">
            <v>FBed</v>
          </cell>
        </row>
        <row r="174">
          <cell r="B174" t="str">
            <v xml:space="preserve">157-2284 </v>
          </cell>
          <cell r="C174" t="str">
            <v>Wal-Mart Store Planning</v>
          </cell>
          <cell r="D174" t="str">
            <v>Walmart 2027-224-SC-REM</v>
          </cell>
          <cell r="E174" t="str">
            <v>Lavale, MD</v>
          </cell>
          <cell r="F174">
            <v>42443</v>
          </cell>
          <cell r="G174">
            <v>42446</v>
          </cell>
          <cell r="I174">
            <v>42447</v>
          </cell>
          <cell r="J174" t="str">
            <v>RS</v>
          </cell>
          <cell r="L174">
            <v>3114</v>
          </cell>
          <cell r="M174">
            <v>0</v>
          </cell>
          <cell r="N174">
            <v>1</v>
          </cell>
          <cell r="O174">
            <v>29398.05</v>
          </cell>
          <cell r="P174" t="str">
            <v>GA</v>
          </cell>
          <cell r="Q174" t="str">
            <v>4PD</v>
          </cell>
          <cell r="R174">
            <v>58740.051800000001</v>
          </cell>
          <cell r="S174" t="b">
            <v>0</v>
          </cell>
          <cell r="T174" t="str">
            <v>No</v>
          </cell>
          <cell r="V174" t="str">
            <v>A</v>
          </cell>
        </row>
        <row r="175">
          <cell r="B175" t="str">
            <v>167-0125</v>
          </cell>
          <cell r="C175" t="str">
            <v>Topco Associates, LLC</v>
          </cell>
          <cell r="D175" t="str">
            <v>Mariano's Fresh Market</v>
          </cell>
          <cell r="E175" t="str">
            <v>CHICAGO IL</v>
          </cell>
          <cell r="F175">
            <v>42443</v>
          </cell>
          <cell r="G175">
            <v>42446</v>
          </cell>
          <cell r="I175">
            <v>42447</v>
          </cell>
          <cell r="J175" t="str">
            <v>SQ</v>
          </cell>
          <cell r="L175">
            <v>19393</v>
          </cell>
          <cell r="M175">
            <v>0</v>
          </cell>
          <cell r="N175">
            <v>1</v>
          </cell>
          <cell r="O175">
            <v>142378.63</v>
          </cell>
          <cell r="P175" t="str">
            <v>GA</v>
          </cell>
          <cell r="Q175" t="str">
            <v>4PD</v>
          </cell>
          <cell r="R175">
            <v>182557.88459999999</v>
          </cell>
          <cell r="S175" t="b">
            <v>0</v>
          </cell>
          <cell r="T175" t="str">
            <v>No</v>
          </cell>
        </row>
        <row r="176">
          <cell r="B176" t="str">
            <v>167-0124</v>
          </cell>
          <cell r="C176" t="str">
            <v>Aldi Inc - Center Valley</v>
          </cell>
          <cell r="D176" t="str">
            <v>Aldi Store - Monroe</v>
          </cell>
          <cell r="E176" t="str">
            <v>ALEXANDRIA VA</v>
          </cell>
          <cell r="F176">
            <v>42443</v>
          </cell>
          <cell r="G176">
            <v>42446</v>
          </cell>
          <cell r="I176">
            <v>42447</v>
          </cell>
          <cell r="J176" t="str">
            <v>SQ</v>
          </cell>
          <cell r="L176">
            <v>4571</v>
          </cell>
          <cell r="M176">
            <v>0</v>
          </cell>
          <cell r="N176">
            <v>2</v>
          </cell>
          <cell r="O176">
            <v>33613.9</v>
          </cell>
          <cell r="P176" t="str">
            <v>GA</v>
          </cell>
          <cell r="Q176" t="str">
            <v>4PD</v>
          </cell>
          <cell r="R176">
            <v>39088.905299999999</v>
          </cell>
          <cell r="S176" t="b">
            <v>0</v>
          </cell>
          <cell r="T176" t="str">
            <v>No</v>
          </cell>
        </row>
        <row r="177">
          <cell r="B177" t="str">
            <v>157-2231C</v>
          </cell>
          <cell r="C177" t="str">
            <v>Wal-Mart Store Planning</v>
          </cell>
          <cell r="D177" t="str">
            <v>Walmart 1206-225 Remodel</v>
          </cell>
          <cell r="E177" t="str">
            <v>Baton Rouge, LA</v>
          </cell>
          <cell r="F177">
            <v>42443</v>
          </cell>
          <cell r="G177">
            <v>42446</v>
          </cell>
          <cell r="I177">
            <v>42447</v>
          </cell>
          <cell r="J177" t="str">
            <v>RS</v>
          </cell>
          <cell r="L177">
            <v>0</v>
          </cell>
          <cell r="M177">
            <v>0</v>
          </cell>
          <cell r="N177">
            <v>0</v>
          </cell>
          <cell r="O177">
            <v>0</v>
          </cell>
          <cell r="P177" t="str">
            <v>GA</v>
          </cell>
          <cell r="Q177" t="str">
            <v>4PD</v>
          </cell>
          <cell r="R177">
            <v>15280.86</v>
          </cell>
          <cell r="S177" t="b">
            <v>0</v>
          </cell>
          <cell r="T177" t="str">
            <v>No</v>
          </cell>
          <cell r="V177" t="str">
            <v>A</v>
          </cell>
        </row>
        <row r="178">
          <cell r="B178" t="str">
            <v>165-0017</v>
          </cell>
          <cell r="C178" t="str">
            <v>Publix Super Markets Inc.</v>
          </cell>
          <cell r="D178" t="str">
            <v>Publix #1532</v>
          </cell>
          <cell r="E178" t="str">
            <v>Colbert, AL</v>
          </cell>
          <cell r="F178">
            <v>42443</v>
          </cell>
          <cell r="G178">
            <v>42446</v>
          </cell>
          <cell r="I178">
            <v>42447</v>
          </cell>
          <cell r="J178" t="str">
            <v>AP</v>
          </cell>
          <cell r="L178">
            <v>0</v>
          </cell>
          <cell r="M178">
            <v>0</v>
          </cell>
          <cell r="N178">
            <v>0</v>
          </cell>
          <cell r="O178">
            <v>18115.900000000001</v>
          </cell>
          <cell r="P178" t="str">
            <v>GA</v>
          </cell>
          <cell r="Q178" t="str">
            <v>4PD</v>
          </cell>
          <cell r="R178">
            <v>18115.900000000001</v>
          </cell>
          <cell r="S178" t="b">
            <v>0</v>
          </cell>
          <cell r="T178" t="str">
            <v>No</v>
          </cell>
        </row>
        <row r="179">
          <cell r="B179" t="str">
            <v xml:space="preserve">157-1866 </v>
          </cell>
          <cell r="C179" t="str">
            <v>Cypress Acquisitions, LLC</v>
          </cell>
          <cell r="D179" t="str">
            <v>Walmart 5291-00-NHM-DEV-41L</v>
          </cell>
          <cell r="E179" t="str">
            <v>Columbia SC</v>
          </cell>
          <cell r="F179">
            <v>42443</v>
          </cell>
          <cell r="G179">
            <v>42446</v>
          </cell>
          <cell r="I179">
            <v>42447</v>
          </cell>
          <cell r="J179" t="str">
            <v>PF</v>
          </cell>
          <cell r="K179" t="str">
            <v>CC</v>
          </cell>
          <cell r="L179">
            <v>4930</v>
          </cell>
          <cell r="M179">
            <v>125</v>
          </cell>
          <cell r="N179">
            <v>1</v>
          </cell>
          <cell r="O179">
            <v>34140.28</v>
          </cell>
          <cell r="P179" t="str">
            <v>GA</v>
          </cell>
          <cell r="Q179" t="str">
            <v>4PD</v>
          </cell>
          <cell r="R179">
            <v>68969.877600000007</v>
          </cell>
          <cell r="S179" t="b">
            <v>0</v>
          </cell>
          <cell r="T179" t="str">
            <v>No</v>
          </cell>
          <cell r="U179" t="str">
            <v>FBed</v>
          </cell>
          <cell r="V179" t="str">
            <v>A</v>
          </cell>
        </row>
        <row r="180">
          <cell r="B180" t="str">
            <v>165-0016A</v>
          </cell>
          <cell r="C180" t="str">
            <v>Publix Super Markets Inc.</v>
          </cell>
          <cell r="D180" t="str">
            <v>Publix #1351</v>
          </cell>
          <cell r="E180" t="str">
            <v>Myrtle Beach SC</v>
          </cell>
          <cell r="F180">
            <v>42443</v>
          </cell>
          <cell r="G180">
            <v>42446</v>
          </cell>
          <cell r="I180">
            <v>42447</v>
          </cell>
          <cell r="J180" t="str">
            <v>AP</v>
          </cell>
          <cell r="L180">
            <v>11453</v>
          </cell>
          <cell r="M180">
            <v>0</v>
          </cell>
          <cell r="N180">
            <v>12</v>
          </cell>
          <cell r="O180">
            <v>78543.3</v>
          </cell>
          <cell r="P180" t="str">
            <v>GA</v>
          </cell>
          <cell r="Q180" t="str">
            <v>4PD</v>
          </cell>
          <cell r="R180">
            <v>78543.297399999996</v>
          </cell>
          <cell r="S180" t="b">
            <v>0</v>
          </cell>
          <cell r="T180" t="str">
            <v>No</v>
          </cell>
        </row>
        <row r="181">
          <cell r="B181" t="str">
            <v>165-0001A</v>
          </cell>
          <cell r="C181" t="str">
            <v>Giant Eagle-Aetos Construction</v>
          </cell>
          <cell r="D181" t="str">
            <v>GE 61</v>
          </cell>
          <cell r="F181">
            <v>42443</v>
          </cell>
          <cell r="G181">
            <v>42446</v>
          </cell>
          <cell r="I181">
            <v>42447</v>
          </cell>
          <cell r="J181" t="str">
            <v>SQ</v>
          </cell>
          <cell r="L181">
            <v>777</v>
          </cell>
          <cell r="M181">
            <v>0</v>
          </cell>
          <cell r="N181">
            <v>0</v>
          </cell>
          <cell r="O181">
            <v>6010.2</v>
          </cell>
          <cell r="P181" t="str">
            <v>GA</v>
          </cell>
          <cell r="Q181" t="str">
            <v>4PD</v>
          </cell>
          <cell r="R181">
            <v>25233.57</v>
          </cell>
          <cell r="S181" t="b">
            <v>0</v>
          </cell>
          <cell r="T181" t="str">
            <v>No</v>
          </cell>
          <cell r="V181" t="str">
            <v>A</v>
          </cell>
        </row>
        <row r="182">
          <cell r="B182" t="str">
            <v>157-2284ADD1</v>
          </cell>
          <cell r="C182" t="str">
            <v>Wal-Mart Store Planning</v>
          </cell>
          <cell r="D182" t="str">
            <v>Walmart 2027-224-SC-REM</v>
          </cell>
          <cell r="E182" t="str">
            <v>Lavale, MD</v>
          </cell>
          <cell r="F182">
            <v>42443</v>
          </cell>
          <cell r="G182">
            <v>42446</v>
          </cell>
          <cell r="I182">
            <v>42447</v>
          </cell>
          <cell r="J182" t="str">
            <v>RS</v>
          </cell>
          <cell r="L182">
            <v>0</v>
          </cell>
          <cell r="M182">
            <v>0</v>
          </cell>
          <cell r="N182">
            <v>0</v>
          </cell>
          <cell r="O182">
            <v>904.8</v>
          </cell>
          <cell r="P182" t="str">
            <v>GA</v>
          </cell>
          <cell r="Q182" t="str">
            <v>4PD</v>
          </cell>
          <cell r="R182">
            <v>3137.3</v>
          </cell>
          <cell r="S182" t="b">
            <v>0</v>
          </cell>
          <cell r="T182" t="str">
            <v>No</v>
          </cell>
          <cell r="V182" t="str">
            <v>A</v>
          </cell>
        </row>
        <row r="183">
          <cell r="B183" t="str">
            <v>157-2038A</v>
          </cell>
          <cell r="C183" t="str">
            <v>KPS, LLC Nashville #026</v>
          </cell>
          <cell r="D183" t="str">
            <v>Kroger U-670</v>
          </cell>
          <cell r="E183" t="str">
            <v>POWELL TN</v>
          </cell>
          <cell r="F183">
            <v>42443</v>
          </cell>
          <cell r="G183">
            <v>42446</v>
          </cell>
          <cell r="I183">
            <v>42447</v>
          </cell>
          <cell r="J183" t="str">
            <v>AP</v>
          </cell>
          <cell r="L183">
            <v>4413</v>
          </cell>
          <cell r="M183">
            <v>0</v>
          </cell>
          <cell r="N183">
            <v>3</v>
          </cell>
          <cell r="O183">
            <v>31184.26</v>
          </cell>
          <cell r="P183" t="str">
            <v>GA</v>
          </cell>
          <cell r="Q183" t="str">
            <v>4PD</v>
          </cell>
          <cell r="R183">
            <v>31184.261200000001</v>
          </cell>
          <cell r="S183" t="b">
            <v>0</v>
          </cell>
          <cell r="T183" t="str">
            <v>No</v>
          </cell>
          <cell r="U183" t="str">
            <v>FBed</v>
          </cell>
          <cell r="V183" t="str">
            <v>A</v>
          </cell>
        </row>
        <row r="184">
          <cell r="B184" t="str">
            <v>165-0026</v>
          </cell>
          <cell r="C184" t="str">
            <v>Dollar Tree Sourcing Comp. LLC</v>
          </cell>
          <cell r="D184" t="str">
            <v>DT# 9447   WSM FRDRCLDL</v>
          </cell>
          <cell r="E184" t="str">
            <v>MIAMI GARDENS, FL</v>
          </cell>
          <cell r="F184">
            <v>42443</v>
          </cell>
          <cell r="G184">
            <v>42450</v>
          </cell>
          <cell r="I184">
            <v>42451</v>
          </cell>
          <cell r="J184" t="str">
            <v>.</v>
          </cell>
          <cell r="L184">
            <v>629</v>
          </cell>
          <cell r="M184">
            <v>0</v>
          </cell>
          <cell r="N184">
            <v>2</v>
          </cell>
          <cell r="O184">
            <v>6083.54</v>
          </cell>
          <cell r="P184" t="str">
            <v>GA</v>
          </cell>
          <cell r="Q184" t="str">
            <v>4PD</v>
          </cell>
          <cell r="R184">
            <v>10516.6674</v>
          </cell>
          <cell r="S184" t="b">
            <v>1</v>
          </cell>
          <cell r="T184" t="str">
            <v>Yes</v>
          </cell>
        </row>
        <row r="185">
          <cell r="B185" t="str">
            <v>167-0134</v>
          </cell>
          <cell r="C185" t="str">
            <v>Wal-Mart Store Planning</v>
          </cell>
          <cell r="D185" t="str">
            <v>Walmart 0356-222-SC-REM</v>
          </cell>
          <cell r="E185" t="str">
            <v>Auburn, AL</v>
          </cell>
          <cell r="F185">
            <v>42443</v>
          </cell>
          <cell r="G185">
            <v>42450</v>
          </cell>
          <cell r="I185">
            <v>42451</v>
          </cell>
          <cell r="J185" t="str">
            <v>RS</v>
          </cell>
          <cell r="L185">
            <v>1224</v>
          </cell>
          <cell r="M185">
            <v>0</v>
          </cell>
          <cell r="N185">
            <v>2</v>
          </cell>
          <cell r="O185">
            <v>10637.45</v>
          </cell>
          <cell r="P185" t="str">
            <v>GA</v>
          </cell>
          <cell r="Q185" t="str">
            <v>4PD</v>
          </cell>
          <cell r="R185">
            <v>26945.884900000001</v>
          </cell>
          <cell r="S185" t="b">
            <v>0</v>
          </cell>
          <cell r="T185" t="str">
            <v>No</v>
          </cell>
          <cell r="V185" t="str">
            <v>A</v>
          </cell>
        </row>
        <row r="186">
          <cell r="B186" t="str">
            <v>157-2204</v>
          </cell>
          <cell r="C186" t="str">
            <v>Kroger Atlanta # 011</v>
          </cell>
          <cell r="D186" t="str">
            <v>Kroger GA-626</v>
          </cell>
          <cell r="E186" t="str">
            <v>ATLANTA GA</v>
          </cell>
          <cell r="F186">
            <v>42443</v>
          </cell>
          <cell r="G186">
            <v>42451</v>
          </cell>
          <cell r="I186">
            <v>42452</v>
          </cell>
          <cell r="J186" t="str">
            <v>VAP</v>
          </cell>
          <cell r="L186">
            <v>17286</v>
          </cell>
          <cell r="M186">
            <v>0</v>
          </cell>
          <cell r="N186">
            <v>17</v>
          </cell>
          <cell r="O186">
            <v>138779.04</v>
          </cell>
          <cell r="P186" t="str">
            <v>GA</v>
          </cell>
          <cell r="Q186" t="str">
            <v>4PD</v>
          </cell>
          <cell r="R186">
            <v>138779.0441</v>
          </cell>
          <cell r="S186" t="b">
            <v>0</v>
          </cell>
          <cell r="T186" t="str">
            <v>No</v>
          </cell>
          <cell r="U186" t="str">
            <v>FBed</v>
          </cell>
          <cell r="V186" t="str">
            <v>A</v>
          </cell>
        </row>
        <row r="187">
          <cell r="B187" t="str">
            <v>167-0042</v>
          </cell>
          <cell r="C187" t="str">
            <v>Two Farms, Inc.</v>
          </cell>
          <cell r="D187" t="str">
            <v>Royal Farms 167</v>
          </cell>
          <cell r="E187" t="str">
            <v>PARSON MD</v>
          </cell>
          <cell r="F187">
            <v>42443</v>
          </cell>
          <cell r="G187">
            <v>42453</v>
          </cell>
          <cell r="I187">
            <v>42454</v>
          </cell>
          <cell r="J187" t="str">
            <v>PC</v>
          </cell>
          <cell r="L187">
            <v>2303</v>
          </cell>
          <cell r="M187">
            <v>0</v>
          </cell>
          <cell r="N187">
            <v>5</v>
          </cell>
          <cell r="O187">
            <v>21493.89</v>
          </cell>
          <cell r="P187" t="str">
            <v>GA</v>
          </cell>
          <cell r="Q187" t="str">
            <v>4PD</v>
          </cell>
          <cell r="R187">
            <v>37600.206899999997</v>
          </cell>
          <cell r="S187" t="b">
            <v>0</v>
          </cell>
          <cell r="T187" t="str">
            <v>No</v>
          </cell>
          <cell r="U187" t="str">
            <v>FBed</v>
          </cell>
        </row>
        <row r="188">
          <cell r="B188" t="str">
            <v>157-1575</v>
          </cell>
          <cell r="C188" t="str">
            <v>KPS, LLC Columbus #016</v>
          </cell>
          <cell r="D188" t="str">
            <v>Kroger N-842</v>
          </cell>
          <cell r="E188" t="str">
            <v>GROVE CITY OH</v>
          </cell>
          <cell r="F188">
            <v>42443</v>
          </cell>
          <cell r="G188">
            <v>42453</v>
          </cell>
          <cell r="I188">
            <v>42454</v>
          </cell>
          <cell r="J188" t="str">
            <v>AP</v>
          </cell>
          <cell r="L188">
            <v>17104</v>
          </cell>
          <cell r="M188">
            <v>0</v>
          </cell>
          <cell r="N188">
            <v>18</v>
          </cell>
          <cell r="O188">
            <v>127666.58</v>
          </cell>
          <cell r="P188" t="str">
            <v>GA</v>
          </cell>
          <cell r="Q188" t="str">
            <v>4PD</v>
          </cell>
          <cell r="R188">
            <v>127666.6205</v>
          </cell>
          <cell r="S188" t="b">
            <v>0</v>
          </cell>
          <cell r="T188" t="str">
            <v>No</v>
          </cell>
          <cell r="U188" t="str">
            <v>FBed</v>
          </cell>
        </row>
        <row r="189">
          <cell r="B189" t="str">
            <v>165-0001B</v>
          </cell>
          <cell r="C189" t="str">
            <v>Giant Eagle-Aetos Construction</v>
          </cell>
          <cell r="D189" t="str">
            <v>GE 61</v>
          </cell>
          <cell r="F189">
            <v>42450</v>
          </cell>
          <cell r="G189">
            <v>42453</v>
          </cell>
          <cell r="I189">
            <v>42454</v>
          </cell>
          <cell r="J189" t="str">
            <v>SQ</v>
          </cell>
          <cell r="L189">
            <v>458</v>
          </cell>
          <cell r="M189">
            <v>0</v>
          </cell>
          <cell r="N189">
            <v>1</v>
          </cell>
          <cell r="O189">
            <v>3668.36</v>
          </cell>
          <cell r="P189" t="str">
            <v>GA</v>
          </cell>
          <cell r="Q189" t="str">
            <v>4PD</v>
          </cell>
          <cell r="R189">
            <v>3735.5855999999999</v>
          </cell>
          <cell r="S189" t="b">
            <v>0</v>
          </cell>
          <cell r="T189" t="str">
            <v>No</v>
          </cell>
          <cell r="V189" t="str">
            <v>A</v>
          </cell>
        </row>
        <row r="190">
          <cell r="B190" t="str">
            <v>167-0123</v>
          </cell>
          <cell r="C190" t="str">
            <v>KPS, LLC Mid-Atlantic # 029</v>
          </cell>
          <cell r="D190" t="str">
            <v>Kroger R-517 OLS</v>
          </cell>
          <cell r="E190" t="str">
            <v>RICHMOND VA</v>
          </cell>
          <cell r="F190">
            <v>42450</v>
          </cell>
          <cell r="G190">
            <v>42453</v>
          </cell>
          <cell r="I190">
            <v>42454</v>
          </cell>
          <cell r="J190" t="str">
            <v>VSS</v>
          </cell>
          <cell r="L190">
            <v>1219</v>
          </cell>
          <cell r="M190">
            <v>0</v>
          </cell>
          <cell r="N190">
            <v>3</v>
          </cell>
          <cell r="O190">
            <v>11815.95</v>
          </cell>
          <cell r="P190" t="str">
            <v>GA</v>
          </cell>
          <cell r="Q190" t="str">
            <v>4PD</v>
          </cell>
          <cell r="R190">
            <v>11815.948399999999</v>
          </cell>
          <cell r="S190" t="b">
            <v>0</v>
          </cell>
          <cell r="T190" t="str">
            <v>No</v>
          </cell>
          <cell r="U190" t="str">
            <v>FBed</v>
          </cell>
          <cell r="V190" t="str">
            <v>A</v>
          </cell>
        </row>
        <row r="191">
          <cell r="B191" t="str">
            <v xml:space="preserve">155-1015 </v>
          </cell>
          <cell r="C191" t="str">
            <v>Harris Teeter</v>
          </cell>
          <cell r="D191" t="str">
            <v>Harris Teeter 424</v>
          </cell>
          <cell r="E191" t="str">
            <v xml:space="preserve"> </v>
          </cell>
          <cell r="F191">
            <v>42450</v>
          </cell>
          <cell r="G191">
            <v>42453</v>
          </cell>
          <cell r="I191">
            <v>42454</v>
          </cell>
          <cell r="J191" t="str">
            <v>PC</v>
          </cell>
          <cell r="L191">
            <v>1961</v>
          </cell>
          <cell r="M191">
            <v>0</v>
          </cell>
          <cell r="N191">
            <v>0</v>
          </cell>
          <cell r="O191">
            <v>16374.65</v>
          </cell>
          <cell r="P191" t="str">
            <v>GA</v>
          </cell>
          <cell r="Q191" t="str">
            <v>4PD</v>
          </cell>
          <cell r="R191">
            <v>33073.183799999999</v>
          </cell>
          <cell r="S191" t="b">
            <v>0</v>
          </cell>
          <cell r="T191" t="str">
            <v>No</v>
          </cell>
          <cell r="V191" t="str">
            <v>A</v>
          </cell>
        </row>
        <row r="192">
          <cell r="B192" t="str">
            <v>157-1845</v>
          </cell>
          <cell r="C192" t="str">
            <v>Wal-Mart Store Planning</v>
          </cell>
          <cell r="D192" t="str">
            <v>Walmart 1744-05-SC-REL-182</v>
          </cell>
          <cell r="E192" t="str">
            <v>Penfield, NY</v>
          </cell>
          <cell r="F192">
            <v>42450</v>
          </cell>
          <cell r="G192">
            <v>42453</v>
          </cell>
          <cell r="I192">
            <v>42454</v>
          </cell>
          <cell r="J192" t="str">
            <v>PC</v>
          </cell>
          <cell r="L192">
            <v>13269</v>
          </cell>
          <cell r="M192">
            <v>0</v>
          </cell>
          <cell r="N192">
            <v>6</v>
          </cell>
          <cell r="O192">
            <v>86529.54</v>
          </cell>
          <cell r="P192" t="str">
            <v>GA</v>
          </cell>
          <cell r="Q192" t="str">
            <v>4PD</v>
          </cell>
          <cell r="R192">
            <v>201221.41880000001</v>
          </cell>
          <cell r="S192" t="b">
            <v>0</v>
          </cell>
          <cell r="T192" t="str">
            <v>No</v>
          </cell>
          <cell r="V192" t="str">
            <v>A</v>
          </cell>
        </row>
        <row r="193">
          <cell r="B193" t="str">
            <v>157-1757</v>
          </cell>
          <cell r="C193" t="str">
            <v>Wal-Mart Store Planning</v>
          </cell>
          <cell r="D193" t="str">
            <v>Walmart 4388-00-NHM-NEW-41</v>
          </cell>
          <cell r="E193" t="str">
            <v>Waynesboro VA</v>
          </cell>
          <cell r="F193">
            <v>42450</v>
          </cell>
          <cell r="G193">
            <v>42453</v>
          </cell>
          <cell r="I193">
            <v>42454</v>
          </cell>
          <cell r="J193" t="str">
            <v>PC</v>
          </cell>
          <cell r="L193">
            <v>4927</v>
          </cell>
          <cell r="M193">
            <v>0</v>
          </cell>
          <cell r="N193">
            <v>1</v>
          </cell>
          <cell r="O193">
            <v>29176.880000000001</v>
          </cell>
          <cell r="P193" t="str">
            <v>GA</v>
          </cell>
          <cell r="Q193" t="str">
            <v>4PD</v>
          </cell>
          <cell r="R193">
            <v>60612.629099999998</v>
          </cell>
          <cell r="S193" t="b">
            <v>0</v>
          </cell>
          <cell r="T193" t="str">
            <v>No</v>
          </cell>
          <cell r="V193" t="str">
            <v>A</v>
          </cell>
        </row>
        <row r="194">
          <cell r="B194" t="str">
            <v>157-2147</v>
          </cell>
          <cell r="C194" t="str">
            <v>Wal-Mart Store Planning</v>
          </cell>
          <cell r="D194" t="str">
            <v>Walmart 4434-00-NHM-41LMG016</v>
          </cell>
          <cell r="E194" t="str">
            <v>OCALA FL</v>
          </cell>
          <cell r="F194">
            <v>42450</v>
          </cell>
          <cell r="G194">
            <v>42453</v>
          </cell>
          <cell r="I194">
            <v>42454</v>
          </cell>
          <cell r="J194" t="str">
            <v>.</v>
          </cell>
          <cell r="L194">
            <v>4926</v>
          </cell>
          <cell r="M194">
            <v>0</v>
          </cell>
          <cell r="N194">
            <v>1</v>
          </cell>
          <cell r="O194">
            <v>28855.67</v>
          </cell>
          <cell r="P194" t="str">
            <v>GA</v>
          </cell>
          <cell r="Q194" t="str">
            <v>4PD</v>
          </cell>
          <cell r="R194">
            <v>60656.326699999998</v>
          </cell>
          <cell r="S194" t="b">
            <v>0</v>
          </cell>
          <cell r="T194" t="str">
            <v>No</v>
          </cell>
        </row>
        <row r="195">
          <cell r="B195" t="str">
            <v>165-0001C</v>
          </cell>
          <cell r="C195" t="str">
            <v>Giant Eagle-Aetos Construction</v>
          </cell>
          <cell r="D195" t="str">
            <v>GE 61</v>
          </cell>
          <cell r="F195">
            <v>42450</v>
          </cell>
          <cell r="G195">
            <v>42453</v>
          </cell>
          <cell r="I195">
            <v>42454</v>
          </cell>
          <cell r="J195" t="str">
            <v>SQ</v>
          </cell>
          <cell r="L195">
            <v>1743</v>
          </cell>
          <cell r="M195">
            <v>0</v>
          </cell>
          <cell r="N195">
            <v>1</v>
          </cell>
          <cell r="O195">
            <v>13125.79</v>
          </cell>
          <cell r="P195" t="str">
            <v>GA</v>
          </cell>
          <cell r="Q195" t="str">
            <v>4PD</v>
          </cell>
          <cell r="R195">
            <v>18404.125400000001</v>
          </cell>
          <cell r="S195" t="b">
            <v>0</v>
          </cell>
          <cell r="T195" t="str">
            <v>No</v>
          </cell>
          <cell r="V195" t="str">
            <v>A</v>
          </cell>
        </row>
        <row r="196">
          <cell r="B196" t="str">
            <v xml:space="preserve">167-0131 </v>
          </cell>
          <cell r="C196" t="str">
            <v>KPS, LLC Mid-Atlantic # 029</v>
          </cell>
          <cell r="D196" t="str">
            <v>Kroger 722</v>
          </cell>
          <cell r="E196" t="str">
            <v>BUCKHANNON, WV</v>
          </cell>
          <cell r="F196">
            <v>42450</v>
          </cell>
          <cell r="G196">
            <v>42453</v>
          </cell>
          <cell r="I196">
            <v>42454</v>
          </cell>
          <cell r="J196" t="str">
            <v>VSS</v>
          </cell>
          <cell r="L196">
            <v>1128</v>
          </cell>
          <cell r="M196">
            <v>0</v>
          </cell>
          <cell r="N196">
            <v>1</v>
          </cell>
          <cell r="O196">
            <v>9458.5400000000009</v>
          </cell>
          <cell r="P196" t="str">
            <v>GA</v>
          </cell>
          <cell r="Q196" t="str">
            <v>4PD</v>
          </cell>
          <cell r="R196">
            <v>9458.5388000000003</v>
          </cell>
          <cell r="S196" t="b">
            <v>0</v>
          </cell>
          <cell r="T196" t="str">
            <v>No</v>
          </cell>
          <cell r="U196" t="str">
            <v>FBed</v>
          </cell>
          <cell r="V196" t="str">
            <v>A</v>
          </cell>
        </row>
        <row r="197">
          <cell r="B197" t="str">
            <v>157-2038B</v>
          </cell>
          <cell r="C197" t="str">
            <v>KPS, LLC Nashville #026</v>
          </cell>
          <cell r="D197" t="str">
            <v>Kroger U-670</v>
          </cell>
          <cell r="E197" t="str">
            <v>POWELL TN</v>
          </cell>
          <cell r="F197">
            <v>42450</v>
          </cell>
          <cell r="G197">
            <v>42453</v>
          </cell>
          <cell r="I197">
            <v>42454</v>
          </cell>
          <cell r="J197" t="str">
            <v>AP</v>
          </cell>
          <cell r="L197">
            <v>11914</v>
          </cell>
          <cell r="M197">
            <v>0</v>
          </cell>
          <cell r="N197">
            <v>14</v>
          </cell>
          <cell r="O197">
            <v>90391.44</v>
          </cell>
          <cell r="P197" t="str">
            <v>GA</v>
          </cell>
          <cell r="Q197" t="str">
            <v>4PD</v>
          </cell>
          <cell r="R197">
            <v>90391.435800000007</v>
          </cell>
          <cell r="S197" t="b">
            <v>0</v>
          </cell>
          <cell r="T197" t="str">
            <v>No</v>
          </cell>
          <cell r="V197" t="str">
            <v>A</v>
          </cell>
        </row>
        <row r="198">
          <cell r="B198" t="str">
            <v>157-0655</v>
          </cell>
          <cell r="C198" t="str">
            <v>Wal-Mart Store Planning</v>
          </cell>
          <cell r="D198" t="str">
            <v>Walmart 4826-NHM-NEW-41</v>
          </cell>
          <cell r="E198" t="str">
            <v>Davie, FL</v>
          </cell>
          <cell r="F198">
            <v>42450</v>
          </cell>
          <cell r="G198">
            <v>42453</v>
          </cell>
          <cell r="I198">
            <v>42454</v>
          </cell>
          <cell r="J198" t="str">
            <v>PC2</v>
          </cell>
          <cell r="L198">
            <v>4368</v>
          </cell>
          <cell r="M198">
            <v>0</v>
          </cell>
          <cell r="N198">
            <v>0</v>
          </cell>
          <cell r="O198">
            <v>23908.43</v>
          </cell>
          <cell r="P198" t="str">
            <v>GA</v>
          </cell>
          <cell r="Q198" t="str">
            <v>4PD</v>
          </cell>
          <cell r="R198">
            <v>50658.779499999997</v>
          </cell>
          <cell r="S198" t="b">
            <v>0</v>
          </cell>
          <cell r="T198" t="str">
            <v>No</v>
          </cell>
          <cell r="V198" t="str">
            <v>A</v>
          </cell>
        </row>
        <row r="199">
          <cell r="B199" t="str">
            <v>157-2231D</v>
          </cell>
          <cell r="C199" t="str">
            <v>Wal-Mart Store Planning</v>
          </cell>
          <cell r="D199" t="str">
            <v>Walmart 1206-225 Remodel</v>
          </cell>
          <cell r="E199" t="str">
            <v>Baton Rouge, LA</v>
          </cell>
          <cell r="F199">
            <v>42450</v>
          </cell>
          <cell r="G199">
            <v>42453</v>
          </cell>
          <cell r="I199">
            <v>42454</v>
          </cell>
          <cell r="J199" t="str">
            <v>RS</v>
          </cell>
          <cell r="L199">
            <v>0</v>
          </cell>
          <cell r="M199">
            <v>0</v>
          </cell>
          <cell r="N199">
            <v>0</v>
          </cell>
          <cell r="O199">
            <v>8502.82</v>
          </cell>
          <cell r="P199" t="str">
            <v>GA</v>
          </cell>
          <cell r="Q199" t="str">
            <v>4PD</v>
          </cell>
          <cell r="R199">
            <v>10808.419</v>
          </cell>
          <cell r="S199" t="b">
            <v>0</v>
          </cell>
          <cell r="T199" t="str">
            <v>No</v>
          </cell>
          <cell r="V199" t="str">
            <v>A</v>
          </cell>
        </row>
        <row r="200">
          <cell r="B200" t="str">
            <v xml:space="preserve">150-0630 </v>
          </cell>
          <cell r="C200" t="str">
            <v>Supermarket Source, Inc</v>
          </cell>
          <cell r="D200" t="str">
            <v xml:space="preserve">Safe Harbor Seafood </v>
          </cell>
          <cell r="E200" t="str">
            <v>Jacksonville FL</v>
          </cell>
          <cell r="F200">
            <v>42450</v>
          </cell>
          <cell r="G200">
            <v>42453</v>
          </cell>
          <cell r="I200">
            <v>42454</v>
          </cell>
          <cell r="J200" t="str">
            <v>VSS</v>
          </cell>
          <cell r="L200">
            <v>2320</v>
          </cell>
          <cell r="M200">
            <v>0</v>
          </cell>
          <cell r="N200">
            <v>4</v>
          </cell>
          <cell r="O200">
            <v>46965.89</v>
          </cell>
          <cell r="P200" t="str">
            <v>GA</v>
          </cell>
          <cell r="Q200" t="str">
            <v>4PD</v>
          </cell>
          <cell r="R200">
            <v>49599.071499999998</v>
          </cell>
          <cell r="S200" t="b">
            <v>0</v>
          </cell>
          <cell r="T200" t="str">
            <v>No</v>
          </cell>
          <cell r="V200" t="str">
            <v>A</v>
          </cell>
        </row>
        <row r="201">
          <cell r="B201" t="str">
            <v>155-1153B</v>
          </cell>
          <cell r="C201" t="str">
            <v>Publix Super Markets Inc.</v>
          </cell>
          <cell r="D201" t="str">
            <v>Publix # 1304 - Remodel</v>
          </cell>
          <cell r="E201" t="str">
            <v>Lake Mary FL</v>
          </cell>
          <cell r="F201">
            <v>42450</v>
          </cell>
          <cell r="G201">
            <v>42453</v>
          </cell>
          <cell r="I201">
            <v>42454</v>
          </cell>
          <cell r="J201" t="str">
            <v>.</v>
          </cell>
          <cell r="L201">
            <v>1735</v>
          </cell>
          <cell r="M201">
            <v>0</v>
          </cell>
          <cell r="N201">
            <v>0</v>
          </cell>
          <cell r="O201">
            <v>13242.16</v>
          </cell>
          <cell r="P201" t="str">
            <v>GA</v>
          </cell>
          <cell r="Q201" t="str">
            <v>4PD</v>
          </cell>
          <cell r="R201">
            <v>13242.1572</v>
          </cell>
          <cell r="S201" t="b">
            <v>1</v>
          </cell>
          <cell r="T201" t="str">
            <v>Yes</v>
          </cell>
          <cell r="V201" t="str">
            <v>A</v>
          </cell>
        </row>
        <row r="202">
          <cell r="B202" t="str">
            <v>157-0655ADD1</v>
          </cell>
          <cell r="C202" t="str">
            <v>Wal-Mart Store Planning</v>
          </cell>
          <cell r="D202" t="str">
            <v>Walmart 4826-NHM-NEW-41</v>
          </cell>
          <cell r="E202" t="str">
            <v>Davie, FL</v>
          </cell>
          <cell r="F202">
            <v>42450</v>
          </cell>
          <cell r="G202">
            <v>42453</v>
          </cell>
          <cell r="I202">
            <v>42454</v>
          </cell>
          <cell r="J202" t="str">
            <v>PC2</v>
          </cell>
          <cell r="L202">
            <v>358</v>
          </cell>
          <cell r="M202">
            <v>0</v>
          </cell>
          <cell r="N202">
            <v>1</v>
          </cell>
          <cell r="O202">
            <v>2541.0100000000002</v>
          </cell>
          <cell r="P202" t="str">
            <v>GA</v>
          </cell>
          <cell r="Q202" t="str">
            <v>4PD</v>
          </cell>
          <cell r="R202">
            <v>3095.3020000000001</v>
          </cell>
          <cell r="S202" t="b">
            <v>0</v>
          </cell>
          <cell r="T202" t="str">
            <v>No</v>
          </cell>
          <cell r="V202" t="str">
            <v>A</v>
          </cell>
        </row>
        <row r="203">
          <cell r="B203" t="str">
            <v>155-0606</v>
          </cell>
          <cell r="C203" t="str">
            <v>Harris Teeter</v>
          </cell>
          <cell r="D203" t="str">
            <v>HT-324</v>
          </cell>
          <cell r="E203" t="str">
            <v>Bowie, MD</v>
          </cell>
          <cell r="F203">
            <v>42450</v>
          </cell>
          <cell r="G203">
            <v>42453</v>
          </cell>
          <cell r="I203">
            <v>42454</v>
          </cell>
          <cell r="J203" t="str">
            <v>PW</v>
          </cell>
          <cell r="L203">
            <v>7485</v>
          </cell>
          <cell r="M203">
            <v>0</v>
          </cell>
          <cell r="N203">
            <v>5</v>
          </cell>
          <cell r="O203">
            <v>50366.64</v>
          </cell>
          <cell r="P203" t="str">
            <v>GA</v>
          </cell>
          <cell r="Q203" t="str">
            <v>4PD</v>
          </cell>
          <cell r="R203">
            <v>91845.470199999996</v>
          </cell>
          <cell r="S203" t="b">
            <v>0</v>
          </cell>
          <cell r="T203" t="str">
            <v>No</v>
          </cell>
          <cell r="V203" t="str">
            <v>A</v>
          </cell>
        </row>
        <row r="204">
          <cell r="B204" t="str">
            <v>167-0175</v>
          </cell>
          <cell r="C204" t="str">
            <v>SUPERVALU</v>
          </cell>
          <cell r="D204" t="str">
            <v>SAVE-A-LOT</v>
          </cell>
          <cell r="E204" t="str">
            <v>PEORIA IL</v>
          </cell>
          <cell r="F204">
            <v>42450</v>
          </cell>
          <cell r="G204">
            <v>42457</v>
          </cell>
          <cell r="I204">
            <v>42458</v>
          </cell>
          <cell r="J204" t="str">
            <v>SQ</v>
          </cell>
          <cell r="L204">
            <v>3866</v>
          </cell>
          <cell r="M204">
            <v>0</v>
          </cell>
          <cell r="N204">
            <v>4</v>
          </cell>
          <cell r="O204">
            <v>32057.919999999998</v>
          </cell>
          <cell r="P204" t="str">
            <v>GA</v>
          </cell>
          <cell r="Q204" t="str">
            <v>4PD</v>
          </cell>
          <cell r="R204">
            <v>39644.310799999999</v>
          </cell>
          <cell r="S204" t="b">
            <v>0</v>
          </cell>
          <cell r="T204" t="str">
            <v>No</v>
          </cell>
          <cell r="U204" t="str">
            <v>FBed</v>
          </cell>
        </row>
        <row r="205">
          <cell r="B205" t="str">
            <v>167-0139</v>
          </cell>
          <cell r="C205" t="str">
            <v>KPS, LLC Central #021</v>
          </cell>
          <cell r="D205" t="str">
            <v>Kroger J-983</v>
          </cell>
          <cell r="E205" t="str">
            <v>Westfield IN</v>
          </cell>
          <cell r="F205">
            <v>42450</v>
          </cell>
          <cell r="G205">
            <v>42458</v>
          </cell>
          <cell r="I205">
            <v>42459</v>
          </cell>
          <cell r="J205" t="str">
            <v>SQ</v>
          </cell>
          <cell r="L205">
            <v>2218</v>
          </cell>
          <cell r="M205">
            <v>0</v>
          </cell>
          <cell r="N205">
            <v>3</v>
          </cell>
          <cell r="O205">
            <v>18598.7</v>
          </cell>
          <cell r="P205" t="str">
            <v>GA</v>
          </cell>
          <cell r="Q205" t="str">
            <v>4PD</v>
          </cell>
          <cell r="R205">
            <v>18598.698400000001</v>
          </cell>
          <cell r="S205" t="b">
            <v>0</v>
          </cell>
          <cell r="T205" t="str">
            <v>No</v>
          </cell>
          <cell r="U205" t="str">
            <v>FBed</v>
          </cell>
        </row>
        <row r="206">
          <cell r="B206" t="str">
            <v>155-1151</v>
          </cell>
          <cell r="C206" t="str">
            <v>Giant Tiger Stores Unlimited</v>
          </cell>
          <cell r="D206" t="str">
            <v>Giant Tiger 216, Toro Fergus</v>
          </cell>
          <cell r="E206" t="str">
            <v xml:space="preserve"> </v>
          </cell>
          <cell r="F206">
            <v>42450</v>
          </cell>
          <cell r="G206">
            <v>42458</v>
          </cell>
          <cell r="I206">
            <v>42459</v>
          </cell>
          <cell r="J206" t="str">
            <v>PC</v>
          </cell>
          <cell r="L206">
            <v>1678</v>
          </cell>
          <cell r="M206">
            <v>0</v>
          </cell>
          <cell r="N206">
            <v>2</v>
          </cell>
          <cell r="O206">
            <v>13295.06</v>
          </cell>
          <cell r="P206" t="str">
            <v>GA</v>
          </cell>
          <cell r="Q206" t="str">
            <v>4PD</v>
          </cell>
          <cell r="R206">
            <v>13295.0569</v>
          </cell>
          <cell r="S206" t="b">
            <v>0</v>
          </cell>
          <cell r="T206" t="str">
            <v>No</v>
          </cell>
          <cell r="V206" t="str">
            <v>A</v>
          </cell>
        </row>
        <row r="207">
          <cell r="B207" t="str">
            <v>165-0124</v>
          </cell>
          <cell r="C207" t="str">
            <v>Dollar Tree Sourcing Comp. LLC</v>
          </cell>
          <cell r="D207" t="str">
            <v>DT# 6358   WM FRDRCLDL</v>
          </cell>
          <cell r="E207" t="str">
            <v>CHARLOTTE, NC</v>
          </cell>
          <cell r="F207">
            <v>42450</v>
          </cell>
          <cell r="G207">
            <v>42458</v>
          </cell>
          <cell r="I207">
            <v>42459</v>
          </cell>
          <cell r="J207" t="str">
            <v>.</v>
          </cell>
          <cell r="L207">
            <v>551</v>
          </cell>
          <cell r="M207">
            <v>0</v>
          </cell>
          <cell r="N207">
            <v>2</v>
          </cell>
          <cell r="O207">
            <v>5635.49</v>
          </cell>
          <cell r="P207" t="str">
            <v>GA</v>
          </cell>
          <cell r="Q207" t="str">
            <v>4PD</v>
          </cell>
          <cell r="R207">
            <v>9855.1209999999992</v>
          </cell>
          <cell r="S207" t="b">
            <v>1</v>
          </cell>
          <cell r="T207" t="str">
            <v>Yes</v>
          </cell>
        </row>
        <row r="208">
          <cell r="B208" t="str">
            <v>157-1970</v>
          </cell>
          <cell r="C208" t="str">
            <v>Kroger Atlanta # 011</v>
          </cell>
          <cell r="D208" t="str">
            <v xml:space="preserve">Kroger GA-629 </v>
          </cell>
          <cell r="E208" t="str">
            <v>CARTERSVILLE GA</v>
          </cell>
          <cell r="F208">
            <v>42450</v>
          </cell>
          <cell r="G208">
            <v>42460</v>
          </cell>
          <cell r="I208">
            <v>42461</v>
          </cell>
          <cell r="J208" t="str">
            <v>VSS</v>
          </cell>
          <cell r="L208">
            <v>17932</v>
          </cell>
          <cell r="M208">
            <v>0</v>
          </cell>
          <cell r="N208">
            <v>17</v>
          </cell>
          <cell r="O208">
            <v>133436.45000000001</v>
          </cell>
          <cell r="P208" t="str">
            <v>GA</v>
          </cell>
          <cell r="Q208" t="str">
            <v>4PD</v>
          </cell>
          <cell r="R208">
            <v>133436.5367</v>
          </cell>
          <cell r="S208" t="b">
            <v>0</v>
          </cell>
          <cell r="T208" t="str">
            <v>No</v>
          </cell>
          <cell r="U208" t="str">
            <v>FBed</v>
          </cell>
          <cell r="V208" t="str">
            <v>A</v>
          </cell>
        </row>
        <row r="209">
          <cell r="B209" t="str">
            <v>147-0443</v>
          </cell>
          <cell r="C209" t="str">
            <v>Wal-Mart Store Planning</v>
          </cell>
          <cell r="D209" t="str">
            <v>Walmart 4248-00-SC-NEW-182</v>
          </cell>
          <cell r="E209" t="str">
            <v>Centerton, AR</v>
          </cell>
          <cell r="F209">
            <v>42450</v>
          </cell>
          <cell r="G209">
            <v>42460</v>
          </cell>
          <cell r="I209">
            <v>42461</v>
          </cell>
          <cell r="J209" t="str">
            <v>PW</v>
          </cell>
          <cell r="L209">
            <v>13300</v>
          </cell>
          <cell r="M209">
            <v>0</v>
          </cell>
          <cell r="N209">
            <v>6</v>
          </cell>
          <cell r="O209">
            <v>86367.31</v>
          </cell>
          <cell r="P209" t="str">
            <v>GA</v>
          </cell>
          <cell r="Q209" t="str">
            <v>4PD</v>
          </cell>
          <cell r="R209">
            <v>138833.20009999999</v>
          </cell>
          <cell r="S209" t="b">
            <v>0</v>
          </cell>
          <cell r="T209" t="str">
            <v>No</v>
          </cell>
        </row>
        <row r="210">
          <cell r="B210" t="str">
            <v>155-0590</v>
          </cell>
          <cell r="C210" t="str">
            <v>Harris Teeter</v>
          </cell>
          <cell r="D210" t="str">
            <v>HT-281</v>
          </cell>
          <cell r="E210" t="str">
            <v>Gastonia, NC</v>
          </cell>
          <cell r="F210">
            <v>42457</v>
          </cell>
          <cell r="G210">
            <v>42460</v>
          </cell>
          <cell r="I210">
            <v>42461</v>
          </cell>
          <cell r="J210" t="str">
            <v>PC</v>
          </cell>
          <cell r="L210">
            <v>8593</v>
          </cell>
          <cell r="M210">
            <v>0</v>
          </cell>
          <cell r="N210">
            <v>5</v>
          </cell>
          <cell r="O210">
            <v>59486.61</v>
          </cell>
          <cell r="P210" t="str">
            <v>GA</v>
          </cell>
          <cell r="Q210" t="str">
            <v>4PD</v>
          </cell>
          <cell r="R210">
            <v>104389.6099</v>
          </cell>
          <cell r="S210" t="b">
            <v>0</v>
          </cell>
          <cell r="T210" t="str">
            <v>No</v>
          </cell>
        </row>
        <row r="211">
          <cell r="B211" t="str">
            <v xml:space="preserve">167-0149 </v>
          </cell>
          <cell r="C211" t="str">
            <v>Wal-Mart Store Planning</v>
          </cell>
          <cell r="D211" t="str">
            <v>Walmart 3289-220-SC-REM</v>
          </cell>
          <cell r="E211" t="str">
            <v>West Jefferson, NC</v>
          </cell>
          <cell r="F211">
            <v>42457</v>
          </cell>
          <cell r="G211">
            <v>42460</v>
          </cell>
          <cell r="I211">
            <v>42461</v>
          </cell>
          <cell r="J211" t="str">
            <v>RS</v>
          </cell>
          <cell r="L211">
            <v>5090</v>
          </cell>
          <cell r="M211">
            <v>0</v>
          </cell>
          <cell r="N211">
            <v>4</v>
          </cell>
          <cell r="O211">
            <v>42223.31</v>
          </cell>
          <cell r="P211" t="str">
            <v>GA</v>
          </cell>
          <cell r="Q211" t="str">
            <v>4PD</v>
          </cell>
          <cell r="R211">
            <v>76536.861000000004</v>
          </cell>
          <cell r="S211" t="b">
            <v>0</v>
          </cell>
          <cell r="T211" t="str">
            <v>No</v>
          </cell>
        </row>
        <row r="212">
          <cell r="B212" t="str">
            <v xml:space="preserve">167-0084 </v>
          </cell>
          <cell r="C212" t="str">
            <v>Wal-Mart Store Planning</v>
          </cell>
          <cell r="D212" t="str">
            <v>Walmart 4606-218-SC-REM</v>
          </cell>
          <cell r="E212" t="str">
            <v>Osceola, IA</v>
          </cell>
          <cell r="F212">
            <v>42457</v>
          </cell>
          <cell r="G212">
            <v>42460</v>
          </cell>
          <cell r="I212">
            <v>42461</v>
          </cell>
          <cell r="J212" t="str">
            <v>.</v>
          </cell>
          <cell r="L212">
            <v>0</v>
          </cell>
          <cell r="M212">
            <v>0</v>
          </cell>
          <cell r="N212">
            <v>0</v>
          </cell>
          <cell r="O212">
            <v>6801.6</v>
          </cell>
          <cell r="P212" t="str">
            <v>GA</v>
          </cell>
          <cell r="Q212" t="str">
            <v>4PD</v>
          </cell>
          <cell r="R212">
            <v>28815.35</v>
          </cell>
          <cell r="S212" t="b">
            <v>0</v>
          </cell>
          <cell r="T212" t="str">
            <v>No</v>
          </cell>
        </row>
        <row r="213">
          <cell r="B213" t="str">
            <v>157-2136</v>
          </cell>
          <cell r="C213" t="str">
            <v>KPS, LLC Columbus #016</v>
          </cell>
          <cell r="D213" t="str">
            <v>Kroger N-128</v>
          </cell>
          <cell r="E213" t="str">
            <v>NEWARK OH</v>
          </cell>
          <cell r="F213">
            <v>42457</v>
          </cell>
          <cell r="G213">
            <v>42460</v>
          </cell>
          <cell r="I213">
            <v>42461</v>
          </cell>
          <cell r="J213" t="str">
            <v>AP</v>
          </cell>
          <cell r="L213">
            <v>16496</v>
          </cell>
          <cell r="M213">
            <v>0</v>
          </cell>
          <cell r="N213">
            <v>17</v>
          </cell>
          <cell r="O213">
            <v>121118.12</v>
          </cell>
          <cell r="P213" t="str">
            <v>GA</v>
          </cell>
          <cell r="Q213" t="str">
            <v>4PD</v>
          </cell>
          <cell r="R213">
            <v>121118.1155</v>
          </cell>
          <cell r="S213" t="b">
            <v>0</v>
          </cell>
          <cell r="T213" t="str">
            <v>No</v>
          </cell>
          <cell r="U213" t="str">
            <v>FBed</v>
          </cell>
        </row>
        <row r="214">
          <cell r="B214" t="str">
            <v>157-2222</v>
          </cell>
          <cell r="C214" t="str">
            <v>KPS, LLC Dillon's # 615</v>
          </cell>
          <cell r="D214" t="str">
            <v>Kroger DIL-037</v>
          </cell>
          <cell r="E214" t="str">
            <v>TOPEKA KS</v>
          </cell>
          <cell r="F214">
            <v>42457</v>
          </cell>
          <cell r="G214">
            <v>42460</v>
          </cell>
          <cell r="I214">
            <v>42461</v>
          </cell>
          <cell r="J214" t="str">
            <v>RS</v>
          </cell>
          <cell r="L214">
            <v>654</v>
          </cell>
          <cell r="M214">
            <v>0</v>
          </cell>
          <cell r="N214">
            <v>2</v>
          </cell>
          <cell r="O214">
            <v>6745.83</v>
          </cell>
          <cell r="P214" t="str">
            <v>GA</v>
          </cell>
          <cell r="Q214" t="str">
            <v>4PD</v>
          </cell>
          <cell r="R214">
            <v>6745.8347999999996</v>
          </cell>
          <cell r="S214" t="b">
            <v>0</v>
          </cell>
          <cell r="T214" t="str">
            <v>No</v>
          </cell>
          <cell r="U214" t="str">
            <v>FBed</v>
          </cell>
        </row>
        <row r="215">
          <cell r="B215" t="str">
            <v>165-0094B</v>
          </cell>
          <cell r="C215" t="str">
            <v>Publix Super Markets Inc.</v>
          </cell>
          <cell r="D215" t="str">
            <v>Publix #578</v>
          </cell>
          <cell r="E215" t="str">
            <v>Fort Myers, FL</v>
          </cell>
          <cell r="F215">
            <v>42457</v>
          </cell>
          <cell r="G215">
            <v>42460</v>
          </cell>
          <cell r="I215">
            <v>42461</v>
          </cell>
          <cell r="J215" t="str">
            <v>.</v>
          </cell>
          <cell r="L215">
            <v>0</v>
          </cell>
          <cell r="M215">
            <v>0</v>
          </cell>
          <cell r="N215">
            <v>0</v>
          </cell>
          <cell r="O215">
            <v>0</v>
          </cell>
          <cell r="P215" t="str">
            <v>GA</v>
          </cell>
          <cell r="Q215" t="str">
            <v>4PD</v>
          </cell>
          <cell r="R215">
            <v>0</v>
          </cell>
          <cell r="S215" t="b">
            <v>0</v>
          </cell>
          <cell r="T215" t="str">
            <v>No</v>
          </cell>
        </row>
        <row r="216">
          <cell r="B216" t="str">
            <v>157-1947</v>
          </cell>
          <cell r="C216" t="str">
            <v>KPS, LLC Mid-Atlantic # 029</v>
          </cell>
          <cell r="D216" t="str">
            <v>Kroger E-755</v>
          </cell>
          <cell r="E216" t="str">
            <v>MORGANTOWN WV</v>
          </cell>
          <cell r="F216">
            <v>42457</v>
          </cell>
          <cell r="G216">
            <v>42460</v>
          </cell>
          <cell r="I216">
            <v>42461</v>
          </cell>
          <cell r="J216" t="str">
            <v>VSS</v>
          </cell>
          <cell r="L216">
            <v>822</v>
          </cell>
          <cell r="M216">
            <v>0</v>
          </cell>
          <cell r="N216">
            <v>2</v>
          </cell>
          <cell r="O216">
            <v>7708.89</v>
          </cell>
          <cell r="P216" t="str">
            <v>GA</v>
          </cell>
          <cell r="Q216" t="str">
            <v>4PD</v>
          </cell>
          <cell r="R216">
            <v>7708.8860000000004</v>
          </cell>
          <cell r="S216" t="b">
            <v>0</v>
          </cell>
          <cell r="T216" t="str">
            <v>No</v>
          </cell>
          <cell r="U216" t="str">
            <v>FBed</v>
          </cell>
        </row>
        <row r="217">
          <cell r="B217" t="str">
            <v>165-0086</v>
          </cell>
          <cell r="C217" t="str">
            <v>Dollar Tree Sourcing Comp. LLC</v>
          </cell>
          <cell r="D217" t="str">
            <v>DT# 6098   WM FLDLCRDR DP/LED/Therm</v>
          </cell>
          <cell r="E217" t="str">
            <v>Mokena, IL</v>
          </cell>
          <cell r="F217">
            <v>42457</v>
          </cell>
          <cell r="G217">
            <v>42460</v>
          </cell>
          <cell r="I217">
            <v>42461</v>
          </cell>
          <cell r="J217" t="str">
            <v>.</v>
          </cell>
          <cell r="L217">
            <v>551</v>
          </cell>
          <cell r="M217">
            <v>0</v>
          </cell>
          <cell r="N217">
            <v>2</v>
          </cell>
          <cell r="O217">
            <v>5669.12</v>
          </cell>
          <cell r="P217" t="str">
            <v>GA</v>
          </cell>
          <cell r="Q217" t="str">
            <v>4PD</v>
          </cell>
          <cell r="R217">
            <v>10229.245199999999</v>
          </cell>
          <cell r="S217" t="b">
            <v>1</v>
          </cell>
          <cell r="T217" t="str">
            <v>Yes</v>
          </cell>
        </row>
        <row r="218">
          <cell r="B218" t="str">
            <v>157-0537</v>
          </cell>
          <cell r="C218" t="str">
            <v>Wal-Mart Store Planning</v>
          </cell>
          <cell r="D218" t="str">
            <v>Walmart 7020-00-FuelStation-NEW</v>
          </cell>
          <cell r="E218" t="str">
            <v>La Vergne, TN</v>
          </cell>
          <cell r="F218">
            <v>42457</v>
          </cell>
          <cell r="G218">
            <v>42460</v>
          </cell>
          <cell r="I218">
            <v>42461</v>
          </cell>
          <cell r="J218" t="str">
            <v>PC</v>
          </cell>
          <cell r="L218">
            <v>887</v>
          </cell>
          <cell r="M218">
            <v>0</v>
          </cell>
          <cell r="N218">
            <v>0</v>
          </cell>
          <cell r="O218">
            <v>6092.5</v>
          </cell>
          <cell r="P218" t="str">
            <v>GA</v>
          </cell>
          <cell r="Q218" t="str">
            <v>4PD</v>
          </cell>
          <cell r="R218">
            <v>16638.018100000001</v>
          </cell>
          <cell r="S218" t="b">
            <v>0</v>
          </cell>
          <cell r="T218" t="str">
            <v>No</v>
          </cell>
          <cell r="V218" t="str">
            <v>A</v>
          </cell>
        </row>
        <row r="219">
          <cell r="B219" t="str">
            <v>167-0159</v>
          </cell>
          <cell r="C219" t="str">
            <v>KPS, LLC Columbus #016</v>
          </cell>
          <cell r="D219" t="str">
            <v>N-312</v>
          </cell>
          <cell r="E219" t="str">
            <v>Chillicothe OH</v>
          </cell>
          <cell r="F219">
            <v>42457</v>
          </cell>
          <cell r="G219">
            <v>42460</v>
          </cell>
          <cell r="I219">
            <v>42461</v>
          </cell>
          <cell r="J219" t="str">
            <v>SQ</v>
          </cell>
          <cell r="L219">
            <v>537</v>
          </cell>
          <cell r="M219">
            <v>0</v>
          </cell>
          <cell r="N219">
            <v>2</v>
          </cell>
          <cell r="O219">
            <v>7841.78</v>
          </cell>
          <cell r="P219" t="str">
            <v>GA</v>
          </cell>
          <cell r="Q219" t="str">
            <v>4PD</v>
          </cell>
          <cell r="R219">
            <v>7841.7795999999998</v>
          </cell>
          <cell r="S219" t="b">
            <v>0</v>
          </cell>
          <cell r="T219" t="str">
            <v>No</v>
          </cell>
          <cell r="U219" t="str">
            <v>FBed</v>
          </cell>
        </row>
        <row r="220">
          <cell r="B220" t="str">
            <v>157-2172</v>
          </cell>
          <cell r="C220" t="str">
            <v>KPS, LLC Columbus #016</v>
          </cell>
          <cell r="D220" t="str">
            <v>Kroger N-549</v>
          </cell>
          <cell r="E220" t="str">
            <v>MARYSVILLE OH</v>
          </cell>
          <cell r="F220">
            <v>42457</v>
          </cell>
          <cell r="G220">
            <v>42460</v>
          </cell>
          <cell r="I220">
            <v>42461</v>
          </cell>
          <cell r="J220" t="str">
            <v>VSS</v>
          </cell>
          <cell r="L220">
            <v>16403</v>
          </cell>
          <cell r="M220">
            <v>0</v>
          </cell>
          <cell r="N220">
            <v>17</v>
          </cell>
          <cell r="O220">
            <v>119854.71</v>
          </cell>
          <cell r="P220" t="str">
            <v>GA</v>
          </cell>
          <cell r="Q220" t="str">
            <v>4PD</v>
          </cell>
          <cell r="R220">
            <v>119854.70729999999</v>
          </cell>
          <cell r="S220" t="b">
            <v>0</v>
          </cell>
          <cell r="T220" t="str">
            <v>No</v>
          </cell>
          <cell r="U220" t="str">
            <v>FBed</v>
          </cell>
        </row>
        <row r="221">
          <cell r="B221" t="str">
            <v>157-2231E</v>
          </cell>
          <cell r="C221" t="str">
            <v>Wal-Mart Store Planning</v>
          </cell>
          <cell r="D221" t="str">
            <v>Walmart 1206-225 Remodel</v>
          </cell>
          <cell r="E221" t="str">
            <v>Baton Rouge, LA</v>
          </cell>
          <cell r="F221">
            <v>42457</v>
          </cell>
          <cell r="G221">
            <v>42460</v>
          </cell>
          <cell r="I221">
            <v>42461</v>
          </cell>
          <cell r="J221" t="str">
            <v>RS</v>
          </cell>
          <cell r="L221">
            <v>0</v>
          </cell>
          <cell r="M221">
            <v>0</v>
          </cell>
          <cell r="N221">
            <v>1</v>
          </cell>
          <cell r="O221">
            <v>16484.54</v>
          </cell>
          <cell r="P221" t="str">
            <v>GA</v>
          </cell>
          <cell r="Q221" t="str">
            <v>4PD</v>
          </cell>
          <cell r="R221">
            <v>16576.9434</v>
          </cell>
          <cell r="S221" t="b">
            <v>0</v>
          </cell>
          <cell r="T221" t="str">
            <v>No</v>
          </cell>
          <cell r="V221" t="str">
            <v>A</v>
          </cell>
        </row>
        <row r="222">
          <cell r="B222" t="str">
            <v>165-0082</v>
          </cell>
          <cell r="C222" t="str">
            <v>Dollar Tree Sourcing Comp. LLC</v>
          </cell>
          <cell r="D222" t="str">
            <v>DT# 6207   WM FLDLCRDR</v>
          </cell>
          <cell r="E222" t="str">
            <v>Richmond, TX</v>
          </cell>
          <cell r="F222">
            <v>42457</v>
          </cell>
          <cell r="G222">
            <v>42460</v>
          </cell>
          <cell r="I222">
            <v>42461</v>
          </cell>
          <cell r="J222" t="str">
            <v>.</v>
          </cell>
          <cell r="L222">
            <v>551</v>
          </cell>
          <cell r="M222">
            <v>0</v>
          </cell>
          <cell r="N222">
            <v>2</v>
          </cell>
          <cell r="O222">
            <v>5500.12</v>
          </cell>
          <cell r="P222" t="str">
            <v>GA</v>
          </cell>
          <cell r="Q222" t="str">
            <v>4PD</v>
          </cell>
          <cell r="R222">
            <v>9933.2451999999994</v>
          </cell>
          <cell r="S222" t="b">
            <v>1</v>
          </cell>
          <cell r="T222" t="str">
            <v>Yes</v>
          </cell>
        </row>
        <row r="223">
          <cell r="B223" t="str">
            <v>167-0053</v>
          </cell>
          <cell r="C223" t="str">
            <v>Wal-Mart Store Planning</v>
          </cell>
          <cell r="D223" t="str">
            <v>Walmart 0205-220 Remodel</v>
          </cell>
          <cell r="E223" t="str">
            <v>Philadelphia, MS</v>
          </cell>
          <cell r="F223">
            <v>42457</v>
          </cell>
          <cell r="G223">
            <v>42460</v>
          </cell>
          <cell r="I223">
            <v>42461</v>
          </cell>
          <cell r="J223" t="str">
            <v>RS</v>
          </cell>
          <cell r="L223">
            <v>9961</v>
          </cell>
          <cell r="M223">
            <v>0</v>
          </cell>
          <cell r="N223">
            <v>4</v>
          </cell>
          <cell r="O223">
            <v>74140.789999999994</v>
          </cell>
          <cell r="P223" t="str">
            <v>GA</v>
          </cell>
          <cell r="Q223" t="str">
            <v>4PD</v>
          </cell>
          <cell r="R223">
            <v>146690.42360000001</v>
          </cell>
          <cell r="S223" t="b">
            <v>0</v>
          </cell>
          <cell r="T223" t="str">
            <v>No</v>
          </cell>
        </row>
        <row r="224">
          <cell r="B224" t="str">
            <v>167-0041</v>
          </cell>
          <cell r="C224" t="str">
            <v>KPS, LLC Dillon's # 615</v>
          </cell>
          <cell r="D224" t="str">
            <v>Kroger DIL-065</v>
          </cell>
          <cell r="E224" t="str">
            <v>Wichita KS</v>
          </cell>
          <cell r="F224">
            <v>42457</v>
          </cell>
          <cell r="G224">
            <v>42460</v>
          </cell>
          <cell r="I224">
            <v>42461</v>
          </cell>
          <cell r="J224" t="str">
            <v>SQ</v>
          </cell>
          <cell r="L224">
            <v>706</v>
          </cell>
          <cell r="M224">
            <v>0</v>
          </cell>
          <cell r="N224">
            <v>2</v>
          </cell>
          <cell r="O224">
            <v>7676.25</v>
          </cell>
          <cell r="P224" t="str">
            <v>GA</v>
          </cell>
          <cell r="Q224" t="str">
            <v>4PD</v>
          </cell>
          <cell r="R224">
            <v>7676.25</v>
          </cell>
          <cell r="S224" t="b">
            <v>0</v>
          </cell>
          <cell r="T224" t="str">
            <v>No</v>
          </cell>
        </row>
        <row r="225">
          <cell r="B225" t="str">
            <v>167-0032</v>
          </cell>
          <cell r="C225" t="str">
            <v>KPS, LLC Central #021</v>
          </cell>
          <cell r="D225" t="str">
            <v>Kroger J-895</v>
          </cell>
          <cell r="E225" t="str">
            <v>FISHERS IN</v>
          </cell>
          <cell r="F225">
            <v>42457</v>
          </cell>
          <cell r="G225">
            <v>42461</v>
          </cell>
          <cell r="I225">
            <v>42464</v>
          </cell>
          <cell r="J225" t="str">
            <v>VSS</v>
          </cell>
          <cell r="L225">
            <v>17155</v>
          </cell>
          <cell r="M225">
            <v>0</v>
          </cell>
          <cell r="N225">
            <v>16</v>
          </cell>
          <cell r="O225">
            <v>124040.87</v>
          </cell>
          <cell r="P225" t="str">
            <v>GA</v>
          </cell>
          <cell r="Q225" t="str">
            <v>4PD</v>
          </cell>
          <cell r="R225">
            <v>124040.8674</v>
          </cell>
          <cell r="S225" t="b">
            <v>0</v>
          </cell>
          <cell r="T225" t="str">
            <v>No</v>
          </cell>
          <cell r="U225" t="str">
            <v>FBed</v>
          </cell>
          <cell r="V225" t="str">
            <v>A</v>
          </cell>
        </row>
        <row r="226">
          <cell r="B226" t="str">
            <v>165-0087</v>
          </cell>
          <cell r="C226" t="str">
            <v>Dollar Tree Sourcing Comp. LLC</v>
          </cell>
          <cell r="D226" t="str">
            <v>DT# 6354   WSM FLDLCRDR DP/LED/Thm</v>
          </cell>
          <cell r="E226" t="str">
            <v>Chicago, IL</v>
          </cell>
          <cell r="F226">
            <v>42457</v>
          </cell>
          <cell r="G226">
            <v>42461</v>
          </cell>
          <cell r="I226">
            <v>42464</v>
          </cell>
          <cell r="J226" t="str">
            <v>.</v>
          </cell>
          <cell r="L226">
            <v>629</v>
          </cell>
          <cell r="M226">
            <v>0</v>
          </cell>
          <cell r="N226">
            <v>2</v>
          </cell>
          <cell r="O226">
            <v>6252.54</v>
          </cell>
          <cell r="P226" t="str">
            <v>GA</v>
          </cell>
          <cell r="Q226" t="str">
            <v>4PD</v>
          </cell>
          <cell r="R226">
            <v>10812.6674</v>
          </cell>
          <cell r="S226" t="b">
            <v>1</v>
          </cell>
          <cell r="T226" t="str">
            <v>Yes</v>
          </cell>
        </row>
        <row r="227">
          <cell r="B227" t="str">
            <v>165-0089</v>
          </cell>
          <cell r="C227" t="str">
            <v>Dollar Tree Sourcing Comp. LLC</v>
          </cell>
          <cell r="D227" t="str">
            <v>DT# 1349   WM FLDLCRDR  DP WIC/LED</v>
          </cell>
          <cell r="E227" t="str">
            <v>Jasper, IN</v>
          </cell>
          <cell r="F227">
            <v>42457</v>
          </cell>
          <cell r="G227">
            <v>42461</v>
          </cell>
          <cell r="I227">
            <v>42464</v>
          </cell>
          <cell r="J227" t="str">
            <v>.</v>
          </cell>
          <cell r="L227">
            <v>551</v>
          </cell>
          <cell r="M227">
            <v>0</v>
          </cell>
          <cell r="N227">
            <v>2</v>
          </cell>
          <cell r="O227">
            <v>5500.12</v>
          </cell>
          <cell r="P227" t="str">
            <v>GA</v>
          </cell>
          <cell r="Q227" t="str">
            <v>4PD</v>
          </cell>
          <cell r="R227">
            <v>10056.245199999999</v>
          </cell>
          <cell r="S227" t="b">
            <v>1</v>
          </cell>
          <cell r="T227" t="str">
            <v>Yes</v>
          </cell>
        </row>
        <row r="228">
          <cell r="B228" t="str">
            <v>165-0067</v>
          </cell>
          <cell r="C228" t="str">
            <v>Dollar Tree Sourcing Comp. LLC</v>
          </cell>
          <cell r="D228" t="str">
            <v>DT# 9389   WM FLDLCRDR</v>
          </cell>
          <cell r="E228" t="str">
            <v>Machias, ME</v>
          </cell>
          <cell r="F228">
            <v>42457</v>
          </cell>
          <cell r="G228">
            <v>42464</v>
          </cell>
          <cell r="I228">
            <v>42465</v>
          </cell>
          <cell r="J228" t="str">
            <v>.</v>
          </cell>
          <cell r="L228">
            <v>551</v>
          </cell>
          <cell r="M228">
            <v>0</v>
          </cell>
          <cell r="N228">
            <v>2</v>
          </cell>
          <cell r="O228">
            <v>5500.12</v>
          </cell>
          <cell r="P228" t="str">
            <v>GA</v>
          </cell>
          <cell r="Q228" t="str">
            <v>4PD</v>
          </cell>
          <cell r="R228">
            <v>9933.2451999999994</v>
          </cell>
          <cell r="S228" t="b">
            <v>1</v>
          </cell>
          <cell r="T228" t="str">
            <v>Yes</v>
          </cell>
        </row>
        <row r="229">
          <cell r="B229" t="str">
            <v>165-0072</v>
          </cell>
          <cell r="C229" t="str">
            <v>Dollar Tree Sourcing Comp. LLC</v>
          </cell>
          <cell r="D229" t="str">
            <v>DT# 6328   WM FRDRCLDL REMOTE FlrC</v>
          </cell>
          <cell r="E229" t="str">
            <v>Baltimore, MD</v>
          </cell>
          <cell r="F229">
            <v>42457</v>
          </cell>
          <cell r="G229">
            <v>42464</v>
          </cell>
          <cell r="I229">
            <v>42465</v>
          </cell>
          <cell r="J229" t="str">
            <v>.</v>
          </cell>
          <cell r="L229">
            <v>578</v>
          </cell>
          <cell r="M229">
            <v>0</v>
          </cell>
          <cell r="N229">
            <v>2</v>
          </cell>
          <cell r="O229">
            <v>5863.52</v>
          </cell>
          <cell r="P229" t="str">
            <v>GA</v>
          </cell>
          <cell r="Q229" t="str">
            <v>4PD</v>
          </cell>
          <cell r="R229">
            <v>10620.405500000001</v>
          </cell>
          <cell r="S229" t="b">
            <v>1</v>
          </cell>
          <cell r="T229" t="str">
            <v>Yes</v>
          </cell>
        </row>
        <row r="230">
          <cell r="B230" t="str">
            <v>155-1200</v>
          </cell>
          <cell r="C230" t="str">
            <v>Dollar Tree Sourcing Comp. LLC</v>
          </cell>
          <cell r="D230" t="str">
            <v>DT# 9438   WSM FLDLCRDR</v>
          </cell>
          <cell r="E230" t="str">
            <v>SPRINGFIELD, VA</v>
          </cell>
          <cell r="F230">
            <v>42457</v>
          </cell>
          <cell r="G230">
            <v>42464</v>
          </cell>
          <cell r="I230">
            <v>42465</v>
          </cell>
          <cell r="J230" t="str">
            <v>.</v>
          </cell>
          <cell r="L230">
            <v>629</v>
          </cell>
          <cell r="M230">
            <v>0</v>
          </cell>
          <cell r="N230">
            <v>2</v>
          </cell>
          <cell r="O230">
            <v>5808.26</v>
          </cell>
          <cell r="P230" t="str">
            <v>GA</v>
          </cell>
          <cell r="Q230" t="str">
            <v>4PD</v>
          </cell>
          <cell r="R230">
            <v>10137.306500000001</v>
          </cell>
          <cell r="S230" t="b">
            <v>1</v>
          </cell>
          <cell r="T230" t="str">
            <v>Yes</v>
          </cell>
        </row>
        <row r="231">
          <cell r="B231" t="str">
            <v>165-0116</v>
          </cell>
          <cell r="C231" t="str">
            <v>Certified Comm Serv &amp; Equip</v>
          </cell>
          <cell r="D231" t="str">
            <v>Pilot Travel Center 1070</v>
          </cell>
          <cell r="E231" t="str">
            <v>JACKSONVILLE, FL</v>
          </cell>
          <cell r="F231">
            <v>42457</v>
          </cell>
          <cell r="G231">
            <v>42465</v>
          </cell>
          <cell r="I231">
            <v>42466</v>
          </cell>
          <cell r="J231" t="str">
            <v>VSS</v>
          </cell>
          <cell r="L231">
            <v>3176</v>
          </cell>
          <cell r="M231">
            <v>0</v>
          </cell>
          <cell r="N231">
            <v>5</v>
          </cell>
          <cell r="O231">
            <v>28072.12</v>
          </cell>
          <cell r="P231" t="str">
            <v>GA</v>
          </cell>
          <cell r="Q231" t="str">
            <v>4PD</v>
          </cell>
          <cell r="R231">
            <v>28072.124500000002</v>
          </cell>
          <cell r="S231" t="b">
            <v>0</v>
          </cell>
          <cell r="T231" t="str">
            <v>No</v>
          </cell>
        </row>
        <row r="232">
          <cell r="B232" t="str">
            <v>157-1909</v>
          </cell>
          <cell r="C232" t="str">
            <v>KPS, LLC Mid-Atlantic # 029</v>
          </cell>
          <cell r="D232" t="str">
            <v>Kroger R-345</v>
          </cell>
          <cell r="E232" t="str">
            <v>CHRISTIANSBURG VA</v>
          </cell>
          <cell r="F232">
            <v>42457</v>
          </cell>
          <cell r="G232">
            <v>42465</v>
          </cell>
          <cell r="I232">
            <v>42466</v>
          </cell>
          <cell r="J232" t="str">
            <v>VSS</v>
          </cell>
          <cell r="L232">
            <v>16168</v>
          </cell>
          <cell r="M232">
            <v>0</v>
          </cell>
          <cell r="N232">
            <v>18</v>
          </cell>
          <cell r="O232">
            <v>118914.4</v>
          </cell>
          <cell r="P232" t="str">
            <v>GA</v>
          </cell>
          <cell r="Q232" t="str">
            <v>4PD</v>
          </cell>
          <cell r="R232">
            <v>118914.4004</v>
          </cell>
          <cell r="S232" t="b">
            <v>0</v>
          </cell>
          <cell r="T232" t="str">
            <v>No</v>
          </cell>
          <cell r="U232" t="str">
            <v>FBed</v>
          </cell>
        </row>
        <row r="233">
          <cell r="B233" t="str">
            <v>165-0090</v>
          </cell>
          <cell r="C233" t="str">
            <v>Dollar Tree Sourcing Comp. LLC</v>
          </cell>
          <cell r="D233" t="str">
            <v>DT# 6139   WM FLDLCRDR</v>
          </cell>
          <cell r="E233" t="str">
            <v>Grand Ledge, MI</v>
          </cell>
          <cell r="F233">
            <v>42457</v>
          </cell>
          <cell r="G233">
            <v>42465</v>
          </cell>
          <cell r="I233">
            <v>42466</v>
          </cell>
          <cell r="J233" t="str">
            <v>.</v>
          </cell>
          <cell r="L233">
            <v>551</v>
          </cell>
          <cell r="M233">
            <v>0</v>
          </cell>
          <cell r="N233">
            <v>2</v>
          </cell>
          <cell r="O233">
            <v>5500.12</v>
          </cell>
          <cell r="P233" t="str">
            <v>GA</v>
          </cell>
          <cell r="Q233" t="str">
            <v>4PD</v>
          </cell>
          <cell r="R233">
            <v>9933.2451999999994</v>
          </cell>
          <cell r="S233" t="b">
            <v>1</v>
          </cell>
          <cell r="T233" t="str">
            <v>Yes</v>
          </cell>
        </row>
        <row r="234">
          <cell r="B234" t="str">
            <v>165-0113</v>
          </cell>
          <cell r="C234" t="str">
            <v>Giant Tiger Stores Unlimited</v>
          </cell>
          <cell r="D234" t="str">
            <v>Giant Tiger 218</v>
          </cell>
          <cell r="E234" t="str">
            <v xml:space="preserve"> </v>
          </cell>
          <cell r="F234">
            <v>42457</v>
          </cell>
          <cell r="G234">
            <v>42465</v>
          </cell>
          <cell r="I234">
            <v>42466</v>
          </cell>
          <cell r="J234" t="str">
            <v>.</v>
          </cell>
          <cell r="L234">
            <v>1780</v>
          </cell>
          <cell r="M234">
            <v>0</v>
          </cell>
          <cell r="N234">
            <v>2</v>
          </cell>
          <cell r="O234">
            <v>13932.17</v>
          </cell>
          <cell r="P234" t="str">
            <v>GA</v>
          </cell>
          <cell r="Q234" t="str">
            <v>4PD</v>
          </cell>
          <cell r="R234">
            <v>13932.1733</v>
          </cell>
          <cell r="S234" t="b">
            <v>0</v>
          </cell>
          <cell r="T234" t="str">
            <v>No</v>
          </cell>
          <cell r="U234" t="str">
            <v>CPUp</v>
          </cell>
        </row>
        <row r="235">
          <cell r="B235" t="str">
            <v>165-0073</v>
          </cell>
          <cell r="C235" t="str">
            <v>Dollar Tree Sourcing Comp. LLC</v>
          </cell>
          <cell r="D235" t="str">
            <v>DT# 6274   WM FLDLCRDR</v>
          </cell>
          <cell r="E235" t="str">
            <v>Louisville, KY</v>
          </cell>
          <cell r="F235">
            <v>42457</v>
          </cell>
          <cell r="G235">
            <v>42466</v>
          </cell>
          <cell r="I235">
            <v>42467</v>
          </cell>
          <cell r="J235" t="str">
            <v>.</v>
          </cell>
          <cell r="L235">
            <v>551</v>
          </cell>
          <cell r="M235">
            <v>0</v>
          </cell>
          <cell r="N235">
            <v>2</v>
          </cell>
          <cell r="O235">
            <v>5500.12</v>
          </cell>
          <cell r="P235" t="str">
            <v>GA</v>
          </cell>
          <cell r="Q235" t="str">
            <v>4PD</v>
          </cell>
          <cell r="R235">
            <v>9933.2451999999994</v>
          </cell>
          <cell r="S235" t="b">
            <v>1</v>
          </cell>
          <cell r="T235" t="str">
            <v>Yes</v>
          </cell>
        </row>
        <row r="236">
          <cell r="B236" t="str">
            <v>157-1907</v>
          </cell>
          <cell r="C236" t="str">
            <v>Wal-Mart Store Planning</v>
          </cell>
          <cell r="D236" t="str">
            <v>Walmart 6958-00-SC-NEW-182</v>
          </cell>
          <cell r="E236" t="str">
            <v>Spout Springs, NC</v>
          </cell>
          <cell r="F236">
            <v>42464</v>
          </cell>
          <cell r="G236">
            <v>42432</v>
          </cell>
          <cell r="I236">
            <v>42473</v>
          </cell>
          <cell r="J236" t="str">
            <v>.</v>
          </cell>
          <cell r="L236">
            <v>13154</v>
          </cell>
          <cell r="M236">
            <v>0</v>
          </cell>
          <cell r="N236">
            <v>6</v>
          </cell>
          <cell r="O236">
            <v>85851.21</v>
          </cell>
          <cell r="P236" t="str">
            <v>GA</v>
          </cell>
          <cell r="Q236" t="str">
            <v>4PD</v>
          </cell>
          <cell r="R236">
            <v>145123.326</v>
          </cell>
          <cell r="S236" t="b">
            <v>0</v>
          </cell>
          <cell r="T236" t="str">
            <v>No</v>
          </cell>
          <cell r="V236" t="str">
            <v>A</v>
          </cell>
        </row>
        <row r="237">
          <cell r="B237" t="str">
            <v>157-2141</v>
          </cell>
          <cell r="C237" t="str">
            <v>Wal-Mart Store Planning</v>
          </cell>
          <cell r="D237" t="str">
            <v>Walmart 6941-00-NHM-41LMG016</v>
          </cell>
          <cell r="E237" t="str">
            <v>Cape Coral FL</v>
          </cell>
          <cell r="F237">
            <v>42464</v>
          </cell>
          <cell r="G237">
            <v>42467</v>
          </cell>
          <cell r="I237">
            <v>42468</v>
          </cell>
          <cell r="J237" t="str">
            <v>.</v>
          </cell>
          <cell r="L237">
            <v>4926</v>
          </cell>
          <cell r="M237">
            <v>0</v>
          </cell>
          <cell r="N237">
            <v>1</v>
          </cell>
          <cell r="O237">
            <v>28855.67</v>
          </cell>
          <cell r="P237" t="str">
            <v>GA</v>
          </cell>
          <cell r="Q237" t="str">
            <v>4PD</v>
          </cell>
          <cell r="R237">
            <v>60656.326699999998</v>
          </cell>
          <cell r="S237" t="b">
            <v>0</v>
          </cell>
          <cell r="T237" t="str">
            <v>No</v>
          </cell>
          <cell r="V237" t="str">
            <v>A</v>
          </cell>
        </row>
        <row r="238">
          <cell r="B238" t="str">
            <v>165-0091</v>
          </cell>
          <cell r="C238" t="str">
            <v>Dollar Tree Sourcing Comp. LLC</v>
          </cell>
          <cell r="D238" t="str">
            <v>DT# 6320   WM FRDRCLDL</v>
          </cell>
          <cell r="E238" t="str">
            <v>Warsaw, NY</v>
          </cell>
          <cell r="F238">
            <v>42464</v>
          </cell>
          <cell r="G238">
            <v>42467</v>
          </cell>
          <cell r="I238">
            <v>42468</v>
          </cell>
          <cell r="J238" t="str">
            <v>.</v>
          </cell>
          <cell r="L238">
            <v>551</v>
          </cell>
          <cell r="M238">
            <v>0</v>
          </cell>
          <cell r="N238">
            <v>2</v>
          </cell>
          <cell r="O238">
            <v>5500.12</v>
          </cell>
          <cell r="P238" t="str">
            <v>GA</v>
          </cell>
          <cell r="Q238" t="str">
            <v>4PD</v>
          </cell>
          <cell r="R238">
            <v>9933.2451999999994</v>
          </cell>
          <cell r="S238" t="b">
            <v>1</v>
          </cell>
          <cell r="T238" t="str">
            <v>Yes</v>
          </cell>
        </row>
        <row r="239">
          <cell r="B239" t="str">
            <v>157-2105</v>
          </cell>
          <cell r="C239" t="str">
            <v>KPS, LLC Michigan # 018</v>
          </cell>
          <cell r="D239" t="str">
            <v>Kroger D-684</v>
          </cell>
          <cell r="E239" t="str">
            <v xml:space="preserve"> </v>
          </cell>
          <cell r="F239">
            <v>42464</v>
          </cell>
          <cell r="G239">
            <v>42467</v>
          </cell>
          <cell r="I239">
            <v>42468</v>
          </cell>
          <cell r="J239" t="str">
            <v>VSS</v>
          </cell>
          <cell r="L239">
            <v>896</v>
          </cell>
          <cell r="M239">
            <v>0</v>
          </cell>
          <cell r="N239">
            <v>3</v>
          </cell>
          <cell r="O239">
            <v>9871.34</v>
          </cell>
          <cell r="P239" t="str">
            <v>GA</v>
          </cell>
          <cell r="Q239" t="str">
            <v>4PD</v>
          </cell>
          <cell r="R239">
            <v>9926.8569000000007</v>
          </cell>
          <cell r="S239" t="b">
            <v>0</v>
          </cell>
          <cell r="T239" t="str">
            <v>No</v>
          </cell>
          <cell r="U239" t="str">
            <v>FBed</v>
          </cell>
          <cell r="V239" t="str">
            <v>A</v>
          </cell>
        </row>
        <row r="240">
          <cell r="B240" t="str">
            <v>157-1120ADD1</v>
          </cell>
          <cell r="C240" t="str">
            <v>Wal-Mart Store Planning</v>
          </cell>
          <cell r="D240" t="str">
            <v>Walmart 4563-00-NHM-NEW-41</v>
          </cell>
          <cell r="E240" t="str">
            <v>Dania Beach, FL</v>
          </cell>
          <cell r="F240">
            <v>42464</v>
          </cell>
          <cell r="G240">
            <v>42467</v>
          </cell>
          <cell r="I240">
            <v>42468</v>
          </cell>
          <cell r="J240" t="str">
            <v>.</v>
          </cell>
          <cell r="L240">
            <v>364</v>
          </cell>
          <cell r="M240">
            <v>0</v>
          </cell>
          <cell r="N240">
            <v>0</v>
          </cell>
          <cell r="O240">
            <v>1680.74</v>
          </cell>
          <cell r="P240" t="str">
            <v>GA</v>
          </cell>
          <cell r="Q240" t="str">
            <v>4PD</v>
          </cell>
          <cell r="R240">
            <v>2070.4974999999999</v>
          </cell>
          <cell r="S240" t="b">
            <v>0</v>
          </cell>
          <cell r="T240" t="str">
            <v>No</v>
          </cell>
          <cell r="V240" t="str">
            <v>A</v>
          </cell>
        </row>
        <row r="241">
          <cell r="B241" t="str">
            <v>157-1988</v>
          </cell>
          <cell r="C241" t="str">
            <v>KPS, LLC Columbus #016</v>
          </cell>
          <cell r="D241" t="str">
            <v>Kroger N-593</v>
          </cell>
          <cell r="E241" t="str">
            <v>COLUMBUS OH</v>
          </cell>
          <cell r="F241">
            <v>42464</v>
          </cell>
          <cell r="G241">
            <v>42467</v>
          </cell>
          <cell r="I241">
            <v>42468</v>
          </cell>
          <cell r="J241" t="str">
            <v>AP</v>
          </cell>
          <cell r="L241">
            <v>15582</v>
          </cell>
          <cell r="M241">
            <v>0</v>
          </cell>
          <cell r="N241">
            <v>17</v>
          </cell>
          <cell r="O241">
            <v>114862.81</v>
          </cell>
          <cell r="P241" t="str">
            <v>GA</v>
          </cell>
          <cell r="Q241" t="str">
            <v>4PD</v>
          </cell>
          <cell r="R241">
            <v>114862.8138</v>
          </cell>
          <cell r="S241" t="b">
            <v>1</v>
          </cell>
          <cell r="T241" t="str">
            <v>Yes</v>
          </cell>
          <cell r="U241" t="str">
            <v>FBed</v>
          </cell>
          <cell r="V241" t="str">
            <v>A</v>
          </cell>
        </row>
        <row r="242">
          <cell r="B242" t="str">
            <v>155-1205</v>
          </cell>
          <cell r="C242" t="str">
            <v>Dollar Tree Sourcing Comp. LLC</v>
          </cell>
          <cell r="D242" t="str">
            <v>DT# 5965   WM FRDRCLDL</v>
          </cell>
          <cell r="E242" t="str">
            <v>HURST, TX</v>
          </cell>
          <cell r="F242">
            <v>42464</v>
          </cell>
          <cell r="G242">
            <v>42467</v>
          </cell>
          <cell r="I242">
            <v>42468</v>
          </cell>
          <cell r="J242" t="str">
            <v>.</v>
          </cell>
          <cell r="L242">
            <v>551</v>
          </cell>
          <cell r="M242">
            <v>0</v>
          </cell>
          <cell r="N242">
            <v>2</v>
          </cell>
          <cell r="O242">
            <v>5302.05</v>
          </cell>
          <cell r="P242" t="str">
            <v>GA</v>
          </cell>
          <cell r="Q242" t="str">
            <v>4PD</v>
          </cell>
          <cell r="R242">
            <v>9631.1023999999998</v>
          </cell>
          <cell r="S242" t="b">
            <v>1</v>
          </cell>
          <cell r="T242" t="str">
            <v>Yes</v>
          </cell>
        </row>
        <row r="243">
          <cell r="B243" t="str">
            <v>157-2195D</v>
          </cell>
          <cell r="C243" t="str">
            <v>Wal-Mart Store Planning</v>
          </cell>
          <cell r="D243" t="str">
            <v>Walmart 1023-219 REM</v>
          </cell>
          <cell r="E243" t="str">
            <v>Galax, VA</v>
          </cell>
          <cell r="F243">
            <v>42464</v>
          </cell>
          <cell r="G243">
            <v>42467</v>
          </cell>
          <cell r="I243">
            <v>42468</v>
          </cell>
          <cell r="J243" t="str">
            <v>RS</v>
          </cell>
          <cell r="L243">
            <v>1049</v>
          </cell>
          <cell r="M243">
            <v>0</v>
          </cell>
          <cell r="N243">
            <v>2</v>
          </cell>
          <cell r="O243">
            <v>9483.0400000000009</v>
          </cell>
          <cell r="P243" t="str">
            <v>GA</v>
          </cell>
          <cell r="Q243" t="str">
            <v>4PD</v>
          </cell>
          <cell r="R243">
            <v>9602.7972000000009</v>
          </cell>
          <cell r="S243" t="b">
            <v>0</v>
          </cell>
          <cell r="T243" t="str">
            <v>No</v>
          </cell>
          <cell r="V243" t="str">
            <v>A</v>
          </cell>
        </row>
        <row r="244">
          <cell r="B244" t="str">
            <v>157-2184A</v>
          </cell>
          <cell r="C244" t="str">
            <v>Wal-Mart Store Planning</v>
          </cell>
          <cell r="D244" t="str">
            <v>Walmart 0155-221 REM</v>
          </cell>
          <cell r="E244" t="str">
            <v>Senatobia, MS</v>
          </cell>
          <cell r="F244">
            <v>42464</v>
          </cell>
          <cell r="G244">
            <v>42467</v>
          </cell>
          <cell r="I244">
            <v>42468</v>
          </cell>
          <cell r="J244" t="str">
            <v>RS</v>
          </cell>
          <cell r="L244">
            <v>1951</v>
          </cell>
          <cell r="M244">
            <v>0</v>
          </cell>
          <cell r="N244">
            <v>0</v>
          </cell>
          <cell r="O244">
            <v>12125.58</v>
          </cell>
          <cell r="P244" t="str">
            <v>GA</v>
          </cell>
          <cell r="Q244" t="str">
            <v>4PD</v>
          </cell>
          <cell r="R244">
            <v>84619.133600000001</v>
          </cell>
          <cell r="S244" t="b">
            <v>0</v>
          </cell>
          <cell r="T244" t="str">
            <v>No</v>
          </cell>
        </row>
        <row r="245">
          <cell r="B245" t="str">
            <v>157-1120</v>
          </cell>
          <cell r="C245" t="str">
            <v>Wal-Mart Store Planning</v>
          </cell>
          <cell r="D245" t="str">
            <v>Walmart 4563-00-NHM-NEW-41</v>
          </cell>
          <cell r="E245" t="str">
            <v>Dania Beach, FL</v>
          </cell>
          <cell r="F245">
            <v>42464</v>
          </cell>
          <cell r="G245">
            <v>42467</v>
          </cell>
          <cell r="I245">
            <v>42468</v>
          </cell>
          <cell r="J245" t="str">
            <v>PF</v>
          </cell>
          <cell r="K245" t="str">
            <v>CC</v>
          </cell>
          <cell r="L245">
            <v>4780</v>
          </cell>
          <cell r="M245">
            <v>137</v>
          </cell>
          <cell r="N245">
            <v>1</v>
          </cell>
          <cell r="O245">
            <v>29134.54</v>
          </cell>
          <cell r="P245" t="str">
            <v>GA</v>
          </cell>
          <cell r="Q245" t="str">
            <v>4PD</v>
          </cell>
          <cell r="R245">
            <v>61640.752500000002</v>
          </cell>
          <cell r="S245" t="b">
            <v>0</v>
          </cell>
          <cell r="T245" t="str">
            <v>No</v>
          </cell>
          <cell r="V245" t="str">
            <v>A</v>
          </cell>
        </row>
        <row r="246">
          <cell r="B246" t="str">
            <v>157-2231F</v>
          </cell>
          <cell r="C246" t="str">
            <v>Wal-Mart Store Planning</v>
          </cell>
          <cell r="D246" t="str">
            <v>Walmart 1206-225 Remodel</v>
          </cell>
          <cell r="E246" t="str">
            <v>Baton Rouge, LA</v>
          </cell>
          <cell r="F246">
            <v>42464</v>
          </cell>
          <cell r="G246">
            <v>42467</v>
          </cell>
          <cell r="I246">
            <v>42468</v>
          </cell>
          <cell r="J246" t="str">
            <v>RS</v>
          </cell>
          <cell r="L246">
            <v>0</v>
          </cell>
          <cell r="M246">
            <v>0</v>
          </cell>
          <cell r="N246">
            <v>0</v>
          </cell>
          <cell r="O246">
            <v>0</v>
          </cell>
          <cell r="P246" t="str">
            <v>GA</v>
          </cell>
          <cell r="Q246" t="str">
            <v>4PD</v>
          </cell>
          <cell r="R246">
            <v>1658.45</v>
          </cell>
          <cell r="S246" t="b">
            <v>0</v>
          </cell>
          <cell r="T246" t="str">
            <v>No</v>
          </cell>
          <cell r="V246" t="str">
            <v>A</v>
          </cell>
        </row>
        <row r="247">
          <cell r="B247" t="str">
            <v>167-0011</v>
          </cell>
          <cell r="C247" t="str">
            <v>Wal-Mart Store Planning</v>
          </cell>
          <cell r="D247" t="str">
            <v>Walmart 3629-00-NHM-41RMG016</v>
          </cell>
          <cell r="E247" t="str">
            <v>Port Orange FL</v>
          </cell>
          <cell r="F247">
            <v>42464</v>
          </cell>
          <cell r="G247">
            <v>42467</v>
          </cell>
          <cell r="I247">
            <v>42468</v>
          </cell>
          <cell r="J247" t="str">
            <v>.</v>
          </cell>
          <cell r="L247">
            <v>4926</v>
          </cell>
          <cell r="M247">
            <v>0</v>
          </cell>
          <cell r="N247">
            <v>1</v>
          </cell>
          <cell r="O247">
            <v>28651.83</v>
          </cell>
          <cell r="P247" t="str">
            <v>GA</v>
          </cell>
          <cell r="Q247" t="str">
            <v>4PD</v>
          </cell>
          <cell r="R247">
            <v>60449.217400000001</v>
          </cell>
          <cell r="S247" t="b">
            <v>0</v>
          </cell>
          <cell r="T247" t="str">
            <v>No</v>
          </cell>
          <cell r="V247" t="str">
            <v>A</v>
          </cell>
        </row>
        <row r="248">
          <cell r="B248" t="str">
            <v>165-0012</v>
          </cell>
          <cell r="C248" t="str">
            <v>Dollar Tree Sourcing Comp. LLC</v>
          </cell>
          <cell r="D248" t="str">
            <v>DT# 1589   WM FRDRCLDL DP WIC/LED</v>
          </cell>
          <cell r="E248" t="str">
            <v>Kirksville, MO</v>
          </cell>
          <cell r="F248">
            <v>42464</v>
          </cell>
          <cell r="G248">
            <v>42467</v>
          </cell>
          <cell r="I248">
            <v>42468</v>
          </cell>
          <cell r="J248" t="str">
            <v>.</v>
          </cell>
          <cell r="L248">
            <v>551</v>
          </cell>
          <cell r="M248">
            <v>0</v>
          </cell>
          <cell r="N248">
            <v>2</v>
          </cell>
          <cell r="O248">
            <v>5669.12</v>
          </cell>
          <cell r="P248" t="str">
            <v>GA</v>
          </cell>
          <cell r="Q248" t="str">
            <v>4PD</v>
          </cell>
          <cell r="R248">
            <v>10225.245199999999</v>
          </cell>
          <cell r="S248" t="b">
            <v>1</v>
          </cell>
          <cell r="T248" t="str">
            <v>Yes</v>
          </cell>
        </row>
        <row r="249">
          <cell r="B249" t="str">
            <v>167-0099</v>
          </cell>
          <cell r="C249" t="str">
            <v>Aldi Inc - Salisbury Division</v>
          </cell>
          <cell r="D249" t="str">
            <v>Aldi Store 49</v>
          </cell>
          <cell r="E249" t="str">
            <v>FLORENCE SC</v>
          </cell>
          <cell r="F249">
            <v>42464</v>
          </cell>
          <cell r="G249">
            <v>42468</v>
          </cell>
          <cell r="I249">
            <v>42471</v>
          </cell>
          <cell r="J249" t="str">
            <v>SQ</v>
          </cell>
          <cell r="L249">
            <v>4776</v>
          </cell>
          <cell r="M249">
            <v>0</v>
          </cell>
          <cell r="N249">
            <v>1</v>
          </cell>
          <cell r="O249">
            <v>34319.629999999997</v>
          </cell>
          <cell r="P249" t="str">
            <v>GA</v>
          </cell>
          <cell r="Q249" t="str">
            <v>4PD</v>
          </cell>
          <cell r="R249">
            <v>39903.184500000003</v>
          </cell>
          <cell r="S249" t="b">
            <v>0</v>
          </cell>
          <cell r="T249" t="str">
            <v>No</v>
          </cell>
        </row>
        <row r="250">
          <cell r="B250" t="str">
            <v>157-2195C</v>
          </cell>
          <cell r="C250" t="str">
            <v>Wal-Mart Store Planning</v>
          </cell>
          <cell r="D250" t="str">
            <v>Walmart 1023-219 REM</v>
          </cell>
          <cell r="E250" t="str">
            <v>Galax, VA</v>
          </cell>
          <cell r="F250">
            <v>42471</v>
          </cell>
          <cell r="G250">
            <v>42474</v>
          </cell>
          <cell r="I250">
            <v>42475</v>
          </cell>
          <cell r="J250" t="str">
            <v>RS</v>
          </cell>
          <cell r="L250">
            <v>1467</v>
          </cell>
          <cell r="M250">
            <v>0</v>
          </cell>
          <cell r="N250">
            <v>2</v>
          </cell>
          <cell r="O250">
            <v>13525.38</v>
          </cell>
          <cell r="P250" t="str">
            <v>GA</v>
          </cell>
          <cell r="Q250" t="str">
            <v>4PD</v>
          </cell>
          <cell r="R250">
            <v>17289.7994</v>
          </cell>
          <cell r="S250" t="b">
            <v>0</v>
          </cell>
          <cell r="T250" t="str">
            <v>No</v>
          </cell>
          <cell r="V250" t="str">
            <v>A</v>
          </cell>
        </row>
        <row r="251">
          <cell r="B251" t="str">
            <v>167-0112</v>
          </cell>
          <cell r="C251" t="str">
            <v>Wal-Mart Store Planning</v>
          </cell>
          <cell r="D251" t="str">
            <v>Walmart 2641-225-SC-REM</v>
          </cell>
          <cell r="E251" t="str">
            <v>Allentown, PA</v>
          </cell>
          <cell r="F251">
            <v>42471</v>
          </cell>
          <cell r="G251">
            <v>42474</v>
          </cell>
          <cell r="I251">
            <v>42475</v>
          </cell>
          <cell r="J251" t="str">
            <v>RS</v>
          </cell>
          <cell r="L251">
            <v>9844</v>
          </cell>
          <cell r="M251">
            <v>0</v>
          </cell>
          <cell r="N251">
            <v>2</v>
          </cell>
          <cell r="O251">
            <v>73587</v>
          </cell>
          <cell r="P251" t="str">
            <v>GA</v>
          </cell>
          <cell r="Q251" t="str">
            <v>4PD</v>
          </cell>
          <cell r="R251">
            <v>164411.0974</v>
          </cell>
          <cell r="S251" t="b">
            <v>0</v>
          </cell>
          <cell r="T251" t="str">
            <v>No</v>
          </cell>
        </row>
        <row r="252">
          <cell r="B252" t="str">
            <v>167-0004</v>
          </cell>
          <cell r="C252" t="str">
            <v>Wal-Mart Store Planning</v>
          </cell>
          <cell r="D252" t="str">
            <v>Walmart 5829-00-NHM-41LMG016</v>
          </cell>
          <cell r="E252" t="str">
            <v>Danville VA</v>
          </cell>
          <cell r="F252">
            <v>42471</v>
          </cell>
          <cell r="G252">
            <v>42474</v>
          </cell>
          <cell r="I252">
            <v>42475</v>
          </cell>
          <cell r="J252" t="str">
            <v>.</v>
          </cell>
          <cell r="L252">
            <v>4926</v>
          </cell>
          <cell r="M252">
            <v>0</v>
          </cell>
          <cell r="N252">
            <v>1</v>
          </cell>
          <cell r="O252">
            <v>28855.67</v>
          </cell>
          <cell r="P252" t="str">
            <v>GA</v>
          </cell>
          <cell r="Q252" t="str">
            <v>4PD</v>
          </cell>
          <cell r="R252">
            <v>60656.326699999998</v>
          </cell>
          <cell r="S252" t="b">
            <v>0</v>
          </cell>
          <cell r="T252" t="str">
            <v>No</v>
          </cell>
        </row>
        <row r="253">
          <cell r="B253" t="str">
            <v>167-0087</v>
          </cell>
          <cell r="C253" t="str">
            <v>Wal-Mart Store Planning</v>
          </cell>
          <cell r="D253" t="str">
            <v>Walmart 0811-222 Remodel</v>
          </cell>
          <cell r="E253" t="str">
            <v>Arcadia, FL</v>
          </cell>
          <cell r="F253">
            <v>42471</v>
          </cell>
          <cell r="G253">
            <v>42474</v>
          </cell>
          <cell r="I253">
            <v>42475</v>
          </cell>
          <cell r="J253" t="str">
            <v>RS</v>
          </cell>
          <cell r="L253">
            <v>7450</v>
          </cell>
          <cell r="M253">
            <v>0</v>
          </cell>
          <cell r="N253">
            <v>6</v>
          </cell>
          <cell r="O253">
            <v>61920.74</v>
          </cell>
          <cell r="P253" t="str">
            <v>GA</v>
          </cell>
          <cell r="Q253" t="str">
            <v>4PD</v>
          </cell>
          <cell r="R253">
            <v>121885.577</v>
          </cell>
          <cell r="S253" t="b">
            <v>0</v>
          </cell>
          <cell r="T253" t="str">
            <v>No</v>
          </cell>
        </row>
        <row r="254">
          <cell r="B254" t="str">
            <v>167-0162</v>
          </cell>
          <cell r="C254" t="str">
            <v>Wal-Mart Store Planning</v>
          </cell>
          <cell r="D254" t="str">
            <v>Walmart 1707-214-SC-REM</v>
          </cell>
          <cell r="E254" t="str">
            <v>East Liverpool, OH</v>
          </cell>
          <cell r="F254">
            <v>42471</v>
          </cell>
          <cell r="G254">
            <v>42474</v>
          </cell>
          <cell r="I254">
            <v>42475</v>
          </cell>
          <cell r="J254" t="str">
            <v>SS</v>
          </cell>
          <cell r="L254">
            <v>5023</v>
          </cell>
          <cell r="M254">
            <v>0</v>
          </cell>
          <cell r="N254">
            <v>6</v>
          </cell>
          <cell r="O254">
            <v>42267.42</v>
          </cell>
          <cell r="P254" t="str">
            <v>GA</v>
          </cell>
          <cell r="Q254" t="str">
            <v>4PD</v>
          </cell>
          <cell r="R254">
            <v>75263.206699999995</v>
          </cell>
          <cell r="S254" t="b">
            <v>0</v>
          </cell>
          <cell r="T254" t="str">
            <v>No</v>
          </cell>
        </row>
        <row r="255">
          <cell r="B255" t="str">
            <v>167-0170</v>
          </cell>
          <cell r="C255" t="str">
            <v>Wal-Mart Store Planning</v>
          </cell>
          <cell r="D255" t="str">
            <v>Walmart 2504-219-SC-REM</v>
          </cell>
          <cell r="E255" t="str">
            <v>Kingston, NY</v>
          </cell>
          <cell r="F255">
            <v>42471</v>
          </cell>
          <cell r="G255">
            <v>42474</v>
          </cell>
          <cell r="I255">
            <v>42475</v>
          </cell>
          <cell r="J255" t="str">
            <v>SS</v>
          </cell>
          <cell r="L255">
            <v>7185</v>
          </cell>
          <cell r="M255">
            <v>0</v>
          </cell>
          <cell r="N255">
            <v>7</v>
          </cell>
          <cell r="O255">
            <v>59185.9</v>
          </cell>
          <cell r="P255" t="str">
            <v>GA</v>
          </cell>
          <cell r="Q255" t="str">
            <v>4PD</v>
          </cell>
          <cell r="R255">
            <v>120713.5637</v>
          </cell>
          <cell r="S255" t="b">
            <v>0</v>
          </cell>
          <cell r="T255" t="str">
            <v>No</v>
          </cell>
        </row>
        <row r="256">
          <cell r="B256" t="str">
            <v xml:space="preserve">167-0173 </v>
          </cell>
          <cell r="C256" t="str">
            <v>Wal-Mart Store Planning</v>
          </cell>
          <cell r="D256" t="str">
            <v>Walmart 2929-218-SC-REM</v>
          </cell>
          <cell r="E256" t="str">
            <v>Hope Mills, NC</v>
          </cell>
          <cell r="F256">
            <v>42471</v>
          </cell>
          <cell r="G256">
            <v>42474</v>
          </cell>
          <cell r="I256">
            <v>42475</v>
          </cell>
          <cell r="J256" t="str">
            <v>SS</v>
          </cell>
          <cell r="L256">
            <v>0</v>
          </cell>
          <cell r="M256">
            <v>0</v>
          </cell>
          <cell r="N256">
            <v>0</v>
          </cell>
          <cell r="O256">
            <v>16349.07</v>
          </cell>
          <cell r="P256" t="str">
            <v>GA</v>
          </cell>
          <cell r="Q256" t="str">
            <v>4PD</v>
          </cell>
          <cell r="R256">
            <v>53043.339899999999</v>
          </cell>
          <cell r="S256" t="b">
            <v>0</v>
          </cell>
          <cell r="T256" t="str">
            <v>No</v>
          </cell>
        </row>
        <row r="257">
          <cell r="B257" t="str">
            <v xml:space="preserve">167-0160 </v>
          </cell>
          <cell r="C257" t="str">
            <v>Wal-Mart Store Planning</v>
          </cell>
          <cell r="D257" t="str">
            <v>Walmart 1385-208-SC-REM</v>
          </cell>
          <cell r="E257" t="str">
            <v>Gastonia, NC</v>
          </cell>
          <cell r="F257">
            <v>42471</v>
          </cell>
          <cell r="G257">
            <v>42474</v>
          </cell>
          <cell r="I257">
            <v>42475</v>
          </cell>
          <cell r="J257" t="str">
            <v>RS</v>
          </cell>
          <cell r="L257">
            <v>12529</v>
          </cell>
          <cell r="M257">
            <v>0</v>
          </cell>
          <cell r="N257">
            <v>7</v>
          </cell>
          <cell r="O257">
            <v>98841.9</v>
          </cell>
          <cell r="P257" t="str">
            <v>GA</v>
          </cell>
          <cell r="Q257" t="str">
            <v>4PD</v>
          </cell>
          <cell r="R257">
            <v>183800.73379999999</v>
          </cell>
          <cell r="S257" t="b">
            <v>0</v>
          </cell>
          <cell r="T257" t="str">
            <v>No</v>
          </cell>
        </row>
        <row r="258">
          <cell r="B258" t="str">
            <v>157-2184B</v>
          </cell>
          <cell r="C258" t="str">
            <v>Wal-Mart Store Planning</v>
          </cell>
          <cell r="D258" t="str">
            <v>Walmart 0155-221 REM</v>
          </cell>
          <cell r="E258" t="str">
            <v>Senatobia, MS</v>
          </cell>
          <cell r="F258">
            <v>42471</v>
          </cell>
          <cell r="G258">
            <v>42474</v>
          </cell>
          <cell r="I258">
            <v>42475</v>
          </cell>
          <cell r="J258" t="str">
            <v>RS</v>
          </cell>
          <cell r="L258">
            <v>776</v>
          </cell>
          <cell r="M258">
            <v>0</v>
          </cell>
          <cell r="N258">
            <v>2</v>
          </cell>
          <cell r="O258">
            <v>7708.61</v>
          </cell>
          <cell r="P258" t="str">
            <v>GA</v>
          </cell>
          <cell r="Q258" t="str">
            <v>4PD</v>
          </cell>
          <cell r="R258">
            <v>7801.7273999999998</v>
          </cell>
          <cell r="S258" t="b">
            <v>0</v>
          </cell>
          <cell r="T258" t="str">
            <v>No</v>
          </cell>
        </row>
        <row r="259">
          <cell r="B259" t="str">
            <v>157-2185</v>
          </cell>
          <cell r="C259" t="str">
            <v>Hutton Construction, Inc.</v>
          </cell>
          <cell r="D259" t="str">
            <v>Walmart 3959-00-NHM-DEV-SPMG012</v>
          </cell>
          <cell r="E259" t="str">
            <v>Knoxville, TN</v>
          </cell>
          <cell r="F259">
            <v>42471</v>
          </cell>
          <cell r="G259">
            <v>42479</v>
          </cell>
          <cell r="I259">
            <v>42480</v>
          </cell>
          <cell r="J259" t="str">
            <v>PC</v>
          </cell>
          <cell r="L259">
            <v>5383</v>
          </cell>
          <cell r="M259">
            <v>0</v>
          </cell>
          <cell r="N259">
            <v>2</v>
          </cell>
          <cell r="O259">
            <v>37877.42</v>
          </cell>
          <cell r="P259" t="str">
            <v>GA</v>
          </cell>
          <cell r="Q259" t="str">
            <v>4PD</v>
          </cell>
          <cell r="R259">
            <v>78564.672500000001</v>
          </cell>
          <cell r="S259" t="b">
            <v>0</v>
          </cell>
          <cell r="T259" t="str">
            <v>No</v>
          </cell>
        </row>
        <row r="260">
          <cell r="B260" t="str">
            <v>157-0790</v>
          </cell>
          <cell r="C260" t="str">
            <v>Wal-Mart Store Planning</v>
          </cell>
          <cell r="D260" t="str">
            <v>Walmart 2756-03-SC-NEW-182</v>
          </cell>
          <cell r="E260" t="str">
            <v>Frederick (N), MD</v>
          </cell>
          <cell r="F260">
            <v>42471</v>
          </cell>
          <cell r="G260">
            <v>42481</v>
          </cell>
          <cell r="I260">
            <v>42482</v>
          </cell>
          <cell r="J260" t="str">
            <v>PC</v>
          </cell>
          <cell r="L260">
            <v>13212</v>
          </cell>
          <cell r="M260">
            <v>0</v>
          </cell>
          <cell r="N260">
            <v>6</v>
          </cell>
          <cell r="O260">
            <v>85940.19</v>
          </cell>
          <cell r="P260" t="str">
            <v>GA</v>
          </cell>
          <cell r="Q260" t="str">
            <v>4PD</v>
          </cell>
          <cell r="R260">
            <v>143872.63320000001</v>
          </cell>
          <cell r="S260" t="b">
            <v>0</v>
          </cell>
          <cell r="T260" t="str">
            <v>No</v>
          </cell>
        </row>
        <row r="261">
          <cell r="B261" t="str">
            <v>157-1559</v>
          </cell>
          <cell r="C261" t="str">
            <v>KPS, LLC Michigan # 018</v>
          </cell>
          <cell r="D261" t="str">
            <v>Kroger D-743</v>
          </cell>
          <cell r="E261" t="str">
            <v>ROYAL OAK MI</v>
          </cell>
          <cell r="F261">
            <v>42471</v>
          </cell>
          <cell r="G261">
            <v>42481</v>
          </cell>
          <cell r="I261">
            <v>42482</v>
          </cell>
          <cell r="J261" t="str">
            <v>AP</v>
          </cell>
          <cell r="L261">
            <v>16447</v>
          </cell>
          <cell r="M261">
            <v>0</v>
          </cell>
          <cell r="N261">
            <v>14</v>
          </cell>
          <cell r="O261">
            <v>129196.81</v>
          </cell>
          <cell r="P261" t="str">
            <v>GA</v>
          </cell>
          <cell r="Q261" t="str">
            <v>4PD</v>
          </cell>
          <cell r="R261">
            <v>129196.80740000001</v>
          </cell>
          <cell r="S261" t="b">
            <v>0</v>
          </cell>
          <cell r="T261" t="str">
            <v>No</v>
          </cell>
          <cell r="U261" t="str">
            <v>FBed</v>
          </cell>
        </row>
        <row r="262">
          <cell r="B262" t="str">
            <v>167-0050</v>
          </cell>
          <cell r="C262" t="str">
            <v>KPS, LLC Dillon's # 615</v>
          </cell>
          <cell r="D262" t="str">
            <v>Kroger DIL-084</v>
          </cell>
          <cell r="E262" t="str">
            <v>NEWTON KS</v>
          </cell>
          <cell r="F262">
            <v>42478</v>
          </cell>
          <cell r="G262">
            <v>42481</v>
          </cell>
          <cell r="I262">
            <v>42482</v>
          </cell>
          <cell r="J262" t="str">
            <v>.</v>
          </cell>
          <cell r="L262">
            <v>116</v>
          </cell>
          <cell r="M262">
            <v>0</v>
          </cell>
          <cell r="N262">
            <v>0</v>
          </cell>
          <cell r="O262">
            <v>1479.64</v>
          </cell>
          <cell r="P262" t="str">
            <v>GA</v>
          </cell>
          <cell r="Q262" t="str">
            <v>4PD</v>
          </cell>
          <cell r="R262">
            <v>1479.6424</v>
          </cell>
          <cell r="S262" t="b">
            <v>0</v>
          </cell>
          <cell r="T262" t="str">
            <v>No</v>
          </cell>
        </row>
        <row r="263">
          <cell r="B263" t="str">
            <v>157-2256</v>
          </cell>
          <cell r="C263" t="str">
            <v>Glenn's Commercial Service</v>
          </cell>
          <cell r="D263" t="str">
            <v>Thorntons 320</v>
          </cell>
          <cell r="E263" t="str">
            <v xml:space="preserve"> LOUISVILLE, KY</v>
          </cell>
          <cell r="F263">
            <v>42478</v>
          </cell>
          <cell r="G263">
            <v>42481</v>
          </cell>
          <cell r="I263">
            <v>42482</v>
          </cell>
          <cell r="J263" t="str">
            <v>SS</v>
          </cell>
          <cell r="L263">
            <v>2051</v>
          </cell>
          <cell r="M263">
            <v>0</v>
          </cell>
          <cell r="N263">
            <v>2</v>
          </cell>
          <cell r="O263">
            <v>18288.259999999998</v>
          </cell>
          <cell r="P263" t="str">
            <v>GA</v>
          </cell>
          <cell r="Q263" t="str">
            <v>4PD</v>
          </cell>
          <cell r="R263">
            <v>29310.664199999999</v>
          </cell>
          <cell r="S263" t="b">
            <v>0</v>
          </cell>
          <cell r="T263" t="str">
            <v>No</v>
          </cell>
          <cell r="V263" t="str">
            <v>A</v>
          </cell>
        </row>
        <row r="264">
          <cell r="B264" t="str">
            <v>167-0018</v>
          </cell>
          <cell r="C264" t="str">
            <v>Two Farms, Inc.</v>
          </cell>
          <cell r="D264" t="str">
            <v>Royal Farms 135</v>
          </cell>
          <cell r="E264" t="str">
            <v>DENTON MD</v>
          </cell>
          <cell r="F264">
            <v>42478</v>
          </cell>
          <cell r="G264">
            <v>42481</v>
          </cell>
          <cell r="I264">
            <v>42482</v>
          </cell>
          <cell r="J264" t="str">
            <v>PC</v>
          </cell>
          <cell r="L264">
            <v>2306</v>
          </cell>
          <cell r="M264">
            <v>0</v>
          </cell>
          <cell r="N264">
            <v>5</v>
          </cell>
          <cell r="O264">
            <v>21373.25</v>
          </cell>
          <cell r="P264" t="str">
            <v>GA</v>
          </cell>
          <cell r="Q264" t="str">
            <v>4PD</v>
          </cell>
          <cell r="R264">
            <v>37299.965700000001</v>
          </cell>
          <cell r="S264" t="b">
            <v>0</v>
          </cell>
          <cell r="T264" t="str">
            <v>No</v>
          </cell>
          <cell r="U264" t="str">
            <v>FBed</v>
          </cell>
        </row>
        <row r="265">
          <cell r="B265" t="str">
            <v>157-2088B</v>
          </cell>
          <cell r="C265" t="str">
            <v>KPS, LLC Columbus #016</v>
          </cell>
          <cell r="D265" t="str">
            <v>Kroger N-878</v>
          </cell>
          <cell r="E265" t="str">
            <v>BOWLING GREEN OH</v>
          </cell>
          <cell r="F265">
            <v>42478</v>
          </cell>
          <cell r="G265">
            <v>42481</v>
          </cell>
          <cell r="I265">
            <v>42482</v>
          </cell>
          <cell r="J265" t="str">
            <v>AP</v>
          </cell>
          <cell r="L265">
            <v>14703</v>
          </cell>
          <cell r="M265">
            <v>0</v>
          </cell>
          <cell r="N265">
            <v>16</v>
          </cell>
          <cell r="O265">
            <v>108006.32</v>
          </cell>
          <cell r="P265" t="str">
            <v>GA</v>
          </cell>
          <cell r="Q265" t="str">
            <v>4PD</v>
          </cell>
          <cell r="R265">
            <v>108006.3207</v>
          </cell>
          <cell r="S265" t="b">
            <v>0</v>
          </cell>
          <cell r="T265" t="str">
            <v>No</v>
          </cell>
          <cell r="U265" t="str">
            <v>FBed</v>
          </cell>
          <cell r="V265" t="str">
            <v>A</v>
          </cell>
        </row>
        <row r="266">
          <cell r="B266" t="str">
            <v>157-2184C</v>
          </cell>
          <cell r="C266" t="str">
            <v>Wal-Mart Store Planning</v>
          </cell>
          <cell r="D266" t="str">
            <v>Walmart 0155-221 REM</v>
          </cell>
          <cell r="E266" t="str">
            <v>Senatobia, MS</v>
          </cell>
          <cell r="F266">
            <v>42478</v>
          </cell>
          <cell r="G266">
            <v>42481</v>
          </cell>
          <cell r="I266">
            <v>42482</v>
          </cell>
          <cell r="J266" t="str">
            <v>RS</v>
          </cell>
          <cell r="L266">
            <v>2210</v>
          </cell>
          <cell r="M266">
            <v>0</v>
          </cell>
          <cell r="N266">
            <v>0</v>
          </cell>
          <cell r="O266">
            <v>14049.59</v>
          </cell>
          <cell r="P266" t="str">
            <v>GA</v>
          </cell>
          <cell r="Q266" t="str">
            <v>4PD</v>
          </cell>
          <cell r="R266">
            <v>19332.513999999999</v>
          </cell>
          <cell r="S266" t="b">
            <v>0</v>
          </cell>
          <cell r="T266" t="str">
            <v>No</v>
          </cell>
        </row>
        <row r="267">
          <cell r="B267" t="str">
            <v>157-1047</v>
          </cell>
          <cell r="C267" t="str">
            <v>Trader Joes East</v>
          </cell>
          <cell r="D267" t="str">
            <v>Trader Joe's Metairie, LA</v>
          </cell>
          <cell r="E267" t="str">
            <v xml:space="preserve"> </v>
          </cell>
          <cell r="F267">
            <v>42478</v>
          </cell>
          <cell r="G267">
            <v>42481</v>
          </cell>
          <cell r="I267">
            <v>42482</v>
          </cell>
          <cell r="J267" t="str">
            <v>.</v>
          </cell>
          <cell r="L267">
            <v>2081</v>
          </cell>
          <cell r="M267">
            <v>0</v>
          </cell>
          <cell r="N267">
            <v>1</v>
          </cell>
          <cell r="O267">
            <v>16602.900000000001</v>
          </cell>
          <cell r="P267" t="str">
            <v>GA</v>
          </cell>
          <cell r="Q267" t="str">
            <v>4PD</v>
          </cell>
          <cell r="R267">
            <v>24080.305700000001</v>
          </cell>
          <cell r="S267" t="b">
            <v>0</v>
          </cell>
          <cell r="T267" t="str">
            <v>No</v>
          </cell>
          <cell r="V267" t="str">
            <v>A</v>
          </cell>
        </row>
        <row r="268">
          <cell r="B268" t="str">
            <v>157-2119</v>
          </cell>
          <cell r="C268" t="str">
            <v>KPS, LLC Central #021</v>
          </cell>
          <cell r="D268" t="str">
            <v>Kroger J-979</v>
          </cell>
          <cell r="E268" t="str">
            <v>FRANKLIN IN</v>
          </cell>
          <cell r="F268">
            <v>42478</v>
          </cell>
          <cell r="G268">
            <v>42481</v>
          </cell>
          <cell r="I268">
            <v>42482</v>
          </cell>
          <cell r="J268" t="str">
            <v>AP</v>
          </cell>
          <cell r="L268">
            <v>16251</v>
          </cell>
          <cell r="M268">
            <v>0</v>
          </cell>
          <cell r="N268">
            <v>18</v>
          </cell>
          <cell r="O268">
            <v>120240.34</v>
          </cell>
          <cell r="P268" t="str">
            <v>GA</v>
          </cell>
          <cell r="Q268" t="str">
            <v>4PD</v>
          </cell>
          <cell r="R268">
            <v>120240.3379</v>
          </cell>
          <cell r="S268" t="b">
            <v>0</v>
          </cell>
          <cell r="T268" t="str">
            <v>No</v>
          </cell>
          <cell r="U268" t="str">
            <v>FBed</v>
          </cell>
          <cell r="V268" t="str">
            <v>A</v>
          </cell>
        </row>
        <row r="269">
          <cell r="B269" t="str">
            <v>157-1979</v>
          </cell>
          <cell r="C269" t="str">
            <v>Wal-Mart Store Planning</v>
          </cell>
          <cell r="D269" t="str">
            <v>Walmart 0661-224-SC-REM</v>
          </cell>
          <cell r="E269" t="str">
            <v>Athens, AL</v>
          </cell>
          <cell r="F269">
            <v>42478</v>
          </cell>
          <cell r="G269">
            <v>42481</v>
          </cell>
          <cell r="I269">
            <v>42482</v>
          </cell>
          <cell r="J269" t="str">
            <v>PC2</v>
          </cell>
          <cell r="L269">
            <v>0</v>
          </cell>
          <cell r="M269">
            <v>0</v>
          </cell>
          <cell r="N269">
            <v>1</v>
          </cell>
          <cell r="O269">
            <v>1863.62</v>
          </cell>
          <cell r="P269" t="str">
            <v>GA</v>
          </cell>
          <cell r="Q269" t="str">
            <v>4PD</v>
          </cell>
          <cell r="R269">
            <v>21932.399600000001</v>
          </cell>
          <cell r="S269" t="b">
            <v>0</v>
          </cell>
          <cell r="T269" t="str">
            <v>No</v>
          </cell>
        </row>
        <row r="270">
          <cell r="B270" t="str">
            <v>167-0028</v>
          </cell>
          <cell r="C270" t="str">
            <v>KPS, LLC Cincinnati #014</v>
          </cell>
          <cell r="D270" t="str">
            <v>Kroger A-439</v>
          </cell>
          <cell r="E270" t="str">
            <v>Liberty Twp</v>
          </cell>
          <cell r="F270">
            <v>42478</v>
          </cell>
          <cell r="G270">
            <v>42485</v>
          </cell>
          <cell r="I270">
            <v>42486</v>
          </cell>
          <cell r="J270" t="str">
            <v>RQ</v>
          </cell>
          <cell r="L270">
            <v>19033</v>
          </cell>
          <cell r="M270">
            <v>0</v>
          </cell>
          <cell r="N270">
            <v>16</v>
          </cell>
          <cell r="O270">
            <v>136195.35</v>
          </cell>
          <cell r="P270" t="str">
            <v>GA</v>
          </cell>
          <cell r="Q270" t="str">
            <v>4PD</v>
          </cell>
          <cell r="R270">
            <v>136195.35200000001</v>
          </cell>
          <cell r="S270" t="b">
            <v>0</v>
          </cell>
          <cell r="T270" t="str">
            <v>No</v>
          </cell>
          <cell r="U270" t="str">
            <v>FBed</v>
          </cell>
        </row>
        <row r="271">
          <cell r="B271" t="str">
            <v>157-1951ADD1</v>
          </cell>
          <cell r="C271" t="str">
            <v>St. Cloud Refrigeration</v>
          </cell>
          <cell r="D271" t="str">
            <v>Eastside Food Co-op Meat &amp; Dairy</v>
          </cell>
          <cell r="E271" t="str">
            <v>MINNEAPOLIS MN</v>
          </cell>
          <cell r="F271">
            <v>42478</v>
          </cell>
          <cell r="G271">
            <v>42485</v>
          </cell>
          <cell r="I271">
            <v>42486</v>
          </cell>
          <cell r="J271" t="str">
            <v>VSS</v>
          </cell>
          <cell r="L271">
            <v>2456</v>
          </cell>
          <cell r="M271">
            <v>0</v>
          </cell>
          <cell r="N271">
            <v>6</v>
          </cell>
          <cell r="O271">
            <v>25012.42</v>
          </cell>
          <cell r="P271" t="str">
            <v>GA</v>
          </cell>
          <cell r="Q271" t="str">
            <v>4PD</v>
          </cell>
          <cell r="R271">
            <v>25523.503799999999</v>
          </cell>
          <cell r="S271" t="b">
            <v>0</v>
          </cell>
          <cell r="T271" t="str">
            <v>No</v>
          </cell>
          <cell r="U271" t="str">
            <v>FBed</v>
          </cell>
        </row>
        <row r="272">
          <cell r="B272" t="str">
            <v xml:space="preserve">157-2255 </v>
          </cell>
          <cell r="C272" t="str">
            <v>Hannaford Bros. Co.</v>
          </cell>
          <cell r="D272" t="str">
            <v>Gowell's Market</v>
          </cell>
          <cell r="E272" t="str">
            <v>LITCHFIELD ME</v>
          </cell>
          <cell r="F272">
            <v>42478</v>
          </cell>
          <cell r="G272">
            <v>42486</v>
          </cell>
          <cell r="I272">
            <v>42487</v>
          </cell>
          <cell r="J272" t="str">
            <v>SS</v>
          </cell>
          <cell r="L272">
            <v>4406</v>
          </cell>
          <cell r="M272">
            <v>0</v>
          </cell>
          <cell r="N272">
            <v>8</v>
          </cell>
          <cell r="O272">
            <v>45124.47</v>
          </cell>
          <cell r="P272" t="str">
            <v>GA</v>
          </cell>
          <cell r="Q272" t="str">
            <v>4PD</v>
          </cell>
          <cell r="R272">
            <v>56253.332699999999</v>
          </cell>
          <cell r="S272" t="b">
            <v>0</v>
          </cell>
          <cell r="T272" t="str">
            <v>No</v>
          </cell>
          <cell r="V272" t="str">
            <v>A</v>
          </cell>
        </row>
        <row r="273">
          <cell r="B273" t="str">
            <v xml:space="preserve">147-1640 </v>
          </cell>
          <cell r="C273" t="str">
            <v>KPS, LLC Delta #025</v>
          </cell>
          <cell r="D273" t="str">
            <v>V-402</v>
          </cell>
          <cell r="E273" t="str">
            <v>Memphis TN</v>
          </cell>
          <cell r="F273">
            <v>42478</v>
          </cell>
          <cell r="G273">
            <v>42488</v>
          </cell>
          <cell r="I273">
            <v>42489</v>
          </cell>
          <cell r="J273" t="str">
            <v>PW</v>
          </cell>
          <cell r="L273">
            <v>15143</v>
          </cell>
          <cell r="M273">
            <v>0</v>
          </cell>
          <cell r="N273">
            <v>13</v>
          </cell>
          <cell r="O273">
            <v>109038.21</v>
          </cell>
          <cell r="P273" t="str">
            <v>GA</v>
          </cell>
          <cell r="Q273" t="str">
            <v>4PD</v>
          </cell>
          <cell r="R273">
            <v>109038.20630000001</v>
          </cell>
          <cell r="S273" t="b">
            <v>0</v>
          </cell>
          <cell r="T273" t="str">
            <v>No</v>
          </cell>
          <cell r="U273" t="str">
            <v>FBed</v>
          </cell>
        </row>
        <row r="274">
          <cell r="B274" t="str">
            <v>167-0169</v>
          </cell>
          <cell r="C274" t="str">
            <v>SUPERVALU</v>
          </cell>
          <cell r="D274" t="str">
            <v>Save-A-Lot</v>
          </cell>
          <cell r="E274" t="str">
            <v>TARPON SPRINGS FL</v>
          </cell>
          <cell r="F274">
            <v>42485</v>
          </cell>
          <cell r="G274">
            <v>42488</v>
          </cell>
          <cell r="I274">
            <v>42489</v>
          </cell>
          <cell r="J274" t="str">
            <v>SQ</v>
          </cell>
          <cell r="L274">
            <v>4004</v>
          </cell>
          <cell r="M274">
            <v>0</v>
          </cell>
          <cell r="N274">
            <v>4</v>
          </cell>
          <cell r="O274">
            <v>30833.21</v>
          </cell>
          <cell r="P274" t="str">
            <v>GA</v>
          </cell>
          <cell r="Q274" t="str">
            <v>4PD</v>
          </cell>
          <cell r="R274">
            <v>43000.796199999997</v>
          </cell>
          <cell r="S274" t="b">
            <v>0</v>
          </cell>
          <cell r="T274" t="str">
            <v>No</v>
          </cell>
          <cell r="U274" t="str">
            <v>FBed</v>
          </cell>
        </row>
        <row r="275">
          <cell r="B275" t="str">
            <v xml:space="preserve">157-2280 </v>
          </cell>
          <cell r="C275" t="str">
            <v>Southern Refrigeration, Inc</v>
          </cell>
          <cell r="D275" t="str">
            <v>Shawns Cajun Meats</v>
          </cell>
          <cell r="E275" t="str">
            <v>DELCAMBRE LA</v>
          </cell>
          <cell r="F275">
            <v>42485</v>
          </cell>
          <cell r="G275">
            <v>42488</v>
          </cell>
          <cell r="I275">
            <v>42489</v>
          </cell>
          <cell r="J275" t="str">
            <v>VSS</v>
          </cell>
          <cell r="L275">
            <v>4819</v>
          </cell>
          <cell r="M275">
            <v>0</v>
          </cell>
          <cell r="N275">
            <v>4</v>
          </cell>
          <cell r="O275">
            <v>35194.69</v>
          </cell>
          <cell r="P275" t="str">
            <v>GA</v>
          </cell>
          <cell r="Q275" t="str">
            <v>4PD</v>
          </cell>
          <cell r="R275">
            <v>50765.084199999998</v>
          </cell>
          <cell r="S275" t="b">
            <v>0</v>
          </cell>
          <cell r="T275" t="str">
            <v>No</v>
          </cell>
          <cell r="U275" t="str">
            <v>FBed</v>
          </cell>
        </row>
        <row r="276">
          <cell r="B276" t="str">
            <v>167-0115</v>
          </cell>
          <cell r="C276" t="str">
            <v>Wal-Mart Store Planning</v>
          </cell>
          <cell r="D276" t="str">
            <v>Walmart 1453-217 SC-REM</v>
          </cell>
          <cell r="E276" t="str">
            <v>Green Bay, WI</v>
          </cell>
          <cell r="F276">
            <v>42485</v>
          </cell>
          <cell r="G276">
            <v>42488</v>
          </cell>
          <cell r="I276">
            <v>42489</v>
          </cell>
          <cell r="J276" t="str">
            <v>RS</v>
          </cell>
          <cell r="L276">
            <v>12947</v>
          </cell>
          <cell r="M276">
            <v>0</v>
          </cell>
          <cell r="N276">
            <v>4</v>
          </cell>
          <cell r="O276">
            <v>95396.4</v>
          </cell>
          <cell r="P276" t="str">
            <v>GA</v>
          </cell>
          <cell r="Q276" t="str">
            <v>4PD</v>
          </cell>
          <cell r="R276">
            <v>208182.6318</v>
          </cell>
          <cell r="S276" t="b">
            <v>0</v>
          </cell>
          <cell r="T276" t="str">
            <v>No</v>
          </cell>
        </row>
        <row r="277">
          <cell r="B277" t="str">
            <v>167-0122</v>
          </cell>
          <cell r="C277" t="str">
            <v>Wal-Mart Store Planning</v>
          </cell>
          <cell r="D277" t="str">
            <v>Walmart 5418-223-SC-REM</v>
          </cell>
          <cell r="E277" t="str">
            <v>Louisville, KY</v>
          </cell>
          <cell r="F277">
            <v>42485</v>
          </cell>
          <cell r="G277">
            <v>42488</v>
          </cell>
          <cell r="I277">
            <v>42489</v>
          </cell>
          <cell r="J277" t="str">
            <v>RS</v>
          </cell>
          <cell r="L277">
            <v>369</v>
          </cell>
          <cell r="M277">
            <v>0</v>
          </cell>
          <cell r="N277">
            <v>3</v>
          </cell>
          <cell r="O277">
            <v>33176.879999999997</v>
          </cell>
          <cell r="P277" t="str">
            <v>GA</v>
          </cell>
          <cell r="Q277" t="str">
            <v>4PD</v>
          </cell>
          <cell r="R277">
            <v>77284.018800000005</v>
          </cell>
          <cell r="S277" t="b">
            <v>0</v>
          </cell>
          <cell r="T277" t="str">
            <v>No</v>
          </cell>
        </row>
        <row r="278">
          <cell r="B278" t="str">
            <v>157-0903</v>
          </cell>
          <cell r="C278" t="str">
            <v>Wal-Mart Store Planning</v>
          </cell>
          <cell r="D278" t="str">
            <v>Walmart 5059-NHM-NEW-41.1</v>
          </cell>
          <cell r="E278" t="str">
            <v>Hopkinsville KY</v>
          </cell>
          <cell r="F278">
            <v>42485</v>
          </cell>
          <cell r="G278">
            <v>42488</v>
          </cell>
          <cell r="I278">
            <v>42489</v>
          </cell>
          <cell r="J278" t="str">
            <v>PC2</v>
          </cell>
          <cell r="L278">
            <v>4929</v>
          </cell>
          <cell r="M278">
            <v>0</v>
          </cell>
          <cell r="N278">
            <v>1</v>
          </cell>
          <cell r="O278">
            <v>27040.75</v>
          </cell>
          <cell r="P278" t="str">
            <v>GA</v>
          </cell>
          <cell r="Q278" t="str">
            <v>4PD</v>
          </cell>
          <cell r="R278">
            <v>57955.963300000003</v>
          </cell>
          <cell r="S278" t="b">
            <v>0</v>
          </cell>
          <cell r="T278" t="str">
            <v>No</v>
          </cell>
          <cell r="V278" t="str">
            <v>A</v>
          </cell>
        </row>
        <row r="279">
          <cell r="B279" t="str">
            <v xml:space="preserve">167-0172 </v>
          </cell>
          <cell r="C279" t="str">
            <v>Wal-Mart Store Planning</v>
          </cell>
          <cell r="D279" t="str">
            <v>Walmart 1642-220-SC-REM</v>
          </cell>
          <cell r="E279" t="str">
            <v>Charlotte, MI</v>
          </cell>
          <cell r="F279">
            <v>42485</v>
          </cell>
          <cell r="G279">
            <v>42488</v>
          </cell>
          <cell r="I279">
            <v>42489</v>
          </cell>
          <cell r="J279" t="str">
            <v>RS</v>
          </cell>
          <cell r="L279">
            <v>0</v>
          </cell>
          <cell r="M279">
            <v>0</v>
          </cell>
          <cell r="N279">
            <v>0</v>
          </cell>
          <cell r="O279">
            <v>6333.6</v>
          </cell>
          <cell r="P279" t="str">
            <v>GA</v>
          </cell>
          <cell r="Q279" t="str">
            <v>4PD</v>
          </cell>
          <cell r="R279">
            <v>36028.899899999997</v>
          </cell>
          <cell r="S279" t="b">
            <v>0</v>
          </cell>
          <cell r="T279" t="str">
            <v>No</v>
          </cell>
        </row>
        <row r="280">
          <cell r="B280" t="str">
            <v>157-1187</v>
          </cell>
          <cell r="C280" t="str">
            <v>Wal-Mart Store Planning</v>
          </cell>
          <cell r="D280" t="str">
            <v>Walmart 5084-00-NHM-NEW-41</v>
          </cell>
          <cell r="E280" t="str">
            <v>Wilson, NC</v>
          </cell>
          <cell r="F280">
            <v>42485</v>
          </cell>
          <cell r="G280">
            <v>42488</v>
          </cell>
          <cell r="I280">
            <v>42489</v>
          </cell>
          <cell r="J280" t="str">
            <v>PF</v>
          </cell>
          <cell r="K280" t="str">
            <v>CC</v>
          </cell>
          <cell r="L280">
            <v>4929</v>
          </cell>
          <cell r="M280">
            <v>125</v>
          </cell>
          <cell r="N280">
            <v>1</v>
          </cell>
          <cell r="O280">
            <v>29056.42</v>
          </cell>
          <cell r="P280" t="str">
            <v>GA</v>
          </cell>
          <cell r="Q280" t="str">
            <v>4PD</v>
          </cell>
          <cell r="R280">
            <v>59430.200299999997</v>
          </cell>
          <cell r="S280" t="b">
            <v>0</v>
          </cell>
          <cell r="T280" t="str">
            <v>No</v>
          </cell>
          <cell r="V280" t="str">
            <v>A</v>
          </cell>
        </row>
        <row r="281">
          <cell r="B281" t="str">
            <v>157-0903ADD1</v>
          </cell>
          <cell r="C281" t="str">
            <v>Wal-Mart Store Planning</v>
          </cell>
          <cell r="D281" t="str">
            <v>Walmart 5059-00-NEW-LC-MG016</v>
          </cell>
          <cell r="E281" t="str">
            <v>Hopkinsville, KY</v>
          </cell>
          <cell r="F281">
            <v>42485</v>
          </cell>
          <cell r="G281">
            <v>42488</v>
          </cell>
          <cell r="I281">
            <v>42489</v>
          </cell>
          <cell r="J281" t="str">
            <v>PC2</v>
          </cell>
          <cell r="L281">
            <v>1566</v>
          </cell>
          <cell r="M281">
            <v>0</v>
          </cell>
          <cell r="N281">
            <v>0</v>
          </cell>
          <cell r="O281">
            <v>10539.67</v>
          </cell>
          <cell r="P281" t="str">
            <v>GA</v>
          </cell>
          <cell r="Q281" t="str">
            <v>4PD</v>
          </cell>
          <cell r="R281">
            <v>28438.151999999998</v>
          </cell>
          <cell r="S281" t="b">
            <v>0</v>
          </cell>
          <cell r="T281" t="str">
            <v>No</v>
          </cell>
          <cell r="V281" t="str">
            <v>A</v>
          </cell>
        </row>
        <row r="282">
          <cell r="B282" t="str">
            <v>157-2193</v>
          </cell>
          <cell r="C282" t="str">
            <v>KPS, LLC Cincinnati #014</v>
          </cell>
          <cell r="D282" t="str">
            <v>Kroger A-960</v>
          </cell>
          <cell r="E282" t="str">
            <v>DAYTON OH</v>
          </cell>
          <cell r="F282">
            <v>42485</v>
          </cell>
          <cell r="G282">
            <v>42488</v>
          </cell>
          <cell r="I282">
            <v>42489</v>
          </cell>
          <cell r="J282" t="str">
            <v>RS</v>
          </cell>
          <cell r="L282">
            <v>17162</v>
          </cell>
          <cell r="M282">
            <v>0</v>
          </cell>
          <cell r="N282">
            <v>17</v>
          </cell>
          <cell r="O282">
            <v>124664.83</v>
          </cell>
          <cell r="P282" t="str">
            <v>GA</v>
          </cell>
          <cell r="Q282" t="str">
            <v>4PD</v>
          </cell>
          <cell r="R282">
            <v>124664.83379999999</v>
          </cell>
          <cell r="S282" t="b">
            <v>0</v>
          </cell>
          <cell r="T282" t="str">
            <v>No</v>
          </cell>
          <cell r="U282" t="str">
            <v>FBed</v>
          </cell>
        </row>
        <row r="283">
          <cell r="B283" t="str">
            <v>157-2184D</v>
          </cell>
          <cell r="C283" t="str">
            <v>Wal-Mart Store Planning</v>
          </cell>
          <cell r="D283" t="str">
            <v>Walmart 0155-221 REM</v>
          </cell>
          <cell r="E283" t="str">
            <v>Senatobia, MS</v>
          </cell>
          <cell r="F283">
            <v>42485</v>
          </cell>
          <cell r="G283">
            <v>42488</v>
          </cell>
          <cell r="I283">
            <v>42489</v>
          </cell>
          <cell r="J283" t="str">
            <v>RS</v>
          </cell>
          <cell r="L283">
            <v>2198</v>
          </cell>
          <cell r="M283">
            <v>0</v>
          </cell>
          <cell r="N283">
            <v>1</v>
          </cell>
          <cell r="O283">
            <v>16362.04</v>
          </cell>
          <cell r="P283" t="str">
            <v>GA</v>
          </cell>
          <cell r="Q283" t="str">
            <v>4PD</v>
          </cell>
          <cell r="R283">
            <v>20469.274399999998</v>
          </cell>
          <cell r="S283" t="b">
            <v>0</v>
          </cell>
          <cell r="T283" t="str">
            <v>No</v>
          </cell>
        </row>
        <row r="284">
          <cell r="B284" t="str">
            <v>165-0041</v>
          </cell>
          <cell r="C284" t="str">
            <v>Dollar Tree Sourcing Comp. LLC</v>
          </cell>
          <cell r="D284" t="str">
            <v>DT# 9542   WSM FLDLCRDR</v>
          </cell>
          <cell r="E284" t="str">
            <v>North Huntingdon, PA</v>
          </cell>
          <cell r="F284">
            <v>42485</v>
          </cell>
          <cell r="G284">
            <v>42492</v>
          </cell>
          <cell r="I284">
            <v>42493</v>
          </cell>
          <cell r="J284" t="str">
            <v>.</v>
          </cell>
          <cell r="L284">
            <v>629</v>
          </cell>
          <cell r="M284">
            <v>0</v>
          </cell>
          <cell r="N284">
            <v>2</v>
          </cell>
          <cell r="O284">
            <v>6083.54</v>
          </cell>
          <cell r="P284" t="str">
            <v>GA</v>
          </cell>
          <cell r="Q284" t="str">
            <v>4PD</v>
          </cell>
          <cell r="R284">
            <v>10516.6674</v>
          </cell>
          <cell r="S284" t="b">
            <v>1</v>
          </cell>
          <cell r="T284" t="str">
            <v>Yes</v>
          </cell>
        </row>
        <row r="285">
          <cell r="B285" t="str">
            <v>165-0114</v>
          </cell>
          <cell r="C285" t="str">
            <v>Giant Tiger Stores Unlimited</v>
          </cell>
          <cell r="D285" t="str">
            <v>Tora St Stephen Store 217</v>
          </cell>
          <cell r="E285" t="str">
            <v xml:space="preserve"> </v>
          </cell>
          <cell r="F285">
            <v>42485</v>
          </cell>
          <cell r="G285">
            <v>42493</v>
          </cell>
          <cell r="I285">
            <v>42494</v>
          </cell>
          <cell r="J285" t="str">
            <v>.</v>
          </cell>
          <cell r="L285">
            <v>1762</v>
          </cell>
          <cell r="M285">
            <v>0</v>
          </cell>
          <cell r="N285">
            <v>2</v>
          </cell>
          <cell r="O285">
            <v>13820.69</v>
          </cell>
          <cell r="P285" t="str">
            <v>GA</v>
          </cell>
          <cell r="Q285" t="str">
            <v>4PD</v>
          </cell>
          <cell r="R285">
            <v>13820.689700000001</v>
          </cell>
          <cell r="S285" t="b">
            <v>0</v>
          </cell>
          <cell r="T285" t="str">
            <v>No</v>
          </cell>
          <cell r="U285" t="str">
            <v>CPUp</v>
          </cell>
        </row>
      </sheetData>
      <sheetData sheetId="2">
        <row r="22">
          <cell r="F22" t="str">
            <v>157-1897</v>
          </cell>
          <cell r="G22" t="str">
            <v>Kroger Atlanta # 011</v>
          </cell>
          <cell r="H22" t="str">
            <v>Kroger GA-672</v>
          </cell>
          <cell r="I22" t="str">
            <v xml:space="preserve"> </v>
          </cell>
          <cell r="J22">
            <v>42380</v>
          </cell>
          <cell r="K22">
            <v>42387</v>
          </cell>
          <cell r="L22">
            <v>30</v>
          </cell>
          <cell r="M22">
            <v>42426</v>
          </cell>
          <cell r="N22" t="str">
            <v>PF</v>
          </cell>
          <cell r="O22" t="str">
            <v>M</v>
          </cell>
          <cell r="P22">
            <v>15893</v>
          </cell>
          <cell r="Q22">
            <v>415</v>
          </cell>
          <cell r="R22">
            <v>10</v>
          </cell>
          <cell r="S22">
            <v>144952.01999999999</v>
          </cell>
          <cell r="T22" t="str">
            <v>GA</v>
          </cell>
          <cell r="U22" t="str">
            <v>4PD</v>
          </cell>
          <cell r="V22">
            <v>144952.03469999999</v>
          </cell>
          <cell r="W22" t="b">
            <v>0</v>
          </cell>
          <cell r="X22" t="str">
            <v>No</v>
          </cell>
          <cell r="Y22" t="str">
            <v>FBed</v>
          </cell>
          <cell r="Z22" t="str">
            <v>A</v>
          </cell>
        </row>
        <row r="23">
          <cell r="F23" t="str">
            <v>157-2046</v>
          </cell>
          <cell r="G23" t="str">
            <v>Walmart Canada Corp.</v>
          </cell>
          <cell r="H23" t="str">
            <v>Walmart 3148-BRSP-IPAC-DMP2I9-G-B</v>
          </cell>
          <cell r="I23" t="str">
            <v>Levis, QC</v>
          </cell>
          <cell r="J23">
            <v>42401</v>
          </cell>
          <cell r="K23">
            <v>42402</v>
          </cell>
          <cell r="L23">
            <v>31</v>
          </cell>
          <cell r="M23">
            <v>42404</v>
          </cell>
          <cell r="N23" t="str">
            <v>PF</v>
          </cell>
          <cell r="O23" t="str">
            <v>M</v>
          </cell>
          <cell r="P23">
            <v>5624</v>
          </cell>
          <cell r="Q23">
            <v>135</v>
          </cell>
          <cell r="R23">
            <v>0</v>
          </cell>
          <cell r="S23">
            <v>52553.37</v>
          </cell>
          <cell r="T23" t="str">
            <v>GA</v>
          </cell>
          <cell r="U23" t="str">
            <v>4PD</v>
          </cell>
          <cell r="V23">
            <v>97622.662299999996</v>
          </cell>
          <cell r="W23" t="b">
            <v>1</v>
          </cell>
          <cell r="X23" t="str">
            <v>Yes</v>
          </cell>
          <cell r="Y23" t="str">
            <v>FBed</v>
          </cell>
          <cell r="Z23" t="str">
            <v>A</v>
          </cell>
        </row>
        <row r="24">
          <cell r="F24" t="str">
            <v>155-1102A</v>
          </cell>
          <cell r="G24" t="str">
            <v>Publix Super Markets Inc.</v>
          </cell>
          <cell r="H24" t="str">
            <v>Publix #1528</v>
          </cell>
          <cell r="I24" t="str">
            <v>Arcadia FL</v>
          </cell>
          <cell r="J24">
            <v>42401</v>
          </cell>
          <cell r="K24">
            <v>42403</v>
          </cell>
          <cell r="L24">
            <v>27</v>
          </cell>
          <cell r="M24">
            <v>42412</v>
          </cell>
          <cell r="N24" t="str">
            <v>PF</v>
          </cell>
          <cell r="O24" t="str">
            <v>M</v>
          </cell>
          <cell r="P24">
            <v>11483</v>
          </cell>
          <cell r="Q24">
            <v>275</v>
          </cell>
          <cell r="R24">
            <v>12</v>
          </cell>
          <cell r="S24">
            <v>78359.3</v>
          </cell>
          <cell r="T24" t="str">
            <v>GA</v>
          </cell>
          <cell r="U24" t="str">
            <v>4PD</v>
          </cell>
          <cell r="V24">
            <v>78359.296400000007</v>
          </cell>
          <cell r="W24" t="b">
            <v>1</v>
          </cell>
          <cell r="X24" t="str">
            <v>Yes</v>
          </cell>
          <cell r="Y24">
            <v>0</v>
          </cell>
          <cell r="Z24" t="str">
            <v>A</v>
          </cell>
        </row>
        <row r="25">
          <cell r="F25" t="str">
            <v xml:space="preserve">157-1438ADD2 </v>
          </cell>
          <cell r="G25" t="str">
            <v>Wal-Mart Store Planning</v>
          </cell>
          <cell r="H25" t="str">
            <v>Walmart 2237-219--SC-REM</v>
          </cell>
          <cell r="I25" t="str">
            <v>Lehigh Acres, FL</v>
          </cell>
          <cell r="J25">
            <v>42401</v>
          </cell>
          <cell r="K25">
            <v>42403</v>
          </cell>
          <cell r="L25">
            <v>32</v>
          </cell>
          <cell r="M25">
            <v>42410</v>
          </cell>
          <cell r="N25" t="str">
            <v>PF</v>
          </cell>
          <cell r="O25" t="str">
            <v>M</v>
          </cell>
          <cell r="P25">
            <v>1055</v>
          </cell>
          <cell r="Q25">
            <v>22</v>
          </cell>
          <cell r="R25">
            <v>0</v>
          </cell>
          <cell r="S25">
            <v>8359.14</v>
          </cell>
          <cell r="T25" t="str">
            <v>GA</v>
          </cell>
          <cell r="U25" t="str">
            <v>4PD</v>
          </cell>
          <cell r="V25">
            <v>17369.200099999998</v>
          </cell>
          <cell r="W25" t="b">
            <v>1</v>
          </cell>
          <cell r="X25" t="str">
            <v>Yes</v>
          </cell>
          <cell r="Y25">
            <v>0</v>
          </cell>
          <cell r="Z25" t="str">
            <v>A</v>
          </cell>
        </row>
        <row r="26">
          <cell r="F26" t="str">
            <v>155-1008AADD1</v>
          </cell>
          <cell r="G26" t="str">
            <v>Organic Foods Exp/Mom's</v>
          </cell>
          <cell r="H26" t="str">
            <v>Moms Organic Market</v>
          </cell>
          <cell r="I26" t="str">
            <v>Baltimore, MD</v>
          </cell>
          <cell r="J26">
            <v>42401</v>
          </cell>
          <cell r="K26">
            <v>42404</v>
          </cell>
          <cell r="L26">
            <v>0</v>
          </cell>
          <cell r="M26">
            <v>42404</v>
          </cell>
          <cell r="N26" t="str">
            <v>PF</v>
          </cell>
          <cell r="O26" t="str">
            <v>M</v>
          </cell>
          <cell r="P26">
            <v>0</v>
          </cell>
          <cell r="Q26">
            <v>0</v>
          </cell>
          <cell r="R26">
            <v>0</v>
          </cell>
          <cell r="S26">
            <v>1377</v>
          </cell>
          <cell r="T26" t="str">
            <v>GA</v>
          </cell>
          <cell r="U26" t="str">
            <v>4PD</v>
          </cell>
          <cell r="V26">
            <v>1377</v>
          </cell>
          <cell r="W26" t="b">
            <v>1</v>
          </cell>
          <cell r="X26" t="str">
            <v>Yes</v>
          </cell>
          <cell r="Y26">
            <v>0</v>
          </cell>
          <cell r="Z26">
            <v>0</v>
          </cell>
        </row>
        <row r="27">
          <cell r="F27" t="str">
            <v>165-0036</v>
          </cell>
          <cell r="G27" t="str">
            <v>Dannemiller Diversified</v>
          </cell>
          <cell r="H27" t="str">
            <v>Dirty Bird</v>
          </cell>
          <cell r="I27" t="str">
            <v>New York, NY</v>
          </cell>
          <cell r="J27">
            <v>42408</v>
          </cell>
          <cell r="K27">
            <v>42403</v>
          </cell>
          <cell r="L27">
            <v>35</v>
          </cell>
          <cell r="M27">
            <v>42411</v>
          </cell>
          <cell r="N27" t="str">
            <v>PF</v>
          </cell>
          <cell r="O27" t="str">
            <v>M</v>
          </cell>
          <cell r="P27">
            <v>458</v>
          </cell>
          <cell r="Q27">
            <v>18</v>
          </cell>
          <cell r="R27">
            <v>1</v>
          </cell>
          <cell r="S27">
            <v>4059.62</v>
          </cell>
          <cell r="T27" t="str">
            <v>GA</v>
          </cell>
          <cell r="U27" t="str">
            <v>4PD</v>
          </cell>
          <cell r="V27">
            <v>6036.1018999999997</v>
          </cell>
          <cell r="W27" t="b">
            <v>1</v>
          </cell>
          <cell r="X27" t="str">
            <v>Yes</v>
          </cell>
          <cell r="Y27">
            <v>0</v>
          </cell>
          <cell r="Z27" t="str">
            <v>A</v>
          </cell>
        </row>
        <row r="28">
          <cell r="F28" t="str">
            <v>168-0136</v>
          </cell>
          <cell r="G28" t="str">
            <v>KPS, LLC Delta #025</v>
          </cell>
          <cell r="H28" t="str">
            <v>Kroger V-426</v>
          </cell>
          <cell r="I28" t="str">
            <v>CORDOVA TN</v>
          </cell>
          <cell r="J28">
            <v>42408</v>
          </cell>
          <cell r="K28">
            <v>42411</v>
          </cell>
          <cell r="L28">
            <v>0</v>
          </cell>
          <cell r="M28">
            <v>42412</v>
          </cell>
          <cell r="N28" t="str">
            <v>PF</v>
          </cell>
          <cell r="O28" t="str">
            <v>M</v>
          </cell>
          <cell r="P28">
            <v>0</v>
          </cell>
          <cell r="Q28">
            <v>0</v>
          </cell>
          <cell r="R28">
            <v>1</v>
          </cell>
          <cell r="S28">
            <v>2704.8</v>
          </cell>
          <cell r="T28" t="str">
            <v>GA</v>
          </cell>
          <cell r="U28" t="str">
            <v>4PD</v>
          </cell>
          <cell r="V28">
            <v>2704.8</v>
          </cell>
          <cell r="W28" t="b">
            <v>1</v>
          </cell>
          <cell r="X28" t="str">
            <v>Yes</v>
          </cell>
          <cell r="Y28" t="str">
            <v>LTL</v>
          </cell>
          <cell r="Z28" t="str">
            <v>A</v>
          </cell>
        </row>
        <row r="29">
          <cell r="F29" t="e">
            <v>#NUM!</v>
          </cell>
          <cell r="G29" t="e">
            <v>#NUM!</v>
          </cell>
          <cell r="H29" t="e">
            <v>#NUM!</v>
          </cell>
          <cell r="I29" t="e">
            <v>#NUM!</v>
          </cell>
          <cell r="J29" t="e">
            <v>#NUM!</v>
          </cell>
          <cell r="K29" t="e">
            <v>#NUM!</v>
          </cell>
          <cell r="L29" t="e">
            <v>#NUM!</v>
          </cell>
          <cell r="M29" t="e">
            <v>#NUM!</v>
          </cell>
          <cell r="N29" t="e">
            <v>#NUM!</v>
          </cell>
          <cell r="O29" t="e">
            <v>#NUM!</v>
          </cell>
          <cell r="P29" t="e">
            <v>#NUM!</v>
          </cell>
          <cell r="Q29" t="e">
            <v>#NUM!</v>
          </cell>
          <cell r="R29" t="e">
            <v>#NUM!</v>
          </cell>
          <cell r="S29" t="e">
            <v>#NUM!</v>
          </cell>
          <cell r="T29" t="e">
            <v>#NUM!</v>
          </cell>
          <cell r="U29" t="e">
            <v>#NUM!</v>
          </cell>
          <cell r="V29" t="e">
            <v>#NUM!</v>
          </cell>
          <cell r="W29" t="e">
            <v>#NUM!</v>
          </cell>
          <cell r="X29" t="e">
            <v>#NUM!</v>
          </cell>
          <cell r="Y29" t="e">
            <v>#NUM!</v>
          </cell>
          <cell r="Z29" t="e">
            <v>#NUM!</v>
          </cell>
        </row>
        <row r="30">
          <cell r="F30" t="e">
            <v>#NUM!</v>
          </cell>
          <cell r="G30" t="e">
            <v>#NUM!</v>
          </cell>
          <cell r="H30" t="e">
            <v>#NUM!</v>
          </cell>
          <cell r="I30" t="e">
            <v>#NUM!</v>
          </cell>
          <cell r="J30" t="e">
            <v>#NUM!</v>
          </cell>
          <cell r="K30" t="e">
            <v>#NUM!</v>
          </cell>
          <cell r="L30" t="e">
            <v>#NUM!</v>
          </cell>
          <cell r="M30" t="e">
            <v>#NUM!</v>
          </cell>
          <cell r="N30" t="e">
            <v>#NUM!</v>
          </cell>
          <cell r="O30" t="e">
            <v>#NUM!</v>
          </cell>
          <cell r="P30" t="e">
            <v>#NUM!</v>
          </cell>
          <cell r="Q30" t="e">
            <v>#NUM!</v>
          </cell>
          <cell r="R30" t="e">
            <v>#NUM!</v>
          </cell>
          <cell r="S30" t="e">
            <v>#NUM!</v>
          </cell>
          <cell r="T30" t="e">
            <v>#NUM!</v>
          </cell>
          <cell r="U30" t="e">
            <v>#NUM!</v>
          </cell>
          <cell r="V30" t="e">
            <v>#NUM!</v>
          </cell>
          <cell r="W30" t="e">
            <v>#NUM!</v>
          </cell>
          <cell r="X30" t="e">
            <v>#NUM!</v>
          </cell>
          <cell r="Y30" t="e">
            <v>#NUM!</v>
          </cell>
          <cell r="Z30" t="e">
            <v>#NUM!</v>
          </cell>
        </row>
        <row r="31">
          <cell r="F31" t="e">
            <v>#NUM!</v>
          </cell>
          <cell r="G31" t="e">
            <v>#NUM!</v>
          </cell>
          <cell r="H31" t="e">
            <v>#NUM!</v>
          </cell>
          <cell r="I31" t="e">
            <v>#NUM!</v>
          </cell>
          <cell r="J31" t="e">
            <v>#NUM!</v>
          </cell>
          <cell r="K31" t="e">
            <v>#NUM!</v>
          </cell>
          <cell r="L31" t="e">
            <v>#NUM!</v>
          </cell>
          <cell r="M31" t="e">
            <v>#NUM!</v>
          </cell>
          <cell r="N31" t="e">
            <v>#NUM!</v>
          </cell>
          <cell r="O31" t="e">
            <v>#NUM!</v>
          </cell>
          <cell r="P31" t="e">
            <v>#NUM!</v>
          </cell>
          <cell r="Q31" t="e">
            <v>#NUM!</v>
          </cell>
          <cell r="R31" t="e">
            <v>#NUM!</v>
          </cell>
          <cell r="S31" t="e">
            <v>#NUM!</v>
          </cell>
          <cell r="T31" t="e">
            <v>#NUM!</v>
          </cell>
          <cell r="U31" t="e">
            <v>#NUM!</v>
          </cell>
          <cell r="V31" t="e">
            <v>#NUM!</v>
          </cell>
          <cell r="W31" t="e">
            <v>#NUM!</v>
          </cell>
          <cell r="X31" t="e">
            <v>#NUM!</v>
          </cell>
          <cell r="Y31" t="e">
            <v>#NUM!</v>
          </cell>
          <cell r="Z31" t="e">
            <v>#NUM!</v>
          </cell>
        </row>
        <row r="32">
          <cell r="F32" t="e">
            <v>#NUM!</v>
          </cell>
          <cell r="G32" t="e">
            <v>#NUM!</v>
          </cell>
          <cell r="H32" t="e">
            <v>#NUM!</v>
          </cell>
          <cell r="I32" t="e">
            <v>#NUM!</v>
          </cell>
          <cell r="J32" t="e">
            <v>#NUM!</v>
          </cell>
          <cell r="K32" t="e">
            <v>#NUM!</v>
          </cell>
          <cell r="L32" t="e">
            <v>#NUM!</v>
          </cell>
          <cell r="M32" t="e">
            <v>#NUM!</v>
          </cell>
          <cell r="N32" t="e">
            <v>#NUM!</v>
          </cell>
          <cell r="O32" t="e">
            <v>#NUM!</v>
          </cell>
          <cell r="P32" t="e">
            <v>#NUM!</v>
          </cell>
          <cell r="Q32" t="e">
            <v>#NUM!</v>
          </cell>
          <cell r="R32" t="e">
            <v>#NUM!</v>
          </cell>
          <cell r="S32" t="e">
            <v>#NUM!</v>
          </cell>
          <cell r="T32" t="e">
            <v>#NUM!</v>
          </cell>
          <cell r="U32" t="e">
            <v>#NUM!</v>
          </cell>
          <cell r="V32" t="e">
            <v>#NUM!</v>
          </cell>
          <cell r="W32" t="e">
            <v>#NUM!</v>
          </cell>
          <cell r="X32" t="e">
            <v>#NUM!</v>
          </cell>
          <cell r="Y32" t="e">
            <v>#NUM!</v>
          </cell>
          <cell r="Z32" t="e">
            <v>#NUM!</v>
          </cell>
        </row>
        <row r="33">
          <cell r="F33" t="e">
            <v>#NUM!</v>
          </cell>
          <cell r="G33" t="e">
            <v>#NUM!</v>
          </cell>
          <cell r="H33" t="e">
            <v>#NUM!</v>
          </cell>
          <cell r="I33" t="e">
            <v>#NUM!</v>
          </cell>
          <cell r="J33" t="e">
            <v>#NUM!</v>
          </cell>
          <cell r="K33" t="e">
            <v>#NUM!</v>
          </cell>
          <cell r="L33" t="e">
            <v>#NUM!</v>
          </cell>
          <cell r="M33" t="e">
            <v>#NUM!</v>
          </cell>
          <cell r="N33" t="e">
            <v>#NUM!</v>
          </cell>
          <cell r="O33" t="e">
            <v>#NUM!</v>
          </cell>
          <cell r="P33" t="e">
            <v>#NUM!</v>
          </cell>
          <cell r="Q33" t="e">
            <v>#NUM!</v>
          </cell>
          <cell r="R33" t="e">
            <v>#NUM!</v>
          </cell>
          <cell r="S33" t="e">
            <v>#NUM!</v>
          </cell>
          <cell r="T33" t="e">
            <v>#NUM!</v>
          </cell>
          <cell r="U33" t="e">
            <v>#NUM!</v>
          </cell>
          <cell r="V33" t="e">
            <v>#NUM!</v>
          </cell>
          <cell r="W33" t="e">
            <v>#NUM!</v>
          </cell>
          <cell r="X33" t="e">
            <v>#NUM!</v>
          </cell>
          <cell r="Y33" t="e">
            <v>#NUM!</v>
          </cell>
          <cell r="Z33" t="e">
            <v>#NUM!</v>
          </cell>
        </row>
        <row r="34">
          <cell r="F34" t="e">
            <v>#NUM!</v>
          </cell>
          <cell r="G34" t="e">
            <v>#NUM!</v>
          </cell>
          <cell r="H34" t="e">
            <v>#NUM!</v>
          </cell>
          <cell r="I34" t="e">
            <v>#NUM!</v>
          </cell>
          <cell r="J34" t="e">
            <v>#NUM!</v>
          </cell>
          <cell r="K34" t="e">
            <v>#NUM!</v>
          </cell>
          <cell r="L34" t="e">
            <v>#NUM!</v>
          </cell>
          <cell r="M34" t="e">
            <v>#NUM!</v>
          </cell>
          <cell r="N34" t="e">
            <v>#NUM!</v>
          </cell>
          <cell r="O34" t="e">
            <v>#NUM!</v>
          </cell>
          <cell r="P34" t="e">
            <v>#NUM!</v>
          </cell>
          <cell r="Q34" t="e">
            <v>#NUM!</v>
          </cell>
          <cell r="R34" t="e">
            <v>#NUM!</v>
          </cell>
          <cell r="S34" t="e">
            <v>#NUM!</v>
          </cell>
          <cell r="T34" t="e">
            <v>#NUM!</v>
          </cell>
          <cell r="U34" t="e">
            <v>#NUM!</v>
          </cell>
          <cell r="V34" t="e">
            <v>#NUM!</v>
          </cell>
          <cell r="W34" t="e">
            <v>#NUM!</v>
          </cell>
          <cell r="X34" t="e">
            <v>#NUM!</v>
          </cell>
          <cell r="Y34" t="e">
            <v>#NUM!</v>
          </cell>
          <cell r="Z34" t="e">
            <v>#NUM!</v>
          </cell>
        </row>
        <row r="35">
          <cell r="F35" t="e">
            <v>#NUM!</v>
          </cell>
          <cell r="G35" t="e">
            <v>#NUM!</v>
          </cell>
          <cell r="H35" t="e">
            <v>#NUM!</v>
          </cell>
          <cell r="I35" t="e">
            <v>#NUM!</v>
          </cell>
          <cell r="J35" t="e">
            <v>#NUM!</v>
          </cell>
          <cell r="K35" t="e">
            <v>#NUM!</v>
          </cell>
          <cell r="L35" t="e">
            <v>#NUM!</v>
          </cell>
          <cell r="M35" t="e">
            <v>#NUM!</v>
          </cell>
          <cell r="N35" t="e">
            <v>#NUM!</v>
          </cell>
          <cell r="O35" t="e">
            <v>#NUM!</v>
          </cell>
          <cell r="P35" t="e">
            <v>#NUM!</v>
          </cell>
          <cell r="Q35" t="e">
            <v>#NUM!</v>
          </cell>
          <cell r="R35" t="e">
            <v>#NUM!</v>
          </cell>
          <cell r="S35" t="e">
            <v>#NUM!</v>
          </cell>
          <cell r="T35" t="e">
            <v>#NUM!</v>
          </cell>
          <cell r="U35" t="e">
            <v>#NUM!</v>
          </cell>
          <cell r="V35" t="e">
            <v>#NUM!</v>
          </cell>
          <cell r="W35" t="e">
            <v>#NUM!</v>
          </cell>
          <cell r="X35" t="e">
            <v>#NUM!</v>
          </cell>
          <cell r="Y35" t="e">
            <v>#NUM!</v>
          </cell>
          <cell r="Z35" t="e">
            <v>#NUM!</v>
          </cell>
        </row>
        <row r="36">
          <cell r="F36" t="e">
            <v>#NUM!</v>
          </cell>
          <cell r="G36" t="e">
            <v>#NUM!</v>
          </cell>
          <cell r="H36" t="e">
            <v>#NUM!</v>
          </cell>
          <cell r="I36" t="e">
            <v>#NUM!</v>
          </cell>
          <cell r="J36" t="e">
            <v>#NUM!</v>
          </cell>
          <cell r="K36" t="e">
            <v>#NUM!</v>
          </cell>
          <cell r="L36" t="e">
            <v>#NUM!</v>
          </cell>
          <cell r="M36" t="e">
            <v>#NUM!</v>
          </cell>
          <cell r="N36" t="e">
            <v>#NUM!</v>
          </cell>
          <cell r="O36" t="e">
            <v>#NUM!</v>
          </cell>
          <cell r="P36" t="e">
            <v>#NUM!</v>
          </cell>
          <cell r="Q36" t="e">
            <v>#NUM!</v>
          </cell>
          <cell r="R36" t="e">
            <v>#NUM!</v>
          </cell>
          <cell r="S36" t="e">
            <v>#NUM!</v>
          </cell>
          <cell r="T36" t="e">
            <v>#NUM!</v>
          </cell>
          <cell r="U36" t="e">
            <v>#NUM!</v>
          </cell>
          <cell r="V36" t="e">
            <v>#NUM!</v>
          </cell>
          <cell r="W36" t="e">
            <v>#NUM!</v>
          </cell>
          <cell r="X36" t="e">
            <v>#NUM!</v>
          </cell>
          <cell r="Y36" t="e">
            <v>#NUM!</v>
          </cell>
          <cell r="Z36" t="e">
            <v>#NUM!</v>
          </cell>
        </row>
        <row r="37">
          <cell r="F37" t="e">
            <v>#NUM!</v>
          </cell>
          <cell r="G37" t="e">
            <v>#NUM!</v>
          </cell>
          <cell r="H37" t="e">
            <v>#NUM!</v>
          </cell>
          <cell r="I37" t="e">
            <v>#NUM!</v>
          </cell>
          <cell r="J37" t="e">
            <v>#NUM!</v>
          </cell>
          <cell r="K37" t="e">
            <v>#NUM!</v>
          </cell>
          <cell r="L37" t="e">
            <v>#NUM!</v>
          </cell>
          <cell r="M37" t="e">
            <v>#NUM!</v>
          </cell>
          <cell r="N37" t="e">
            <v>#NUM!</v>
          </cell>
          <cell r="O37" t="e">
            <v>#NUM!</v>
          </cell>
          <cell r="P37" t="e">
            <v>#NUM!</v>
          </cell>
          <cell r="Q37" t="e">
            <v>#NUM!</v>
          </cell>
          <cell r="R37" t="e">
            <v>#NUM!</v>
          </cell>
          <cell r="S37" t="e">
            <v>#NUM!</v>
          </cell>
          <cell r="T37" t="e">
            <v>#NUM!</v>
          </cell>
          <cell r="U37" t="e">
            <v>#NUM!</v>
          </cell>
          <cell r="V37" t="e">
            <v>#NUM!</v>
          </cell>
          <cell r="W37" t="e">
            <v>#NUM!</v>
          </cell>
          <cell r="X37" t="e">
            <v>#NUM!</v>
          </cell>
          <cell r="Y37" t="e">
            <v>#NUM!</v>
          </cell>
          <cell r="Z37" t="e">
            <v>#NUM!</v>
          </cell>
        </row>
        <row r="38">
          <cell r="F38" t="e">
            <v>#NUM!</v>
          </cell>
          <cell r="G38" t="e">
            <v>#NUM!</v>
          </cell>
          <cell r="H38" t="e">
            <v>#NUM!</v>
          </cell>
          <cell r="I38" t="e">
            <v>#NUM!</v>
          </cell>
          <cell r="J38" t="e">
            <v>#NUM!</v>
          </cell>
          <cell r="K38" t="e">
            <v>#NUM!</v>
          </cell>
          <cell r="L38" t="e">
            <v>#NUM!</v>
          </cell>
          <cell r="M38" t="e">
            <v>#NUM!</v>
          </cell>
          <cell r="N38" t="e">
            <v>#NUM!</v>
          </cell>
          <cell r="O38" t="e">
            <v>#NUM!</v>
          </cell>
          <cell r="P38" t="e">
            <v>#NUM!</v>
          </cell>
          <cell r="Q38" t="e">
            <v>#NUM!</v>
          </cell>
          <cell r="R38" t="e">
            <v>#NUM!</v>
          </cell>
          <cell r="S38" t="e">
            <v>#NUM!</v>
          </cell>
          <cell r="T38" t="e">
            <v>#NUM!</v>
          </cell>
          <cell r="U38" t="e">
            <v>#NUM!</v>
          </cell>
          <cell r="V38" t="e">
            <v>#NUM!</v>
          </cell>
          <cell r="W38" t="e">
            <v>#NUM!</v>
          </cell>
          <cell r="X38" t="e">
            <v>#NUM!</v>
          </cell>
          <cell r="Y38" t="e">
            <v>#NUM!</v>
          </cell>
          <cell r="Z38" t="e">
            <v>#NUM!</v>
          </cell>
        </row>
        <row r="39">
          <cell r="F39" t="e">
            <v>#NUM!</v>
          </cell>
          <cell r="G39" t="e">
            <v>#NUM!</v>
          </cell>
          <cell r="H39" t="e">
            <v>#NUM!</v>
          </cell>
          <cell r="I39" t="e">
            <v>#NUM!</v>
          </cell>
          <cell r="J39" t="e">
            <v>#NUM!</v>
          </cell>
          <cell r="K39" t="e">
            <v>#NUM!</v>
          </cell>
          <cell r="L39" t="e">
            <v>#NUM!</v>
          </cell>
          <cell r="M39" t="e">
            <v>#NUM!</v>
          </cell>
          <cell r="N39" t="e">
            <v>#NUM!</v>
          </cell>
          <cell r="O39" t="e">
            <v>#NUM!</v>
          </cell>
          <cell r="P39" t="e">
            <v>#NUM!</v>
          </cell>
          <cell r="Q39" t="e">
            <v>#NUM!</v>
          </cell>
          <cell r="R39" t="e">
            <v>#NUM!</v>
          </cell>
          <cell r="S39" t="e">
            <v>#NUM!</v>
          </cell>
          <cell r="T39" t="e">
            <v>#NUM!</v>
          </cell>
          <cell r="U39" t="e">
            <v>#NUM!</v>
          </cell>
          <cell r="V39" t="e">
            <v>#NUM!</v>
          </cell>
          <cell r="W39" t="e">
            <v>#NUM!</v>
          </cell>
          <cell r="X39" t="e">
            <v>#NUM!</v>
          </cell>
          <cell r="Y39" t="e">
            <v>#NUM!</v>
          </cell>
          <cell r="Z39" t="e">
            <v>#NUM!</v>
          </cell>
        </row>
        <row r="40">
          <cell r="F40" t="e">
            <v>#NUM!</v>
          </cell>
          <cell r="G40" t="e">
            <v>#NUM!</v>
          </cell>
          <cell r="H40" t="e">
            <v>#NUM!</v>
          </cell>
          <cell r="I40" t="e">
            <v>#NUM!</v>
          </cell>
          <cell r="J40" t="e">
            <v>#NUM!</v>
          </cell>
          <cell r="K40" t="e">
            <v>#NUM!</v>
          </cell>
          <cell r="L40" t="e">
            <v>#NUM!</v>
          </cell>
          <cell r="M40" t="e">
            <v>#NUM!</v>
          </cell>
          <cell r="N40" t="e">
            <v>#NUM!</v>
          </cell>
          <cell r="O40" t="e">
            <v>#NUM!</v>
          </cell>
          <cell r="P40" t="e">
            <v>#NUM!</v>
          </cell>
          <cell r="Q40" t="e">
            <v>#NUM!</v>
          </cell>
          <cell r="R40" t="e">
            <v>#NUM!</v>
          </cell>
          <cell r="S40" t="e">
            <v>#NUM!</v>
          </cell>
          <cell r="T40" t="e">
            <v>#NUM!</v>
          </cell>
          <cell r="U40" t="e">
            <v>#NUM!</v>
          </cell>
          <cell r="V40" t="e">
            <v>#NUM!</v>
          </cell>
          <cell r="W40" t="e">
            <v>#NUM!</v>
          </cell>
          <cell r="X40" t="e">
            <v>#NUM!</v>
          </cell>
          <cell r="Y40" t="e">
            <v>#NUM!</v>
          </cell>
          <cell r="Z40" t="e">
            <v>#NUM!</v>
          </cell>
        </row>
        <row r="41">
          <cell r="F41" t="e">
            <v>#NUM!</v>
          </cell>
          <cell r="G41" t="e">
            <v>#NUM!</v>
          </cell>
          <cell r="H41" t="e">
            <v>#NUM!</v>
          </cell>
          <cell r="I41" t="e">
            <v>#NUM!</v>
          </cell>
          <cell r="J41" t="e">
            <v>#NUM!</v>
          </cell>
          <cell r="K41" t="e">
            <v>#NUM!</v>
          </cell>
          <cell r="L41" t="e">
            <v>#NUM!</v>
          </cell>
          <cell r="M41" t="e">
            <v>#NUM!</v>
          </cell>
          <cell r="N41" t="e">
            <v>#NUM!</v>
          </cell>
          <cell r="O41" t="e">
            <v>#NUM!</v>
          </cell>
          <cell r="P41" t="e">
            <v>#NUM!</v>
          </cell>
          <cell r="Q41" t="e">
            <v>#NUM!</v>
          </cell>
          <cell r="R41" t="e">
            <v>#NUM!</v>
          </cell>
          <cell r="S41" t="e">
            <v>#NUM!</v>
          </cell>
          <cell r="T41" t="e">
            <v>#NUM!</v>
          </cell>
          <cell r="U41" t="e">
            <v>#NUM!</v>
          </cell>
          <cell r="V41" t="e">
            <v>#NUM!</v>
          </cell>
          <cell r="W41" t="e">
            <v>#NUM!</v>
          </cell>
          <cell r="X41" t="e">
            <v>#NUM!</v>
          </cell>
          <cell r="Y41" t="e">
            <v>#NUM!</v>
          </cell>
          <cell r="Z41" t="e">
            <v>#NUM!</v>
          </cell>
        </row>
        <row r="42">
          <cell r="F42" t="e">
            <v>#NUM!</v>
          </cell>
          <cell r="G42" t="e">
            <v>#NUM!</v>
          </cell>
          <cell r="H42" t="e">
            <v>#NUM!</v>
          </cell>
          <cell r="I42" t="e">
            <v>#NUM!</v>
          </cell>
          <cell r="J42" t="e">
            <v>#NUM!</v>
          </cell>
          <cell r="K42" t="e">
            <v>#NUM!</v>
          </cell>
          <cell r="L42" t="e">
            <v>#NUM!</v>
          </cell>
          <cell r="M42" t="e">
            <v>#NUM!</v>
          </cell>
          <cell r="N42" t="e">
            <v>#NUM!</v>
          </cell>
          <cell r="O42" t="e">
            <v>#NUM!</v>
          </cell>
          <cell r="P42" t="e">
            <v>#NUM!</v>
          </cell>
          <cell r="Q42" t="e">
            <v>#NUM!</v>
          </cell>
          <cell r="R42" t="e">
            <v>#NUM!</v>
          </cell>
          <cell r="S42" t="e">
            <v>#NUM!</v>
          </cell>
          <cell r="T42" t="e">
            <v>#NUM!</v>
          </cell>
          <cell r="U42" t="e">
            <v>#NUM!</v>
          </cell>
          <cell r="V42" t="e">
            <v>#NUM!</v>
          </cell>
          <cell r="W42" t="e">
            <v>#NUM!</v>
          </cell>
          <cell r="X42" t="e">
            <v>#NUM!</v>
          </cell>
          <cell r="Y42" t="e">
            <v>#NUM!</v>
          </cell>
          <cell r="Z42" t="e">
            <v>#NUM!</v>
          </cell>
        </row>
        <row r="43">
          <cell r="F43" t="e">
            <v>#NUM!</v>
          </cell>
          <cell r="G43" t="e">
            <v>#NUM!</v>
          </cell>
          <cell r="H43" t="e">
            <v>#NUM!</v>
          </cell>
          <cell r="I43" t="e">
            <v>#NUM!</v>
          </cell>
          <cell r="J43" t="e">
            <v>#NUM!</v>
          </cell>
          <cell r="K43" t="e">
            <v>#NUM!</v>
          </cell>
          <cell r="L43" t="e">
            <v>#NUM!</v>
          </cell>
          <cell r="M43" t="e">
            <v>#NUM!</v>
          </cell>
          <cell r="N43" t="e">
            <v>#NUM!</v>
          </cell>
          <cell r="O43" t="e">
            <v>#NUM!</v>
          </cell>
          <cell r="P43" t="e">
            <v>#NUM!</v>
          </cell>
          <cell r="Q43" t="e">
            <v>#NUM!</v>
          </cell>
          <cell r="R43" t="e">
            <v>#NUM!</v>
          </cell>
          <cell r="S43" t="e">
            <v>#NUM!</v>
          </cell>
          <cell r="T43" t="e">
            <v>#NUM!</v>
          </cell>
          <cell r="U43" t="e">
            <v>#NUM!</v>
          </cell>
          <cell r="V43" t="e">
            <v>#NUM!</v>
          </cell>
          <cell r="W43" t="e">
            <v>#NUM!</v>
          </cell>
          <cell r="X43" t="e">
            <v>#NUM!</v>
          </cell>
          <cell r="Y43" t="e">
            <v>#NUM!</v>
          </cell>
          <cell r="Z43" t="e">
            <v>#NUM!</v>
          </cell>
        </row>
        <row r="44">
          <cell r="F44" t="e">
            <v>#NUM!</v>
          </cell>
          <cell r="G44" t="e">
            <v>#NUM!</v>
          </cell>
          <cell r="H44" t="e">
            <v>#NUM!</v>
          </cell>
          <cell r="I44" t="e">
            <v>#NUM!</v>
          </cell>
          <cell r="J44" t="e">
            <v>#NUM!</v>
          </cell>
          <cell r="K44" t="e">
            <v>#NUM!</v>
          </cell>
          <cell r="L44" t="e">
            <v>#NUM!</v>
          </cell>
          <cell r="M44" t="e">
            <v>#NUM!</v>
          </cell>
          <cell r="N44" t="e">
            <v>#NUM!</v>
          </cell>
          <cell r="O44" t="e">
            <v>#NUM!</v>
          </cell>
          <cell r="P44" t="e">
            <v>#NUM!</v>
          </cell>
          <cell r="Q44" t="e">
            <v>#NUM!</v>
          </cell>
          <cell r="R44" t="e">
            <v>#NUM!</v>
          </cell>
          <cell r="S44" t="e">
            <v>#NUM!</v>
          </cell>
          <cell r="T44" t="e">
            <v>#NUM!</v>
          </cell>
          <cell r="U44" t="e">
            <v>#NUM!</v>
          </cell>
          <cell r="V44" t="e">
            <v>#NUM!</v>
          </cell>
          <cell r="W44" t="e">
            <v>#NUM!</v>
          </cell>
          <cell r="X44" t="e">
            <v>#NUM!</v>
          </cell>
          <cell r="Y44" t="e">
            <v>#NUM!</v>
          </cell>
          <cell r="Z44" t="e">
            <v>#NUM!</v>
          </cell>
        </row>
        <row r="45">
          <cell r="F45" t="e">
            <v>#NUM!</v>
          </cell>
          <cell r="G45" t="e">
            <v>#NUM!</v>
          </cell>
          <cell r="H45" t="e">
            <v>#NUM!</v>
          </cell>
          <cell r="I45" t="e">
            <v>#NUM!</v>
          </cell>
          <cell r="J45" t="e">
            <v>#NUM!</v>
          </cell>
          <cell r="K45" t="e">
            <v>#NUM!</v>
          </cell>
          <cell r="L45" t="e">
            <v>#NUM!</v>
          </cell>
          <cell r="M45" t="e">
            <v>#NUM!</v>
          </cell>
          <cell r="N45" t="e">
            <v>#NUM!</v>
          </cell>
          <cell r="O45" t="e">
            <v>#NUM!</v>
          </cell>
          <cell r="P45" t="e">
            <v>#NUM!</v>
          </cell>
          <cell r="Q45" t="e">
            <v>#NUM!</v>
          </cell>
          <cell r="R45" t="e">
            <v>#NUM!</v>
          </cell>
          <cell r="S45" t="e">
            <v>#NUM!</v>
          </cell>
          <cell r="T45" t="e">
            <v>#NUM!</v>
          </cell>
          <cell r="U45" t="e">
            <v>#NUM!</v>
          </cell>
          <cell r="V45" t="e">
            <v>#NUM!</v>
          </cell>
          <cell r="W45" t="e">
            <v>#NUM!</v>
          </cell>
          <cell r="X45" t="e">
            <v>#NUM!</v>
          </cell>
          <cell r="Y45" t="e">
            <v>#NUM!</v>
          </cell>
          <cell r="Z45" t="e">
            <v>#NUM!</v>
          </cell>
        </row>
        <row r="46">
          <cell r="F46" t="e">
            <v>#NUM!</v>
          </cell>
          <cell r="G46" t="e">
            <v>#NUM!</v>
          </cell>
          <cell r="H46" t="e">
            <v>#NUM!</v>
          </cell>
          <cell r="I46" t="e">
            <v>#NUM!</v>
          </cell>
          <cell r="J46" t="e">
            <v>#NUM!</v>
          </cell>
          <cell r="K46" t="e">
            <v>#NUM!</v>
          </cell>
          <cell r="L46" t="e">
            <v>#NUM!</v>
          </cell>
          <cell r="M46" t="e">
            <v>#NUM!</v>
          </cell>
          <cell r="N46" t="e">
            <v>#NUM!</v>
          </cell>
          <cell r="O46" t="e">
            <v>#NUM!</v>
          </cell>
          <cell r="P46" t="e">
            <v>#NUM!</v>
          </cell>
          <cell r="Q46" t="e">
            <v>#NUM!</v>
          </cell>
          <cell r="R46" t="e">
            <v>#NUM!</v>
          </cell>
          <cell r="S46" t="e">
            <v>#NUM!</v>
          </cell>
          <cell r="T46" t="e">
            <v>#NUM!</v>
          </cell>
          <cell r="U46" t="e">
            <v>#NUM!</v>
          </cell>
          <cell r="V46" t="e">
            <v>#NUM!</v>
          </cell>
          <cell r="W46" t="e">
            <v>#NUM!</v>
          </cell>
          <cell r="X46" t="e">
            <v>#NUM!</v>
          </cell>
          <cell r="Y46" t="e">
            <v>#NUM!</v>
          </cell>
          <cell r="Z46" t="e">
            <v>#NUM!</v>
          </cell>
        </row>
        <row r="47">
          <cell r="F47" t="e">
            <v>#NUM!</v>
          </cell>
          <cell r="G47" t="e">
            <v>#NUM!</v>
          </cell>
          <cell r="H47" t="e">
            <v>#NUM!</v>
          </cell>
          <cell r="I47" t="e">
            <v>#NUM!</v>
          </cell>
          <cell r="J47" t="e">
            <v>#NUM!</v>
          </cell>
          <cell r="K47" t="e">
            <v>#NUM!</v>
          </cell>
          <cell r="L47" t="e">
            <v>#NUM!</v>
          </cell>
          <cell r="M47" t="e">
            <v>#NUM!</v>
          </cell>
          <cell r="N47" t="e">
            <v>#NUM!</v>
          </cell>
          <cell r="O47" t="e">
            <v>#NUM!</v>
          </cell>
          <cell r="P47" t="e">
            <v>#NUM!</v>
          </cell>
          <cell r="Q47" t="e">
            <v>#NUM!</v>
          </cell>
          <cell r="R47" t="e">
            <v>#NUM!</v>
          </cell>
          <cell r="S47" t="e">
            <v>#NUM!</v>
          </cell>
          <cell r="T47" t="e">
            <v>#NUM!</v>
          </cell>
          <cell r="U47" t="e">
            <v>#NUM!</v>
          </cell>
          <cell r="V47" t="e">
            <v>#NUM!</v>
          </cell>
          <cell r="W47" t="e">
            <v>#NUM!</v>
          </cell>
          <cell r="X47" t="e">
            <v>#NUM!</v>
          </cell>
          <cell r="Y47" t="e">
            <v>#NUM!</v>
          </cell>
          <cell r="Z47" t="e">
            <v>#NUM!</v>
          </cell>
        </row>
        <row r="48">
          <cell r="F48" t="e">
            <v>#NUM!</v>
          </cell>
          <cell r="G48" t="e">
            <v>#NUM!</v>
          </cell>
          <cell r="H48" t="e">
            <v>#NUM!</v>
          </cell>
          <cell r="I48" t="e">
            <v>#NUM!</v>
          </cell>
          <cell r="J48" t="e">
            <v>#NUM!</v>
          </cell>
          <cell r="K48" t="e">
            <v>#NUM!</v>
          </cell>
          <cell r="L48" t="e">
            <v>#NUM!</v>
          </cell>
          <cell r="M48" t="e">
            <v>#NUM!</v>
          </cell>
          <cell r="N48" t="e">
            <v>#NUM!</v>
          </cell>
          <cell r="O48" t="e">
            <v>#NUM!</v>
          </cell>
          <cell r="P48" t="e">
            <v>#NUM!</v>
          </cell>
          <cell r="Q48" t="e">
            <v>#NUM!</v>
          </cell>
          <cell r="R48" t="e">
            <v>#NUM!</v>
          </cell>
          <cell r="S48" t="e">
            <v>#NUM!</v>
          </cell>
          <cell r="T48" t="e">
            <v>#NUM!</v>
          </cell>
          <cell r="U48" t="e">
            <v>#NUM!</v>
          </cell>
          <cell r="V48" t="e">
            <v>#NUM!</v>
          </cell>
          <cell r="W48" t="e">
            <v>#NUM!</v>
          </cell>
          <cell r="X48" t="e">
            <v>#NUM!</v>
          </cell>
          <cell r="Y48" t="e">
            <v>#NUM!</v>
          </cell>
          <cell r="Z48" t="e">
            <v>#NUM!</v>
          </cell>
        </row>
        <row r="49">
          <cell r="F49" t="e">
            <v>#NUM!</v>
          </cell>
          <cell r="G49" t="e">
            <v>#NUM!</v>
          </cell>
          <cell r="H49" t="e">
            <v>#NUM!</v>
          </cell>
          <cell r="I49" t="e">
            <v>#NUM!</v>
          </cell>
          <cell r="J49" t="e">
            <v>#NUM!</v>
          </cell>
          <cell r="K49" t="e">
            <v>#NUM!</v>
          </cell>
          <cell r="L49" t="e">
            <v>#NUM!</v>
          </cell>
          <cell r="M49" t="e">
            <v>#NUM!</v>
          </cell>
          <cell r="N49" t="e">
            <v>#NUM!</v>
          </cell>
          <cell r="O49" t="e">
            <v>#NUM!</v>
          </cell>
          <cell r="P49" t="e">
            <v>#NUM!</v>
          </cell>
          <cell r="Q49" t="e">
            <v>#NUM!</v>
          </cell>
          <cell r="R49" t="e">
            <v>#NUM!</v>
          </cell>
          <cell r="S49" t="e">
            <v>#NUM!</v>
          </cell>
          <cell r="T49" t="e">
            <v>#NUM!</v>
          </cell>
          <cell r="U49" t="e">
            <v>#NUM!</v>
          </cell>
          <cell r="V49" t="e">
            <v>#NUM!</v>
          </cell>
          <cell r="W49" t="e">
            <v>#NUM!</v>
          </cell>
          <cell r="X49" t="e">
            <v>#NUM!</v>
          </cell>
          <cell r="Y49" t="e">
            <v>#NUM!</v>
          </cell>
          <cell r="Z49" t="e">
            <v>#NUM!</v>
          </cell>
        </row>
        <row r="50">
          <cell r="F50" t="e">
            <v>#NUM!</v>
          </cell>
          <cell r="G50" t="e">
            <v>#NUM!</v>
          </cell>
          <cell r="H50" t="e">
            <v>#NUM!</v>
          </cell>
          <cell r="I50" t="e">
            <v>#NUM!</v>
          </cell>
          <cell r="J50" t="e">
            <v>#NUM!</v>
          </cell>
          <cell r="K50" t="e">
            <v>#NUM!</v>
          </cell>
          <cell r="L50" t="e">
            <v>#NUM!</v>
          </cell>
          <cell r="M50" t="e">
            <v>#NUM!</v>
          </cell>
          <cell r="N50" t="e">
            <v>#NUM!</v>
          </cell>
          <cell r="O50" t="e">
            <v>#NUM!</v>
          </cell>
          <cell r="P50" t="e">
            <v>#NUM!</v>
          </cell>
          <cell r="Q50" t="e">
            <v>#NUM!</v>
          </cell>
          <cell r="R50" t="e">
            <v>#NUM!</v>
          </cell>
          <cell r="S50" t="e">
            <v>#NUM!</v>
          </cell>
          <cell r="T50" t="e">
            <v>#NUM!</v>
          </cell>
          <cell r="U50" t="e">
            <v>#NUM!</v>
          </cell>
          <cell r="V50" t="e">
            <v>#NUM!</v>
          </cell>
          <cell r="W50" t="e">
            <v>#NUM!</v>
          </cell>
          <cell r="X50" t="e">
            <v>#NUM!</v>
          </cell>
          <cell r="Y50" t="e">
            <v>#NUM!</v>
          </cell>
          <cell r="Z50" t="e">
            <v>#NUM!</v>
          </cell>
        </row>
        <row r="51">
          <cell r="N51" t="str">
            <v>TOTAL SQFT:</v>
          </cell>
          <cell r="P51">
            <v>34513</v>
          </cell>
          <cell r="Q51">
            <v>865</v>
          </cell>
          <cell r="R51">
            <v>24</v>
          </cell>
        </row>
        <row r="52">
          <cell r="F52" t="str">
            <v>JOB NUMBER</v>
          </cell>
          <cell r="G52" t="str">
            <v>CUSTOMER</v>
          </cell>
          <cell r="H52" t="str">
            <v>JOB NAME</v>
          </cell>
          <cell r="I52" t="str">
            <v>LOCATION</v>
          </cell>
          <cell r="J52" t="str">
            <v>PROD WEEK</v>
          </cell>
          <cell r="K52" t="str">
            <v>PRODDUEDATE</v>
          </cell>
          <cell r="L52" t="str">
            <v>GROUP_val</v>
          </cell>
          <cell r="M52" t="str">
            <v>SHIP DATE</v>
          </cell>
          <cell r="N52" t="str">
            <v>ENG STATUS</v>
          </cell>
          <cell r="O52" t="str">
            <v>PROD STATUS</v>
          </cell>
          <cell r="P52" t="str">
            <v>SQFT</v>
          </cell>
          <cell r="Q52" t="str">
            <v>PANELS</v>
          </cell>
          <cell r="R52" t="str">
            <v>DOORS</v>
          </cell>
          <cell r="S52" t="str">
            <v>BOX</v>
          </cell>
          <cell r="T52" t="str">
            <v>BUILT BY</v>
          </cell>
          <cell r="U52" t="str">
            <v>SO Code</v>
          </cell>
          <cell r="V52" t="str">
            <v>Job Total</v>
          </cell>
          <cell r="W52" t="str">
            <v>Confirmed</v>
          </cell>
          <cell r="X52" t="str">
            <v>Confm</v>
          </cell>
          <cell r="Y52" t="str">
            <v>FreightTyoe</v>
          </cell>
          <cell r="Z52" t="str">
            <v>CR</v>
          </cell>
        </row>
        <row r="54">
          <cell r="F54" t="str">
            <v>155-1038ADD2</v>
          </cell>
          <cell r="G54" t="str">
            <v>K-Va-T Stores</v>
          </cell>
          <cell r="H54" t="str">
            <v>Food City 608</v>
          </cell>
          <cell r="I54" t="str">
            <v>Greenville, TN</v>
          </cell>
          <cell r="J54">
            <v>42401</v>
          </cell>
          <cell r="K54">
            <v>42402</v>
          </cell>
          <cell r="L54">
            <v>25</v>
          </cell>
          <cell r="M54">
            <v>42409</v>
          </cell>
          <cell r="N54" t="str">
            <v>PF</v>
          </cell>
          <cell r="O54" t="str">
            <v>A</v>
          </cell>
          <cell r="P54">
            <v>1972</v>
          </cell>
          <cell r="Q54">
            <v>62</v>
          </cell>
          <cell r="R54">
            <v>0</v>
          </cell>
          <cell r="S54">
            <v>17946.68</v>
          </cell>
          <cell r="T54" t="str">
            <v>GA</v>
          </cell>
          <cell r="U54" t="str">
            <v>4PD</v>
          </cell>
          <cell r="V54">
            <v>24172.04</v>
          </cell>
          <cell r="W54" t="b">
            <v>1</v>
          </cell>
          <cell r="X54" t="str">
            <v>Yes</v>
          </cell>
          <cell r="Y54">
            <v>0</v>
          </cell>
          <cell r="Z54" t="str">
            <v>A</v>
          </cell>
        </row>
        <row r="55">
          <cell r="F55" t="e">
            <v>#NUM!</v>
          </cell>
          <cell r="G55" t="e">
            <v>#NUM!</v>
          </cell>
          <cell r="H55" t="e">
            <v>#NUM!</v>
          </cell>
          <cell r="I55" t="e">
            <v>#NUM!</v>
          </cell>
          <cell r="J55" t="e">
            <v>#NUM!</v>
          </cell>
          <cell r="K55" t="e">
            <v>#NUM!</v>
          </cell>
          <cell r="L55" t="e">
            <v>#NUM!</v>
          </cell>
          <cell r="M55" t="e">
            <v>#NUM!</v>
          </cell>
          <cell r="N55" t="e">
            <v>#NUM!</v>
          </cell>
          <cell r="O55" t="e">
            <v>#NUM!</v>
          </cell>
          <cell r="P55" t="e">
            <v>#NUM!</v>
          </cell>
          <cell r="Q55" t="e">
            <v>#NUM!</v>
          </cell>
          <cell r="R55" t="e">
            <v>#NUM!</v>
          </cell>
          <cell r="S55" t="e">
            <v>#NUM!</v>
          </cell>
          <cell r="T55" t="e">
            <v>#NUM!</v>
          </cell>
          <cell r="U55" t="e">
            <v>#NUM!</v>
          </cell>
          <cell r="V55" t="e">
            <v>#NUM!</v>
          </cell>
          <cell r="W55" t="e">
            <v>#NUM!</v>
          </cell>
          <cell r="X55" t="e">
            <v>#NUM!</v>
          </cell>
          <cell r="Y55" t="e">
            <v>#NUM!</v>
          </cell>
          <cell r="Z55" t="e">
            <v>#NUM!</v>
          </cell>
        </row>
        <row r="56">
          <cell r="F56" t="e">
            <v>#NUM!</v>
          </cell>
          <cell r="G56" t="e">
            <v>#NUM!</v>
          </cell>
          <cell r="H56" t="e">
            <v>#NUM!</v>
          </cell>
          <cell r="I56" t="e">
            <v>#NUM!</v>
          </cell>
          <cell r="J56" t="e">
            <v>#NUM!</v>
          </cell>
          <cell r="K56" t="e">
            <v>#NUM!</v>
          </cell>
          <cell r="L56" t="e">
            <v>#NUM!</v>
          </cell>
          <cell r="M56" t="e">
            <v>#NUM!</v>
          </cell>
          <cell r="N56" t="e">
            <v>#NUM!</v>
          </cell>
          <cell r="O56" t="e">
            <v>#NUM!</v>
          </cell>
          <cell r="P56" t="e">
            <v>#NUM!</v>
          </cell>
          <cell r="Q56" t="e">
            <v>#NUM!</v>
          </cell>
          <cell r="R56" t="e">
            <v>#NUM!</v>
          </cell>
          <cell r="S56" t="e">
            <v>#NUM!</v>
          </cell>
          <cell r="T56" t="e">
            <v>#NUM!</v>
          </cell>
          <cell r="U56" t="e">
            <v>#NUM!</v>
          </cell>
          <cell r="V56" t="e">
            <v>#NUM!</v>
          </cell>
          <cell r="W56" t="e">
            <v>#NUM!</v>
          </cell>
          <cell r="X56" t="e">
            <v>#NUM!</v>
          </cell>
          <cell r="Y56" t="e">
            <v>#NUM!</v>
          </cell>
          <cell r="Z56" t="e">
            <v>#NUM!</v>
          </cell>
        </row>
        <row r="57">
          <cell r="F57" t="e">
            <v>#NUM!</v>
          </cell>
          <cell r="G57" t="e">
            <v>#NUM!</v>
          </cell>
          <cell r="H57" t="e">
            <v>#NUM!</v>
          </cell>
          <cell r="I57" t="e">
            <v>#NUM!</v>
          </cell>
          <cell r="J57" t="e">
            <v>#NUM!</v>
          </cell>
          <cell r="K57" t="e">
            <v>#NUM!</v>
          </cell>
          <cell r="L57" t="e">
            <v>#NUM!</v>
          </cell>
          <cell r="M57" t="e">
            <v>#NUM!</v>
          </cell>
          <cell r="N57" t="e">
            <v>#NUM!</v>
          </cell>
          <cell r="O57" t="e">
            <v>#NUM!</v>
          </cell>
          <cell r="P57" t="e">
            <v>#NUM!</v>
          </cell>
          <cell r="Q57" t="e">
            <v>#NUM!</v>
          </cell>
          <cell r="R57" t="e">
            <v>#NUM!</v>
          </cell>
          <cell r="S57" t="e">
            <v>#NUM!</v>
          </cell>
          <cell r="T57" t="e">
            <v>#NUM!</v>
          </cell>
          <cell r="U57" t="e">
            <v>#NUM!</v>
          </cell>
          <cell r="V57" t="e">
            <v>#NUM!</v>
          </cell>
          <cell r="W57" t="e">
            <v>#NUM!</v>
          </cell>
          <cell r="X57" t="e">
            <v>#NUM!</v>
          </cell>
          <cell r="Y57" t="e">
            <v>#NUM!</v>
          </cell>
          <cell r="Z57" t="e">
            <v>#NUM!</v>
          </cell>
        </row>
        <row r="58">
          <cell r="F58" t="e">
            <v>#NUM!</v>
          </cell>
          <cell r="G58" t="e">
            <v>#NUM!</v>
          </cell>
          <cell r="H58" t="e">
            <v>#NUM!</v>
          </cell>
          <cell r="I58" t="e">
            <v>#NUM!</v>
          </cell>
          <cell r="J58" t="e">
            <v>#NUM!</v>
          </cell>
          <cell r="K58" t="e">
            <v>#NUM!</v>
          </cell>
          <cell r="L58" t="e">
            <v>#NUM!</v>
          </cell>
          <cell r="M58" t="e">
            <v>#NUM!</v>
          </cell>
          <cell r="N58" t="e">
            <v>#NUM!</v>
          </cell>
          <cell r="O58" t="e">
            <v>#NUM!</v>
          </cell>
          <cell r="P58" t="e">
            <v>#NUM!</v>
          </cell>
          <cell r="Q58" t="e">
            <v>#NUM!</v>
          </cell>
          <cell r="R58" t="e">
            <v>#NUM!</v>
          </cell>
          <cell r="S58" t="e">
            <v>#NUM!</v>
          </cell>
          <cell r="T58" t="e">
            <v>#NUM!</v>
          </cell>
          <cell r="U58" t="e">
            <v>#NUM!</v>
          </cell>
          <cell r="V58" t="e">
            <v>#NUM!</v>
          </cell>
          <cell r="W58" t="e">
            <v>#NUM!</v>
          </cell>
          <cell r="X58" t="e">
            <v>#NUM!</v>
          </cell>
          <cell r="Y58" t="e">
            <v>#NUM!</v>
          </cell>
          <cell r="Z58" t="e">
            <v>#NUM!</v>
          </cell>
        </row>
        <row r="59">
          <cell r="F59" t="e">
            <v>#NUM!</v>
          </cell>
          <cell r="G59" t="e">
            <v>#NUM!</v>
          </cell>
          <cell r="H59" t="e">
            <v>#NUM!</v>
          </cell>
          <cell r="I59" t="e">
            <v>#NUM!</v>
          </cell>
          <cell r="J59" t="e">
            <v>#NUM!</v>
          </cell>
          <cell r="K59" t="e">
            <v>#NUM!</v>
          </cell>
          <cell r="L59" t="e">
            <v>#NUM!</v>
          </cell>
          <cell r="M59" t="e">
            <v>#NUM!</v>
          </cell>
          <cell r="N59" t="e">
            <v>#NUM!</v>
          </cell>
          <cell r="O59" t="e">
            <v>#NUM!</v>
          </cell>
          <cell r="P59" t="e">
            <v>#NUM!</v>
          </cell>
          <cell r="Q59" t="e">
            <v>#NUM!</v>
          </cell>
          <cell r="R59" t="e">
            <v>#NUM!</v>
          </cell>
          <cell r="S59" t="e">
            <v>#NUM!</v>
          </cell>
          <cell r="T59" t="e">
            <v>#NUM!</v>
          </cell>
          <cell r="U59" t="e">
            <v>#NUM!</v>
          </cell>
          <cell r="V59" t="e">
            <v>#NUM!</v>
          </cell>
          <cell r="W59" t="e">
            <v>#NUM!</v>
          </cell>
          <cell r="X59" t="e">
            <v>#NUM!</v>
          </cell>
          <cell r="Y59" t="e">
            <v>#NUM!</v>
          </cell>
          <cell r="Z59" t="e">
            <v>#NUM!</v>
          </cell>
        </row>
        <row r="60">
          <cell r="F60" t="e">
            <v>#NUM!</v>
          </cell>
          <cell r="G60" t="e">
            <v>#NUM!</v>
          </cell>
          <cell r="H60" t="e">
            <v>#NUM!</v>
          </cell>
          <cell r="I60" t="e">
            <v>#NUM!</v>
          </cell>
          <cell r="J60" t="e">
            <v>#NUM!</v>
          </cell>
          <cell r="K60" t="e">
            <v>#NUM!</v>
          </cell>
          <cell r="L60" t="e">
            <v>#NUM!</v>
          </cell>
          <cell r="M60" t="e">
            <v>#NUM!</v>
          </cell>
          <cell r="N60" t="e">
            <v>#NUM!</v>
          </cell>
          <cell r="O60" t="e">
            <v>#NUM!</v>
          </cell>
          <cell r="P60" t="e">
            <v>#NUM!</v>
          </cell>
          <cell r="Q60" t="e">
            <v>#NUM!</v>
          </cell>
          <cell r="R60" t="e">
            <v>#NUM!</v>
          </cell>
          <cell r="S60" t="e">
            <v>#NUM!</v>
          </cell>
          <cell r="T60" t="e">
            <v>#NUM!</v>
          </cell>
          <cell r="U60" t="e">
            <v>#NUM!</v>
          </cell>
          <cell r="V60" t="e">
            <v>#NUM!</v>
          </cell>
          <cell r="W60" t="e">
            <v>#NUM!</v>
          </cell>
          <cell r="X60" t="e">
            <v>#NUM!</v>
          </cell>
          <cell r="Y60" t="e">
            <v>#NUM!</v>
          </cell>
          <cell r="Z60" t="e">
            <v>#NUM!</v>
          </cell>
        </row>
        <row r="61">
          <cell r="F61" t="e">
            <v>#NUM!</v>
          </cell>
          <cell r="G61" t="e">
            <v>#NUM!</v>
          </cell>
          <cell r="H61" t="e">
            <v>#NUM!</v>
          </cell>
          <cell r="I61" t="e">
            <v>#NUM!</v>
          </cell>
          <cell r="J61" t="e">
            <v>#NUM!</v>
          </cell>
          <cell r="K61" t="e">
            <v>#NUM!</v>
          </cell>
          <cell r="L61" t="e">
            <v>#NUM!</v>
          </cell>
          <cell r="M61" t="e">
            <v>#NUM!</v>
          </cell>
          <cell r="N61" t="e">
            <v>#NUM!</v>
          </cell>
          <cell r="O61" t="e">
            <v>#NUM!</v>
          </cell>
          <cell r="P61" t="e">
            <v>#NUM!</v>
          </cell>
          <cell r="Q61" t="e">
            <v>#NUM!</v>
          </cell>
          <cell r="R61" t="e">
            <v>#NUM!</v>
          </cell>
          <cell r="S61" t="e">
            <v>#NUM!</v>
          </cell>
          <cell r="T61" t="e">
            <v>#NUM!</v>
          </cell>
          <cell r="U61" t="e">
            <v>#NUM!</v>
          </cell>
          <cell r="V61" t="e">
            <v>#NUM!</v>
          </cell>
          <cell r="W61" t="e">
            <v>#NUM!</v>
          </cell>
          <cell r="X61" t="e">
            <v>#NUM!</v>
          </cell>
          <cell r="Y61" t="e">
            <v>#NUM!</v>
          </cell>
          <cell r="Z61" t="e">
            <v>#NUM!</v>
          </cell>
        </row>
        <row r="62">
          <cell r="F62" t="e">
            <v>#NUM!</v>
          </cell>
          <cell r="G62" t="e">
            <v>#NUM!</v>
          </cell>
          <cell r="H62" t="e">
            <v>#NUM!</v>
          </cell>
          <cell r="I62" t="e">
            <v>#NUM!</v>
          </cell>
          <cell r="J62" t="e">
            <v>#NUM!</v>
          </cell>
          <cell r="K62" t="e">
            <v>#NUM!</v>
          </cell>
          <cell r="L62" t="e">
            <v>#NUM!</v>
          </cell>
          <cell r="M62" t="e">
            <v>#NUM!</v>
          </cell>
          <cell r="N62" t="e">
            <v>#NUM!</v>
          </cell>
          <cell r="O62" t="e">
            <v>#NUM!</v>
          </cell>
          <cell r="P62" t="e">
            <v>#NUM!</v>
          </cell>
          <cell r="Q62" t="e">
            <v>#NUM!</v>
          </cell>
          <cell r="R62" t="e">
            <v>#NUM!</v>
          </cell>
          <cell r="S62" t="e">
            <v>#NUM!</v>
          </cell>
          <cell r="T62" t="e">
            <v>#NUM!</v>
          </cell>
          <cell r="U62" t="e">
            <v>#NUM!</v>
          </cell>
          <cell r="V62" t="e">
            <v>#NUM!</v>
          </cell>
          <cell r="W62" t="e">
            <v>#NUM!</v>
          </cell>
          <cell r="X62" t="e">
            <v>#NUM!</v>
          </cell>
          <cell r="Y62" t="e">
            <v>#NUM!</v>
          </cell>
          <cell r="Z62" t="e">
            <v>#NUM!</v>
          </cell>
        </row>
        <row r="63">
          <cell r="F63" t="e">
            <v>#NUM!</v>
          </cell>
          <cell r="G63" t="e">
            <v>#NUM!</v>
          </cell>
          <cell r="H63" t="e">
            <v>#NUM!</v>
          </cell>
          <cell r="I63" t="e">
            <v>#NUM!</v>
          </cell>
          <cell r="J63" t="e">
            <v>#NUM!</v>
          </cell>
          <cell r="K63" t="e">
            <v>#NUM!</v>
          </cell>
          <cell r="L63" t="e">
            <v>#NUM!</v>
          </cell>
          <cell r="M63" t="e">
            <v>#NUM!</v>
          </cell>
          <cell r="N63" t="e">
            <v>#NUM!</v>
          </cell>
          <cell r="O63" t="e">
            <v>#NUM!</v>
          </cell>
          <cell r="P63" t="e">
            <v>#NUM!</v>
          </cell>
          <cell r="Q63" t="e">
            <v>#NUM!</v>
          </cell>
          <cell r="R63" t="e">
            <v>#NUM!</v>
          </cell>
          <cell r="S63" t="e">
            <v>#NUM!</v>
          </cell>
          <cell r="T63" t="e">
            <v>#NUM!</v>
          </cell>
          <cell r="U63" t="e">
            <v>#NUM!</v>
          </cell>
          <cell r="V63" t="e">
            <v>#NUM!</v>
          </cell>
          <cell r="W63" t="e">
            <v>#NUM!</v>
          </cell>
          <cell r="X63" t="e">
            <v>#NUM!</v>
          </cell>
          <cell r="Y63" t="e">
            <v>#NUM!</v>
          </cell>
          <cell r="Z63" t="e">
            <v>#NUM!</v>
          </cell>
        </row>
        <row r="64">
          <cell r="F64" t="e">
            <v>#NUM!</v>
          </cell>
          <cell r="G64" t="e">
            <v>#NUM!</v>
          </cell>
          <cell r="H64" t="e">
            <v>#NUM!</v>
          </cell>
          <cell r="I64" t="e">
            <v>#NUM!</v>
          </cell>
          <cell r="J64" t="e">
            <v>#NUM!</v>
          </cell>
          <cell r="K64" t="e">
            <v>#NUM!</v>
          </cell>
          <cell r="L64" t="e">
            <v>#NUM!</v>
          </cell>
          <cell r="M64" t="e">
            <v>#NUM!</v>
          </cell>
          <cell r="N64" t="e">
            <v>#NUM!</v>
          </cell>
          <cell r="O64" t="e">
            <v>#NUM!</v>
          </cell>
          <cell r="P64" t="e">
            <v>#NUM!</v>
          </cell>
          <cell r="Q64" t="e">
            <v>#NUM!</v>
          </cell>
          <cell r="R64" t="e">
            <v>#NUM!</v>
          </cell>
          <cell r="S64" t="e">
            <v>#NUM!</v>
          </cell>
          <cell r="T64" t="e">
            <v>#NUM!</v>
          </cell>
          <cell r="U64" t="e">
            <v>#NUM!</v>
          </cell>
          <cell r="V64" t="e">
            <v>#NUM!</v>
          </cell>
          <cell r="W64" t="e">
            <v>#NUM!</v>
          </cell>
          <cell r="X64" t="e">
            <v>#NUM!</v>
          </cell>
          <cell r="Y64" t="e">
            <v>#NUM!</v>
          </cell>
          <cell r="Z64" t="e">
            <v>#NUM!</v>
          </cell>
        </row>
        <row r="65">
          <cell r="F65" t="e">
            <v>#NUM!</v>
          </cell>
          <cell r="G65" t="e">
            <v>#NUM!</v>
          </cell>
          <cell r="H65" t="e">
            <v>#NUM!</v>
          </cell>
          <cell r="I65" t="e">
            <v>#NUM!</v>
          </cell>
          <cell r="J65" t="e">
            <v>#NUM!</v>
          </cell>
          <cell r="K65" t="e">
            <v>#NUM!</v>
          </cell>
          <cell r="L65" t="e">
            <v>#NUM!</v>
          </cell>
          <cell r="M65" t="e">
            <v>#NUM!</v>
          </cell>
          <cell r="N65" t="e">
            <v>#NUM!</v>
          </cell>
          <cell r="O65" t="e">
            <v>#NUM!</v>
          </cell>
          <cell r="P65" t="e">
            <v>#NUM!</v>
          </cell>
          <cell r="Q65" t="e">
            <v>#NUM!</v>
          </cell>
          <cell r="R65" t="e">
            <v>#NUM!</v>
          </cell>
          <cell r="S65" t="e">
            <v>#NUM!</v>
          </cell>
          <cell r="T65" t="e">
            <v>#NUM!</v>
          </cell>
          <cell r="U65" t="e">
            <v>#NUM!</v>
          </cell>
          <cell r="V65" t="e">
            <v>#NUM!</v>
          </cell>
          <cell r="W65" t="e">
            <v>#NUM!</v>
          </cell>
          <cell r="X65" t="e">
            <v>#NUM!</v>
          </cell>
          <cell r="Y65" t="e">
            <v>#NUM!</v>
          </cell>
          <cell r="Z65" t="e">
            <v>#NUM!</v>
          </cell>
        </row>
        <row r="66">
          <cell r="F66" t="e">
            <v>#NUM!</v>
          </cell>
          <cell r="G66" t="e">
            <v>#NUM!</v>
          </cell>
          <cell r="H66" t="e">
            <v>#NUM!</v>
          </cell>
          <cell r="I66" t="e">
            <v>#NUM!</v>
          </cell>
          <cell r="J66" t="e">
            <v>#NUM!</v>
          </cell>
          <cell r="K66" t="e">
            <v>#NUM!</v>
          </cell>
          <cell r="L66" t="e">
            <v>#NUM!</v>
          </cell>
          <cell r="M66" t="e">
            <v>#NUM!</v>
          </cell>
          <cell r="N66" t="e">
            <v>#NUM!</v>
          </cell>
          <cell r="O66" t="e">
            <v>#NUM!</v>
          </cell>
          <cell r="P66" t="e">
            <v>#NUM!</v>
          </cell>
          <cell r="Q66" t="e">
            <v>#NUM!</v>
          </cell>
          <cell r="R66" t="e">
            <v>#NUM!</v>
          </cell>
          <cell r="S66" t="e">
            <v>#NUM!</v>
          </cell>
          <cell r="T66" t="e">
            <v>#NUM!</v>
          </cell>
          <cell r="U66" t="e">
            <v>#NUM!</v>
          </cell>
          <cell r="V66" t="e">
            <v>#NUM!</v>
          </cell>
          <cell r="W66" t="e">
            <v>#NUM!</v>
          </cell>
          <cell r="X66" t="e">
            <v>#NUM!</v>
          </cell>
          <cell r="Y66" t="e">
            <v>#NUM!</v>
          </cell>
          <cell r="Z66" t="e">
            <v>#NUM!</v>
          </cell>
        </row>
        <row r="67">
          <cell r="F67" t="e">
            <v>#NUM!</v>
          </cell>
          <cell r="G67" t="e">
            <v>#NUM!</v>
          </cell>
          <cell r="H67" t="e">
            <v>#NUM!</v>
          </cell>
          <cell r="I67" t="e">
            <v>#NUM!</v>
          </cell>
          <cell r="J67" t="e">
            <v>#NUM!</v>
          </cell>
          <cell r="K67" t="e">
            <v>#NUM!</v>
          </cell>
          <cell r="L67" t="e">
            <v>#NUM!</v>
          </cell>
          <cell r="M67" t="e">
            <v>#NUM!</v>
          </cell>
          <cell r="N67" t="e">
            <v>#NUM!</v>
          </cell>
          <cell r="O67" t="e">
            <v>#NUM!</v>
          </cell>
          <cell r="P67" t="e">
            <v>#NUM!</v>
          </cell>
          <cell r="Q67" t="e">
            <v>#NUM!</v>
          </cell>
          <cell r="R67" t="e">
            <v>#NUM!</v>
          </cell>
          <cell r="S67" t="e">
            <v>#NUM!</v>
          </cell>
          <cell r="T67" t="e">
            <v>#NUM!</v>
          </cell>
          <cell r="U67" t="e">
            <v>#NUM!</v>
          </cell>
          <cell r="V67" t="e">
            <v>#NUM!</v>
          </cell>
          <cell r="W67" t="e">
            <v>#NUM!</v>
          </cell>
          <cell r="X67" t="e">
            <v>#NUM!</v>
          </cell>
          <cell r="Y67" t="e">
            <v>#NUM!</v>
          </cell>
          <cell r="Z67" t="e">
            <v>#NUM!</v>
          </cell>
        </row>
        <row r="68">
          <cell r="F68" t="e">
            <v>#NUM!</v>
          </cell>
          <cell r="G68" t="e">
            <v>#NUM!</v>
          </cell>
          <cell r="H68" t="e">
            <v>#NUM!</v>
          </cell>
          <cell r="I68" t="e">
            <v>#NUM!</v>
          </cell>
          <cell r="J68" t="e">
            <v>#NUM!</v>
          </cell>
          <cell r="K68" t="e">
            <v>#NUM!</v>
          </cell>
          <cell r="L68" t="e">
            <v>#NUM!</v>
          </cell>
          <cell r="M68" t="e">
            <v>#NUM!</v>
          </cell>
          <cell r="N68" t="e">
            <v>#NUM!</v>
          </cell>
          <cell r="O68" t="e">
            <v>#NUM!</v>
          </cell>
          <cell r="P68" t="e">
            <v>#NUM!</v>
          </cell>
          <cell r="Q68" t="e">
            <v>#NUM!</v>
          </cell>
          <cell r="R68" t="e">
            <v>#NUM!</v>
          </cell>
          <cell r="S68" t="e">
            <v>#NUM!</v>
          </cell>
          <cell r="T68" t="e">
            <v>#NUM!</v>
          </cell>
          <cell r="U68" t="e">
            <v>#NUM!</v>
          </cell>
          <cell r="V68" t="e">
            <v>#NUM!</v>
          </cell>
          <cell r="W68" t="e">
            <v>#NUM!</v>
          </cell>
          <cell r="X68" t="e">
            <v>#NUM!</v>
          </cell>
          <cell r="Y68" t="e">
            <v>#NUM!</v>
          </cell>
          <cell r="Z68" t="e">
            <v>#NUM!</v>
          </cell>
        </row>
        <row r="69">
          <cell r="F69" t="e">
            <v>#NUM!</v>
          </cell>
          <cell r="G69" t="e">
            <v>#NUM!</v>
          </cell>
          <cell r="H69" t="e">
            <v>#NUM!</v>
          </cell>
          <cell r="I69" t="e">
            <v>#NUM!</v>
          </cell>
          <cell r="J69" t="e">
            <v>#NUM!</v>
          </cell>
          <cell r="K69" t="e">
            <v>#NUM!</v>
          </cell>
          <cell r="L69" t="e">
            <v>#NUM!</v>
          </cell>
          <cell r="M69" t="e">
            <v>#NUM!</v>
          </cell>
          <cell r="N69" t="e">
            <v>#NUM!</v>
          </cell>
          <cell r="O69" t="e">
            <v>#NUM!</v>
          </cell>
          <cell r="P69" t="e">
            <v>#NUM!</v>
          </cell>
          <cell r="Q69" t="e">
            <v>#NUM!</v>
          </cell>
          <cell r="R69" t="e">
            <v>#NUM!</v>
          </cell>
          <cell r="S69" t="e">
            <v>#NUM!</v>
          </cell>
          <cell r="T69" t="e">
            <v>#NUM!</v>
          </cell>
          <cell r="U69" t="e">
            <v>#NUM!</v>
          </cell>
          <cell r="V69" t="e">
            <v>#NUM!</v>
          </cell>
          <cell r="W69" t="e">
            <v>#NUM!</v>
          </cell>
          <cell r="X69" t="e">
            <v>#NUM!</v>
          </cell>
          <cell r="Y69" t="e">
            <v>#NUM!</v>
          </cell>
          <cell r="Z69" t="e">
            <v>#NUM!</v>
          </cell>
        </row>
        <row r="70">
          <cell r="F70" t="e">
            <v>#NUM!</v>
          </cell>
          <cell r="G70" t="e">
            <v>#NUM!</v>
          </cell>
          <cell r="H70" t="e">
            <v>#NUM!</v>
          </cell>
          <cell r="I70" t="e">
            <v>#NUM!</v>
          </cell>
          <cell r="J70" t="e">
            <v>#NUM!</v>
          </cell>
          <cell r="K70" t="e">
            <v>#NUM!</v>
          </cell>
          <cell r="L70" t="e">
            <v>#NUM!</v>
          </cell>
          <cell r="M70" t="e">
            <v>#NUM!</v>
          </cell>
          <cell r="N70" t="e">
            <v>#NUM!</v>
          </cell>
          <cell r="O70" t="e">
            <v>#NUM!</v>
          </cell>
          <cell r="P70" t="e">
            <v>#NUM!</v>
          </cell>
          <cell r="Q70" t="e">
            <v>#NUM!</v>
          </cell>
          <cell r="R70" t="e">
            <v>#NUM!</v>
          </cell>
          <cell r="S70" t="e">
            <v>#NUM!</v>
          </cell>
          <cell r="T70" t="e">
            <v>#NUM!</v>
          </cell>
          <cell r="U70" t="e">
            <v>#NUM!</v>
          </cell>
          <cell r="V70" t="e">
            <v>#NUM!</v>
          </cell>
          <cell r="W70" t="e">
            <v>#NUM!</v>
          </cell>
          <cell r="X70" t="e">
            <v>#NUM!</v>
          </cell>
          <cell r="Y70" t="e">
            <v>#NUM!</v>
          </cell>
          <cell r="Z70" t="e">
            <v>#NUM!</v>
          </cell>
        </row>
        <row r="71">
          <cell r="F71" t="e">
            <v>#NUM!</v>
          </cell>
          <cell r="G71" t="e">
            <v>#NUM!</v>
          </cell>
          <cell r="H71" t="e">
            <v>#NUM!</v>
          </cell>
          <cell r="I71" t="e">
            <v>#NUM!</v>
          </cell>
          <cell r="J71" t="e">
            <v>#NUM!</v>
          </cell>
          <cell r="K71" t="e">
            <v>#NUM!</v>
          </cell>
          <cell r="L71" t="e">
            <v>#NUM!</v>
          </cell>
          <cell r="M71" t="e">
            <v>#NUM!</v>
          </cell>
          <cell r="N71" t="e">
            <v>#NUM!</v>
          </cell>
          <cell r="O71" t="e">
            <v>#NUM!</v>
          </cell>
          <cell r="P71" t="e">
            <v>#NUM!</v>
          </cell>
          <cell r="Q71" t="e">
            <v>#NUM!</v>
          </cell>
          <cell r="R71" t="e">
            <v>#NUM!</v>
          </cell>
          <cell r="S71" t="e">
            <v>#NUM!</v>
          </cell>
          <cell r="T71" t="e">
            <v>#NUM!</v>
          </cell>
          <cell r="U71" t="e">
            <v>#NUM!</v>
          </cell>
          <cell r="V71" t="e">
            <v>#NUM!</v>
          </cell>
          <cell r="W71" t="e">
            <v>#NUM!</v>
          </cell>
          <cell r="X71" t="e">
            <v>#NUM!</v>
          </cell>
          <cell r="Y71" t="e">
            <v>#NUM!</v>
          </cell>
          <cell r="Z71" t="e">
            <v>#NUM!</v>
          </cell>
        </row>
        <row r="72">
          <cell r="F72" t="e">
            <v>#NUM!</v>
          </cell>
          <cell r="G72" t="e">
            <v>#NUM!</v>
          </cell>
          <cell r="H72" t="e">
            <v>#NUM!</v>
          </cell>
          <cell r="I72" t="e">
            <v>#NUM!</v>
          </cell>
          <cell r="J72" t="e">
            <v>#NUM!</v>
          </cell>
          <cell r="K72" t="e">
            <v>#NUM!</v>
          </cell>
          <cell r="L72" t="e">
            <v>#NUM!</v>
          </cell>
          <cell r="M72" t="e">
            <v>#NUM!</v>
          </cell>
          <cell r="N72" t="e">
            <v>#NUM!</v>
          </cell>
          <cell r="O72" t="e">
            <v>#NUM!</v>
          </cell>
          <cell r="P72" t="e">
            <v>#NUM!</v>
          </cell>
          <cell r="Q72" t="e">
            <v>#NUM!</v>
          </cell>
          <cell r="R72" t="e">
            <v>#NUM!</v>
          </cell>
          <cell r="S72" t="e">
            <v>#NUM!</v>
          </cell>
          <cell r="T72" t="e">
            <v>#NUM!</v>
          </cell>
          <cell r="U72" t="e">
            <v>#NUM!</v>
          </cell>
          <cell r="V72" t="e">
            <v>#NUM!</v>
          </cell>
          <cell r="W72" t="e">
            <v>#NUM!</v>
          </cell>
          <cell r="X72" t="e">
            <v>#NUM!</v>
          </cell>
          <cell r="Y72" t="e">
            <v>#NUM!</v>
          </cell>
          <cell r="Z72" t="e">
            <v>#NUM!</v>
          </cell>
        </row>
        <row r="73">
          <cell r="F73" t="e">
            <v>#NUM!</v>
          </cell>
          <cell r="G73" t="e">
            <v>#NUM!</v>
          </cell>
          <cell r="H73" t="e">
            <v>#NUM!</v>
          </cell>
          <cell r="I73" t="e">
            <v>#NUM!</v>
          </cell>
          <cell r="J73" t="e">
            <v>#NUM!</v>
          </cell>
          <cell r="K73" t="e">
            <v>#NUM!</v>
          </cell>
          <cell r="L73" t="e">
            <v>#NUM!</v>
          </cell>
          <cell r="M73" t="e">
            <v>#NUM!</v>
          </cell>
          <cell r="N73" t="e">
            <v>#NUM!</v>
          </cell>
          <cell r="O73" t="e">
            <v>#NUM!</v>
          </cell>
          <cell r="P73" t="e">
            <v>#NUM!</v>
          </cell>
          <cell r="Q73" t="e">
            <v>#NUM!</v>
          </cell>
          <cell r="R73" t="e">
            <v>#NUM!</v>
          </cell>
          <cell r="S73" t="e">
            <v>#NUM!</v>
          </cell>
          <cell r="T73" t="e">
            <v>#NUM!</v>
          </cell>
          <cell r="U73" t="e">
            <v>#NUM!</v>
          </cell>
          <cell r="V73" t="e">
            <v>#NUM!</v>
          </cell>
          <cell r="W73" t="e">
            <v>#NUM!</v>
          </cell>
          <cell r="X73" t="e">
            <v>#NUM!</v>
          </cell>
          <cell r="Y73" t="e">
            <v>#NUM!</v>
          </cell>
          <cell r="Z73" t="e">
            <v>#NUM!</v>
          </cell>
        </row>
        <row r="74">
          <cell r="F74" t="e">
            <v>#NUM!</v>
          </cell>
          <cell r="G74" t="e">
            <v>#NUM!</v>
          </cell>
          <cell r="H74" t="e">
            <v>#NUM!</v>
          </cell>
          <cell r="I74" t="e">
            <v>#NUM!</v>
          </cell>
          <cell r="J74" t="e">
            <v>#NUM!</v>
          </cell>
          <cell r="K74" t="e">
            <v>#NUM!</v>
          </cell>
          <cell r="L74" t="e">
            <v>#NUM!</v>
          </cell>
          <cell r="M74" t="e">
            <v>#NUM!</v>
          </cell>
          <cell r="N74" t="e">
            <v>#NUM!</v>
          </cell>
          <cell r="O74" t="e">
            <v>#NUM!</v>
          </cell>
          <cell r="P74" t="e">
            <v>#NUM!</v>
          </cell>
          <cell r="Q74" t="e">
            <v>#NUM!</v>
          </cell>
          <cell r="R74" t="e">
            <v>#NUM!</v>
          </cell>
          <cell r="S74" t="e">
            <v>#NUM!</v>
          </cell>
          <cell r="T74" t="e">
            <v>#NUM!</v>
          </cell>
          <cell r="U74" t="e">
            <v>#NUM!</v>
          </cell>
          <cell r="V74" t="e">
            <v>#NUM!</v>
          </cell>
          <cell r="W74" t="e">
            <v>#NUM!</v>
          </cell>
          <cell r="X74" t="e">
            <v>#NUM!</v>
          </cell>
          <cell r="Y74" t="e">
            <v>#NUM!</v>
          </cell>
          <cell r="Z74" t="e">
            <v>#NUM!</v>
          </cell>
        </row>
        <row r="75">
          <cell r="F75" t="e">
            <v>#NUM!</v>
          </cell>
          <cell r="G75" t="e">
            <v>#NUM!</v>
          </cell>
          <cell r="H75" t="e">
            <v>#NUM!</v>
          </cell>
          <cell r="I75" t="e">
            <v>#NUM!</v>
          </cell>
          <cell r="J75" t="e">
            <v>#NUM!</v>
          </cell>
          <cell r="K75" t="e">
            <v>#NUM!</v>
          </cell>
          <cell r="L75" t="e">
            <v>#NUM!</v>
          </cell>
          <cell r="M75" t="e">
            <v>#NUM!</v>
          </cell>
          <cell r="N75" t="e">
            <v>#NUM!</v>
          </cell>
          <cell r="O75" t="e">
            <v>#NUM!</v>
          </cell>
          <cell r="P75" t="e">
            <v>#NUM!</v>
          </cell>
          <cell r="Q75" t="e">
            <v>#NUM!</v>
          </cell>
          <cell r="R75" t="e">
            <v>#NUM!</v>
          </cell>
          <cell r="S75" t="e">
            <v>#NUM!</v>
          </cell>
          <cell r="T75" t="e">
            <v>#NUM!</v>
          </cell>
          <cell r="U75" t="e">
            <v>#NUM!</v>
          </cell>
          <cell r="V75" t="e">
            <v>#NUM!</v>
          </cell>
          <cell r="W75" t="e">
            <v>#NUM!</v>
          </cell>
          <cell r="X75" t="e">
            <v>#NUM!</v>
          </cell>
          <cell r="Y75" t="e">
            <v>#NUM!</v>
          </cell>
          <cell r="Z75" t="e">
            <v>#NUM!</v>
          </cell>
        </row>
        <row r="76">
          <cell r="F76" t="e">
            <v>#NUM!</v>
          </cell>
          <cell r="G76" t="e">
            <v>#NUM!</v>
          </cell>
          <cell r="H76" t="e">
            <v>#NUM!</v>
          </cell>
          <cell r="I76" t="e">
            <v>#NUM!</v>
          </cell>
          <cell r="J76" t="e">
            <v>#NUM!</v>
          </cell>
          <cell r="K76" t="e">
            <v>#NUM!</v>
          </cell>
          <cell r="L76" t="e">
            <v>#NUM!</v>
          </cell>
          <cell r="M76" t="e">
            <v>#NUM!</v>
          </cell>
          <cell r="N76" t="e">
            <v>#NUM!</v>
          </cell>
          <cell r="O76" t="e">
            <v>#NUM!</v>
          </cell>
          <cell r="P76" t="e">
            <v>#NUM!</v>
          </cell>
          <cell r="Q76" t="e">
            <v>#NUM!</v>
          </cell>
          <cell r="R76" t="e">
            <v>#NUM!</v>
          </cell>
          <cell r="S76" t="e">
            <v>#NUM!</v>
          </cell>
          <cell r="T76" t="e">
            <v>#NUM!</v>
          </cell>
          <cell r="U76" t="e">
            <v>#NUM!</v>
          </cell>
          <cell r="V76" t="e">
            <v>#NUM!</v>
          </cell>
          <cell r="W76" t="e">
            <v>#NUM!</v>
          </cell>
          <cell r="X76" t="e">
            <v>#NUM!</v>
          </cell>
          <cell r="Y76" t="e">
            <v>#NUM!</v>
          </cell>
          <cell r="Z76" t="e">
            <v>#NUM!</v>
          </cell>
        </row>
        <row r="77">
          <cell r="F77" t="e">
            <v>#NUM!</v>
          </cell>
          <cell r="G77" t="e">
            <v>#NUM!</v>
          </cell>
          <cell r="H77" t="e">
            <v>#NUM!</v>
          </cell>
          <cell r="I77" t="e">
            <v>#NUM!</v>
          </cell>
          <cell r="J77" t="e">
            <v>#NUM!</v>
          </cell>
          <cell r="K77" t="e">
            <v>#NUM!</v>
          </cell>
          <cell r="L77" t="e">
            <v>#NUM!</v>
          </cell>
          <cell r="M77" t="e">
            <v>#NUM!</v>
          </cell>
          <cell r="N77" t="e">
            <v>#NUM!</v>
          </cell>
          <cell r="O77" t="e">
            <v>#NUM!</v>
          </cell>
          <cell r="P77" t="e">
            <v>#NUM!</v>
          </cell>
          <cell r="Q77" t="e">
            <v>#NUM!</v>
          </cell>
          <cell r="R77" t="e">
            <v>#NUM!</v>
          </cell>
          <cell r="S77" t="e">
            <v>#NUM!</v>
          </cell>
          <cell r="T77" t="e">
            <v>#NUM!</v>
          </cell>
          <cell r="U77" t="e">
            <v>#NUM!</v>
          </cell>
          <cell r="V77" t="e">
            <v>#NUM!</v>
          </cell>
          <cell r="W77" t="e">
            <v>#NUM!</v>
          </cell>
          <cell r="X77" t="e">
            <v>#NUM!</v>
          </cell>
          <cell r="Y77" t="e">
            <v>#NUM!</v>
          </cell>
          <cell r="Z77" t="e">
            <v>#NUM!</v>
          </cell>
        </row>
        <row r="78">
          <cell r="F78" t="e">
            <v>#NUM!</v>
          </cell>
          <cell r="G78" t="e">
            <v>#NUM!</v>
          </cell>
          <cell r="H78" t="e">
            <v>#NUM!</v>
          </cell>
          <cell r="I78" t="e">
            <v>#NUM!</v>
          </cell>
          <cell r="J78" t="e">
            <v>#NUM!</v>
          </cell>
          <cell r="K78" t="e">
            <v>#NUM!</v>
          </cell>
          <cell r="L78" t="e">
            <v>#NUM!</v>
          </cell>
          <cell r="M78" t="e">
            <v>#NUM!</v>
          </cell>
          <cell r="N78" t="e">
            <v>#NUM!</v>
          </cell>
          <cell r="O78" t="e">
            <v>#NUM!</v>
          </cell>
          <cell r="P78" t="e">
            <v>#NUM!</v>
          </cell>
          <cell r="Q78" t="e">
            <v>#NUM!</v>
          </cell>
          <cell r="R78" t="e">
            <v>#NUM!</v>
          </cell>
          <cell r="S78" t="e">
            <v>#NUM!</v>
          </cell>
          <cell r="T78" t="e">
            <v>#NUM!</v>
          </cell>
          <cell r="U78" t="e">
            <v>#NUM!</v>
          </cell>
          <cell r="V78" t="e">
            <v>#NUM!</v>
          </cell>
          <cell r="W78" t="e">
            <v>#NUM!</v>
          </cell>
          <cell r="X78" t="e">
            <v>#NUM!</v>
          </cell>
          <cell r="Y78" t="e">
            <v>#NUM!</v>
          </cell>
          <cell r="Z78" t="e">
            <v>#NUM!</v>
          </cell>
        </row>
        <row r="79">
          <cell r="F79" t="e">
            <v>#NUM!</v>
          </cell>
          <cell r="G79" t="e">
            <v>#NUM!</v>
          </cell>
          <cell r="H79" t="e">
            <v>#NUM!</v>
          </cell>
          <cell r="I79" t="e">
            <v>#NUM!</v>
          </cell>
          <cell r="J79" t="e">
            <v>#NUM!</v>
          </cell>
          <cell r="K79" t="e">
            <v>#NUM!</v>
          </cell>
          <cell r="L79" t="e">
            <v>#NUM!</v>
          </cell>
          <cell r="M79" t="e">
            <v>#NUM!</v>
          </cell>
          <cell r="N79" t="e">
            <v>#NUM!</v>
          </cell>
          <cell r="O79" t="e">
            <v>#NUM!</v>
          </cell>
          <cell r="P79" t="e">
            <v>#NUM!</v>
          </cell>
          <cell r="Q79" t="e">
            <v>#NUM!</v>
          </cell>
          <cell r="R79" t="e">
            <v>#NUM!</v>
          </cell>
          <cell r="S79" t="e">
            <v>#NUM!</v>
          </cell>
          <cell r="T79" t="e">
            <v>#NUM!</v>
          </cell>
          <cell r="U79" t="e">
            <v>#NUM!</v>
          </cell>
          <cell r="V79" t="e">
            <v>#NUM!</v>
          </cell>
          <cell r="W79" t="e">
            <v>#NUM!</v>
          </cell>
          <cell r="X79" t="e">
            <v>#NUM!</v>
          </cell>
          <cell r="Y79" t="e">
            <v>#NUM!</v>
          </cell>
          <cell r="Z79" t="e">
            <v>#NUM!</v>
          </cell>
        </row>
        <row r="80">
          <cell r="F80" t="e">
            <v>#NUM!</v>
          </cell>
          <cell r="G80" t="e">
            <v>#NUM!</v>
          </cell>
          <cell r="H80" t="e">
            <v>#NUM!</v>
          </cell>
          <cell r="I80" t="e">
            <v>#NUM!</v>
          </cell>
          <cell r="J80" t="e">
            <v>#NUM!</v>
          </cell>
          <cell r="K80" t="e">
            <v>#NUM!</v>
          </cell>
          <cell r="L80" t="e">
            <v>#NUM!</v>
          </cell>
          <cell r="M80" t="e">
            <v>#NUM!</v>
          </cell>
          <cell r="N80" t="e">
            <v>#NUM!</v>
          </cell>
          <cell r="O80" t="e">
            <v>#NUM!</v>
          </cell>
          <cell r="P80" t="e">
            <v>#NUM!</v>
          </cell>
          <cell r="Q80" t="e">
            <v>#NUM!</v>
          </cell>
          <cell r="R80" t="e">
            <v>#NUM!</v>
          </cell>
          <cell r="S80" t="e">
            <v>#NUM!</v>
          </cell>
          <cell r="T80" t="e">
            <v>#NUM!</v>
          </cell>
          <cell r="U80" t="e">
            <v>#NUM!</v>
          </cell>
          <cell r="V80" t="e">
            <v>#NUM!</v>
          </cell>
          <cell r="W80" t="e">
            <v>#NUM!</v>
          </cell>
          <cell r="X80" t="e">
            <v>#NUM!</v>
          </cell>
          <cell r="Y80" t="e">
            <v>#NUM!</v>
          </cell>
          <cell r="Z80" t="e">
            <v>#NUM!</v>
          </cell>
        </row>
        <row r="81">
          <cell r="F81" t="e">
            <v>#NUM!</v>
          </cell>
          <cell r="G81" t="e">
            <v>#NUM!</v>
          </cell>
          <cell r="H81" t="e">
            <v>#NUM!</v>
          </cell>
          <cell r="I81" t="e">
            <v>#NUM!</v>
          </cell>
          <cell r="J81" t="e">
            <v>#NUM!</v>
          </cell>
          <cell r="K81" t="e">
            <v>#NUM!</v>
          </cell>
          <cell r="L81" t="e">
            <v>#NUM!</v>
          </cell>
          <cell r="M81" t="e">
            <v>#NUM!</v>
          </cell>
          <cell r="N81" t="e">
            <v>#NUM!</v>
          </cell>
          <cell r="O81" t="e">
            <v>#NUM!</v>
          </cell>
          <cell r="P81" t="e">
            <v>#NUM!</v>
          </cell>
          <cell r="Q81" t="e">
            <v>#NUM!</v>
          </cell>
          <cell r="R81" t="e">
            <v>#NUM!</v>
          </cell>
          <cell r="S81" t="e">
            <v>#NUM!</v>
          </cell>
          <cell r="T81" t="e">
            <v>#NUM!</v>
          </cell>
          <cell r="U81" t="e">
            <v>#NUM!</v>
          </cell>
          <cell r="V81" t="e">
            <v>#NUM!</v>
          </cell>
          <cell r="W81" t="e">
            <v>#NUM!</v>
          </cell>
          <cell r="X81" t="e">
            <v>#NUM!</v>
          </cell>
          <cell r="Y81" t="e">
            <v>#NUM!</v>
          </cell>
          <cell r="Z81" t="e">
            <v>#NUM!</v>
          </cell>
        </row>
        <row r="82">
          <cell r="F82" t="e">
            <v>#NUM!</v>
          </cell>
          <cell r="G82" t="e">
            <v>#NUM!</v>
          </cell>
          <cell r="H82" t="e">
            <v>#NUM!</v>
          </cell>
          <cell r="I82" t="e">
            <v>#NUM!</v>
          </cell>
          <cell r="J82" t="e">
            <v>#NUM!</v>
          </cell>
          <cell r="K82" t="e">
            <v>#NUM!</v>
          </cell>
          <cell r="L82" t="e">
            <v>#NUM!</v>
          </cell>
          <cell r="M82" t="e">
            <v>#NUM!</v>
          </cell>
          <cell r="N82" t="e">
            <v>#NUM!</v>
          </cell>
          <cell r="O82" t="e">
            <v>#NUM!</v>
          </cell>
          <cell r="P82" t="e">
            <v>#NUM!</v>
          </cell>
          <cell r="Q82" t="e">
            <v>#NUM!</v>
          </cell>
          <cell r="R82" t="e">
            <v>#NUM!</v>
          </cell>
          <cell r="S82" t="e">
            <v>#NUM!</v>
          </cell>
          <cell r="T82" t="e">
            <v>#NUM!</v>
          </cell>
          <cell r="U82" t="e">
            <v>#NUM!</v>
          </cell>
          <cell r="V82" t="e">
            <v>#NUM!</v>
          </cell>
          <cell r="W82" t="e">
            <v>#NUM!</v>
          </cell>
          <cell r="X82" t="e">
            <v>#NUM!</v>
          </cell>
          <cell r="Y82" t="e">
            <v>#NUM!</v>
          </cell>
          <cell r="Z82" t="e">
            <v>#NUM!</v>
          </cell>
        </row>
        <row r="83">
          <cell r="F83" t="e">
            <v>#NUM!</v>
          </cell>
          <cell r="G83" t="e">
            <v>#NUM!</v>
          </cell>
          <cell r="H83" t="e">
            <v>#NUM!</v>
          </cell>
          <cell r="I83" t="e">
            <v>#NUM!</v>
          </cell>
          <cell r="J83" t="e">
            <v>#NUM!</v>
          </cell>
          <cell r="K83" t="e">
            <v>#NUM!</v>
          </cell>
          <cell r="L83" t="e">
            <v>#NUM!</v>
          </cell>
          <cell r="M83" t="e">
            <v>#NUM!</v>
          </cell>
          <cell r="N83" t="e">
            <v>#NUM!</v>
          </cell>
          <cell r="O83" t="e">
            <v>#NUM!</v>
          </cell>
          <cell r="P83" t="e">
            <v>#NUM!</v>
          </cell>
          <cell r="Q83" t="e">
            <v>#NUM!</v>
          </cell>
          <cell r="R83" t="e">
            <v>#NUM!</v>
          </cell>
          <cell r="S83" t="e">
            <v>#NUM!</v>
          </cell>
          <cell r="T83" t="e">
            <v>#NUM!</v>
          </cell>
          <cell r="U83" t="e">
            <v>#NUM!</v>
          </cell>
          <cell r="V83" t="e">
            <v>#NUM!</v>
          </cell>
          <cell r="W83" t="e">
            <v>#NUM!</v>
          </cell>
          <cell r="X83" t="e">
            <v>#NUM!</v>
          </cell>
          <cell r="Y83" t="e">
            <v>#NUM!</v>
          </cell>
          <cell r="Z83" t="e">
            <v>#NUM!</v>
          </cell>
        </row>
        <row r="84">
          <cell r="O84" t="str">
            <v>TOTAL SQFT:</v>
          </cell>
          <cell r="P84">
            <v>1972</v>
          </cell>
          <cell r="Q84">
            <v>62</v>
          </cell>
          <cell r="R84">
            <v>0</v>
          </cell>
        </row>
        <row r="85">
          <cell r="Q85" t="str">
            <v>total panels</v>
          </cell>
          <cell r="R85" t="str">
            <v>total doors</v>
          </cell>
        </row>
        <row r="87">
          <cell r="F87" t="str">
            <v>JOB NUMBER</v>
          </cell>
          <cell r="G87" t="str">
            <v>CUSTOMER</v>
          </cell>
          <cell r="H87" t="str">
            <v>JOB NAME</v>
          </cell>
          <cell r="I87" t="str">
            <v>LOCATION</v>
          </cell>
          <cell r="J87" t="str">
            <v>PROD WEEK</v>
          </cell>
          <cell r="K87" t="str">
            <v>PRODDUEDATE</v>
          </cell>
          <cell r="L87" t="str">
            <v>GROUP_val</v>
          </cell>
          <cell r="M87" t="str">
            <v>SHIP DATE</v>
          </cell>
          <cell r="N87" t="str">
            <v>ENG STATUS</v>
          </cell>
          <cell r="O87" t="str">
            <v>PROD STATUS</v>
          </cell>
          <cell r="P87" t="str">
            <v>SQFT</v>
          </cell>
          <cell r="Q87" t="str">
            <v>PANELS</v>
          </cell>
          <cell r="R87" t="str">
            <v>DOORS</v>
          </cell>
          <cell r="S87" t="str">
            <v>BOX</v>
          </cell>
          <cell r="T87" t="str">
            <v>BUILT BY</v>
          </cell>
          <cell r="U87" t="str">
            <v>SO Code</v>
          </cell>
          <cell r="V87" t="str">
            <v>Job Total</v>
          </cell>
          <cell r="W87" t="str">
            <v>Confirmed</v>
          </cell>
          <cell r="X87" t="str">
            <v>Confm</v>
          </cell>
          <cell r="Y87" t="str">
            <v>FreightTyoe</v>
          </cell>
          <cell r="Z87" t="str">
            <v>CR</v>
          </cell>
        </row>
        <row r="88">
          <cell r="F88" t="str">
            <v>155-1098A</v>
          </cell>
          <cell r="G88" t="str">
            <v>Publix Super Markets Inc.</v>
          </cell>
          <cell r="H88" t="str">
            <v>Publix #1519   49.4</v>
          </cell>
          <cell r="I88" t="str">
            <v>Mooresville NC</v>
          </cell>
          <cell r="J88">
            <v>42387</v>
          </cell>
          <cell r="K88">
            <v>42382</v>
          </cell>
          <cell r="L88">
            <v>13</v>
          </cell>
          <cell r="M88">
            <v>42419</v>
          </cell>
          <cell r="N88" t="str">
            <v>PF</v>
          </cell>
          <cell r="O88" t="str">
            <v>F</v>
          </cell>
          <cell r="P88">
            <v>12382</v>
          </cell>
          <cell r="Q88">
            <v>296</v>
          </cell>
          <cell r="R88">
            <v>12</v>
          </cell>
          <cell r="S88">
            <v>82680.59</v>
          </cell>
          <cell r="T88" t="str">
            <v>GA</v>
          </cell>
          <cell r="U88" t="str">
            <v>4PD</v>
          </cell>
          <cell r="V88">
            <v>82680.591199999995</v>
          </cell>
          <cell r="W88" t="b">
            <v>1</v>
          </cell>
          <cell r="X88" t="str">
            <v>Yes</v>
          </cell>
          <cell r="Y88">
            <v>0</v>
          </cell>
          <cell r="Z88">
            <v>0</v>
          </cell>
        </row>
        <row r="89">
          <cell r="F89" t="str">
            <v>157-2203</v>
          </cell>
          <cell r="G89" t="str">
            <v>Aldi Inc- Tuly NY Division</v>
          </cell>
          <cell r="H89" t="str">
            <v>Aldi Store 86</v>
          </cell>
          <cell r="I89" t="str">
            <v>FAIRPORT NY</v>
          </cell>
          <cell r="J89">
            <v>42401</v>
          </cell>
          <cell r="K89">
            <v>42402</v>
          </cell>
          <cell r="L89">
            <v>0</v>
          </cell>
          <cell r="M89">
            <v>42405</v>
          </cell>
          <cell r="N89" t="str">
            <v>PF</v>
          </cell>
          <cell r="O89" t="str">
            <v>F</v>
          </cell>
          <cell r="P89">
            <v>3884</v>
          </cell>
          <cell r="Q89">
            <v>104</v>
          </cell>
          <cell r="R89">
            <v>1</v>
          </cell>
          <cell r="S89">
            <v>27909.13</v>
          </cell>
          <cell r="T89" t="str">
            <v>GA</v>
          </cell>
          <cell r="U89" t="str">
            <v>4PD</v>
          </cell>
          <cell r="V89">
            <v>33365.975700000003</v>
          </cell>
          <cell r="W89" t="b">
            <v>1</v>
          </cell>
          <cell r="X89" t="str">
            <v>Yes</v>
          </cell>
          <cell r="Y89">
            <v>0</v>
          </cell>
          <cell r="Z89" t="str">
            <v>A</v>
          </cell>
        </row>
        <row r="90">
          <cell r="F90" t="str">
            <v>157-0743</v>
          </cell>
          <cell r="G90" t="str">
            <v>Wal-Mart Store Planning</v>
          </cell>
          <cell r="H90" t="str">
            <v>Walmart 0655-10-FuelStation-NEW</v>
          </cell>
          <cell r="I90" t="str">
            <v>Madisonville (Hanson), KY</v>
          </cell>
          <cell r="J90">
            <v>42401</v>
          </cell>
          <cell r="K90">
            <v>42402</v>
          </cell>
          <cell r="L90">
            <v>20</v>
          </cell>
          <cell r="M90">
            <v>42412</v>
          </cell>
          <cell r="N90" t="str">
            <v>PF</v>
          </cell>
          <cell r="O90" t="str">
            <v>F</v>
          </cell>
          <cell r="P90">
            <v>887</v>
          </cell>
          <cell r="Q90">
            <v>30</v>
          </cell>
          <cell r="R90">
            <v>0</v>
          </cell>
          <cell r="S90">
            <v>6092.5</v>
          </cell>
          <cell r="T90" t="str">
            <v>GA</v>
          </cell>
          <cell r="U90" t="str">
            <v>4PD</v>
          </cell>
          <cell r="V90">
            <v>16638.018100000001</v>
          </cell>
          <cell r="W90" t="b">
            <v>1</v>
          </cell>
          <cell r="X90" t="str">
            <v>Yes</v>
          </cell>
          <cell r="Y90">
            <v>0</v>
          </cell>
          <cell r="Z90" t="str">
            <v>a</v>
          </cell>
        </row>
        <row r="91">
          <cell r="F91" t="str">
            <v>157-2209</v>
          </cell>
          <cell r="G91" t="str">
            <v>Wal-Mart Store Planning</v>
          </cell>
          <cell r="H91" t="str">
            <v>Walmart 0071-216-REM-SP</v>
          </cell>
          <cell r="I91" t="str">
            <v>Pocahontas, AR</v>
          </cell>
          <cell r="J91">
            <v>42401</v>
          </cell>
          <cell r="K91">
            <v>42402</v>
          </cell>
          <cell r="L91">
            <v>21.2</v>
          </cell>
          <cell r="M91">
            <v>42405</v>
          </cell>
          <cell r="N91" t="str">
            <v>PF</v>
          </cell>
          <cell r="O91" t="str">
            <v>F</v>
          </cell>
          <cell r="P91">
            <v>1092</v>
          </cell>
          <cell r="Q91">
            <v>31</v>
          </cell>
          <cell r="R91">
            <v>2</v>
          </cell>
          <cell r="S91">
            <v>10332.11</v>
          </cell>
          <cell r="T91" t="str">
            <v>GA</v>
          </cell>
          <cell r="U91" t="str">
            <v>4PD</v>
          </cell>
          <cell r="V91">
            <v>19523.1348</v>
          </cell>
          <cell r="W91" t="b">
            <v>1</v>
          </cell>
          <cell r="X91" t="str">
            <v>Yes</v>
          </cell>
          <cell r="Y91">
            <v>0</v>
          </cell>
          <cell r="Z91" t="str">
            <v>A</v>
          </cell>
        </row>
        <row r="92">
          <cell r="F92" t="str">
            <v>157-1151</v>
          </cell>
          <cell r="G92" t="str">
            <v>Wal-Mart Store Planning</v>
          </cell>
          <cell r="H92" t="str">
            <v>Walmart 4586-00-NHM-NEW-41</v>
          </cell>
          <cell r="I92" t="str">
            <v>Biloxi, MS</v>
          </cell>
          <cell r="J92">
            <v>42401</v>
          </cell>
          <cell r="K92">
            <v>42402</v>
          </cell>
          <cell r="L92">
            <v>22</v>
          </cell>
          <cell r="M92">
            <v>42412</v>
          </cell>
          <cell r="N92" t="str">
            <v>PF</v>
          </cell>
          <cell r="O92" t="str">
            <v>F</v>
          </cell>
          <cell r="P92">
            <v>4929</v>
          </cell>
          <cell r="Q92">
            <v>125</v>
          </cell>
          <cell r="R92">
            <v>1</v>
          </cell>
          <cell r="S92">
            <v>27040.75</v>
          </cell>
          <cell r="T92" t="str">
            <v>GA</v>
          </cell>
          <cell r="U92" t="str">
            <v>4PD</v>
          </cell>
          <cell r="V92">
            <v>57025.961300000003</v>
          </cell>
          <cell r="W92" t="b">
            <v>1</v>
          </cell>
          <cell r="X92" t="str">
            <v>Yes</v>
          </cell>
          <cell r="Y92">
            <v>0</v>
          </cell>
          <cell r="Z92" t="str">
            <v>A</v>
          </cell>
        </row>
        <row r="93">
          <cell r="F93" t="str">
            <v xml:space="preserve">167-0006 </v>
          </cell>
          <cell r="G93" t="str">
            <v>Two Farms, Inc.</v>
          </cell>
          <cell r="H93" t="str">
            <v>Royal Farms 221</v>
          </cell>
          <cell r="I93" t="str">
            <v>GLENOLDEN PA</v>
          </cell>
          <cell r="J93">
            <v>42401</v>
          </cell>
          <cell r="K93">
            <v>42402</v>
          </cell>
          <cell r="L93">
            <v>29</v>
          </cell>
          <cell r="M93">
            <v>42412</v>
          </cell>
          <cell r="N93" t="str">
            <v>PF</v>
          </cell>
          <cell r="O93" t="str">
            <v>F</v>
          </cell>
          <cell r="P93">
            <v>2323</v>
          </cell>
          <cell r="Q93">
            <v>82</v>
          </cell>
          <cell r="R93">
            <v>5</v>
          </cell>
          <cell r="S93">
            <v>21463.46</v>
          </cell>
          <cell r="T93" t="str">
            <v>GA</v>
          </cell>
          <cell r="U93" t="str">
            <v>4PD</v>
          </cell>
          <cell r="V93">
            <v>37206.055899999999</v>
          </cell>
          <cell r="W93" t="b">
            <v>1</v>
          </cell>
          <cell r="X93" t="str">
            <v>Yes</v>
          </cell>
          <cell r="Y93" t="str">
            <v>FBed</v>
          </cell>
          <cell r="Z93" t="str">
            <v>A</v>
          </cell>
        </row>
        <row r="94">
          <cell r="F94" t="str">
            <v>155-1179</v>
          </cell>
          <cell r="G94" t="str">
            <v>Dollar Tree Sourcing Comp. LLC</v>
          </cell>
          <cell r="H94" t="str">
            <v>DT# 6307   WM FLDLCRDR</v>
          </cell>
          <cell r="I94" t="str">
            <v>TOMS RIVER, NJ</v>
          </cell>
          <cell r="J94">
            <v>42408</v>
          </cell>
          <cell r="K94">
            <v>42402</v>
          </cell>
          <cell r="L94">
            <v>23</v>
          </cell>
          <cell r="M94">
            <v>42416</v>
          </cell>
          <cell r="N94" t="str">
            <v>PF</v>
          </cell>
          <cell r="O94" t="str">
            <v>F</v>
          </cell>
          <cell r="P94">
            <v>551</v>
          </cell>
          <cell r="Q94">
            <v>19</v>
          </cell>
          <cell r="R94">
            <v>2</v>
          </cell>
          <cell r="S94">
            <v>5302.05</v>
          </cell>
          <cell r="T94" t="str">
            <v>GA</v>
          </cell>
          <cell r="U94" t="str">
            <v>4PD</v>
          </cell>
          <cell r="V94">
            <v>9631.1023999999998</v>
          </cell>
          <cell r="W94" t="b">
            <v>1</v>
          </cell>
          <cell r="X94" t="str">
            <v>Yes</v>
          </cell>
          <cell r="Y94">
            <v>0</v>
          </cell>
          <cell r="Z94" t="str">
            <v>a</v>
          </cell>
        </row>
        <row r="95">
          <cell r="F95" t="e">
            <v>#NUM!</v>
          </cell>
          <cell r="G95" t="e">
            <v>#NUM!</v>
          </cell>
          <cell r="H95" t="e">
            <v>#NUM!</v>
          </cell>
          <cell r="I95" t="e">
            <v>#NUM!</v>
          </cell>
          <cell r="J95" t="e">
            <v>#NUM!</v>
          </cell>
          <cell r="K95" t="e">
            <v>#NUM!</v>
          </cell>
          <cell r="L95" t="e">
            <v>#NUM!</v>
          </cell>
          <cell r="M95" t="e">
            <v>#NUM!</v>
          </cell>
          <cell r="N95" t="e">
            <v>#NUM!</v>
          </cell>
          <cell r="O95" t="e">
            <v>#NUM!</v>
          </cell>
          <cell r="P95" t="e">
            <v>#NUM!</v>
          </cell>
          <cell r="Q95" t="e">
            <v>#NUM!</v>
          </cell>
          <cell r="R95" t="e">
            <v>#NUM!</v>
          </cell>
          <cell r="S95" t="e">
            <v>#NUM!</v>
          </cell>
          <cell r="T95" t="e">
            <v>#NUM!</v>
          </cell>
          <cell r="U95" t="e">
            <v>#NUM!</v>
          </cell>
          <cell r="V95" t="e">
            <v>#NUM!</v>
          </cell>
          <cell r="W95" t="e">
            <v>#NUM!</v>
          </cell>
          <cell r="X95" t="e">
            <v>#NUM!</v>
          </cell>
          <cell r="Y95" t="e">
            <v>#NUM!</v>
          </cell>
          <cell r="Z95" t="e">
            <v>#NUM!</v>
          </cell>
        </row>
        <row r="96">
          <cell r="F96" t="e">
            <v>#NUM!</v>
          </cell>
          <cell r="G96" t="e">
            <v>#NUM!</v>
          </cell>
          <cell r="H96" t="e">
            <v>#NUM!</v>
          </cell>
          <cell r="I96" t="e">
            <v>#NUM!</v>
          </cell>
          <cell r="J96" t="e">
            <v>#NUM!</v>
          </cell>
          <cell r="K96" t="e">
            <v>#NUM!</v>
          </cell>
          <cell r="L96" t="e">
            <v>#NUM!</v>
          </cell>
          <cell r="M96" t="e">
            <v>#NUM!</v>
          </cell>
          <cell r="N96" t="e">
            <v>#NUM!</v>
          </cell>
          <cell r="O96" t="e">
            <v>#NUM!</v>
          </cell>
          <cell r="P96" t="e">
            <v>#NUM!</v>
          </cell>
          <cell r="Q96" t="e">
            <v>#NUM!</v>
          </cell>
          <cell r="R96" t="e">
            <v>#NUM!</v>
          </cell>
          <cell r="S96" t="e">
            <v>#NUM!</v>
          </cell>
          <cell r="T96" t="e">
            <v>#NUM!</v>
          </cell>
          <cell r="U96" t="e">
            <v>#NUM!</v>
          </cell>
          <cell r="V96" t="e">
            <v>#NUM!</v>
          </cell>
          <cell r="W96" t="e">
            <v>#NUM!</v>
          </cell>
          <cell r="X96" t="e">
            <v>#NUM!</v>
          </cell>
          <cell r="Y96" t="e">
            <v>#NUM!</v>
          </cell>
          <cell r="Z96" t="e">
            <v>#NUM!</v>
          </cell>
        </row>
        <row r="97">
          <cell r="F97" t="e">
            <v>#NUM!</v>
          </cell>
          <cell r="G97" t="e">
            <v>#NUM!</v>
          </cell>
          <cell r="H97" t="e">
            <v>#NUM!</v>
          </cell>
          <cell r="I97" t="e">
            <v>#NUM!</v>
          </cell>
          <cell r="J97" t="e">
            <v>#NUM!</v>
          </cell>
          <cell r="K97" t="e">
            <v>#NUM!</v>
          </cell>
          <cell r="L97" t="e">
            <v>#NUM!</v>
          </cell>
          <cell r="M97" t="e">
            <v>#NUM!</v>
          </cell>
          <cell r="N97" t="e">
            <v>#NUM!</v>
          </cell>
          <cell r="O97" t="e">
            <v>#NUM!</v>
          </cell>
          <cell r="P97" t="e">
            <v>#NUM!</v>
          </cell>
          <cell r="Q97" t="e">
            <v>#NUM!</v>
          </cell>
          <cell r="R97" t="e">
            <v>#NUM!</v>
          </cell>
          <cell r="S97" t="e">
            <v>#NUM!</v>
          </cell>
          <cell r="T97" t="e">
            <v>#NUM!</v>
          </cell>
          <cell r="U97" t="e">
            <v>#NUM!</v>
          </cell>
          <cell r="V97" t="e">
            <v>#NUM!</v>
          </cell>
          <cell r="W97" t="e">
            <v>#NUM!</v>
          </cell>
          <cell r="X97" t="e">
            <v>#NUM!</v>
          </cell>
          <cell r="Y97" t="e">
            <v>#NUM!</v>
          </cell>
          <cell r="Z97" t="e">
            <v>#NUM!</v>
          </cell>
        </row>
        <row r="98">
          <cell r="F98" t="e">
            <v>#NUM!</v>
          </cell>
          <cell r="G98" t="e">
            <v>#NUM!</v>
          </cell>
          <cell r="H98" t="e">
            <v>#NUM!</v>
          </cell>
          <cell r="I98" t="e">
            <v>#NUM!</v>
          </cell>
          <cell r="J98" t="e">
            <v>#NUM!</v>
          </cell>
          <cell r="K98" t="e">
            <v>#NUM!</v>
          </cell>
          <cell r="L98" t="e">
            <v>#NUM!</v>
          </cell>
          <cell r="M98" t="e">
            <v>#NUM!</v>
          </cell>
          <cell r="N98" t="e">
            <v>#NUM!</v>
          </cell>
          <cell r="O98" t="e">
            <v>#NUM!</v>
          </cell>
          <cell r="P98" t="e">
            <v>#NUM!</v>
          </cell>
          <cell r="Q98" t="e">
            <v>#NUM!</v>
          </cell>
          <cell r="R98" t="e">
            <v>#NUM!</v>
          </cell>
          <cell r="S98" t="e">
            <v>#NUM!</v>
          </cell>
          <cell r="T98" t="e">
            <v>#NUM!</v>
          </cell>
          <cell r="U98" t="e">
            <v>#NUM!</v>
          </cell>
          <cell r="V98" t="e">
            <v>#NUM!</v>
          </cell>
          <cell r="W98" t="e">
            <v>#NUM!</v>
          </cell>
          <cell r="X98" t="e">
            <v>#NUM!</v>
          </cell>
          <cell r="Y98" t="e">
            <v>#NUM!</v>
          </cell>
          <cell r="Z98" t="e">
            <v>#NUM!</v>
          </cell>
        </row>
        <row r="99">
          <cell r="F99" t="e">
            <v>#NUM!</v>
          </cell>
          <cell r="G99" t="e">
            <v>#NUM!</v>
          </cell>
          <cell r="H99" t="e">
            <v>#NUM!</v>
          </cell>
          <cell r="I99" t="e">
            <v>#NUM!</v>
          </cell>
          <cell r="J99" t="e">
            <v>#NUM!</v>
          </cell>
          <cell r="K99" t="e">
            <v>#NUM!</v>
          </cell>
          <cell r="L99" t="e">
            <v>#NUM!</v>
          </cell>
          <cell r="M99" t="e">
            <v>#NUM!</v>
          </cell>
          <cell r="N99" t="e">
            <v>#NUM!</v>
          </cell>
          <cell r="O99" t="e">
            <v>#NUM!</v>
          </cell>
          <cell r="P99" t="e">
            <v>#NUM!</v>
          </cell>
          <cell r="Q99" t="e">
            <v>#NUM!</v>
          </cell>
          <cell r="R99" t="e">
            <v>#NUM!</v>
          </cell>
          <cell r="S99" t="e">
            <v>#NUM!</v>
          </cell>
          <cell r="T99" t="e">
            <v>#NUM!</v>
          </cell>
          <cell r="U99" t="e">
            <v>#NUM!</v>
          </cell>
          <cell r="V99" t="e">
            <v>#NUM!</v>
          </cell>
          <cell r="W99" t="e">
            <v>#NUM!</v>
          </cell>
          <cell r="X99" t="e">
            <v>#NUM!</v>
          </cell>
          <cell r="Y99" t="e">
            <v>#NUM!</v>
          </cell>
          <cell r="Z99" t="e">
            <v>#NUM!</v>
          </cell>
        </row>
        <row r="100">
          <cell r="F100" t="e">
            <v>#NUM!</v>
          </cell>
          <cell r="G100" t="e">
            <v>#NUM!</v>
          </cell>
          <cell r="H100" t="e">
            <v>#NUM!</v>
          </cell>
          <cell r="I100" t="e">
            <v>#NUM!</v>
          </cell>
          <cell r="J100" t="e">
            <v>#NUM!</v>
          </cell>
          <cell r="K100" t="e">
            <v>#NUM!</v>
          </cell>
          <cell r="L100" t="e">
            <v>#NUM!</v>
          </cell>
          <cell r="M100" t="e">
            <v>#NUM!</v>
          </cell>
          <cell r="N100" t="e">
            <v>#NUM!</v>
          </cell>
          <cell r="O100" t="e">
            <v>#NUM!</v>
          </cell>
          <cell r="P100" t="e">
            <v>#NUM!</v>
          </cell>
          <cell r="Q100" t="e">
            <v>#NUM!</v>
          </cell>
          <cell r="R100" t="e">
            <v>#NUM!</v>
          </cell>
          <cell r="S100" t="e">
            <v>#NUM!</v>
          </cell>
          <cell r="T100" t="e">
            <v>#NUM!</v>
          </cell>
          <cell r="U100" t="e">
            <v>#NUM!</v>
          </cell>
          <cell r="V100" t="e">
            <v>#NUM!</v>
          </cell>
          <cell r="W100" t="e">
            <v>#NUM!</v>
          </cell>
          <cell r="X100" t="e">
            <v>#NUM!</v>
          </cell>
          <cell r="Y100" t="e">
            <v>#NUM!</v>
          </cell>
          <cell r="Z100" t="e">
            <v>#NUM!</v>
          </cell>
        </row>
        <row r="101">
          <cell r="F101" t="e">
            <v>#NUM!</v>
          </cell>
          <cell r="G101" t="e">
            <v>#NUM!</v>
          </cell>
          <cell r="H101" t="e">
            <v>#NUM!</v>
          </cell>
          <cell r="I101" t="e">
            <v>#NUM!</v>
          </cell>
          <cell r="J101" t="e">
            <v>#NUM!</v>
          </cell>
          <cell r="K101" t="e">
            <v>#NUM!</v>
          </cell>
          <cell r="L101" t="e">
            <v>#NUM!</v>
          </cell>
          <cell r="M101" t="e">
            <v>#NUM!</v>
          </cell>
          <cell r="N101" t="e">
            <v>#NUM!</v>
          </cell>
          <cell r="O101" t="e">
            <v>#NUM!</v>
          </cell>
          <cell r="P101" t="e">
            <v>#NUM!</v>
          </cell>
          <cell r="Q101" t="e">
            <v>#NUM!</v>
          </cell>
          <cell r="R101" t="e">
            <v>#NUM!</v>
          </cell>
          <cell r="S101" t="e">
            <v>#NUM!</v>
          </cell>
          <cell r="T101" t="e">
            <v>#NUM!</v>
          </cell>
          <cell r="U101" t="e">
            <v>#NUM!</v>
          </cell>
          <cell r="V101" t="e">
            <v>#NUM!</v>
          </cell>
          <cell r="W101" t="e">
            <v>#NUM!</v>
          </cell>
          <cell r="X101" t="e">
            <v>#NUM!</v>
          </cell>
          <cell r="Y101" t="e">
            <v>#NUM!</v>
          </cell>
          <cell r="Z101" t="e">
            <v>#NUM!</v>
          </cell>
        </row>
        <row r="102">
          <cell r="F102" t="e">
            <v>#NUM!</v>
          </cell>
          <cell r="G102" t="e">
            <v>#NUM!</v>
          </cell>
          <cell r="H102" t="e">
            <v>#NUM!</v>
          </cell>
          <cell r="I102" t="e">
            <v>#NUM!</v>
          </cell>
          <cell r="J102" t="e">
            <v>#NUM!</v>
          </cell>
          <cell r="K102" t="e">
            <v>#NUM!</v>
          </cell>
          <cell r="L102" t="e">
            <v>#NUM!</v>
          </cell>
          <cell r="M102" t="e">
            <v>#NUM!</v>
          </cell>
          <cell r="N102" t="e">
            <v>#NUM!</v>
          </cell>
          <cell r="O102" t="e">
            <v>#NUM!</v>
          </cell>
          <cell r="P102" t="e">
            <v>#NUM!</v>
          </cell>
          <cell r="Q102" t="e">
            <v>#NUM!</v>
          </cell>
          <cell r="R102" t="e">
            <v>#NUM!</v>
          </cell>
          <cell r="S102" t="e">
            <v>#NUM!</v>
          </cell>
          <cell r="T102" t="e">
            <v>#NUM!</v>
          </cell>
          <cell r="U102" t="e">
            <v>#NUM!</v>
          </cell>
          <cell r="V102" t="e">
            <v>#NUM!</v>
          </cell>
          <cell r="W102" t="e">
            <v>#NUM!</v>
          </cell>
          <cell r="X102" t="e">
            <v>#NUM!</v>
          </cell>
          <cell r="Y102" t="e">
            <v>#NUM!</v>
          </cell>
          <cell r="Z102" t="e">
            <v>#NUM!</v>
          </cell>
        </row>
        <row r="103">
          <cell r="F103" t="e">
            <v>#NUM!</v>
          </cell>
          <cell r="G103" t="e">
            <v>#NUM!</v>
          </cell>
          <cell r="H103" t="e">
            <v>#NUM!</v>
          </cell>
          <cell r="I103" t="e">
            <v>#NUM!</v>
          </cell>
          <cell r="J103" t="e">
            <v>#NUM!</v>
          </cell>
          <cell r="K103" t="e">
            <v>#NUM!</v>
          </cell>
          <cell r="L103" t="e">
            <v>#NUM!</v>
          </cell>
          <cell r="M103" t="e">
            <v>#NUM!</v>
          </cell>
          <cell r="N103" t="e">
            <v>#NUM!</v>
          </cell>
          <cell r="O103" t="e">
            <v>#NUM!</v>
          </cell>
          <cell r="P103" t="e">
            <v>#NUM!</v>
          </cell>
          <cell r="Q103" t="e">
            <v>#NUM!</v>
          </cell>
          <cell r="R103" t="e">
            <v>#NUM!</v>
          </cell>
          <cell r="S103" t="e">
            <v>#NUM!</v>
          </cell>
          <cell r="T103" t="e">
            <v>#NUM!</v>
          </cell>
          <cell r="U103" t="e">
            <v>#NUM!</v>
          </cell>
          <cell r="V103" t="e">
            <v>#NUM!</v>
          </cell>
          <cell r="W103" t="e">
            <v>#NUM!</v>
          </cell>
          <cell r="X103" t="e">
            <v>#NUM!</v>
          </cell>
          <cell r="Y103" t="e">
            <v>#NUM!</v>
          </cell>
          <cell r="Z103" t="e">
            <v>#NUM!</v>
          </cell>
        </row>
        <row r="104">
          <cell r="F104" t="e">
            <v>#NUM!</v>
          </cell>
          <cell r="G104" t="e">
            <v>#NUM!</v>
          </cell>
          <cell r="H104" t="e">
            <v>#NUM!</v>
          </cell>
          <cell r="I104" t="e">
            <v>#NUM!</v>
          </cell>
          <cell r="J104" t="e">
            <v>#NUM!</v>
          </cell>
          <cell r="K104" t="e">
            <v>#NUM!</v>
          </cell>
          <cell r="L104" t="e">
            <v>#NUM!</v>
          </cell>
          <cell r="M104" t="e">
            <v>#NUM!</v>
          </cell>
          <cell r="N104" t="e">
            <v>#NUM!</v>
          </cell>
          <cell r="O104" t="e">
            <v>#NUM!</v>
          </cell>
          <cell r="P104" t="e">
            <v>#NUM!</v>
          </cell>
          <cell r="Q104" t="e">
            <v>#NUM!</v>
          </cell>
          <cell r="R104" t="e">
            <v>#NUM!</v>
          </cell>
          <cell r="S104" t="e">
            <v>#NUM!</v>
          </cell>
          <cell r="T104" t="e">
            <v>#NUM!</v>
          </cell>
          <cell r="U104" t="e">
            <v>#NUM!</v>
          </cell>
          <cell r="V104" t="e">
            <v>#NUM!</v>
          </cell>
          <cell r="W104" t="e">
            <v>#NUM!</v>
          </cell>
          <cell r="X104" t="e">
            <v>#NUM!</v>
          </cell>
          <cell r="Y104" t="e">
            <v>#NUM!</v>
          </cell>
          <cell r="Z104" t="e">
            <v>#NUM!</v>
          </cell>
        </row>
        <row r="105">
          <cell r="F105" t="e">
            <v>#NUM!</v>
          </cell>
          <cell r="G105" t="e">
            <v>#NUM!</v>
          </cell>
          <cell r="H105" t="e">
            <v>#NUM!</v>
          </cell>
          <cell r="I105" t="e">
            <v>#NUM!</v>
          </cell>
          <cell r="J105" t="e">
            <v>#NUM!</v>
          </cell>
          <cell r="K105" t="e">
            <v>#NUM!</v>
          </cell>
          <cell r="L105" t="e">
            <v>#NUM!</v>
          </cell>
          <cell r="M105" t="e">
            <v>#NUM!</v>
          </cell>
          <cell r="N105" t="e">
            <v>#NUM!</v>
          </cell>
          <cell r="O105" t="e">
            <v>#NUM!</v>
          </cell>
          <cell r="P105" t="e">
            <v>#NUM!</v>
          </cell>
          <cell r="Q105" t="e">
            <v>#NUM!</v>
          </cell>
          <cell r="R105" t="e">
            <v>#NUM!</v>
          </cell>
          <cell r="S105" t="e">
            <v>#NUM!</v>
          </cell>
          <cell r="T105" t="e">
            <v>#NUM!</v>
          </cell>
          <cell r="U105" t="e">
            <v>#NUM!</v>
          </cell>
          <cell r="V105" t="e">
            <v>#NUM!</v>
          </cell>
          <cell r="W105" t="e">
            <v>#NUM!</v>
          </cell>
          <cell r="X105" t="e">
            <v>#NUM!</v>
          </cell>
          <cell r="Y105" t="e">
            <v>#NUM!</v>
          </cell>
          <cell r="Z105" t="e">
            <v>#NUM!</v>
          </cell>
        </row>
        <row r="106">
          <cell r="F106" t="e">
            <v>#NUM!</v>
          </cell>
          <cell r="G106" t="e">
            <v>#NUM!</v>
          </cell>
          <cell r="H106" t="e">
            <v>#NUM!</v>
          </cell>
          <cell r="I106" t="e">
            <v>#NUM!</v>
          </cell>
          <cell r="J106" t="e">
            <v>#NUM!</v>
          </cell>
          <cell r="K106" t="e">
            <v>#NUM!</v>
          </cell>
          <cell r="L106" t="e">
            <v>#NUM!</v>
          </cell>
          <cell r="M106" t="e">
            <v>#NUM!</v>
          </cell>
          <cell r="N106" t="e">
            <v>#NUM!</v>
          </cell>
          <cell r="O106" t="e">
            <v>#NUM!</v>
          </cell>
          <cell r="P106" t="e">
            <v>#NUM!</v>
          </cell>
          <cell r="Q106" t="e">
            <v>#NUM!</v>
          </cell>
          <cell r="R106" t="e">
            <v>#NUM!</v>
          </cell>
          <cell r="S106" t="e">
            <v>#NUM!</v>
          </cell>
          <cell r="T106" t="e">
            <v>#NUM!</v>
          </cell>
          <cell r="U106" t="e">
            <v>#NUM!</v>
          </cell>
          <cell r="V106" t="e">
            <v>#NUM!</v>
          </cell>
          <cell r="W106" t="e">
            <v>#NUM!</v>
          </cell>
          <cell r="X106" t="e">
            <v>#NUM!</v>
          </cell>
          <cell r="Y106" t="e">
            <v>#NUM!</v>
          </cell>
          <cell r="Z106" t="e">
            <v>#NUM!</v>
          </cell>
        </row>
        <row r="107">
          <cell r="F107" t="e">
            <v>#NUM!</v>
          </cell>
          <cell r="G107" t="e">
            <v>#NUM!</v>
          </cell>
          <cell r="H107" t="e">
            <v>#NUM!</v>
          </cell>
          <cell r="I107" t="e">
            <v>#NUM!</v>
          </cell>
          <cell r="J107" t="e">
            <v>#NUM!</v>
          </cell>
          <cell r="K107" t="e">
            <v>#NUM!</v>
          </cell>
          <cell r="L107" t="e">
            <v>#NUM!</v>
          </cell>
          <cell r="M107" t="e">
            <v>#NUM!</v>
          </cell>
          <cell r="N107" t="e">
            <v>#NUM!</v>
          </cell>
          <cell r="O107" t="e">
            <v>#NUM!</v>
          </cell>
          <cell r="P107" t="e">
            <v>#NUM!</v>
          </cell>
          <cell r="Q107" t="e">
            <v>#NUM!</v>
          </cell>
          <cell r="R107" t="e">
            <v>#NUM!</v>
          </cell>
          <cell r="S107" t="e">
            <v>#NUM!</v>
          </cell>
          <cell r="T107" t="e">
            <v>#NUM!</v>
          </cell>
          <cell r="U107" t="e">
            <v>#NUM!</v>
          </cell>
          <cell r="V107" t="e">
            <v>#NUM!</v>
          </cell>
          <cell r="W107" t="e">
            <v>#NUM!</v>
          </cell>
          <cell r="X107" t="e">
            <v>#NUM!</v>
          </cell>
          <cell r="Y107" t="e">
            <v>#NUM!</v>
          </cell>
          <cell r="Z107" t="e">
            <v>#NUM!</v>
          </cell>
        </row>
        <row r="108">
          <cell r="F108" t="e">
            <v>#NUM!</v>
          </cell>
          <cell r="G108" t="e">
            <v>#NUM!</v>
          </cell>
          <cell r="H108" t="e">
            <v>#NUM!</v>
          </cell>
          <cell r="I108" t="e">
            <v>#NUM!</v>
          </cell>
          <cell r="J108" t="e">
            <v>#NUM!</v>
          </cell>
          <cell r="K108" t="e">
            <v>#NUM!</v>
          </cell>
          <cell r="L108" t="e">
            <v>#NUM!</v>
          </cell>
          <cell r="M108" t="e">
            <v>#NUM!</v>
          </cell>
          <cell r="N108" t="e">
            <v>#NUM!</v>
          </cell>
          <cell r="O108" t="e">
            <v>#NUM!</v>
          </cell>
          <cell r="P108" t="e">
            <v>#NUM!</v>
          </cell>
          <cell r="Q108" t="e">
            <v>#NUM!</v>
          </cell>
          <cell r="R108" t="e">
            <v>#NUM!</v>
          </cell>
          <cell r="S108" t="e">
            <v>#NUM!</v>
          </cell>
          <cell r="T108" t="e">
            <v>#NUM!</v>
          </cell>
          <cell r="U108" t="e">
            <v>#NUM!</v>
          </cell>
          <cell r="V108" t="e">
            <v>#NUM!</v>
          </cell>
          <cell r="W108" t="e">
            <v>#NUM!</v>
          </cell>
          <cell r="X108" t="e">
            <v>#NUM!</v>
          </cell>
          <cell r="Y108" t="e">
            <v>#NUM!</v>
          </cell>
          <cell r="Z108" t="e">
            <v>#NUM!</v>
          </cell>
        </row>
        <row r="109">
          <cell r="F109" t="e">
            <v>#NUM!</v>
          </cell>
          <cell r="G109" t="e">
            <v>#NUM!</v>
          </cell>
          <cell r="H109" t="e">
            <v>#NUM!</v>
          </cell>
          <cell r="I109" t="e">
            <v>#NUM!</v>
          </cell>
          <cell r="J109" t="e">
            <v>#NUM!</v>
          </cell>
          <cell r="K109" t="e">
            <v>#NUM!</v>
          </cell>
          <cell r="L109" t="e">
            <v>#NUM!</v>
          </cell>
          <cell r="M109" t="e">
            <v>#NUM!</v>
          </cell>
          <cell r="N109" t="e">
            <v>#NUM!</v>
          </cell>
          <cell r="O109" t="e">
            <v>#NUM!</v>
          </cell>
          <cell r="P109" t="e">
            <v>#NUM!</v>
          </cell>
          <cell r="Q109" t="e">
            <v>#NUM!</v>
          </cell>
          <cell r="R109" t="e">
            <v>#NUM!</v>
          </cell>
          <cell r="S109" t="e">
            <v>#NUM!</v>
          </cell>
          <cell r="T109" t="e">
            <v>#NUM!</v>
          </cell>
          <cell r="U109" t="e">
            <v>#NUM!</v>
          </cell>
          <cell r="V109" t="e">
            <v>#NUM!</v>
          </cell>
          <cell r="W109" t="e">
            <v>#NUM!</v>
          </cell>
          <cell r="X109" t="e">
            <v>#NUM!</v>
          </cell>
          <cell r="Y109" t="e">
            <v>#NUM!</v>
          </cell>
          <cell r="Z109" t="e">
            <v>#NUM!</v>
          </cell>
        </row>
        <row r="110">
          <cell r="F110" t="e">
            <v>#NUM!</v>
          </cell>
          <cell r="G110" t="e">
            <v>#NUM!</v>
          </cell>
          <cell r="H110" t="e">
            <v>#NUM!</v>
          </cell>
          <cell r="I110" t="e">
            <v>#NUM!</v>
          </cell>
          <cell r="J110" t="e">
            <v>#NUM!</v>
          </cell>
          <cell r="K110" t="e">
            <v>#NUM!</v>
          </cell>
          <cell r="L110" t="e">
            <v>#NUM!</v>
          </cell>
          <cell r="M110" t="e">
            <v>#NUM!</v>
          </cell>
          <cell r="N110" t="e">
            <v>#NUM!</v>
          </cell>
          <cell r="O110" t="e">
            <v>#NUM!</v>
          </cell>
          <cell r="P110" t="e">
            <v>#NUM!</v>
          </cell>
          <cell r="Q110" t="e">
            <v>#NUM!</v>
          </cell>
          <cell r="R110" t="e">
            <v>#NUM!</v>
          </cell>
          <cell r="S110" t="e">
            <v>#NUM!</v>
          </cell>
          <cell r="T110" t="e">
            <v>#NUM!</v>
          </cell>
          <cell r="U110" t="e">
            <v>#NUM!</v>
          </cell>
          <cell r="V110" t="e">
            <v>#NUM!</v>
          </cell>
          <cell r="W110" t="e">
            <v>#NUM!</v>
          </cell>
          <cell r="X110" t="e">
            <v>#NUM!</v>
          </cell>
          <cell r="Y110" t="e">
            <v>#NUM!</v>
          </cell>
          <cell r="Z110" t="e">
            <v>#NUM!</v>
          </cell>
        </row>
        <row r="111">
          <cell r="F111" t="e">
            <v>#NUM!</v>
          </cell>
          <cell r="G111" t="e">
            <v>#NUM!</v>
          </cell>
          <cell r="H111" t="e">
            <v>#NUM!</v>
          </cell>
          <cell r="I111" t="e">
            <v>#NUM!</v>
          </cell>
          <cell r="J111" t="e">
            <v>#NUM!</v>
          </cell>
          <cell r="K111" t="e">
            <v>#NUM!</v>
          </cell>
          <cell r="L111" t="e">
            <v>#NUM!</v>
          </cell>
          <cell r="M111" t="e">
            <v>#NUM!</v>
          </cell>
          <cell r="N111" t="e">
            <v>#NUM!</v>
          </cell>
          <cell r="O111" t="e">
            <v>#NUM!</v>
          </cell>
          <cell r="P111" t="e">
            <v>#NUM!</v>
          </cell>
          <cell r="Q111" t="e">
            <v>#NUM!</v>
          </cell>
          <cell r="R111" t="e">
            <v>#NUM!</v>
          </cell>
          <cell r="S111" t="e">
            <v>#NUM!</v>
          </cell>
          <cell r="T111" t="e">
            <v>#NUM!</v>
          </cell>
          <cell r="U111" t="e">
            <v>#NUM!</v>
          </cell>
          <cell r="V111" t="e">
            <v>#NUM!</v>
          </cell>
          <cell r="W111" t="e">
            <v>#NUM!</v>
          </cell>
          <cell r="X111" t="e">
            <v>#NUM!</v>
          </cell>
          <cell r="Y111" t="e">
            <v>#NUM!</v>
          </cell>
          <cell r="Z111" t="e">
            <v>#NUM!</v>
          </cell>
        </row>
        <row r="112">
          <cell r="F112" t="e">
            <v>#NUM!</v>
          </cell>
          <cell r="G112" t="e">
            <v>#NUM!</v>
          </cell>
          <cell r="H112" t="e">
            <v>#NUM!</v>
          </cell>
          <cell r="I112" t="e">
            <v>#NUM!</v>
          </cell>
          <cell r="J112" t="e">
            <v>#NUM!</v>
          </cell>
          <cell r="K112" t="e">
            <v>#NUM!</v>
          </cell>
          <cell r="L112" t="e">
            <v>#NUM!</v>
          </cell>
          <cell r="M112" t="e">
            <v>#NUM!</v>
          </cell>
          <cell r="N112" t="e">
            <v>#NUM!</v>
          </cell>
          <cell r="O112" t="e">
            <v>#NUM!</v>
          </cell>
          <cell r="P112" t="e">
            <v>#NUM!</v>
          </cell>
          <cell r="Q112" t="e">
            <v>#NUM!</v>
          </cell>
          <cell r="R112" t="e">
            <v>#NUM!</v>
          </cell>
          <cell r="S112" t="e">
            <v>#NUM!</v>
          </cell>
          <cell r="T112" t="e">
            <v>#NUM!</v>
          </cell>
          <cell r="U112" t="e">
            <v>#NUM!</v>
          </cell>
          <cell r="V112" t="e">
            <v>#NUM!</v>
          </cell>
          <cell r="W112" t="e">
            <v>#NUM!</v>
          </cell>
          <cell r="X112" t="e">
            <v>#NUM!</v>
          </cell>
          <cell r="Y112" t="e">
            <v>#NUM!</v>
          </cell>
          <cell r="Z112" t="e">
            <v>#NUM!</v>
          </cell>
        </row>
        <row r="113">
          <cell r="F113" t="e">
            <v>#NUM!</v>
          </cell>
          <cell r="G113" t="e">
            <v>#NUM!</v>
          </cell>
          <cell r="H113" t="e">
            <v>#NUM!</v>
          </cell>
          <cell r="I113" t="e">
            <v>#NUM!</v>
          </cell>
          <cell r="J113" t="e">
            <v>#NUM!</v>
          </cell>
          <cell r="K113" t="e">
            <v>#NUM!</v>
          </cell>
          <cell r="L113" t="e">
            <v>#NUM!</v>
          </cell>
          <cell r="M113" t="e">
            <v>#NUM!</v>
          </cell>
          <cell r="N113" t="e">
            <v>#NUM!</v>
          </cell>
          <cell r="O113" t="e">
            <v>#NUM!</v>
          </cell>
          <cell r="P113" t="e">
            <v>#NUM!</v>
          </cell>
          <cell r="Q113" t="e">
            <v>#NUM!</v>
          </cell>
          <cell r="R113" t="e">
            <v>#NUM!</v>
          </cell>
          <cell r="S113" t="e">
            <v>#NUM!</v>
          </cell>
          <cell r="T113" t="e">
            <v>#NUM!</v>
          </cell>
          <cell r="U113" t="e">
            <v>#NUM!</v>
          </cell>
          <cell r="V113" t="e">
            <v>#NUM!</v>
          </cell>
          <cell r="W113" t="e">
            <v>#NUM!</v>
          </cell>
          <cell r="X113" t="e">
            <v>#NUM!</v>
          </cell>
          <cell r="Y113" t="e">
            <v>#NUM!</v>
          </cell>
          <cell r="Z113" t="e">
            <v>#NUM!</v>
          </cell>
        </row>
        <row r="114">
          <cell r="F114" t="e">
            <v>#NUM!</v>
          </cell>
          <cell r="G114" t="e">
            <v>#NUM!</v>
          </cell>
          <cell r="H114" t="e">
            <v>#NUM!</v>
          </cell>
          <cell r="I114" t="e">
            <v>#NUM!</v>
          </cell>
          <cell r="J114" t="e">
            <v>#NUM!</v>
          </cell>
          <cell r="K114" t="e">
            <v>#NUM!</v>
          </cell>
          <cell r="L114" t="e">
            <v>#NUM!</v>
          </cell>
          <cell r="M114" t="e">
            <v>#NUM!</v>
          </cell>
          <cell r="N114" t="e">
            <v>#NUM!</v>
          </cell>
          <cell r="O114" t="e">
            <v>#NUM!</v>
          </cell>
          <cell r="P114" t="e">
            <v>#NUM!</v>
          </cell>
          <cell r="Q114" t="e">
            <v>#NUM!</v>
          </cell>
          <cell r="R114" t="e">
            <v>#NUM!</v>
          </cell>
          <cell r="S114" t="e">
            <v>#NUM!</v>
          </cell>
          <cell r="T114" t="e">
            <v>#NUM!</v>
          </cell>
          <cell r="U114" t="e">
            <v>#NUM!</v>
          </cell>
          <cell r="V114" t="e">
            <v>#NUM!</v>
          </cell>
          <cell r="W114" t="e">
            <v>#NUM!</v>
          </cell>
          <cell r="X114" t="e">
            <v>#NUM!</v>
          </cell>
          <cell r="Y114" t="e">
            <v>#NUM!</v>
          </cell>
          <cell r="Z114" t="e">
            <v>#NUM!</v>
          </cell>
        </row>
        <row r="115">
          <cell r="F115" t="e">
            <v>#NUM!</v>
          </cell>
          <cell r="G115" t="e">
            <v>#NUM!</v>
          </cell>
          <cell r="H115" t="e">
            <v>#NUM!</v>
          </cell>
          <cell r="I115" t="e">
            <v>#NUM!</v>
          </cell>
          <cell r="J115" t="e">
            <v>#NUM!</v>
          </cell>
          <cell r="K115" t="e">
            <v>#NUM!</v>
          </cell>
          <cell r="L115" t="e">
            <v>#NUM!</v>
          </cell>
          <cell r="M115" t="e">
            <v>#NUM!</v>
          </cell>
          <cell r="N115" t="e">
            <v>#NUM!</v>
          </cell>
          <cell r="O115" t="e">
            <v>#NUM!</v>
          </cell>
          <cell r="P115" t="e">
            <v>#NUM!</v>
          </cell>
          <cell r="Q115" t="e">
            <v>#NUM!</v>
          </cell>
          <cell r="R115" t="e">
            <v>#NUM!</v>
          </cell>
          <cell r="S115" t="e">
            <v>#NUM!</v>
          </cell>
          <cell r="T115" t="e">
            <v>#NUM!</v>
          </cell>
          <cell r="U115" t="e">
            <v>#NUM!</v>
          </cell>
          <cell r="V115" t="e">
            <v>#NUM!</v>
          </cell>
          <cell r="W115" t="e">
            <v>#NUM!</v>
          </cell>
          <cell r="X115" t="e">
            <v>#NUM!</v>
          </cell>
          <cell r="Y115" t="e">
            <v>#NUM!</v>
          </cell>
          <cell r="Z115" t="e">
            <v>#NUM!</v>
          </cell>
        </row>
        <row r="116">
          <cell r="F116" t="e">
            <v>#NUM!</v>
          </cell>
          <cell r="G116" t="e">
            <v>#NUM!</v>
          </cell>
          <cell r="H116" t="e">
            <v>#NUM!</v>
          </cell>
          <cell r="I116" t="e">
            <v>#NUM!</v>
          </cell>
          <cell r="J116" t="e">
            <v>#NUM!</v>
          </cell>
          <cell r="K116" t="e">
            <v>#NUM!</v>
          </cell>
          <cell r="L116" t="e">
            <v>#NUM!</v>
          </cell>
          <cell r="M116" t="e">
            <v>#NUM!</v>
          </cell>
          <cell r="N116" t="e">
            <v>#NUM!</v>
          </cell>
          <cell r="O116" t="e">
            <v>#NUM!</v>
          </cell>
          <cell r="P116" t="e">
            <v>#NUM!</v>
          </cell>
          <cell r="Q116" t="e">
            <v>#NUM!</v>
          </cell>
          <cell r="R116" t="e">
            <v>#NUM!</v>
          </cell>
          <cell r="S116" t="e">
            <v>#NUM!</v>
          </cell>
          <cell r="T116" t="e">
            <v>#NUM!</v>
          </cell>
          <cell r="U116" t="e">
            <v>#NUM!</v>
          </cell>
          <cell r="V116" t="e">
            <v>#NUM!</v>
          </cell>
          <cell r="W116" t="e">
            <v>#NUM!</v>
          </cell>
          <cell r="X116" t="e">
            <v>#NUM!</v>
          </cell>
          <cell r="Y116" t="e">
            <v>#NUM!</v>
          </cell>
          <cell r="Z116" t="e">
            <v>#NUM!</v>
          </cell>
        </row>
        <row r="117">
          <cell r="N117" t="str">
            <v>TOTAL SQFT:</v>
          </cell>
          <cell r="P117">
            <v>26048</v>
          </cell>
          <cell r="Q117">
            <v>687</v>
          </cell>
          <cell r="R117">
            <v>23</v>
          </cell>
        </row>
        <row r="118">
          <cell r="F118" t="str">
            <v>JOB NUMBER</v>
          </cell>
          <cell r="G118" t="str">
            <v>CUSTOMER</v>
          </cell>
          <cell r="H118" t="str">
            <v>JOB NAME</v>
          </cell>
          <cell r="I118" t="str">
            <v>LOCATION</v>
          </cell>
          <cell r="J118" t="str">
            <v>PROD WEEK</v>
          </cell>
          <cell r="K118" t="str">
            <v>PRODDUEDATE</v>
          </cell>
          <cell r="L118" t="str">
            <v>GROUP_val</v>
          </cell>
          <cell r="M118" t="str">
            <v>SHIP DATE</v>
          </cell>
          <cell r="N118" t="str">
            <v>ENG STATUS</v>
          </cell>
          <cell r="O118" t="str">
            <v>PROD STATUS</v>
          </cell>
          <cell r="P118" t="str">
            <v>SQFT</v>
          </cell>
          <cell r="Q118" t="str">
            <v>PANELS</v>
          </cell>
          <cell r="R118" t="str">
            <v>DOORS</v>
          </cell>
          <cell r="S118" t="str">
            <v>BOX</v>
          </cell>
          <cell r="T118" t="str">
            <v>BUILT BY</v>
          </cell>
          <cell r="U118" t="str">
            <v>SO Code</v>
          </cell>
          <cell r="V118" t="str">
            <v>Job Total</v>
          </cell>
          <cell r="W118" t="str">
            <v>Confirmed</v>
          </cell>
          <cell r="X118" t="str">
            <v>Confm</v>
          </cell>
          <cell r="Y118" t="str">
            <v>FreightTyoe</v>
          </cell>
          <cell r="Z118" t="str">
            <v>CR</v>
          </cell>
        </row>
        <row r="120">
          <cell r="F120" t="str">
            <v>155-0629</v>
          </cell>
          <cell r="G120" t="str">
            <v>Dollar Tree Sourcing Comp. LLC</v>
          </cell>
          <cell r="H120" t="str">
            <v>DT STOCK   WM FRDRCLDL  Rem/No Rack</v>
          </cell>
          <cell r="I120">
            <v>0</v>
          </cell>
          <cell r="J120">
            <v>42254</v>
          </cell>
          <cell r="K120">
            <v>42257</v>
          </cell>
          <cell r="L120">
            <v>21.2</v>
          </cell>
          <cell r="M120">
            <v>0</v>
          </cell>
          <cell r="N120" t="str">
            <v>PF</v>
          </cell>
          <cell r="O120" t="str">
            <v>D</v>
          </cell>
          <cell r="P120">
            <v>551</v>
          </cell>
          <cell r="Q120">
            <v>19</v>
          </cell>
          <cell r="R120">
            <v>2</v>
          </cell>
          <cell r="S120">
            <v>5398.44</v>
          </cell>
          <cell r="T120" t="str">
            <v>GA</v>
          </cell>
          <cell r="U120" t="str">
            <v>4PD</v>
          </cell>
          <cell r="V120">
            <v>9561.8916000000008</v>
          </cell>
          <cell r="W120" t="b">
            <v>1</v>
          </cell>
          <cell r="X120" t="str">
            <v>Yes</v>
          </cell>
          <cell r="Y120">
            <v>0</v>
          </cell>
          <cell r="Z120" t="str">
            <v>A</v>
          </cell>
        </row>
        <row r="121">
          <cell r="F121" t="e">
            <v>#NUM!</v>
          </cell>
          <cell r="G121" t="e">
            <v>#NUM!</v>
          </cell>
          <cell r="H121" t="e">
            <v>#NUM!</v>
          </cell>
          <cell r="I121" t="e">
            <v>#NUM!</v>
          </cell>
          <cell r="J121" t="e">
            <v>#NUM!</v>
          </cell>
          <cell r="K121" t="e">
            <v>#NUM!</v>
          </cell>
          <cell r="L121" t="e">
            <v>#NUM!</v>
          </cell>
          <cell r="M121" t="e">
            <v>#NUM!</v>
          </cell>
          <cell r="N121" t="e">
            <v>#NUM!</v>
          </cell>
          <cell r="O121" t="e">
            <v>#NUM!</v>
          </cell>
          <cell r="P121" t="e">
            <v>#NUM!</v>
          </cell>
          <cell r="Q121" t="e">
            <v>#NUM!</v>
          </cell>
          <cell r="R121" t="e">
            <v>#NUM!</v>
          </cell>
          <cell r="S121" t="e">
            <v>#NUM!</v>
          </cell>
          <cell r="T121" t="e">
            <v>#NUM!</v>
          </cell>
          <cell r="U121" t="e">
            <v>#NUM!</v>
          </cell>
          <cell r="V121" t="e">
            <v>#NUM!</v>
          </cell>
          <cell r="W121" t="e">
            <v>#NUM!</v>
          </cell>
          <cell r="X121" t="e">
            <v>#NUM!</v>
          </cell>
          <cell r="Y121" t="e">
            <v>#NUM!</v>
          </cell>
          <cell r="Z121" t="e">
            <v>#NUM!</v>
          </cell>
        </row>
        <row r="122">
          <cell r="F122" t="e">
            <v>#NUM!</v>
          </cell>
          <cell r="G122" t="e">
            <v>#NUM!</v>
          </cell>
          <cell r="H122" t="e">
            <v>#NUM!</v>
          </cell>
          <cell r="I122" t="e">
            <v>#NUM!</v>
          </cell>
          <cell r="J122" t="e">
            <v>#NUM!</v>
          </cell>
          <cell r="K122" t="e">
            <v>#NUM!</v>
          </cell>
          <cell r="L122" t="e">
            <v>#NUM!</v>
          </cell>
          <cell r="M122" t="e">
            <v>#NUM!</v>
          </cell>
          <cell r="N122" t="e">
            <v>#NUM!</v>
          </cell>
          <cell r="O122" t="e">
            <v>#NUM!</v>
          </cell>
          <cell r="P122" t="e">
            <v>#NUM!</v>
          </cell>
          <cell r="Q122" t="e">
            <v>#NUM!</v>
          </cell>
          <cell r="R122" t="e">
            <v>#NUM!</v>
          </cell>
          <cell r="S122" t="e">
            <v>#NUM!</v>
          </cell>
          <cell r="T122" t="e">
            <v>#NUM!</v>
          </cell>
          <cell r="U122" t="e">
            <v>#NUM!</v>
          </cell>
          <cell r="V122" t="e">
            <v>#NUM!</v>
          </cell>
          <cell r="W122" t="e">
            <v>#NUM!</v>
          </cell>
          <cell r="X122" t="e">
            <v>#NUM!</v>
          </cell>
          <cell r="Y122" t="e">
            <v>#NUM!</v>
          </cell>
          <cell r="Z122" t="e">
            <v>#NUM!</v>
          </cell>
        </row>
        <row r="123">
          <cell r="F123" t="e">
            <v>#NUM!</v>
          </cell>
          <cell r="G123" t="e">
            <v>#NUM!</v>
          </cell>
          <cell r="H123" t="e">
            <v>#NUM!</v>
          </cell>
          <cell r="I123" t="e">
            <v>#NUM!</v>
          </cell>
          <cell r="J123" t="e">
            <v>#NUM!</v>
          </cell>
          <cell r="K123" t="e">
            <v>#NUM!</v>
          </cell>
          <cell r="L123" t="e">
            <v>#NUM!</v>
          </cell>
          <cell r="M123" t="e">
            <v>#NUM!</v>
          </cell>
          <cell r="N123" t="e">
            <v>#NUM!</v>
          </cell>
          <cell r="O123" t="e">
            <v>#NUM!</v>
          </cell>
          <cell r="P123" t="e">
            <v>#NUM!</v>
          </cell>
          <cell r="Q123" t="e">
            <v>#NUM!</v>
          </cell>
          <cell r="R123" t="e">
            <v>#NUM!</v>
          </cell>
          <cell r="S123" t="e">
            <v>#NUM!</v>
          </cell>
          <cell r="T123" t="e">
            <v>#NUM!</v>
          </cell>
          <cell r="U123" t="e">
            <v>#NUM!</v>
          </cell>
          <cell r="V123" t="e">
            <v>#NUM!</v>
          </cell>
          <cell r="W123" t="e">
            <v>#NUM!</v>
          </cell>
          <cell r="X123" t="e">
            <v>#NUM!</v>
          </cell>
          <cell r="Y123" t="e">
            <v>#NUM!</v>
          </cell>
          <cell r="Z123" t="e">
            <v>#NUM!</v>
          </cell>
        </row>
        <row r="124">
          <cell r="F124" t="e">
            <v>#NUM!</v>
          </cell>
          <cell r="G124" t="e">
            <v>#NUM!</v>
          </cell>
          <cell r="H124" t="e">
            <v>#NUM!</v>
          </cell>
          <cell r="I124" t="e">
            <v>#NUM!</v>
          </cell>
          <cell r="J124" t="e">
            <v>#NUM!</v>
          </cell>
          <cell r="K124" t="e">
            <v>#NUM!</v>
          </cell>
          <cell r="L124" t="e">
            <v>#NUM!</v>
          </cell>
          <cell r="M124" t="e">
            <v>#NUM!</v>
          </cell>
          <cell r="N124" t="e">
            <v>#NUM!</v>
          </cell>
          <cell r="O124" t="e">
            <v>#NUM!</v>
          </cell>
          <cell r="P124" t="e">
            <v>#NUM!</v>
          </cell>
          <cell r="Q124" t="e">
            <v>#NUM!</v>
          </cell>
          <cell r="R124" t="e">
            <v>#NUM!</v>
          </cell>
          <cell r="S124" t="e">
            <v>#NUM!</v>
          </cell>
          <cell r="T124" t="e">
            <v>#NUM!</v>
          </cell>
          <cell r="U124" t="e">
            <v>#NUM!</v>
          </cell>
          <cell r="V124" t="e">
            <v>#NUM!</v>
          </cell>
          <cell r="W124" t="e">
            <v>#NUM!</v>
          </cell>
          <cell r="X124" t="e">
            <v>#NUM!</v>
          </cell>
          <cell r="Y124" t="e">
            <v>#NUM!</v>
          </cell>
          <cell r="Z124" t="e">
            <v>#NUM!</v>
          </cell>
        </row>
        <row r="125">
          <cell r="F125" t="e">
            <v>#NUM!</v>
          </cell>
          <cell r="G125" t="e">
            <v>#NUM!</v>
          </cell>
          <cell r="H125" t="e">
            <v>#NUM!</v>
          </cell>
          <cell r="I125" t="e">
            <v>#NUM!</v>
          </cell>
          <cell r="J125" t="e">
            <v>#NUM!</v>
          </cell>
          <cell r="K125" t="e">
            <v>#NUM!</v>
          </cell>
          <cell r="L125" t="e">
            <v>#NUM!</v>
          </cell>
          <cell r="M125" t="e">
            <v>#NUM!</v>
          </cell>
          <cell r="N125" t="e">
            <v>#NUM!</v>
          </cell>
          <cell r="O125" t="e">
            <v>#NUM!</v>
          </cell>
          <cell r="P125" t="e">
            <v>#NUM!</v>
          </cell>
          <cell r="Q125" t="e">
            <v>#NUM!</v>
          </cell>
          <cell r="R125" t="e">
            <v>#NUM!</v>
          </cell>
          <cell r="S125" t="e">
            <v>#NUM!</v>
          </cell>
          <cell r="T125" t="e">
            <v>#NUM!</v>
          </cell>
          <cell r="U125" t="e">
            <v>#NUM!</v>
          </cell>
          <cell r="V125" t="e">
            <v>#NUM!</v>
          </cell>
          <cell r="W125" t="e">
            <v>#NUM!</v>
          </cell>
          <cell r="X125" t="e">
            <v>#NUM!</v>
          </cell>
          <cell r="Y125" t="e">
            <v>#NUM!</v>
          </cell>
          <cell r="Z125" t="e">
            <v>#NUM!</v>
          </cell>
        </row>
        <row r="126">
          <cell r="F126" t="e">
            <v>#NUM!</v>
          </cell>
          <cell r="G126" t="e">
            <v>#NUM!</v>
          </cell>
          <cell r="H126" t="e">
            <v>#NUM!</v>
          </cell>
          <cell r="I126" t="e">
            <v>#NUM!</v>
          </cell>
          <cell r="J126" t="e">
            <v>#NUM!</v>
          </cell>
          <cell r="K126" t="e">
            <v>#NUM!</v>
          </cell>
          <cell r="L126" t="e">
            <v>#NUM!</v>
          </cell>
          <cell r="M126" t="e">
            <v>#NUM!</v>
          </cell>
          <cell r="N126" t="e">
            <v>#NUM!</v>
          </cell>
          <cell r="O126" t="e">
            <v>#NUM!</v>
          </cell>
          <cell r="P126" t="e">
            <v>#NUM!</v>
          </cell>
          <cell r="Q126" t="e">
            <v>#NUM!</v>
          </cell>
          <cell r="R126" t="e">
            <v>#NUM!</v>
          </cell>
          <cell r="S126" t="e">
            <v>#NUM!</v>
          </cell>
          <cell r="T126" t="e">
            <v>#NUM!</v>
          </cell>
          <cell r="U126" t="e">
            <v>#NUM!</v>
          </cell>
          <cell r="V126" t="e">
            <v>#NUM!</v>
          </cell>
          <cell r="W126" t="e">
            <v>#NUM!</v>
          </cell>
          <cell r="X126" t="e">
            <v>#NUM!</v>
          </cell>
          <cell r="Y126" t="e">
            <v>#NUM!</v>
          </cell>
          <cell r="Z126" t="e">
            <v>#NUM!</v>
          </cell>
        </row>
        <row r="127">
          <cell r="F127" t="e">
            <v>#NUM!</v>
          </cell>
          <cell r="G127" t="e">
            <v>#NUM!</v>
          </cell>
          <cell r="H127" t="e">
            <v>#NUM!</v>
          </cell>
          <cell r="I127" t="e">
            <v>#NUM!</v>
          </cell>
          <cell r="J127" t="e">
            <v>#NUM!</v>
          </cell>
          <cell r="K127" t="e">
            <v>#NUM!</v>
          </cell>
          <cell r="L127" t="e">
            <v>#NUM!</v>
          </cell>
          <cell r="M127" t="e">
            <v>#NUM!</v>
          </cell>
          <cell r="N127" t="e">
            <v>#NUM!</v>
          </cell>
          <cell r="O127" t="e">
            <v>#NUM!</v>
          </cell>
          <cell r="P127" t="e">
            <v>#NUM!</v>
          </cell>
          <cell r="Q127" t="e">
            <v>#NUM!</v>
          </cell>
          <cell r="R127" t="e">
            <v>#NUM!</v>
          </cell>
          <cell r="S127" t="e">
            <v>#NUM!</v>
          </cell>
          <cell r="T127" t="e">
            <v>#NUM!</v>
          </cell>
          <cell r="U127" t="e">
            <v>#NUM!</v>
          </cell>
          <cell r="V127" t="e">
            <v>#NUM!</v>
          </cell>
          <cell r="W127" t="e">
            <v>#NUM!</v>
          </cell>
          <cell r="X127" t="e">
            <v>#NUM!</v>
          </cell>
          <cell r="Y127" t="e">
            <v>#NUM!</v>
          </cell>
          <cell r="Z127" t="e">
            <v>#NUM!</v>
          </cell>
        </row>
        <row r="128">
          <cell r="F128" t="e">
            <v>#NUM!</v>
          </cell>
          <cell r="G128" t="e">
            <v>#NUM!</v>
          </cell>
          <cell r="H128" t="e">
            <v>#NUM!</v>
          </cell>
          <cell r="I128" t="e">
            <v>#NUM!</v>
          </cell>
          <cell r="J128" t="e">
            <v>#NUM!</v>
          </cell>
          <cell r="K128" t="e">
            <v>#NUM!</v>
          </cell>
          <cell r="L128" t="e">
            <v>#NUM!</v>
          </cell>
          <cell r="M128" t="e">
            <v>#NUM!</v>
          </cell>
          <cell r="N128" t="e">
            <v>#NUM!</v>
          </cell>
          <cell r="O128" t="e">
            <v>#NUM!</v>
          </cell>
          <cell r="P128" t="e">
            <v>#NUM!</v>
          </cell>
          <cell r="Q128" t="e">
            <v>#NUM!</v>
          </cell>
          <cell r="R128" t="e">
            <v>#NUM!</v>
          </cell>
          <cell r="S128" t="e">
            <v>#NUM!</v>
          </cell>
          <cell r="T128" t="e">
            <v>#NUM!</v>
          </cell>
          <cell r="U128" t="e">
            <v>#NUM!</v>
          </cell>
          <cell r="V128" t="e">
            <v>#NUM!</v>
          </cell>
          <cell r="W128" t="e">
            <v>#NUM!</v>
          </cell>
          <cell r="X128" t="e">
            <v>#NUM!</v>
          </cell>
          <cell r="Y128" t="e">
            <v>#NUM!</v>
          </cell>
          <cell r="Z128" t="e">
            <v>#NUM!</v>
          </cell>
        </row>
        <row r="129">
          <cell r="F129" t="e">
            <v>#NUM!</v>
          </cell>
          <cell r="G129" t="e">
            <v>#NUM!</v>
          </cell>
          <cell r="H129" t="e">
            <v>#NUM!</v>
          </cell>
          <cell r="I129" t="e">
            <v>#NUM!</v>
          </cell>
          <cell r="J129" t="e">
            <v>#NUM!</v>
          </cell>
          <cell r="K129" t="e">
            <v>#NUM!</v>
          </cell>
          <cell r="L129" t="e">
            <v>#NUM!</v>
          </cell>
          <cell r="M129" t="e">
            <v>#NUM!</v>
          </cell>
          <cell r="N129" t="e">
            <v>#NUM!</v>
          </cell>
          <cell r="O129" t="e">
            <v>#NUM!</v>
          </cell>
          <cell r="P129" t="e">
            <v>#NUM!</v>
          </cell>
          <cell r="Q129" t="e">
            <v>#NUM!</v>
          </cell>
          <cell r="R129" t="e">
            <v>#NUM!</v>
          </cell>
          <cell r="S129" t="e">
            <v>#NUM!</v>
          </cell>
          <cell r="T129" t="e">
            <v>#NUM!</v>
          </cell>
          <cell r="U129" t="e">
            <v>#NUM!</v>
          </cell>
          <cell r="V129" t="e">
            <v>#NUM!</v>
          </cell>
          <cell r="W129" t="e">
            <v>#NUM!</v>
          </cell>
          <cell r="X129" t="e">
            <v>#NUM!</v>
          </cell>
          <cell r="Y129" t="e">
            <v>#NUM!</v>
          </cell>
          <cell r="Z129" t="e">
            <v>#NUM!</v>
          </cell>
        </row>
        <row r="130">
          <cell r="F130" t="e">
            <v>#NUM!</v>
          </cell>
          <cell r="G130" t="e">
            <v>#NUM!</v>
          </cell>
          <cell r="H130" t="e">
            <v>#NUM!</v>
          </cell>
          <cell r="I130" t="e">
            <v>#NUM!</v>
          </cell>
          <cell r="J130" t="e">
            <v>#NUM!</v>
          </cell>
          <cell r="K130" t="e">
            <v>#NUM!</v>
          </cell>
          <cell r="L130" t="e">
            <v>#NUM!</v>
          </cell>
          <cell r="M130" t="e">
            <v>#NUM!</v>
          </cell>
          <cell r="N130" t="e">
            <v>#NUM!</v>
          </cell>
          <cell r="O130" t="e">
            <v>#NUM!</v>
          </cell>
          <cell r="P130" t="e">
            <v>#NUM!</v>
          </cell>
          <cell r="Q130" t="e">
            <v>#NUM!</v>
          </cell>
          <cell r="R130" t="e">
            <v>#NUM!</v>
          </cell>
          <cell r="S130" t="e">
            <v>#NUM!</v>
          </cell>
          <cell r="T130" t="e">
            <v>#NUM!</v>
          </cell>
          <cell r="U130" t="e">
            <v>#NUM!</v>
          </cell>
          <cell r="V130" t="e">
            <v>#NUM!</v>
          </cell>
          <cell r="W130" t="e">
            <v>#NUM!</v>
          </cell>
          <cell r="X130" t="e">
            <v>#NUM!</v>
          </cell>
          <cell r="Y130" t="e">
            <v>#NUM!</v>
          </cell>
          <cell r="Z130" t="e">
            <v>#NUM!</v>
          </cell>
        </row>
        <row r="131">
          <cell r="F131" t="e">
            <v>#NUM!</v>
          </cell>
          <cell r="G131" t="e">
            <v>#NUM!</v>
          </cell>
          <cell r="H131" t="e">
            <v>#NUM!</v>
          </cell>
          <cell r="I131" t="e">
            <v>#NUM!</v>
          </cell>
          <cell r="J131" t="e">
            <v>#NUM!</v>
          </cell>
          <cell r="K131" t="e">
            <v>#NUM!</v>
          </cell>
          <cell r="L131" t="e">
            <v>#NUM!</v>
          </cell>
          <cell r="M131" t="e">
            <v>#NUM!</v>
          </cell>
          <cell r="N131" t="e">
            <v>#NUM!</v>
          </cell>
          <cell r="O131" t="e">
            <v>#NUM!</v>
          </cell>
          <cell r="P131" t="e">
            <v>#NUM!</v>
          </cell>
          <cell r="Q131" t="e">
            <v>#NUM!</v>
          </cell>
          <cell r="R131" t="e">
            <v>#NUM!</v>
          </cell>
          <cell r="S131" t="e">
            <v>#NUM!</v>
          </cell>
          <cell r="T131" t="e">
            <v>#NUM!</v>
          </cell>
          <cell r="U131" t="e">
            <v>#NUM!</v>
          </cell>
          <cell r="V131" t="e">
            <v>#NUM!</v>
          </cell>
          <cell r="W131" t="e">
            <v>#NUM!</v>
          </cell>
          <cell r="X131" t="e">
            <v>#NUM!</v>
          </cell>
          <cell r="Y131" t="e">
            <v>#NUM!</v>
          </cell>
          <cell r="Z131" t="e">
            <v>#NUM!</v>
          </cell>
        </row>
        <row r="132">
          <cell r="F132" t="e">
            <v>#NUM!</v>
          </cell>
          <cell r="G132" t="e">
            <v>#NUM!</v>
          </cell>
          <cell r="H132" t="e">
            <v>#NUM!</v>
          </cell>
          <cell r="I132" t="e">
            <v>#NUM!</v>
          </cell>
          <cell r="J132" t="e">
            <v>#NUM!</v>
          </cell>
          <cell r="K132" t="e">
            <v>#NUM!</v>
          </cell>
          <cell r="L132" t="e">
            <v>#NUM!</v>
          </cell>
          <cell r="M132" t="e">
            <v>#NUM!</v>
          </cell>
          <cell r="N132" t="e">
            <v>#NUM!</v>
          </cell>
          <cell r="O132" t="e">
            <v>#NUM!</v>
          </cell>
          <cell r="P132" t="e">
            <v>#NUM!</v>
          </cell>
          <cell r="Q132" t="e">
            <v>#NUM!</v>
          </cell>
          <cell r="R132" t="e">
            <v>#NUM!</v>
          </cell>
          <cell r="S132" t="e">
            <v>#NUM!</v>
          </cell>
          <cell r="T132" t="e">
            <v>#NUM!</v>
          </cell>
          <cell r="U132" t="e">
            <v>#NUM!</v>
          </cell>
          <cell r="V132" t="e">
            <v>#NUM!</v>
          </cell>
          <cell r="W132" t="e">
            <v>#NUM!</v>
          </cell>
          <cell r="X132" t="e">
            <v>#NUM!</v>
          </cell>
          <cell r="Y132" t="e">
            <v>#NUM!</v>
          </cell>
          <cell r="Z132" t="e">
            <v>#NUM!</v>
          </cell>
        </row>
        <row r="133">
          <cell r="F133" t="e">
            <v>#NUM!</v>
          </cell>
          <cell r="G133" t="e">
            <v>#NUM!</v>
          </cell>
          <cell r="H133" t="e">
            <v>#NUM!</v>
          </cell>
          <cell r="I133" t="e">
            <v>#NUM!</v>
          </cell>
          <cell r="J133" t="e">
            <v>#NUM!</v>
          </cell>
          <cell r="K133" t="e">
            <v>#NUM!</v>
          </cell>
          <cell r="L133" t="e">
            <v>#NUM!</v>
          </cell>
          <cell r="M133" t="e">
            <v>#NUM!</v>
          </cell>
          <cell r="N133" t="e">
            <v>#NUM!</v>
          </cell>
          <cell r="O133" t="e">
            <v>#NUM!</v>
          </cell>
          <cell r="P133" t="e">
            <v>#NUM!</v>
          </cell>
          <cell r="Q133" t="e">
            <v>#NUM!</v>
          </cell>
          <cell r="R133" t="e">
            <v>#NUM!</v>
          </cell>
          <cell r="S133" t="e">
            <v>#NUM!</v>
          </cell>
          <cell r="T133" t="e">
            <v>#NUM!</v>
          </cell>
          <cell r="U133" t="e">
            <v>#NUM!</v>
          </cell>
          <cell r="V133" t="e">
            <v>#NUM!</v>
          </cell>
          <cell r="W133" t="e">
            <v>#NUM!</v>
          </cell>
          <cell r="X133" t="e">
            <v>#NUM!</v>
          </cell>
          <cell r="Y133" t="e">
            <v>#NUM!</v>
          </cell>
          <cell r="Z133" t="e">
            <v>#NUM!</v>
          </cell>
        </row>
        <row r="134">
          <cell r="F134" t="e">
            <v>#NUM!</v>
          </cell>
          <cell r="G134" t="e">
            <v>#NUM!</v>
          </cell>
          <cell r="H134" t="e">
            <v>#NUM!</v>
          </cell>
          <cell r="I134" t="e">
            <v>#NUM!</v>
          </cell>
          <cell r="J134" t="e">
            <v>#NUM!</v>
          </cell>
          <cell r="K134" t="e">
            <v>#NUM!</v>
          </cell>
          <cell r="L134" t="e">
            <v>#NUM!</v>
          </cell>
          <cell r="M134" t="e">
            <v>#NUM!</v>
          </cell>
          <cell r="N134" t="e">
            <v>#NUM!</v>
          </cell>
          <cell r="O134" t="e">
            <v>#NUM!</v>
          </cell>
          <cell r="P134" t="e">
            <v>#NUM!</v>
          </cell>
          <cell r="Q134" t="e">
            <v>#NUM!</v>
          </cell>
          <cell r="R134" t="e">
            <v>#NUM!</v>
          </cell>
          <cell r="S134" t="e">
            <v>#NUM!</v>
          </cell>
          <cell r="T134" t="e">
            <v>#NUM!</v>
          </cell>
          <cell r="U134" t="e">
            <v>#NUM!</v>
          </cell>
          <cell r="V134" t="e">
            <v>#NUM!</v>
          </cell>
          <cell r="W134" t="e">
            <v>#NUM!</v>
          </cell>
          <cell r="X134" t="e">
            <v>#NUM!</v>
          </cell>
          <cell r="Y134" t="e">
            <v>#NUM!</v>
          </cell>
          <cell r="Z134" t="e">
            <v>#NUM!</v>
          </cell>
        </row>
        <row r="135">
          <cell r="F135" t="e">
            <v>#NUM!</v>
          </cell>
          <cell r="G135" t="e">
            <v>#NUM!</v>
          </cell>
          <cell r="H135" t="e">
            <v>#NUM!</v>
          </cell>
          <cell r="I135" t="e">
            <v>#NUM!</v>
          </cell>
          <cell r="J135" t="e">
            <v>#NUM!</v>
          </cell>
          <cell r="K135" t="e">
            <v>#NUM!</v>
          </cell>
          <cell r="L135" t="e">
            <v>#NUM!</v>
          </cell>
          <cell r="M135" t="e">
            <v>#NUM!</v>
          </cell>
          <cell r="N135" t="e">
            <v>#NUM!</v>
          </cell>
          <cell r="O135" t="e">
            <v>#NUM!</v>
          </cell>
          <cell r="P135" t="e">
            <v>#NUM!</v>
          </cell>
          <cell r="Q135" t="e">
            <v>#NUM!</v>
          </cell>
          <cell r="R135" t="e">
            <v>#NUM!</v>
          </cell>
          <cell r="S135" t="e">
            <v>#NUM!</v>
          </cell>
          <cell r="T135" t="e">
            <v>#NUM!</v>
          </cell>
          <cell r="U135" t="e">
            <v>#NUM!</v>
          </cell>
          <cell r="V135" t="e">
            <v>#NUM!</v>
          </cell>
          <cell r="W135" t="e">
            <v>#NUM!</v>
          </cell>
          <cell r="X135" t="e">
            <v>#NUM!</v>
          </cell>
          <cell r="Y135" t="e">
            <v>#NUM!</v>
          </cell>
          <cell r="Z135" t="e">
            <v>#NUM!</v>
          </cell>
        </row>
        <row r="136">
          <cell r="F136" t="e">
            <v>#NUM!</v>
          </cell>
          <cell r="G136" t="e">
            <v>#NUM!</v>
          </cell>
          <cell r="H136" t="e">
            <v>#NUM!</v>
          </cell>
          <cell r="I136" t="e">
            <v>#NUM!</v>
          </cell>
          <cell r="J136" t="e">
            <v>#NUM!</v>
          </cell>
          <cell r="K136" t="e">
            <v>#NUM!</v>
          </cell>
          <cell r="L136" t="e">
            <v>#NUM!</v>
          </cell>
          <cell r="M136" t="e">
            <v>#NUM!</v>
          </cell>
          <cell r="N136" t="e">
            <v>#NUM!</v>
          </cell>
          <cell r="O136" t="e">
            <v>#NUM!</v>
          </cell>
          <cell r="P136" t="e">
            <v>#NUM!</v>
          </cell>
          <cell r="Q136" t="e">
            <v>#NUM!</v>
          </cell>
          <cell r="R136" t="e">
            <v>#NUM!</v>
          </cell>
          <cell r="S136" t="e">
            <v>#NUM!</v>
          </cell>
          <cell r="T136" t="e">
            <v>#NUM!</v>
          </cell>
          <cell r="U136" t="e">
            <v>#NUM!</v>
          </cell>
          <cell r="V136" t="e">
            <v>#NUM!</v>
          </cell>
          <cell r="W136" t="e">
            <v>#NUM!</v>
          </cell>
          <cell r="X136" t="e">
            <v>#NUM!</v>
          </cell>
          <cell r="Y136" t="e">
            <v>#NUM!</v>
          </cell>
          <cell r="Z136" t="e">
            <v>#NUM!</v>
          </cell>
        </row>
        <row r="137">
          <cell r="F137" t="e">
            <v>#NUM!</v>
          </cell>
          <cell r="G137" t="e">
            <v>#NUM!</v>
          </cell>
          <cell r="H137" t="e">
            <v>#NUM!</v>
          </cell>
          <cell r="I137" t="e">
            <v>#NUM!</v>
          </cell>
          <cell r="J137" t="e">
            <v>#NUM!</v>
          </cell>
          <cell r="K137" t="e">
            <v>#NUM!</v>
          </cell>
          <cell r="L137" t="e">
            <v>#NUM!</v>
          </cell>
          <cell r="M137" t="e">
            <v>#NUM!</v>
          </cell>
          <cell r="N137" t="e">
            <v>#NUM!</v>
          </cell>
          <cell r="O137" t="e">
            <v>#NUM!</v>
          </cell>
          <cell r="P137" t="e">
            <v>#NUM!</v>
          </cell>
          <cell r="Q137" t="e">
            <v>#NUM!</v>
          </cell>
          <cell r="R137" t="e">
            <v>#NUM!</v>
          </cell>
          <cell r="S137" t="e">
            <v>#NUM!</v>
          </cell>
          <cell r="T137" t="e">
            <v>#NUM!</v>
          </cell>
          <cell r="U137" t="e">
            <v>#NUM!</v>
          </cell>
          <cell r="V137" t="e">
            <v>#NUM!</v>
          </cell>
          <cell r="W137" t="e">
            <v>#NUM!</v>
          </cell>
          <cell r="X137" t="e">
            <v>#NUM!</v>
          </cell>
          <cell r="Y137" t="e">
            <v>#NUM!</v>
          </cell>
          <cell r="Z137" t="e">
            <v>#NUM!</v>
          </cell>
        </row>
        <row r="138">
          <cell r="F138" t="e">
            <v>#NUM!</v>
          </cell>
          <cell r="G138" t="e">
            <v>#NUM!</v>
          </cell>
          <cell r="H138" t="e">
            <v>#NUM!</v>
          </cell>
          <cell r="I138" t="e">
            <v>#NUM!</v>
          </cell>
          <cell r="J138" t="e">
            <v>#NUM!</v>
          </cell>
          <cell r="K138" t="e">
            <v>#NUM!</v>
          </cell>
          <cell r="L138" t="e">
            <v>#NUM!</v>
          </cell>
          <cell r="M138" t="e">
            <v>#NUM!</v>
          </cell>
          <cell r="N138" t="e">
            <v>#NUM!</v>
          </cell>
          <cell r="O138" t="e">
            <v>#NUM!</v>
          </cell>
          <cell r="P138" t="e">
            <v>#NUM!</v>
          </cell>
          <cell r="Q138" t="e">
            <v>#NUM!</v>
          </cell>
          <cell r="R138" t="e">
            <v>#NUM!</v>
          </cell>
          <cell r="S138" t="e">
            <v>#NUM!</v>
          </cell>
          <cell r="T138" t="e">
            <v>#NUM!</v>
          </cell>
          <cell r="U138" t="e">
            <v>#NUM!</v>
          </cell>
          <cell r="V138" t="e">
            <v>#NUM!</v>
          </cell>
          <cell r="W138" t="e">
            <v>#NUM!</v>
          </cell>
          <cell r="X138" t="e">
            <v>#NUM!</v>
          </cell>
          <cell r="Y138" t="e">
            <v>#NUM!</v>
          </cell>
          <cell r="Z138" t="e">
            <v>#NUM!</v>
          </cell>
        </row>
        <row r="139">
          <cell r="F139" t="e">
            <v>#NUM!</v>
          </cell>
          <cell r="G139" t="e">
            <v>#NUM!</v>
          </cell>
          <cell r="H139" t="e">
            <v>#NUM!</v>
          </cell>
          <cell r="I139" t="e">
            <v>#NUM!</v>
          </cell>
          <cell r="J139" t="e">
            <v>#NUM!</v>
          </cell>
          <cell r="K139" t="e">
            <v>#NUM!</v>
          </cell>
          <cell r="L139" t="e">
            <v>#NUM!</v>
          </cell>
          <cell r="M139" t="e">
            <v>#NUM!</v>
          </cell>
          <cell r="N139" t="e">
            <v>#NUM!</v>
          </cell>
          <cell r="O139" t="e">
            <v>#NUM!</v>
          </cell>
          <cell r="P139" t="e">
            <v>#NUM!</v>
          </cell>
          <cell r="Q139" t="e">
            <v>#NUM!</v>
          </cell>
          <cell r="R139" t="e">
            <v>#NUM!</v>
          </cell>
          <cell r="S139" t="e">
            <v>#NUM!</v>
          </cell>
          <cell r="T139" t="e">
            <v>#NUM!</v>
          </cell>
          <cell r="U139" t="e">
            <v>#NUM!</v>
          </cell>
          <cell r="V139" t="e">
            <v>#NUM!</v>
          </cell>
          <cell r="W139" t="e">
            <v>#NUM!</v>
          </cell>
          <cell r="X139" t="e">
            <v>#NUM!</v>
          </cell>
          <cell r="Y139" t="e">
            <v>#NUM!</v>
          </cell>
          <cell r="Z139" t="e">
            <v>#NUM!</v>
          </cell>
        </row>
        <row r="140">
          <cell r="F140" t="e">
            <v>#NUM!</v>
          </cell>
          <cell r="G140" t="e">
            <v>#NUM!</v>
          </cell>
          <cell r="H140" t="e">
            <v>#NUM!</v>
          </cell>
          <cell r="I140" t="e">
            <v>#NUM!</v>
          </cell>
          <cell r="J140" t="e">
            <v>#NUM!</v>
          </cell>
          <cell r="K140" t="e">
            <v>#NUM!</v>
          </cell>
          <cell r="L140" t="e">
            <v>#NUM!</v>
          </cell>
          <cell r="M140" t="e">
            <v>#NUM!</v>
          </cell>
          <cell r="N140" t="e">
            <v>#NUM!</v>
          </cell>
          <cell r="O140" t="e">
            <v>#NUM!</v>
          </cell>
          <cell r="P140" t="e">
            <v>#NUM!</v>
          </cell>
          <cell r="Q140" t="e">
            <v>#NUM!</v>
          </cell>
          <cell r="R140" t="e">
            <v>#NUM!</v>
          </cell>
          <cell r="S140" t="e">
            <v>#NUM!</v>
          </cell>
          <cell r="T140" t="e">
            <v>#NUM!</v>
          </cell>
          <cell r="U140" t="e">
            <v>#NUM!</v>
          </cell>
          <cell r="V140" t="e">
            <v>#NUM!</v>
          </cell>
          <cell r="W140" t="e">
            <v>#NUM!</v>
          </cell>
          <cell r="X140" t="e">
            <v>#NUM!</v>
          </cell>
          <cell r="Y140" t="e">
            <v>#NUM!</v>
          </cell>
          <cell r="Z140" t="e">
            <v>#NUM!</v>
          </cell>
        </row>
        <row r="141">
          <cell r="F141" t="e">
            <v>#NUM!</v>
          </cell>
          <cell r="G141" t="e">
            <v>#NUM!</v>
          </cell>
          <cell r="H141" t="e">
            <v>#NUM!</v>
          </cell>
          <cell r="I141" t="e">
            <v>#NUM!</v>
          </cell>
          <cell r="J141" t="e">
            <v>#NUM!</v>
          </cell>
          <cell r="K141" t="e">
            <v>#NUM!</v>
          </cell>
          <cell r="L141" t="e">
            <v>#NUM!</v>
          </cell>
          <cell r="M141" t="e">
            <v>#NUM!</v>
          </cell>
          <cell r="N141" t="e">
            <v>#NUM!</v>
          </cell>
          <cell r="O141" t="e">
            <v>#NUM!</v>
          </cell>
          <cell r="P141" t="e">
            <v>#NUM!</v>
          </cell>
          <cell r="Q141" t="e">
            <v>#NUM!</v>
          </cell>
          <cell r="R141" t="e">
            <v>#NUM!</v>
          </cell>
          <cell r="S141" t="e">
            <v>#NUM!</v>
          </cell>
          <cell r="T141" t="e">
            <v>#NUM!</v>
          </cell>
          <cell r="U141" t="e">
            <v>#NUM!</v>
          </cell>
          <cell r="V141" t="e">
            <v>#NUM!</v>
          </cell>
          <cell r="W141" t="e">
            <v>#NUM!</v>
          </cell>
          <cell r="X141" t="e">
            <v>#NUM!</v>
          </cell>
          <cell r="Y141" t="e">
            <v>#NUM!</v>
          </cell>
          <cell r="Z141" t="e">
            <v>#NUM!</v>
          </cell>
        </row>
        <row r="142">
          <cell r="F142" t="e">
            <v>#NUM!</v>
          </cell>
          <cell r="G142" t="e">
            <v>#NUM!</v>
          </cell>
          <cell r="H142" t="e">
            <v>#NUM!</v>
          </cell>
          <cell r="I142" t="e">
            <v>#NUM!</v>
          </cell>
          <cell r="J142" t="e">
            <v>#NUM!</v>
          </cell>
          <cell r="K142" t="e">
            <v>#NUM!</v>
          </cell>
          <cell r="L142" t="e">
            <v>#NUM!</v>
          </cell>
          <cell r="M142" t="e">
            <v>#NUM!</v>
          </cell>
          <cell r="N142" t="e">
            <v>#NUM!</v>
          </cell>
          <cell r="O142" t="e">
            <v>#NUM!</v>
          </cell>
          <cell r="P142" t="e">
            <v>#NUM!</v>
          </cell>
          <cell r="Q142" t="e">
            <v>#NUM!</v>
          </cell>
          <cell r="R142" t="e">
            <v>#NUM!</v>
          </cell>
          <cell r="S142" t="e">
            <v>#NUM!</v>
          </cell>
          <cell r="T142" t="e">
            <v>#NUM!</v>
          </cell>
          <cell r="U142" t="e">
            <v>#NUM!</v>
          </cell>
          <cell r="V142" t="e">
            <v>#NUM!</v>
          </cell>
          <cell r="W142" t="e">
            <v>#NUM!</v>
          </cell>
          <cell r="X142" t="e">
            <v>#NUM!</v>
          </cell>
          <cell r="Y142" t="e">
            <v>#NUM!</v>
          </cell>
          <cell r="Z142" t="e">
            <v>#NUM!</v>
          </cell>
        </row>
        <row r="143">
          <cell r="F143" t="e">
            <v>#NUM!</v>
          </cell>
          <cell r="G143" t="e">
            <v>#NUM!</v>
          </cell>
          <cell r="H143" t="e">
            <v>#NUM!</v>
          </cell>
          <cell r="I143" t="e">
            <v>#NUM!</v>
          </cell>
          <cell r="J143" t="e">
            <v>#NUM!</v>
          </cell>
          <cell r="K143" t="e">
            <v>#NUM!</v>
          </cell>
          <cell r="L143" t="e">
            <v>#NUM!</v>
          </cell>
          <cell r="M143" t="e">
            <v>#NUM!</v>
          </cell>
          <cell r="N143" t="e">
            <v>#NUM!</v>
          </cell>
          <cell r="O143" t="e">
            <v>#NUM!</v>
          </cell>
          <cell r="P143" t="e">
            <v>#NUM!</v>
          </cell>
          <cell r="Q143" t="e">
            <v>#NUM!</v>
          </cell>
          <cell r="R143" t="e">
            <v>#NUM!</v>
          </cell>
          <cell r="S143" t="e">
            <v>#NUM!</v>
          </cell>
          <cell r="T143" t="e">
            <v>#NUM!</v>
          </cell>
          <cell r="U143" t="e">
            <v>#NUM!</v>
          </cell>
          <cell r="V143" t="e">
            <v>#NUM!</v>
          </cell>
          <cell r="W143" t="e">
            <v>#NUM!</v>
          </cell>
          <cell r="X143" t="e">
            <v>#NUM!</v>
          </cell>
          <cell r="Y143" t="e">
            <v>#NUM!</v>
          </cell>
          <cell r="Z143" t="e">
            <v>#NUM!</v>
          </cell>
        </row>
        <row r="144">
          <cell r="F144" t="e">
            <v>#NUM!</v>
          </cell>
          <cell r="G144" t="e">
            <v>#NUM!</v>
          </cell>
          <cell r="H144" t="e">
            <v>#NUM!</v>
          </cell>
          <cell r="I144" t="e">
            <v>#NUM!</v>
          </cell>
          <cell r="J144" t="e">
            <v>#NUM!</v>
          </cell>
          <cell r="K144" t="e">
            <v>#NUM!</v>
          </cell>
          <cell r="L144" t="e">
            <v>#NUM!</v>
          </cell>
          <cell r="M144" t="e">
            <v>#NUM!</v>
          </cell>
          <cell r="N144" t="e">
            <v>#NUM!</v>
          </cell>
          <cell r="O144" t="e">
            <v>#NUM!</v>
          </cell>
          <cell r="P144" t="e">
            <v>#NUM!</v>
          </cell>
          <cell r="Q144" t="e">
            <v>#NUM!</v>
          </cell>
          <cell r="R144" t="e">
            <v>#NUM!</v>
          </cell>
          <cell r="S144" t="e">
            <v>#NUM!</v>
          </cell>
          <cell r="T144" t="e">
            <v>#NUM!</v>
          </cell>
          <cell r="U144" t="e">
            <v>#NUM!</v>
          </cell>
          <cell r="V144" t="e">
            <v>#NUM!</v>
          </cell>
          <cell r="W144" t="e">
            <v>#NUM!</v>
          </cell>
          <cell r="X144" t="e">
            <v>#NUM!</v>
          </cell>
          <cell r="Y144" t="e">
            <v>#NUM!</v>
          </cell>
          <cell r="Z144" t="e">
            <v>#NUM!</v>
          </cell>
        </row>
        <row r="145">
          <cell r="F145" t="e">
            <v>#NUM!</v>
          </cell>
          <cell r="G145" t="e">
            <v>#NUM!</v>
          </cell>
          <cell r="H145" t="e">
            <v>#NUM!</v>
          </cell>
          <cell r="I145" t="e">
            <v>#NUM!</v>
          </cell>
          <cell r="J145" t="e">
            <v>#NUM!</v>
          </cell>
          <cell r="K145" t="e">
            <v>#NUM!</v>
          </cell>
          <cell r="L145" t="e">
            <v>#NUM!</v>
          </cell>
          <cell r="M145" t="e">
            <v>#NUM!</v>
          </cell>
          <cell r="N145" t="e">
            <v>#NUM!</v>
          </cell>
          <cell r="O145" t="e">
            <v>#NUM!</v>
          </cell>
          <cell r="P145" t="e">
            <v>#NUM!</v>
          </cell>
          <cell r="Q145" t="e">
            <v>#NUM!</v>
          </cell>
          <cell r="R145" t="e">
            <v>#NUM!</v>
          </cell>
          <cell r="S145" t="e">
            <v>#NUM!</v>
          </cell>
          <cell r="T145" t="e">
            <v>#NUM!</v>
          </cell>
          <cell r="U145" t="e">
            <v>#NUM!</v>
          </cell>
          <cell r="V145" t="e">
            <v>#NUM!</v>
          </cell>
          <cell r="W145" t="e">
            <v>#NUM!</v>
          </cell>
          <cell r="X145" t="e">
            <v>#NUM!</v>
          </cell>
          <cell r="Y145" t="e">
            <v>#NUM!</v>
          </cell>
          <cell r="Z145" t="e">
            <v>#NUM!</v>
          </cell>
        </row>
        <row r="146">
          <cell r="F146" t="e">
            <v>#NUM!</v>
          </cell>
          <cell r="G146" t="e">
            <v>#NUM!</v>
          </cell>
          <cell r="H146" t="e">
            <v>#NUM!</v>
          </cell>
          <cell r="I146" t="e">
            <v>#NUM!</v>
          </cell>
          <cell r="J146" t="e">
            <v>#NUM!</v>
          </cell>
          <cell r="K146" t="e">
            <v>#NUM!</v>
          </cell>
          <cell r="L146" t="e">
            <v>#NUM!</v>
          </cell>
          <cell r="M146" t="e">
            <v>#NUM!</v>
          </cell>
          <cell r="N146" t="e">
            <v>#NUM!</v>
          </cell>
          <cell r="O146" t="e">
            <v>#NUM!</v>
          </cell>
          <cell r="P146" t="e">
            <v>#NUM!</v>
          </cell>
          <cell r="Q146" t="e">
            <v>#NUM!</v>
          </cell>
          <cell r="R146" t="e">
            <v>#NUM!</v>
          </cell>
          <cell r="S146" t="e">
            <v>#NUM!</v>
          </cell>
          <cell r="T146" t="e">
            <v>#NUM!</v>
          </cell>
          <cell r="U146" t="e">
            <v>#NUM!</v>
          </cell>
          <cell r="V146" t="e">
            <v>#NUM!</v>
          </cell>
          <cell r="W146" t="e">
            <v>#NUM!</v>
          </cell>
          <cell r="X146" t="e">
            <v>#NUM!</v>
          </cell>
          <cell r="Y146" t="e">
            <v>#NUM!</v>
          </cell>
          <cell r="Z146" t="e">
            <v>#NUM!</v>
          </cell>
        </row>
        <row r="147">
          <cell r="F147" t="e">
            <v>#NUM!</v>
          </cell>
          <cell r="G147" t="e">
            <v>#NUM!</v>
          </cell>
          <cell r="H147" t="e">
            <v>#NUM!</v>
          </cell>
          <cell r="I147" t="e">
            <v>#NUM!</v>
          </cell>
          <cell r="J147" t="e">
            <v>#NUM!</v>
          </cell>
          <cell r="K147" t="e">
            <v>#NUM!</v>
          </cell>
          <cell r="L147" t="e">
            <v>#NUM!</v>
          </cell>
          <cell r="M147" t="e">
            <v>#NUM!</v>
          </cell>
          <cell r="N147" t="e">
            <v>#NUM!</v>
          </cell>
          <cell r="O147" t="e">
            <v>#NUM!</v>
          </cell>
          <cell r="P147" t="e">
            <v>#NUM!</v>
          </cell>
          <cell r="Q147" t="e">
            <v>#NUM!</v>
          </cell>
          <cell r="R147" t="e">
            <v>#NUM!</v>
          </cell>
          <cell r="S147" t="e">
            <v>#NUM!</v>
          </cell>
          <cell r="T147" t="e">
            <v>#NUM!</v>
          </cell>
          <cell r="U147" t="e">
            <v>#NUM!</v>
          </cell>
          <cell r="V147" t="e">
            <v>#NUM!</v>
          </cell>
          <cell r="W147" t="e">
            <v>#NUM!</v>
          </cell>
          <cell r="X147" t="e">
            <v>#NUM!</v>
          </cell>
          <cell r="Y147" t="e">
            <v>#NUM!</v>
          </cell>
          <cell r="Z147" t="e">
            <v>#NUM!</v>
          </cell>
        </row>
        <row r="148">
          <cell r="F148" t="e">
            <v>#NUM!</v>
          </cell>
          <cell r="G148" t="e">
            <v>#NUM!</v>
          </cell>
          <cell r="H148" t="e">
            <v>#NUM!</v>
          </cell>
          <cell r="I148" t="e">
            <v>#NUM!</v>
          </cell>
          <cell r="J148" t="e">
            <v>#NUM!</v>
          </cell>
          <cell r="K148" t="e">
            <v>#NUM!</v>
          </cell>
          <cell r="L148" t="e">
            <v>#NUM!</v>
          </cell>
          <cell r="M148" t="e">
            <v>#NUM!</v>
          </cell>
          <cell r="N148" t="e">
            <v>#NUM!</v>
          </cell>
          <cell r="O148" t="e">
            <v>#NUM!</v>
          </cell>
          <cell r="P148" t="e">
            <v>#NUM!</v>
          </cell>
          <cell r="Q148" t="e">
            <v>#NUM!</v>
          </cell>
          <cell r="R148" t="e">
            <v>#NUM!</v>
          </cell>
          <cell r="S148" t="e">
            <v>#NUM!</v>
          </cell>
          <cell r="T148" t="e">
            <v>#NUM!</v>
          </cell>
          <cell r="U148" t="e">
            <v>#NUM!</v>
          </cell>
          <cell r="V148" t="e">
            <v>#NUM!</v>
          </cell>
          <cell r="W148" t="e">
            <v>#NUM!</v>
          </cell>
          <cell r="X148" t="e">
            <v>#NUM!</v>
          </cell>
          <cell r="Y148" t="e">
            <v>#NUM!</v>
          </cell>
          <cell r="Z148" t="e">
            <v>#NUM!</v>
          </cell>
        </row>
      </sheetData>
      <sheetData sheetId="3"/>
      <sheetData sheetId="4"/>
      <sheetData sheetId="5">
        <row r="19">
          <cell r="G19">
            <v>0</v>
          </cell>
          <cell r="H19" t="str">
            <v>8 HOUR LOW</v>
          </cell>
          <cell r="I19">
            <v>14456</v>
          </cell>
        </row>
        <row r="20">
          <cell r="G20">
            <v>1</v>
          </cell>
          <cell r="H20" t="str">
            <v>8 HOUR MID</v>
          </cell>
          <cell r="I20">
            <v>16680</v>
          </cell>
        </row>
        <row r="21">
          <cell r="G21">
            <v>1</v>
          </cell>
          <cell r="H21" t="str">
            <v>8 HOUR HIGH</v>
          </cell>
          <cell r="I21">
            <v>20016</v>
          </cell>
        </row>
        <row r="22">
          <cell r="G22">
            <v>1</v>
          </cell>
          <cell r="H22" t="str">
            <v>10 HOUR LOW</v>
          </cell>
          <cell r="I22">
            <v>18070</v>
          </cell>
        </row>
        <row r="23">
          <cell r="G23">
            <v>1</v>
          </cell>
          <cell r="H23" t="str">
            <v>10 HOUR MID</v>
          </cell>
          <cell r="I23">
            <v>20850</v>
          </cell>
        </row>
        <row r="24">
          <cell r="G24">
            <v>1</v>
          </cell>
          <cell r="H24" t="str">
            <v>10 HOUR HIGH</v>
          </cell>
          <cell r="I24">
            <v>25020</v>
          </cell>
        </row>
        <row r="25">
          <cell r="G25">
            <v>1</v>
          </cell>
          <cell r="H25" t="str">
            <v>12 HOUR LOW</v>
          </cell>
          <cell r="I25">
            <v>21684</v>
          </cell>
        </row>
        <row r="26">
          <cell r="G26">
            <v>1</v>
          </cell>
          <cell r="H26" t="str">
            <v>12 HOUR MID</v>
          </cell>
          <cell r="I26">
            <v>25020</v>
          </cell>
        </row>
        <row r="27">
          <cell r="G27">
            <v>1</v>
          </cell>
          <cell r="H27" t="str">
            <v>12 HOUR HIGH</v>
          </cell>
          <cell r="I27">
            <v>30024</v>
          </cell>
        </row>
      </sheetData>
      <sheetData sheetId="6"/>
      <sheetData sheetId="7"/>
      <sheetData sheetId="8"/>
      <sheetData sheetId="9"/>
      <sheetData sheetId="1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LANK SCHED"/>
      <sheetName val="Prod. SCHED"/>
      <sheetName val="CURRENT WIP"/>
      <sheetName val="WIP REPORT"/>
      <sheetName val="MOVEMENT"/>
      <sheetName val="EFFICIENCY"/>
      <sheetName val="Sheet2"/>
      <sheetName val="DAILY SUMMARIES"/>
      <sheetName val="Help"/>
      <sheetName val="TermsOfUse"/>
    </sheetNames>
    <sheetDataSet>
      <sheetData sheetId="0"/>
      <sheetData sheetId="1">
        <row r="2">
          <cell r="B2" t="str">
            <v>157-2046</v>
          </cell>
          <cell r="C2" t="str">
            <v>Walmart Canada Corp.</v>
          </cell>
          <cell r="D2" t="str">
            <v>Walmart 3148-BRSP-IPAC-DMP2I9-G-B</v>
          </cell>
          <cell r="E2" t="str">
            <v>Levis, QC</v>
          </cell>
          <cell r="F2">
            <v>42401</v>
          </cell>
          <cell r="G2">
            <v>42403</v>
          </cell>
          <cell r="I2">
            <v>42404</v>
          </cell>
          <cell r="J2" t="str">
            <v>PC</v>
          </cell>
          <cell r="L2">
            <v>5624</v>
          </cell>
          <cell r="M2">
            <v>0</v>
          </cell>
          <cell r="N2">
            <v>0</v>
          </cell>
          <cell r="O2">
            <v>52553.37</v>
          </cell>
          <cell r="P2" t="str">
            <v>GA</v>
          </cell>
          <cell r="Q2" t="str">
            <v>4PD</v>
          </cell>
          <cell r="R2">
            <v>97622.662299999996</v>
          </cell>
          <cell r="S2" t="b">
            <v>1</v>
          </cell>
          <cell r="T2" t="str">
            <v>Yes</v>
          </cell>
          <cell r="U2" t="str">
            <v>FBed</v>
          </cell>
          <cell r="V2" t="str">
            <v>A</v>
          </cell>
        </row>
        <row r="3">
          <cell r="B3" t="str">
            <v>155-0929B</v>
          </cell>
          <cell r="C3" t="str">
            <v>Harris Teeter</v>
          </cell>
          <cell r="D3" t="str">
            <v>HT-404</v>
          </cell>
          <cell r="E3" t="str">
            <v>Bethesda, MD</v>
          </cell>
          <cell r="F3">
            <v>42401</v>
          </cell>
          <cell r="G3">
            <v>42409</v>
          </cell>
          <cell r="I3">
            <v>42410</v>
          </cell>
          <cell r="J3" t="str">
            <v>PC</v>
          </cell>
          <cell r="L3">
            <v>1369</v>
          </cell>
          <cell r="M3">
            <v>0</v>
          </cell>
          <cell r="N3">
            <v>1</v>
          </cell>
          <cell r="O3">
            <v>9866.31</v>
          </cell>
          <cell r="P3" t="str">
            <v>GA</v>
          </cell>
          <cell r="Q3" t="str">
            <v>4PD</v>
          </cell>
          <cell r="R3">
            <v>10684.344300000001</v>
          </cell>
          <cell r="S3" t="b">
            <v>1</v>
          </cell>
          <cell r="T3" t="str">
            <v>Yes</v>
          </cell>
          <cell r="V3" t="str">
            <v>A</v>
          </cell>
        </row>
        <row r="4">
          <cell r="B4" t="str">
            <v>155-1153A</v>
          </cell>
          <cell r="C4" t="str">
            <v>Publix Super Markets Inc.</v>
          </cell>
          <cell r="D4" t="str">
            <v>Publix # 1304 - Remodel</v>
          </cell>
          <cell r="E4" t="str">
            <v>Lake Mary FL</v>
          </cell>
          <cell r="F4">
            <v>42401</v>
          </cell>
          <cell r="G4">
            <v>42411</v>
          </cell>
          <cell r="I4">
            <v>42412</v>
          </cell>
          <cell r="J4" t="str">
            <v>SW</v>
          </cell>
          <cell r="L4">
            <v>1194</v>
          </cell>
          <cell r="M4">
            <v>0</v>
          </cell>
          <cell r="N4">
            <v>2</v>
          </cell>
          <cell r="O4">
            <v>11042.53</v>
          </cell>
          <cell r="P4" t="str">
            <v>GA</v>
          </cell>
          <cell r="Q4" t="str">
            <v>4PD</v>
          </cell>
          <cell r="R4">
            <v>13381.978300000001</v>
          </cell>
          <cell r="S4" t="b">
            <v>1</v>
          </cell>
          <cell r="T4" t="str">
            <v>Yes</v>
          </cell>
          <cell r="V4" t="str">
            <v>A</v>
          </cell>
        </row>
        <row r="5">
          <cell r="B5" t="str">
            <v xml:space="preserve">157-1438ADD2 </v>
          </cell>
          <cell r="C5" t="str">
            <v>Wal-Mart Store Planning</v>
          </cell>
          <cell r="D5" t="str">
            <v>Walmart 2237-219--SC-REM</v>
          </cell>
          <cell r="E5" t="str">
            <v>Lehigh Acres, FL</v>
          </cell>
          <cell r="F5">
            <v>42401</v>
          </cell>
          <cell r="G5">
            <v>42409</v>
          </cell>
          <cell r="I5">
            <v>42410</v>
          </cell>
          <cell r="J5" t="str">
            <v>PF</v>
          </cell>
          <cell r="K5" t="str">
            <v>CC</v>
          </cell>
          <cell r="L5">
            <v>1055</v>
          </cell>
          <cell r="M5">
            <v>22</v>
          </cell>
          <cell r="N5">
            <v>0</v>
          </cell>
          <cell r="O5">
            <v>8359.14</v>
          </cell>
          <cell r="P5" t="str">
            <v>GA</v>
          </cell>
          <cell r="Q5" t="str">
            <v>4PD</v>
          </cell>
          <cell r="R5">
            <v>17369.200099999998</v>
          </cell>
          <cell r="S5" t="b">
            <v>1</v>
          </cell>
          <cell r="T5" t="str">
            <v>Yes</v>
          </cell>
          <cell r="V5" t="str">
            <v>a</v>
          </cell>
        </row>
        <row r="6">
          <cell r="B6" t="str">
            <v>157-0743</v>
          </cell>
          <cell r="C6" t="str">
            <v>Wal-Mart Store Planning</v>
          </cell>
          <cell r="D6" t="str">
            <v>Walmart 0655-10-FuelStation-NEW</v>
          </cell>
          <cell r="E6" t="str">
            <v>Madisonville (Hanson), KY</v>
          </cell>
          <cell r="F6">
            <v>42401</v>
          </cell>
          <cell r="G6">
            <v>42411</v>
          </cell>
          <cell r="H6">
            <v>20</v>
          </cell>
          <cell r="I6">
            <v>42412</v>
          </cell>
          <cell r="J6" t="str">
            <v>PF</v>
          </cell>
          <cell r="K6" t="str">
            <v>CC</v>
          </cell>
          <cell r="L6">
            <v>887</v>
          </cell>
          <cell r="M6">
            <v>30</v>
          </cell>
          <cell r="N6">
            <v>0</v>
          </cell>
          <cell r="O6">
            <v>6092.5</v>
          </cell>
          <cell r="P6" t="str">
            <v>GA</v>
          </cell>
          <cell r="Q6" t="str">
            <v>4PD</v>
          </cell>
          <cell r="R6">
            <v>16638.018100000001</v>
          </cell>
          <cell r="S6" t="b">
            <v>1</v>
          </cell>
          <cell r="T6" t="str">
            <v>Yes</v>
          </cell>
          <cell r="V6" t="str">
            <v>a</v>
          </cell>
        </row>
        <row r="7">
          <cell r="B7" t="str">
            <v>155-0629</v>
          </cell>
          <cell r="C7" t="str">
            <v>Dollar Tree Sourcing Comp. LLC</v>
          </cell>
          <cell r="D7" t="str">
            <v>DT STOCK   WM FRDRCLDL  Rem/No Rack</v>
          </cell>
          <cell r="F7">
            <v>42254</v>
          </cell>
          <cell r="G7">
            <v>42257</v>
          </cell>
          <cell r="H7">
            <v>21.2</v>
          </cell>
          <cell r="J7" t="str">
            <v>PF</v>
          </cell>
          <cell r="K7" t="str">
            <v>D</v>
          </cell>
          <cell r="L7">
            <v>551</v>
          </cell>
          <cell r="M7">
            <v>19</v>
          </cell>
          <cell r="N7">
            <v>2</v>
          </cell>
          <cell r="O7">
            <v>5398.44</v>
          </cell>
          <cell r="P7" t="str">
            <v>GA</v>
          </cell>
          <cell r="Q7" t="str">
            <v>4PD</v>
          </cell>
          <cell r="R7">
            <v>9561.8916000000008</v>
          </cell>
          <cell r="S7" t="b">
            <v>1</v>
          </cell>
          <cell r="T7" t="str">
            <v>Yes</v>
          </cell>
          <cell r="V7" t="str">
            <v>A</v>
          </cell>
        </row>
        <row r="8">
          <cell r="B8" t="str">
            <v>157-1897</v>
          </cell>
          <cell r="C8" t="str">
            <v>Kroger Atlanta # 011</v>
          </cell>
          <cell r="D8" t="str">
            <v>Kroger GA-672</v>
          </cell>
          <cell r="E8" t="str">
            <v xml:space="preserve"> </v>
          </cell>
          <cell r="F8">
            <v>42380</v>
          </cell>
          <cell r="G8">
            <v>42387</v>
          </cell>
          <cell r="H8">
            <v>30</v>
          </cell>
          <cell r="I8">
            <v>42426</v>
          </cell>
          <cell r="J8" t="str">
            <v>PF</v>
          </cell>
          <cell r="K8" t="str">
            <v>M</v>
          </cell>
          <cell r="L8">
            <v>15893</v>
          </cell>
          <cell r="M8">
            <v>415</v>
          </cell>
          <cell r="N8">
            <v>10</v>
          </cell>
          <cell r="O8">
            <v>144952.01999999999</v>
          </cell>
          <cell r="P8" t="str">
            <v>GA</v>
          </cell>
          <cell r="Q8" t="str">
            <v>4PD</v>
          </cell>
          <cell r="R8">
            <v>144952.03469999999</v>
          </cell>
          <cell r="S8" t="b">
            <v>0</v>
          </cell>
          <cell r="T8" t="str">
            <v>No</v>
          </cell>
          <cell r="U8" t="str">
            <v>FBed</v>
          </cell>
          <cell r="V8" t="str">
            <v>A</v>
          </cell>
        </row>
        <row r="9">
          <cell r="B9" t="str">
            <v>155-1098A</v>
          </cell>
          <cell r="C9" t="str">
            <v>Publix Super Markets Inc.</v>
          </cell>
          <cell r="D9" t="str">
            <v>Publix #1519   49.4</v>
          </cell>
          <cell r="E9" t="str">
            <v>Mooresville NC</v>
          </cell>
          <cell r="F9">
            <v>42387</v>
          </cell>
          <cell r="G9">
            <v>42382</v>
          </cell>
          <cell r="H9">
            <v>13</v>
          </cell>
          <cell r="I9">
            <v>42419</v>
          </cell>
          <cell r="J9" t="str">
            <v>PF</v>
          </cell>
          <cell r="K9" t="str">
            <v>F</v>
          </cell>
          <cell r="L9">
            <v>12382</v>
          </cell>
          <cell r="M9">
            <v>296</v>
          </cell>
          <cell r="N9">
            <v>12</v>
          </cell>
          <cell r="O9">
            <v>82680.59</v>
          </cell>
          <cell r="P9" t="str">
            <v>GA</v>
          </cell>
          <cell r="Q9" t="str">
            <v>4PD</v>
          </cell>
          <cell r="R9">
            <v>82680.591199999995</v>
          </cell>
          <cell r="S9" t="b">
            <v>1</v>
          </cell>
          <cell r="T9" t="str">
            <v>Yes</v>
          </cell>
          <cell r="V9" t="str">
            <v>a</v>
          </cell>
        </row>
        <row r="10">
          <cell r="B10" t="str">
            <v>155-0929A</v>
          </cell>
          <cell r="C10" t="str">
            <v>Harris Teeter</v>
          </cell>
          <cell r="D10" t="str">
            <v>HT-404</v>
          </cell>
          <cell r="E10" t="str">
            <v>Bethesda, MD</v>
          </cell>
          <cell r="F10">
            <v>42394</v>
          </cell>
          <cell r="G10">
            <v>42395</v>
          </cell>
          <cell r="H10">
            <v>6</v>
          </cell>
          <cell r="I10">
            <v>42405</v>
          </cell>
          <cell r="J10" t="str">
            <v>PF</v>
          </cell>
          <cell r="K10" t="str">
            <v>D</v>
          </cell>
          <cell r="L10">
            <v>5414</v>
          </cell>
          <cell r="M10">
            <v>210</v>
          </cell>
          <cell r="N10">
            <v>1</v>
          </cell>
          <cell r="O10">
            <v>38383.120000000003</v>
          </cell>
          <cell r="P10" t="str">
            <v>GA</v>
          </cell>
          <cell r="Q10" t="str">
            <v>4PD</v>
          </cell>
          <cell r="R10">
            <v>71027.535799999998</v>
          </cell>
          <cell r="S10" t="b">
            <v>1</v>
          </cell>
          <cell r="T10" t="str">
            <v>Yes</v>
          </cell>
          <cell r="V10" t="str">
            <v>A</v>
          </cell>
        </row>
        <row r="11">
          <cell r="B11" t="str">
            <v>157-1877</v>
          </cell>
          <cell r="C11" t="str">
            <v>KPS, LLC Nashville #026</v>
          </cell>
          <cell r="D11" t="str">
            <v>Kroger U-605</v>
          </cell>
          <cell r="E11" t="str">
            <v>MADISON AL</v>
          </cell>
          <cell r="F11">
            <v>42394</v>
          </cell>
          <cell r="G11">
            <v>42395</v>
          </cell>
          <cell r="H11">
            <v>8</v>
          </cell>
          <cell r="I11">
            <v>42409</v>
          </cell>
          <cell r="J11" t="str">
            <v>PF</v>
          </cell>
          <cell r="K11" t="str">
            <v>F</v>
          </cell>
          <cell r="L11">
            <v>12783</v>
          </cell>
          <cell r="M11">
            <v>391</v>
          </cell>
          <cell r="N11">
            <v>14</v>
          </cell>
          <cell r="O11">
            <v>91066.68</v>
          </cell>
          <cell r="P11" t="str">
            <v>GA</v>
          </cell>
          <cell r="Q11" t="str">
            <v>4PD</v>
          </cell>
          <cell r="R11">
            <v>91066.677599999995</v>
          </cell>
          <cell r="S11" t="b">
            <v>1</v>
          </cell>
          <cell r="T11" t="str">
            <v>Yes</v>
          </cell>
          <cell r="U11" t="str">
            <v>FBed</v>
          </cell>
          <cell r="V11" t="str">
            <v>A</v>
          </cell>
        </row>
        <row r="12">
          <cell r="B12" t="str">
            <v>157-2065</v>
          </cell>
          <cell r="C12" t="str">
            <v>Walmart Canada Corp.</v>
          </cell>
          <cell r="D12" t="str">
            <v>Walmart 3054-FS-IPAC-D22-GC14GF3I-M-PPB</v>
          </cell>
          <cell r="E12" t="str">
            <v>Mississauga (Meadowvale), ON</v>
          </cell>
          <cell r="F12">
            <v>42394</v>
          </cell>
          <cell r="G12">
            <v>42397</v>
          </cell>
          <cell r="H12">
            <v>11</v>
          </cell>
          <cell r="I12">
            <v>42404</v>
          </cell>
          <cell r="J12" t="str">
            <v>PF</v>
          </cell>
          <cell r="K12" t="str">
            <v>F</v>
          </cell>
          <cell r="L12">
            <v>9360</v>
          </cell>
          <cell r="M12">
            <v>235</v>
          </cell>
          <cell r="N12">
            <v>2</v>
          </cell>
          <cell r="O12">
            <v>77021.89</v>
          </cell>
          <cell r="P12" t="str">
            <v>GA</v>
          </cell>
          <cell r="Q12" t="str">
            <v>4PD</v>
          </cell>
          <cell r="R12">
            <v>160358.80319999999</v>
          </cell>
          <cell r="S12" t="b">
            <v>1</v>
          </cell>
          <cell r="T12" t="str">
            <v>Yes</v>
          </cell>
          <cell r="U12" t="str">
            <v>FBed</v>
          </cell>
          <cell r="V12" t="str">
            <v>A</v>
          </cell>
        </row>
        <row r="13">
          <cell r="B13" t="str">
            <v>157-2011ADD1NC1</v>
          </cell>
          <cell r="C13" t="str">
            <v>Wal-Mart Store Planning</v>
          </cell>
          <cell r="D13" t="str">
            <v>Walmart 5746-00-Fuel Pickup</v>
          </cell>
          <cell r="E13" t="str">
            <v>Huntsville, AL</v>
          </cell>
          <cell r="F13">
            <v>42401</v>
          </cell>
          <cell r="I13">
            <v>42402</v>
          </cell>
          <cell r="J13" t="str">
            <v>N/A</v>
          </cell>
          <cell r="L13">
            <v>7</v>
          </cell>
          <cell r="M13">
            <v>0</v>
          </cell>
          <cell r="N13">
            <v>0</v>
          </cell>
          <cell r="O13">
            <v>0</v>
          </cell>
          <cell r="P13" t="str">
            <v>GA</v>
          </cell>
          <cell r="Q13" t="str">
            <v>4PD</v>
          </cell>
          <cell r="R13">
            <v>37.159999999999997</v>
          </cell>
          <cell r="S13" t="b">
            <v>1</v>
          </cell>
          <cell r="T13" t="str">
            <v>Yes</v>
          </cell>
          <cell r="U13" t="str">
            <v>WCall</v>
          </cell>
          <cell r="V13" t="str">
            <v>A</v>
          </cell>
        </row>
        <row r="14">
          <cell r="B14" t="str">
            <v xml:space="preserve">166-0109 </v>
          </cell>
          <cell r="C14" t="str">
            <v>Whole Foods Mid-Atlantic Reg.</v>
          </cell>
          <cell r="D14" t="str">
            <v>Whole Foods-Plywood</v>
          </cell>
          <cell r="E14" t="str">
            <v>Bedford, NH</v>
          </cell>
          <cell r="F14">
            <v>42401</v>
          </cell>
          <cell r="I14">
            <v>42404</v>
          </cell>
          <cell r="J14" t="str">
            <v>N/A</v>
          </cell>
          <cell r="L14">
            <v>0</v>
          </cell>
          <cell r="M14">
            <v>0</v>
          </cell>
          <cell r="N14">
            <v>0</v>
          </cell>
          <cell r="O14">
            <v>3734.6</v>
          </cell>
          <cell r="P14" t="str">
            <v>GA</v>
          </cell>
          <cell r="Q14" t="str">
            <v>4PD</v>
          </cell>
          <cell r="R14">
            <v>3734.6</v>
          </cell>
          <cell r="S14" t="b">
            <v>1</v>
          </cell>
          <cell r="T14" t="str">
            <v>Yes</v>
          </cell>
          <cell r="V14" t="str">
            <v>A</v>
          </cell>
        </row>
        <row r="15">
          <cell r="B15" t="str">
            <v xml:space="preserve">165-0065 </v>
          </cell>
          <cell r="C15" t="str">
            <v>Certified Comm Serv &amp; Equip</v>
          </cell>
          <cell r="D15" t="str">
            <v>Pilot Travel Center #338</v>
          </cell>
          <cell r="E15" t="str">
            <v>Cayce, SC</v>
          </cell>
          <cell r="F15">
            <v>42401</v>
          </cell>
          <cell r="G15">
            <v>42398</v>
          </cell>
          <cell r="H15">
            <v>18</v>
          </cell>
          <cell r="I15">
            <v>42409</v>
          </cell>
          <cell r="J15" t="str">
            <v>PF</v>
          </cell>
          <cell r="K15" t="str">
            <v>A</v>
          </cell>
          <cell r="L15">
            <v>961</v>
          </cell>
          <cell r="M15">
            <v>35</v>
          </cell>
          <cell r="N15">
            <v>1</v>
          </cell>
          <cell r="O15">
            <v>7864.3</v>
          </cell>
          <cell r="P15" t="str">
            <v>GA</v>
          </cell>
          <cell r="Q15" t="str">
            <v>4PD</v>
          </cell>
          <cell r="R15">
            <v>7864.3037999999997</v>
          </cell>
          <cell r="S15" t="b">
            <v>1</v>
          </cell>
          <cell r="T15" t="str">
            <v>Yes</v>
          </cell>
          <cell r="V15" t="str">
            <v>A</v>
          </cell>
        </row>
        <row r="16">
          <cell r="B16" t="str">
            <v>155-0991C</v>
          </cell>
          <cell r="C16" t="str">
            <v>Publix Super Markets Inc.</v>
          </cell>
          <cell r="D16" t="str">
            <v>Publix 1342 - Manatee, FL</v>
          </cell>
          <cell r="E16" t="str">
            <v>Manatee, FL</v>
          </cell>
          <cell r="F16">
            <v>42401</v>
          </cell>
          <cell r="G16">
            <v>42398</v>
          </cell>
          <cell r="H16">
            <v>19</v>
          </cell>
          <cell r="I16">
            <v>42409</v>
          </cell>
          <cell r="J16" t="str">
            <v>PF</v>
          </cell>
          <cell r="K16" t="str">
            <v>F</v>
          </cell>
          <cell r="L16">
            <v>1657</v>
          </cell>
          <cell r="M16">
            <v>35</v>
          </cell>
          <cell r="N16">
            <v>3</v>
          </cell>
          <cell r="O16">
            <v>14315.38</v>
          </cell>
          <cell r="P16" t="str">
            <v>GA</v>
          </cell>
          <cell r="Q16" t="str">
            <v>4PD</v>
          </cell>
          <cell r="R16">
            <v>15301.147999999999</v>
          </cell>
          <cell r="S16" t="b">
            <v>1</v>
          </cell>
          <cell r="T16" t="str">
            <v>Yes</v>
          </cell>
          <cell r="V16" t="str">
            <v>A</v>
          </cell>
        </row>
        <row r="17">
          <cell r="B17" t="str">
            <v>157-0740</v>
          </cell>
          <cell r="C17" t="str">
            <v>Wal-Mart Store Planning</v>
          </cell>
          <cell r="D17" t="str">
            <v>Walmart 0655-10-SC-NEW-182</v>
          </cell>
          <cell r="E17" t="str">
            <v>Madisonville (Hanson), KY</v>
          </cell>
          <cell r="F17">
            <v>42401</v>
          </cell>
          <cell r="G17">
            <v>42401</v>
          </cell>
          <cell r="H17">
            <v>21</v>
          </cell>
          <cell r="I17">
            <v>42405</v>
          </cell>
          <cell r="J17" t="str">
            <v>PF</v>
          </cell>
          <cell r="K17" t="str">
            <v>A</v>
          </cell>
          <cell r="L17">
            <v>13212</v>
          </cell>
          <cell r="M17">
            <v>325</v>
          </cell>
          <cell r="N17">
            <v>6</v>
          </cell>
          <cell r="O17">
            <v>85940.19</v>
          </cell>
          <cell r="P17" t="str">
            <v>GA</v>
          </cell>
          <cell r="Q17" t="str">
            <v>4PD</v>
          </cell>
          <cell r="R17">
            <v>142204.6317</v>
          </cell>
          <cell r="S17" t="b">
            <v>1</v>
          </cell>
          <cell r="T17" t="str">
            <v>Yes</v>
          </cell>
          <cell r="V17" t="str">
            <v>A</v>
          </cell>
        </row>
        <row r="18">
          <cell r="B18" t="str">
            <v xml:space="preserve">166-0110 </v>
          </cell>
          <cell r="C18" t="str">
            <v>Whole Foods Mid-Atlantic Reg.</v>
          </cell>
          <cell r="D18" t="str">
            <v>Whole Foods-Plywood</v>
          </cell>
          <cell r="E18" t="str">
            <v>Westford, NH</v>
          </cell>
          <cell r="F18">
            <v>42401</v>
          </cell>
          <cell r="G18">
            <v>42402</v>
          </cell>
          <cell r="I18">
            <v>42404</v>
          </cell>
          <cell r="J18" t="str">
            <v>N/A</v>
          </cell>
          <cell r="L18">
            <v>0</v>
          </cell>
          <cell r="M18">
            <v>0</v>
          </cell>
          <cell r="N18">
            <v>0</v>
          </cell>
          <cell r="O18">
            <v>4784.6000000000004</v>
          </cell>
          <cell r="P18" t="str">
            <v>GA</v>
          </cell>
          <cell r="Q18" t="str">
            <v>4PD</v>
          </cell>
          <cell r="R18">
            <v>4784.6000000000004</v>
          </cell>
          <cell r="S18" t="b">
            <v>1</v>
          </cell>
          <cell r="T18" t="str">
            <v>Yes</v>
          </cell>
          <cell r="V18" t="str">
            <v>A</v>
          </cell>
        </row>
        <row r="19">
          <cell r="B19" t="str">
            <v>157-2209</v>
          </cell>
          <cell r="C19" t="str">
            <v>Wal-Mart Store Planning</v>
          </cell>
          <cell r="D19" t="str">
            <v>Walmart 0071-216-REM-SP</v>
          </cell>
          <cell r="E19" t="str">
            <v>Pocahontas, AR</v>
          </cell>
          <cell r="F19">
            <v>42401</v>
          </cell>
          <cell r="G19">
            <v>42402</v>
          </cell>
          <cell r="H19">
            <v>21.2</v>
          </cell>
          <cell r="I19">
            <v>42405</v>
          </cell>
          <cell r="J19" t="str">
            <v>PF</v>
          </cell>
          <cell r="K19" t="str">
            <v>A</v>
          </cell>
          <cell r="L19">
            <v>1092</v>
          </cell>
          <cell r="M19">
            <v>31</v>
          </cell>
          <cell r="N19">
            <v>2</v>
          </cell>
          <cell r="O19">
            <v>10332.11</v>
          </cell>
          <cell r="P19" t="str">
            <v>GA</v>
          </cell>
          <cell r="Q19" t="str">
            <v>4PD</v>
          </cell>
          <cell r="R19">
            <v>19523.1348</v>
          </cell>
          <cell r="S19" t="b">
            <v>1</v>
          </cell>
          <cell r="T19" t="str">
            <v>Yes</v>
          </cell>
          <cell r="V19" t="str">
            <v>A</v>
          </cell>
        </row>
        <row r="20">
          <cell r="B20" t="str">
            <v>157-1151</v>
          </cell>
          <cell r="C20" t="str">
            <v>Wal-Mart Store Planning</v>
          </cell>
          <cell r="D20" t="str">
            <v>Walmart 4586-00-NHM-NEW-41</v>
          </cell>
          <cell r="E20" t="str">
            <v>Biloxi, MS</v>
          </cell>
          <cell r="F20">
            <v>42401</v>
          </cell>
          <cell r="G20">
            <v>42402</v>
          </cell>
          <cell r="H20">
            <v>22</v>
          </cell>
          <cell r="I20">
            <v>42412</v>
          </cell>
          <cell r="J20" t="str">
            <v>PF</v>
          </cell>
          <cell r="K20" t="str">
            <v>A</v>
          </cell>
          <cell r="L20">
            <v>4929</v>
          </cell>
          <cell r="M20">
            <v>125</v>
          </cell>
          <cell r="N20">
            <v>1</v>
          </cell>
          <cell r="O20">
            <v>27040.75</v>
          </cell>
          <cell r="P20" t="str">
            <v>GA</v>
          </cell>
          <cell r="Q20" t="str">
            <v>4PD</v>
          </cell>
          <cell r="R20">
            <v>57025.961300000003</v>
          </cell>
          <cell r="S20" t="b">
            <v>1</v>
          </cell>
          <cell r="T20" t="str">
            <v>Yes</v>
          </cell>
          <cell r="V20" t="str">
            <v>A</v>
          </cell>
        </row>
        <row r="21">
          <cell r="B21" t="str">
            <v>157-2203</v>
          </cell>
          <cell r="C21" t="str">
            <v>Aldi Inc- Tuly NY Division</v>
          </cell>
          <cell r="D21" t="str">
            <v>Aldi Store #86</v>
          </cell>
          <cell r="E21" t="str">
            <v>FAIRPORT NY</v>
          </cell>
          <cell r="F21">
            <v>42401</v>
          </cell>
          <cell r="G21">
            <v>42404</v>
          </cell>
          <cell r="I21">
            <v>42405</v>
          </cell>
          <cell r="J21" t="str">
            <v>PF</v>
          </cell>
          <cell r="K21" t="str">
            <v>M</v>
          </cell>
          <cell r="L21">
            <v>3884</v>
          </cell>
          <cell r="M21">
            <v>104</v>
          </cell>
          <cell r="N21">
            <v>1</v>
          </cell>
          <cell r="O21">
            <v>27848.2</v>
          </cell>
          <cell r="P21" t="str">
            <v>GA</v>
          </cell>
          <cell r="Q21" t="str">
            <v>4PD</v>
          </cell>
          <cell r="R21">
            <v>33365.8485</v>
          </cell>
          <cell r="S21" t="b">
            <v>1</v>
          </cell>
          <cell r="T21" t="str">
            <v>Yes</v>
          </cell>
          <cell r="V21" t="str">
            <v>A</v>
          </cell>
        </row>
        <row r="22">
          <cell r="B22" t="str">
            <v>155-1038ADD2</v>
          </cell>
          <cell r="C22" t="str">
            <v>K-Va-T Stores</v>
          </cell>
          <cell r="D22" t="str">
            <v>Food City 608</v>
          </cell>
          <cell r="E22" t="str">
            <v>Greenville, TN</v>
          </cell>
          <cell r="F22">
            <v>42401</v>
          </cell>
          <cell r="G22">
            <v>42408</v>
          </cell>
          <cell r="H22">
            <v>25</v>
          </cell>
          <cell r="I22">
            <v>42409</v>
          </cell>
          <cell r="J22" t="str">
            <v>PF</v>
          </cell>
          <cell r="K22" t="str">
            <v>CC</v>
          </cell>
          <cell r="L22">
            <v>1972</v>
          </cell>
          <cell r="M22">
            <v>62</v>
          </cell>
          <cell r="N22">
            <v>0</v>
          </cell>
          <cell r="O22">
            <v>17946.68</v>
          </cell>
          <cell r="P22" t="str">
            <v>GA</v>
          </cell>
          <cell r="Q22" t="str">
            <v>4PD</v>
          </cell>
          <cell r="R22">
            <v>24172.04</v>
          </cell>
          <cell r="S22" t="b">
            <v>1</v>
          </cell>
          <cell r="T22" t="str">
            <v>Yes</v>
          </cell>
          <cell r="V22" t="str">
            <v>A</v>
          </cell>
        </row>
        <row r="23">
          <cell r="B23" t="str">
            <v>157-1708B</v>
          </cell>
          <cell r="C23" t="str">
            <v>KPS, LLC Mid-South #024</v>
          </cell>
          <cell r="D23" t="str">
            <v>Kroger L-745</v>
          </cell>
          <cell r="E23" t="str">
            <v>SOMERSET KY</v>
          </cell>
          <cell r="F23">
            <v>42401</v>
          </cell>
          <cell r="G23">
            <v>42411</v>
          </cell>
          <cell r="H23">
            <v>26</v>
          </cell>
          <cell r="I23">
            <v>42412</v>
          </cell>
          <cell r="J23" t="str">
            <v>PF</v>
          </cell>
          <cell r="K23" t="str">
            <v>CC</v>
          </cell>
          <cell r="L23">
            <v>11623</v>
          </cell>
          <cell r="M23">
            <v>406</v>
          </cell>
          <cell r="N23">
            <v>15</v>
          </cell>
          <cell r="O23">
            <v>101627.64</v>
          </cell>
          <cell r="P23" t="str">
            <v>GA</v>
          </cell>
          <cell r="Q23" t="str">
            <v>4PD</v>
          </cell>
          <cell r="R23">
            <v>101627.6447</v>
          </cell>
          <cell r="S23" t="b">
            <v>1</v>
          </cell>
          <cell r="T23" t="str">
            <v>Yes</v>
          </cell>
          <cell r="V23" t="str">
            <v>A</v>
          </cell>
        </row>
        <row r="24">
          <cell r="B24" t="str">
            <v>155-1102A</v>
          </cell>
          <cell r="C24" t="str">
            <v>Publix Super Markets Inc.</v>
          </cell>
          <cell r="D24" t="str">
            <v>Publix #1528</v>
          </cell>
          <cell r="E24" t="str">
            <v>Arcadia FL</v>
          </cell>
          <cell r="F24">
            <v>42401</v>
          </cell>
          <cell r="G24">
            <v>42411</v>
          </cell>
          <cell r="H24">
            <v>27</v>
          </cell>
          <cell r="I24">
            <v>42412</v>
          </cell>
          <cell r="J24" t="str">
            <v>PF</v>
          </cell>
          <cell r="K24" t="str">
            <v>CC</v>
          </cell>
          <cell r="L24">
            <v>11483</v>
          </cell>
          <cell r="M24">
            <v>275</v>
          </cell>
          <cell r="N24">
            <v>12</v>
          </cell>
          <cell r="O24">
            <v>78359.3</v>
          </cell>
          <cell r="P24" t="str">
            <v>GA</v>
          </cell>
          <cell r="Q24" t="str">
            <v>4PD</v>
          </cell>
          <cell r="R24">
            <v>78359.296400000007</v>
          </cell>
          <cell r="S24" t="b">
            <v>1</v>
          </cell>
          <cell r="T24" t="str">
            <v>Yes</v>
          </cell>
          <cell r="V24" t="str">
            <v>A</v>
          </cell>
        </row>
        <row r="25">
          <cell r="B25" t="str">
            <v xml:space="preserve">167-0006 </v>
          </cell>
          <cell r="C25" t="str">
            <v>Two Farms, Inc.</v>
          </cell>
          <cell r="D25" t="str">
            <v>Royal Farms 221</v>
          </cell>
          <cell r="E25" t="str">
            <v>GLENOLDEN PA</v>
          </cell>
          <cell r="F25">
            <v>42401</v>
          </cell>
          <cell r="G25">
            <v>42411</v>
          </cell>
          <cell r="H25">
            <v>29</v>
          </cell>
          <cell r="I25">
            <v>42412</v>
          </cell>
          <cell r="J25" t="str">
            <v>PF</v>
          </cell>
          <cell r="K25" t="str">
            <v>CC</v>
          </cell>
          <cell r="L25">
            <v>2323</v>
          </cell>
          <cell r="M25">
            <v>82</v>
          </cell>
          <cell r="N25">
            <v>5</v>
          </cell>
          <cell r="O25">
            <v>21463.46</v>
          </cell>
          <cell r="P25" t="str">
            <v>GA</v>
          </cell>
          <cell r="Q25" t="str">
            <v>4PD</v>
          </cell>
          <cell r="R25">
            <v>37206.055899999999</v>
          </cell>
          <cell r="S25" t="b">
            <v>1</v>
          </cell>
          <cell r="T25" t="str">
            <v>Yes</v>
          </cell>
          <cell r="U25" t="str">
            <v>FBed</v>
          </cell>
          <cell r="V25" t="str">
            <v>A</v>
          </cell>
        </row>
        <row r="26">
          <cell r="B26" t="str">
            <v>167-0080</v>
          </cell>
          <cell r="C26" t="str">
            <v>Equipment Resources &amp; Sol.</v>
          </cell>
          <cell r="D26" t="str">
            <v>Mobil Station</v>
          </cell>
          <cell r="E26" t="str">
            <v>STEWARTSVILLE NJ</v>
          </cell>
          <cell r="F26">
            <v>42401</v>
          </cell>
          <cell r="G26">
            <v>42412</v>
          </cell>
          <cell r="I26">
            <v>42415</v>
          </cell>
          <cell r="J26" t="str">
            <v>PF</v>
          </cell>
          <cell r="L26">
            <v>1060</v>
          </cell>
          <cell r="M26">
            <v>41</v>
          </cell>
          <cell r="N26">
            <v>1</v>
          </cell>
          <cell r="O26">
            <v>7543.64</v>
          </cell>
          <cell r="P26" t="str">
            <v>GA</v>
          </cell>
          <cell r="Q26" t="str">
            <v>4PD</v>
          </cell>
          <cell r="R26">
            <v>22616.174900000002</v>
          </cell>
          <cell r="S26" t="b">
            <v>1</v>
          </cell>
          <cell r="T26" t="str">
            <v>Yes</v>
          </cell>
          <cell r="U26" t="str">
            <v>FBed</v>
          </cell>
          <cell r="V26" t="str">
            <v>CIA</v>
          </cell>
        </row>
        <row r="27">
          <cell r="B27" t="str">
            <v>155-1179</v>
          </cell>
          <cell r="C27" t="str">
            <v>Dollar Tree Sourcing Comp. LLC</v>
          </cell>
          <cell r="D27" t="str">
            <v>DT# 6307   WM FLDLCRDR</v>
          </cell>
          <cell r="E27" t="str">
            <v>TOMS RIVER, NJ</v>
          </cell>
          <cell r="F27">
            <v>42408</v>
          </cell>
          <cell r="G27">
            <v>42402</v>
          </cell>
          <cell r="H27">
            <v>23</v>
          </cell>
          <cell r="I27">
            <v>42416</v>
          </cell>
          <cell r="J27" t="str">
            <v>PF</v>
          </cell>
          <cell r="K27" t="str">
            <v>M</v>
          </cell>
          <cell r="L27">
            <v>551</v>
          </cell>
          <cell r="M27">
            <v>19</v>
          </cell>
          <cell r="N27">
            <v>2</v>
          </cell>
          <cell r="O27">
            <v>5302.05</v>
          </cell>
          <cell r="P27" t="str">
            <v>GA</v>
          </cell>
          <cell r="Q27" t="str">
            <v>4PD</v>
          </cell>
          <cell r="R27">
            <v>9631.1023999999998</v>
          </cell>
          <cell r="S27" t="b">
            <v>1</v>
          </cell>
          <cell r="T27" t="str">
            <v>Yes</v>
          </cell>
        </row>
        <row r="28">
          <cell r="B28" t="str">
            <v>165-0036</v>
          </cell>
          <cell r="C28" t="str">
            <v>Dannemiller Diversified</v>
          </cell>
          <cell r="D28" t="str">
            <v>Dirty Bird</v>
          </cell>
          <cell r="E28" t="str">
            <v>New York, NY</v>
          </cell>
          <cell r="F28">
            <v>42408</v>
          </cell>
          <cell r="G28">
            <v>42410</v>
          </cell>
          <cell r="I28">
            <v>42411</v>
          </cell>
          <cell r="J28" t="str">
            <v>PF</v>
          </cell>
          <cell r="L28">
            <v>458</v>
          </cell>
          <cell r="M28">
            <v>18</v>
          </cell>
          <cell r="N28">
            <v>1</v>
          </cell>
          <cell r="O28">
            <v>4059.62</v>
          </cell>
          <cell r="P28" t="str">
            <v>GA</v>
          </cell>
          <cell r="Q28" t="str">
            <v>4PD</v>
          </cell>
          <cell r="R28">
            <v>6036.1018999999997</v>
          </cell>
          <cell r="S28" t="b">
            <v>0</v>
          </cell>
          <cell r="T28" t="str">
            <v>No</v>
          </cell>
          <cell r="V28" t="str">
            <v>A</v>
          </cell>
        </row>
        <row r="29">
          <cell r="B29" t="str">
            <v>155-1147</v>
          </cell>
          <cell r="C29" t="str">
            <v>Publix Super Markets Inc.</v>
          </cell>
          <cell r="D29" t="str">
            <v>Publix#1043, Kings Market</v>
          </cell>
          <cell r="E29" t="str">
            <v>Roswell, GA</v>
          </cell>
          <cell r="F29">
            <v>42408</v>
          </cell>
          <cell r="G29">
            <v>42411</v>
          </cell>
          <cell r="I29">
            <v>42412</v>
          </cell>
          <cell r="J29" t="str">
            <v>PQ</v>
          </cell>
          <cell r="L29">
            <v>0</v>
          </cell>
          <cell r="M29">
            <v>0</v>
          </cell>
          <cell r="N29">
            <v>1</v>
          </cell>
          <cell r="O29">
            <v>1610.1</v>
          </cell>
          <cell r="P29" t="str">
            <v>GA</v>
          </cell>
          <cell r="Q29" t="str">
            <v>4PD</v>
          </cell>
          <cell r="R29">
            <v>1856.06</v>
          </cell>
          <cell r="S29" t="b">
            <v>1</v>
          </cell>
          <cell r="T29" t="str">
            <v>Yes</v>
          </cell>
          <cell r="V29" t="str">
            <v>A</v>
          </cell>
        </row>
        <row r="30">
          <cell r="B30" t="str">
            <v>155-1212B</v>
          </cell>
          <cell r="C30" t="str">
            <v>Publix Super Markets Inc.</v>
          </cell>
          <cell r="D30" t="str">
            <v>Publix #737</v>
          </cell>
          <cell r="E30" t="str">
            <v>Englewood, FL</v>
          </cell>
          <cell r="F30">
            <v>42408</v>
          </cell>
          <cell r="G30">
            <v>42411</v>
          </cell>
          <cell r="I30">
            <v>42412</v>
          </cell>
          <cell r="J30" t="str">
            <v>PF</v>
          </cell>
          <cell r="K30" t="str">
            <v>CC</v>
          </cell>
          <cell r="L30">
            <v>0</v>
          </cell>
          <cell r="M30">
            <v>0</v>
          </cell>
          <cell r="N30">
            <v>0</v>
          </cell>
          <cell r="O30">
            <v>950</v>
          </cell>
          <cell r="P30" t="str">
            <v>GA</v>
          </cell>
          <cell r="Q30" t="str">
            <v>4PD</v>
          </cell>
          <cell r="R30">
            <v>4387.5</v>
          </cell>
          <cell r="S30" t="b">
            <v>1</v>
          </cell>
          <cell r="T30" t="str">
            <v>Yes</v>
          </cell>
          <cell r="V30" t="str">
            <v>A</v>
          </cell>
        </row>
        <row r="31">
          <cell r="B31" t="str">
            <v>155-0913</v>
          </cell>
          <cell r="C31" t="str">
            <v>Publix Super Markets Inc.</v>
          </cell>
          <cell r="D31" t="str">
            <v>Publix Rocket Court Pharmacy</v>
          </cell>
          <cell r="F31">
            <v>42408</v>
          </cell>
          <cell r="G31">
            <v>42411</v>
          </cell>
          <cell r="I31">
            <v>42412</v>
          </cell>
          <cell r="J31" t="str">
            <v>AP</v>
          </cell>
          <cell r="L31">
            <v>1901</v>
          </cell>
          <cell r="M31">
            <v>0</v>
          </cell>
          <cell r="N31">
            <v>1</v>
          </cell>
          <cell r="O31">
            <v>15993.67</v>
          </cell>
          <cell r="P31" t="str">
            <v>GA</v>
          </cell>
          <cell r="Q31" t="str">
            <v>4PD</v>
          </cell>
          <cell r="R31">
            <v>58912.684399999998</v>
          </cell>
          <cell r="S31" t="b">
            <v>1</v>
          </cell>
          <cell r="T31" t="str">
            <v>Yes</v>
          </cell>
        </row>
        <row r="32">
          <cell r="B32" t="str">
            <v xml:space="preserve">150-0358 </v>
          </cell>
          <cell r="C32" t="str">
            <v>Supermarket Source, Inc</v>
          </cell>
          <cell r="D32" t="str">
            <v xml:space="preserve">Bedners </v>
          </cell>
          <cell r="E32" t="str">
            <v xml:space="preserve"> </v>
          </cell>
          <cell r="F32">
            <v>42408</v>
          </cell>
          <cell r="G32">
            <v>42411</v>
          </cell>
          <cell r="I32">
            <v>42412</v>
          </cell>
          <cell r="J32" t="str">
            <v>PF</v>
          </cell>
          <cell r="L32">
            <v>1416</v>
          </cell>
          <cell r="M32">
            <v>30</v>
          </cell>
          <cell r="N32">
            <v>0</v>
          </cell>
          <cell r="O32">
            <v>10435.25</v>
          </cell>
          <cell r="P32" t="str">
            <v>GA</v>
          </cell>
          <cell r="Q32" t="str">
            <v>4PD</v>
          </cell>
          <cell r="R32">
            <v>14652.911400000001</v>
          </cell>
          <cell r="S32" t="b">
            <v>0</v>
          </cell>
          <cell r="T32" t="str">
            <v>No</v>
          </cell>
          <cell r="U32" t="str">
            <v>40 HC</v>
          </cell>
          <cell r="V32" t="str">
            <v>A</v>
          </cell>
        </row>
        <row r="33">
          <cell r="B33" t="str">
            <v>168-0136</v>
          </cell>
          <cell r="C33" t="str">
            <v>KPS, LLC Delta #025</v>
          </cell>
          <cell r="D33" t="str">
            <v>Kroger V-426</v>
          </cell>
          <cell r="E33" t="str">
            <v>CORDOVA TN</v>
          </cell>
          <cell r="F33">
            <v>42408</v>
          </cell>
          <cell r="G33">
            <v>42411</v>
          </cell>
          <cell r="I33">
            <v>42412</v>
          </cell>
          <cell r="J33" t="str">
            <v>PQ</v>
          </cell>
          <cell r="L33">
            <v>0</v>
          </cell>
          <cell r="M33">
            <v>0</v>
          </cell>
          <cell r="N33">
            <v>1</v>
          </cell>
          <cell r="O33">
            <v>2704.8</v>
          </cell>
          <cell r="P33" t="str">
            <v>GA</v>
          </cell>
          <cell r="Q33" t="str">
            <v>4PD</v>
          </cell>
          <cell r="R33">
            <v>2704.8</v>
          </cell>
          <cell r="S33" t="b">
            <v>1</v>
          </cell>
          <cell r="T33" t="str">
            <v>Yes</v>
          </cell>
          <cell r="U33" t="str">
            <v>LTL</v>
          </cell>
          <cell r="V33" t="str">
            <v>A</v>
          </cell>
        </row>
        <row r="34">
          <cell r="B34" t="str">
            <v>155-1133C</v>
          </cell>
          <cell r="C34" t="str">
            <v>Publix Super Markets Inc.</v>
          </cell>
          <cell r="D34" t="str">
            <v>Publix #1097</v>
          </cell>
          <cell r="E34" t="str">
            <v>Fort Lauderdale, FL</v>
          </cell>
          <cell r="F34">
            <v>42408</v>
          </cell>
          <cell r="G34">
            <v>42411</v>
          </cell>
          <cell r="I34">
            <v>42412</v>
          </cell>
          <cell r="J34" t="str">
            <v>SQ</v>
          </cell>
          <cell r="L34">
            <v>0</v>
          </cell>
          <cell r="M34">
            <v>0</v>
          </cell>
          <cell r="N34">
            <v>0</v>
          </cell>
          <cell r="O34">
            <v>8407</v>
          </cell>
          <cell r="P34" t="str">
            <v>GA</v>
          </cell>
          <cell r="Q34" t="str">
            <v>4PD</v>
          </cell>
          <cell r="R34">
            <v>18044.900000000001</v>
          </cell>
          <cell r="S34" t="b">
            <v>1</v>
          </cell>
          <cell r="T34" t="str">
            <v>Yes</v>
          </cell>
          <cell r="V34" t="str">
            <v>A</v>
          </cell>
        </row>
        <row r="35">
          <cell r="B35" t="str">
            <v>157-2213</v>
          </cell>
          <cell r="C35" t="str">
            <v>KPS, LLC Mid-Atlantic # 029</v>
          </cell>
          <cell r="D35" t="str">
            <v>Kroger R-503</v>
          </cell>
          <cell r="E35" t="str">
            <v>Richmond VA</v>
          </cell>
          <cell r="F35">
            <v>42408</v>
          </cell>
          <cell r="G35">
            <v>42411</v>
          </cell>
          <cell r="I35">
            <v>42412</v>
          </cell>
          <cell r="J35" t="str">
            <v>AP</v>
          </cell>
          <cell r="L35">
            <v>380</v>
          </cell>
          <cell r="M35">
            <v>0</v>
          </cell>
          <cell r="N35">
            <v>2</v>
          </cell>
          <cell r="O35">
            <v>7250.78</v>
          </cell>
          <cell r="P35" t="str">
            <v>GA</v>
          </cell>
          <cell r="Q35" t="str">
            <v>4PD</v>
          </cell>
          <cell r="R35">
            <v>7250.78</v>
          </cell>
          <cell r="S35" t="b">
            <v>1</v>
          </cell>
          <cell r="T35" t="str">
            <v>Yes</v>
          </cell>
          <cell r="U35" t="str">
            <v>FBed</v>
          </cell>
          <cell r="V35" t="str">
            <v>A</v>
          </cell>
        </row>
        <row r="36">
          <cell r="B36" t="str">
            <v>167-0121</v>
          </cell>
          <cell r="C36" t="str">
            <v>Wal-Mart Store Planning</v>
          </cell>
          <cell r="D36" t="str">
            <v>Walmart Layout Center (Vista B &amp; C)</v>
          </cell>
          <cell r="E36" t="str">
            <v>Bentonville, AR</v>
          </cell>
          <cell r="F36">
            <v>42408</v>
          </cell>
          <cell r="G36">
            <v>42411</v>
          </cell>
          <cell r="H36">
            <v>28</v>
          </cell>
          <cell r="I36">
            <v>42412</v>
          </cell>
          <cell r="J36" t="str">
            <v>PF</v>
          </cell>
          <cell r="K36" t="str">
            <v>CC</v>
          </cell>
          <cell r="L36">
            <v>278</v>
          </cell>
          <cell r="M36">
            <v>10</v>
          </cell>
          <cell r="N36">
            <v>0</v>
          </cell>
          <cell r="O36">
            <v>1946.56</v>
          </cell>
          <cell r="P36" t="str">
            <v>GA</v>
          </cell>
          <cell r="Q36" t="str">
            <v>4PD</v>
          </cell>
          <cell r="R36">
            <v>24418.698499999999</v>
          </cell>
          <cell r="S36" t="b">
            <v>1</v>
          </cell>
          <cell r="T36" t="str">
            <v>Yes</v>
          </cell>
        </row>
        <row r="37">
          <cell r="B37" t="str">
            <v>167-0058</v>
          </cell>
          <cell r="C37" t="str">
            <v>Backyard Trading Establishment</v>
          </cell>
          <cell r="D37" t="str">
            <v>Backyard Middle East</v>
          </cell>
          <cell r="E37" t="str">
            <v>Al Khobar 31952 Saudi Arabia</v>
          </cell>
          <cell r="F37">
            <v>42408</v>
          </cell>
          <cell r="G37">
            <v>42412</v>
          </cell>
          <cell r="I37">
            <v>42415</v>
          </cell>
          <cell r="J37" t="str">
            <v>PW1</v>
          </cell>
          <cell r="L37">
            <v>577</v>
          </cell>
          <cell r="M37">
            <v>0</v>
          </cell>
          <cell r="N37">
            <v>1</v>
          </cell>
          <cell r="O37">
            <v>6877.58</v>
          </cell>
          <cell r="P37" t="str">
            <v>GA</v>
          </cell>
          <cell r="Q37" t="str">
            <v>4PD</v>
          </cell>
          <cell r="R37">
            <v>8516.8320000000003</v>
          </cell>
          <cell r="S37" t="b">
            <v>1</v>
          </cell>
          <cell r="T37" t="str">
            <v>Yes</v>
          </cell>
          <cell r="U37" t="str">
            <v>WCall</v>
          </cell>
          <cell r="V37" t="str">
            <v>CIA</v>
          </cell>
        </row>
        <row r="38">
          <cell r="B38" t="str">
            <v>155-0991D</v>
          </cell>
          <cell r="C38" t="str">
            <v>Publix Super Markets Inc.</v>
          </cell>
          <cell r="D38" t="str">
            <v>Publix 1342 - Manatee, FL</v>
          </cell>
          <cell r="E38" t="str">
            <v>Manatee, FL</v>
          </cell>
          <cell r="F38">
            <v>42408</v>
          </cell>
          <cell r="G38">
            <v>42415</v>
          </cell>
          <cell r="I38">
            <v>42416</v>
          </cell>
          <cell r="J38" t="str">
            <v>SS</v>
          </cell>
          <cell r="L38">
            <v>1010</v>
          </cell>
          <cell r="M38">
            <v>0</v>
          </cell>
          <cell r="N38">
            <v>2</v>
          </cell>
          <cell r="O38">
            <v>8438.4699999999993</v>
          </cell>
          <cell r="P38" t="str">
            <v>GA</v>
          </cell>
          <cell r="Q38" t="str">
            <v>4PD</v>
          </cell>
          <cell r="R38">
            <v>8930.3894</v>
          </cell>
          <cell r="S38" t="b">
            <v>1</v>
          </cell>
          <cell r="T38" t="str">
            <v>Yes</v>
          </cell>
          <cell r="V38" t="str">
            <v>A</v>
          </cell>
        </row>
        <row r="39">
          <cell r="B39" t="str">
            <v>155-1097</v>
          </cell>
          <cell r="C39" t="str">
            <v>Triple S International</v>
          </cell>
          <cell r="D39" t="str">
            <v>Nutrition Smart Pembroke Pines</v>
          </cell>
          <cell r="E39" t="str">
            <v xml:space="preserve"> </v>
          </cell>
          <cell r="F39">
            <v>42408</v>
          </cell>
          <cell r="G39">
            <v>42415</v>
          </cell>
          <cell r="I39">
            <v>42416</v>
          </cell>
          <cell r="J39" t="str">
            <v>PF</v>
          </cell>
          <cell r="L39">
            <v>1144</v>
          </cell>
          <cell r="M39">
            <v>0</v>
          </cell>
          <cell r="N39">
            <v>2</v>
          </cell>
          <cell r="O39">
            <v>11739.44</v>
          </cell>
          <cell r="P39" t="str">
            <v>GA</v>
          </cell>
          <cell r="Q39" t="str">
            <v>4PD</v>
          </cell>
          <cell r="R39">
            <v>11845.441999999999</v>
          </cell>
          <cell r="S39" t="b">
            <v>1</v>
          </cell>
          <cell r="T39" t="str">
            <v>Yes</v>
          </cell>
          <cell r="V39" t="str">
            <v>A</v>
          </cell>
        </row>
        <row r="40">
          <cell r="B40" t="str">
            <v>167-0155</v>
          </cell>
          <cell r="C40" t="str">
            <v>KPS, LLC Nashville #026</v>
          </cell>
          <cell r="D40" t="str">
            <v>U-503</v>
          </cell>
          <cell r="E40" t="str">
            <v>Decherd TX</v>
          </cell>
          <cell r="F40">
            <v>42408</v>
          </cell>
          <cell r="G40">
            <v>42415</v>
          </cell>
          <cell r="I40">
            <v>42416</v>
          </cell>
          <cell r="J40" t="str">
            <v>SQ</v>
          </cell>
          <cell r="L40">
            <v>326</v>
          </cell>
          <cell r="M40">
            <v>0</v>
          </cell>
          <cell r="N40">
            <v>0</v>
          </cell>
          <cell r="O40">
            <v>4075.59</v>
          </cell>
          <cell r="P40" t="str">
            <v>GA</v>
          </cell>
          <cell r="Q40" t="str">
            <v>4PD</v>
          </cell>
          <cell r="R40">
            <v>4075.59</v>
          </cell>
          <cell r="S40" t="b">
            <v>0</v>
          </cell>
          <cell r="T40" t="str">
            <v>No</v>
          </cell>
          <cell r="U40" t="str">
            <v>FBed</v>
          </cell>
        </row>
        <row r="41">
          <cell r="B41" t="str">
            <v>157-1994</v>
          </cell>
          <cell r="C41" t="str">
            <v>Wal-Mart Store Planning</v>
          </cell>
          <cell r="D41" t="str">
            <v>Walmart 1081-06-SC-NEW-182</v>
          </cell>
          <cell r="E41" t="str">
            <v>Gainesville, FL</v>
          </cell>
          <cell r="F41">
            <v>42408</v>
          </cell>
          <cell r="G41">
            <v>42415</v>
          </cell>
          <cell r="I41">
            <v>42416</v>
          </cell>
          <cell r="J41" t="str">
            <v>PC2</v>
          </cell>
          <cell r="L41">
            <v>13154</v>
          </cell>
          <cell r="M41">
            <v>0</v>
          </cell>
          <cell r="N41">
            <v>6</v>
          </cell>
          <cell r="O41">
            <v>85940.22</v>
          </cell>
          <cell r="P41" t="str">
            <v>GA</v>
          </cell>
          <cell r="Q41" t="str">
            <v>4PD</v>
          </cell>
          <cell r="R41">
            <v>136867.6568</v>
          </cell>
          <cell r="S41" t="b">
            <v>1</v>
          </cell>
          <cell r="T41" t="str">
            <v>Yes</v>
          </cell>
        </row>
        <row r="42">
          <cell r="B42" t="str">
            <v>155-1174</v>
          </cell>
          <cell r="C42" t="str">
            <v>Dollar Tree Sourcing Comp. LLC</v>
          </cell>
          <cell r="D42" t="str">
            <v>DT #6316   WM FLDLCRDR</v>
          </cell>
          <cell r="E42" t="str">
            <v>ASHDOWN AR</v>
          </cell>
          <cell r="F42">
            <v>42408</v>
          </cell>
          <cell r="G42">
            <v>42415</v>
          </cell>
          <cell r="H42">
            <v>24</v>
          </cell>
          <cell r="I42">
            <v>42416</v>
          </cell>
          <cell r="J42" t="str">
            <v>PF</v>
          </cell>
          <cell r="K42" t="str">
            <v>CC</v>
          </cell>
          <cell r="L42">
            <v>551</v>
          </cell>
          <cell r="M42">
            <v>19</v>
          </cell>
          <cell r="N42">
            <v>2</v>
          </cell>
          <cell r="O42">
            <v>5302.05</v>
          </cell>
          <cell r="P42" t="str">
            <v>GA</v>
          </cell>
          <cell r="Q42" t="str">
            <v>4PD</v>
          </cell>
          <cell r="R42">
            <v>9631.1023999999998</v>
          </cell>
          <cell r="S42" t="b">
            <v>1</v>
          </cell>
          <cell r="T42" t="str">
            <v>Yes</v>
          </cell>
        </row>
        <row r="43">
          <cell r="B43" t="str">
            <v>165-0031</v>
          </cell>
          <cell r="C43" t="str">
            <v>Dollar Tree Sourcing Comp. LLC</v>
          </cell>
          <cell r="D43" t="str">
            <v>DT# 6336   WM FRDRCLDL</v>
          </cell>
          <cell r="E43" t="str">
            <v>BUFFALO, NY</v>
          </cell>
          <cell r="F43">
            <v>42408</v>
          </cell>
          <cell r="G43">
            <v>42416</v>
          </cell>
          <cell r="I43">
            <v>42417</v>
          </cell>
          <cell r="J43" t="str">
            <v>PF</v>
          </cell>
          <cell r="L43">
            <v>551</v>
          </cell>
          <cell r="M43">
            <v>19</v>
          </cell>
          <cell r="N43">
            <v>2</v>
          </cell>
          <cell r="O43">
            <v>5500.12</v>
          </cell>
          <cell r="P43" t="str">
            <v>GA</v>
          </cell>
          <cell r="Q43" t="str">
            <v>4PD</v>
          </cell>
          <cell r="R43">
            <v>9933.2451999999994</v>
          </cell>
          <cell r="S43" t="b">
            <v>1</v>
          </cell>
          <cell r="T43" t="str">
            <v>Yes</v>
          </cell>
        </row>
        <row r="44">
          <cell r="B44" t="str">
            <v>155-1058</v>
          </cell>
          <cell r="C44" t="str">
            <v>Giant Tiger Stores Unlimited</v>
          </cell>
          <cell r="D44" t="str">
            <v>Giant Tiger 214</v>
          </cell>
          <cell r="E44" t="str">
            <v>Burlington Ontario</v>
          </cell>
          <cell r="F44">
            <v>42408</v>
          </cell>
          <cell r="G44">
            <v>42416</v>
          </cell>
          <cell r="I44">
            <v>42417</v>
          </cell>
          <cell r="J44" t="str">
            <v>PF</v>
          </cell>
          <cell r="L44">
            <v>1748</v>
          </cell>
          <cell r="M44">
            <v>44</v>
          </cell>
          <cell r="N44">
            <v>2</v>
          </cell>
          <cell r="O44">
            <v>13754.86</v>
          </cell>
          <cell r="P44" t="str">
            <v>GA</v>
          </cell>
          <cell r="Q44" t="str">
            <v>4PD</v>
          </cell>
          <cell r="R44">
            <v>13754.863799999999</v>
          </cell>
          <cell r="S44" t="b">
            <v>0</v>
          </cell>
          <cell r="T44" t="str">
            <v>No</v>
          </cell>
          <cell r="U44" t="str">
            <v>CPUp</v>
          </cell>
          <cell r="V44" t="str">
            <v>A</v>
          </cell>
        </row>
        <row r="45">
          <cell r="B45" t="str">
            <v>165-0003</v>
          </cell>
          <cell r="C45" t="str">
            <v>Dollar Tree Sourcing Comp. LLC</v>
          </cell>
          <cell r="D45" t="str">
            <v>DT# 6360   WM FLDLCRDR</v>
          </cell>
          <cell r="E45" t="str">
            <v>BAYTOWN, TX</v>
          </cell>
          <cell r="F45">
            <v>42408</v>
          </cell>
          <cell r="G45">
            <v>42417</v>
          </cell>
          <cell r="I45">
            <v>42418</v>
          </cell>
          <cell r="J45" t="str">
            <v>PF</v>
          </cell>
          <cell r="L45">
            <v>551</v>
          </cell>
          <cell r="M45">
            <v>19</v>
          </cell>
          <cell r="N45">
            <v>2</v>
          </cell>
          <cell r="O45">
            <v>5302.05</v>
          </cell>
          <cell r="P45" t="str">
            <v>GA</v>
          </cell>
          <cell r="Q45" t="str">
            <v>4PD</v>
          </cell>
          <cell r="R45">
            <v>9631.1023999999998</v>
          </cell>
          <cell r="S45" t="b">
            <v>1</v>
          </cell>
          <cell r="T45" t="str">
            <v>Yes</v>
          </cell>
        </row>
        <row r="46">
          <cell r="B46" t="str">
            <v>157-2149C</v>
          </cell>
          <cell r="C46" t="str">
            <v>SUPERVALU</v>
          </cell>
          <cell r="D46" t="str">
            <v>Save-A-Lot 168</v>
          </cell>
          <cell r="E46" t="str">
            <v>FORT PIERCE FL</v>
          </cell>
          <cell r="F46">
            <v>42408</v>
          </cell>
          <cell r="G46">
            <v>42418</v>
          </cell>
          <cell r="I46">
            <v>42419</v>
          </cell>
          <cell r="J46" t="str">
            <v>PC</v>
          </cell>
          <cell r="L46">
            <v>816</v>
          </cell>
          <cell r="M46">
            <v>0</v>
          </cell>
          <cell r="N46">
            <v>1</v>
          </cell>
          <cell r="O46">
            <v>5954.93</v>
          </cell>
          <cell r="P46" t="str">
            <v>GA</v>
          </cell>
          <cell r="Q46" t="str">
            <v>4PD</v>
          </cell>
          <cell r="R46">
            <v>11546.424000000001</v>
          </cell>
          <cell r="S46" t="b">
            <v>0</v>
          </cell>
          <cell r="T46" t="str">
            <v>No</v>
          </cell>
          <cell r="V46" t="str">
            <v>A</v>
          </cell>
        </row>
        <row r="47">
          <cell r="B47" t="str">
            <v>157-1778</v>
          </cell>
          <cell r="C47" t="str">
            <v>KPS, LLC Mid-Atlantic # 029</v>
          </cell>
          <cell r="D47" t="str">
            <v>Kroger R-557</v>
          </cell>
          <cell r="E47" t="str">
            <v>CHESAPEAKE VA</v>
          </cell>
          <cell r="F47">
            <v>42408</v>
          </cell>
          <cell r="G47">
            <v>42418</v>
          </cell>
          <cell r="I47">
            <v>42419</v>
          </cell>
          <cell r="J47" t="str">
            <v>PQ</v>
          </cell>
          <cell r="L47">
            <v>16472</v>
          </cell>
          <cell r="M47">
            <v>0</v>
          </cell>
          <cell r="N47">
            <v>17</v>
          </cell>
          <cell r="O47">
            <v>120487.81</v>
          </cell>
          <cell r="P47" t="str">
            <v>GA</v>
          </cell>
          <cell r="Q47" t="str">
            <v>4PD</v>
          </cell>
          <cell r="R47">
            <v>120487.8171</v>
          </cell>
          <cell r="S47" t="b">
            <v>1</v>
          </cell>
          <cell r="T47" t="str">
            <v>Yes</v>
          </cell>
          <cell r="U47" t="str">
            <v>FBed</v>
          </cell>
          <cell r="V47" t="str">
            <v>A</v>
          </cell>
        </row>
        <row r="48">
          <cell r="B48" t="str">
            <v>155-1003A</v>
          </cell>
          <cell r="C48" t="str">
            <v>Publix Super Markets Inc.</v>
          </cell>
          <cell r="D48" t="str">
            <v>Publix #1514</v>
          </cell>
          <cell r="E48" t="str">
            <v>Wake Forest NC</v>
          </cell>
          <cell r="F48">
            <v>42408</v>
          </cell>
          <cell r="G48">
            <v>42418</v>
          </cell>
          <cell r="I48">
            <v>42419</v>
          </cell>
          <cell r="J48" t="str">
            <v>AP</v>
          </cell>
          <cell r="L48">
            <v>12758</v>
          </cell>
          <cell r="M48">
            <v>0</v>
          </cell>
          <cell r="N48">
            <v>12</v>
          </cell>
          <cell r="O48">
            <v>84257.279999999999</v>
          </cell>
          <cell r="P48" t="str">
            <v>GA</v>
          </cell>
          <cell r="Q48" t="str">
            <v>4PD</v>
          </cell>
          <cell r="R48">
            <v>84257.282300000006</v>
          </cell>
          <cell r="S48" t="b">
            <v>1</v>
          </cell>
          <cell r="T48" t="str">
            <v>Yes</v>
          </cell>
        </row>
        <row r="49">
          <cell r="B49" t="str">
            <v>155-1137</v>
          </cell>
          <cell r="C49" t="str">
            <v>Dollar Tree Sourcing Comp. LLC</v>
          </cell>
          <cell r="D49" t="str">
            <v>DT# 6190   WM FRDRCLDL</v>
          </cell>
          <cell r="E49" t="str">
            <v>SAN ANTONIO, TX</v>
          </cell>
          <cell r="F49">
            <v>42408</v>
          </cell>
          <cell r="G49">
            <v>42418</v>
          </cell>
          <cell r="I49">
            <v>42419</v>
          </cell>
          <cell r="J49" t="str">
            <v>PF</v>
          </cell>
          <cell r="L49">
            <v>551</v>
          </cell>
          <cell r="M49">
            <v>19</v>
          </cell>
          <cell r="N49">
            <v>2</v>
          </cell>
          <cell r="O49">
            <v>5302.05</v>
          </cell>
          <cell r="P49" t="str">
            <v>GA</v>
          </cell>
          <cell r="Q49" t="str">
            <v>4PD</v>
          </cell>
          <cell r="R49">
            <v>9631.1023999999998</v>
          </cell>
          <cell r="S49" t="b">
            <v>1</v>
          </cell>
          <cell r="T49" t="str">
            <v>Yes</v>
          </cell>
        </row>
        <row r="50">
          <cell r="B50" t="str">
            <v>157-2194</v>
          </cell>
          <cell r="C50" t="str">
            <v>Walmart Canada Corp.</v>
          </cell>
          <cell r="D50" t="str">
            <v>Walmart 3136-BR-IPAC-MDGP-B</v>
          </cell>
          <cell r="E50" t="str">
            <v>Rouyn-Noranda QC</v>
          </cell>
          <cell r="F50">
            <v>42408</v>
          </cell>
          <cell r="G50">
            <v>42418</v>
          </cell>
          <cell r="I50">
            <v>42419</v>
          </cell>
          <cell r="J50" t="str">
            <v>AP</v>
          </cell>
          <cell r="L50">
            <v>4720</v>
          </cell>
          <cell r="M50">
            <v>0</v>
          </cell>
          <cell r="N50">
            <v>1</v>
          </cell>
          <cell r="O50">
            <v>48499.28</v>
          </cell>
          <cell r="P50" t="str">
            <v>GA</v>
          </cell>
          <cell r="Q50" t="str">
            <v>4PD</v>
          </cell>
          <cell r="R50">
            <v>83996.516600000003</v>
          </cell>
          <cell r="S50" t="b">
            <v>0</v>
          </cell>
          <cell r="T50" t="str">
            <v>No</v>
          </cell>
          <cell r="U50" t="str">
            <v>FBed</v>
          </cell>
          <cell r="V50" t="str">
            <v>A</v>
          </cell>
        </row>
        <row r="51">
          <cell r="B51" t="str">
            <v>155-1107</v>
          </cell>
          <cell r="C51" t="str">
            <v>AMF Refrigerated Products Co.</v>
          </cell>
          <cell r="D51" t="str">
            <v>H Mart</v>
          </cell>
          <cell r="E51" t="str">
            <v>Columbis, MD</v>
          </cell>
          <cell r="F51">
            <v>42408</v>
          </cell>
          <cell r="G51">
            <v>42418</v>
          </cell>
          <cell r="I51">
            <v>42419</v>
          </cell>
          <cell r="J51" t="str">
            <v>PC</v>
          </cell>
          <cell r="L51">
            <v>7918</v>
          </cell>
          <cell r="M51">
            <v>0</v>
          </cell>
          <cell r="N51">
            <v>1</v>
          </cell>
          <cell r="O51">
            <v>59941.440000000002</v>
          </cell>
          <cell r="P51" t="str">
            <v>GA</v>
          </cell>
          <cell r="Q51" t="str">
            <v>4PD</v>
          </cell>
          <cell r="R51">
            <v>128582.6444</v>
          </cell>
          <cell r="S51" t="b">
            <v>1</v>
          </cell>
          <cell r="T51" t="str">
            <v>Yes</v>
          </cell>
          <cell r="V51" t="str">
            <v>A</v>
          </cell>
        </row>
        <row r="52">
          <cell r="B52" t="str">
            <v>157-1426</v>
          </cell>
          <cell r="C52" t="str">
            <v>Wal-Mart Store Planning</v>
          </cell>
          <cell r="D52" t="str">
            <v>Walmart 6807-0-FuelStation-NEW</v>
          </cell>
          <cell r="E52" t="str">
            <v>Memphis, TN</v>
          </cell>
          <cell r="F52">
            <v>42408</v>
          </cell>
          <cell r="G52">
            <v>42418</v>
          </cell>
          <cell r="I52">
            <v>42419</v>
          </cell>
          <cell r="J52" t="str">
            <v>PC</v>
          </cell>
          <cell r="L52">
            <v>887</v>
          </cell>
          <cell r="M52">
            <v>0</v>
          </cell>
          <cell r="N52">
            <v>0</v>
          </cell>
          <cell r="O52">
            <v>6092.5</v>
          </cell>
          <cell r="P52" t="str">
            <v>GA</v>
          </cell>
          <cell r="Q52" t="str">
            <v>4PD</v>
          </cell>
          <cell r="R52">
            <v>17324.768100000001</v>
          </cell>
          <cell r="S52" t="b">
            <v>1</v>
          </cell>
          <cell r="T52" t="str">
            <v>Yes</v>
          </cell>
          <cell r="V52" t="str">
            <v>A</v>
          </cell>
        </row>
        <row r="53">
          <cell r="B53" t="str">
            <v>157-2256</v>
          </cell>
          <cell r="C53" t="str">
            <v>Glenn's Commercial Service</v>
          </cell>
          <cell r="D53" t="str">
            <v>Thornton's #1510</v>
          </cell>
          <cell r="E53" t="str">
            <v xml:space="preserve"> LOUISVILLE, KY</v>
          </cell>
          <cell r="F53">
            <v>42408</v>
          </cell>
          <cell r="G53">
            <v>42418</v>
          </cell>
          <cell r="I53">
            <v>42419</v>
          </cell>
          <cell r="J53" t="str">
            <v>SS</v>
          </cell>
          <cell r="L53">
            <v>2051</v>
          </cell>
          <cell r="M53">
            <v>0</v>
          </cell>
          <cell r="N53">
            <v>2</v>
          </cell>
          <cell r="O53">
            <v>18288.259999999998</v>
          </cell>
          <cell r="P53" t="str">
            <v>GA</v>
          </cell>
          <cell r="Q53" t="str">
            <v>4PD</v>
          </cell>
          <cell r="R53">
            <v>29310.664199999999</v>
          </cell>
          <cell r="S53" t="b">
            <v>1</v>
          </cell>
          <cell r="T53" t="str">
            <v>Yes</v>
          </cell>
        </row>
        <row r="54">
          <cell r="B54" t="str">
            <v>157-2191A</v>
          </cell>
          <cell r="C54" t="str">
            <v>Wal-Mart Store Planning</v>
          </cell>
          <cell r="D54" t="str">
            <v>Walmart 0578-226-SC-REM</v>
          </cell>
          <cell r="E54" t="str">
            <v>Sevierville, TN</v>
          </cell>
          <cell r="F54">
            <v>42408</v>
          </cell>
          <cell r="G54">
            <v>42418</v>
          </cell>
          <cell r="I54">
            <v>42419</v>
          </cell>
          <cell r="J54" t="str">
            <v>PC2</v>
          </cell>
          <cell r="L54">
            <v>2058</v>
          </cell>
          <cell r="M54">
            <v>0</v>
          </cell>
          <cell r="N54">
            <v>2</v>
          </cell>
          <cell r="O54">
            <v>18571.419999999998</v>
          </cell>
          <cell r="P54" t="str">
            <v>GA</v>
          </cell>
          <cell r="Q54" t="str">
            <v>4PD</v>
          </cell>
          <cell r="R54">
            <v>51035.2978</v>
          </cell>
          <cell r="S54" t="b">
            <v>1</v>
          </cell>
          <cell r="T54" t="str">
            <v>Yes</v>
          </cell>
          <cell r="V54" t="str">
            <v>A</v>
          </cell>
        </row>
        <row r="55">
          <cell r="B55" t="str">
            <v>165-0015A</v>
          </cell>
          <cell r="C55" t="str">
            <v>Publix Super Markets Inc.</v>
          </cell>
          <cell r="D55" t="str">
            <v>Publix #1530</v>
          </cell>
          <cell r="E55" t="str">
            <v>Saint Augustine, FL</v>
          </cell>
          <cell r="F55">
            <v>42408</v>
          </cell>
          <cell r="G55">
            <v>42419</v>
          </cell>
          <cell r="I55">
            <v>42422</v>
          </cell>
          <cell r="J55" t="str">
            <v>AP</v>
          </cell>
          <cell r="L55">
            <v>13511</v>
          </cell>
          <cell r="M55">
            <v>0</v>
          </cell>
          <cell r="N55">
            <v>14</v>
          </cell>
          <cell r="O55">
            <v>91594.32</v>
          </cell>
          <cell r="P55" t="str">
            <v>GA</v>
          </cell>
          <cell r="Q55" t="str">
            <v>4PD</v>
          </cell>
          <cell r="R55">
            <v>91594.316300000006</v>
          </cell>
          <cell r="S55" t="b">
            <v>1</v>
          </cell>
          <cell r="T55" t="str">
            <v>Yes</v>
          </cell>
        </row>
        <row r="56">
          <cell r="B56" t="str">
            <v>155-1062</v>
          </cell>
          <cell r="C56" t="str">
            <v>Giant Tiger Stores Unlimited</v>
          </cell>
          <cell r="D56" t="str">
            <v>Giant Tiger 215, Moncton, N.B.</v>
          </cell>
          <cell r="E56" t="str">
            <v>MONCTON NB</v>
          </cell>
          <cell r="F56">
            <v>42415</v>
          </cell>
          <cell r="I56">
            <v>42424</v>
          </cell>
          <cell r="J56" t="str">
            <v>PC</v>
          </cell>
          <cell r="L56">
            <v>2099</v>
          </cell>
          <cell r="M56">
            <v>0</v>
          </cell>
          <cell r="N56">
            <v>2</v>
          </cell>
          <cell r="O56">
            <v>16339.93</v>
          </cell>
          <cell r="P56" t="str">
            <v>GA</v>
          </cell>
          <cell r="Q56" t="str">
            <v>4PD</v>
          </cell>
          <cell r="R56">
            <v>16339.925499999999</v>
          </cell>
          <cell r="S56" t="b">
            <v>0</v>
          </cell>
          <cell r="T56" t="str">
            <v>No</v>
          </cell>
          <cell r="U56" t="str">
            <v>CPUp</v>
          </cell>
          <cell r="V56" t="str">
            <v>A</v>
          </cell>
        </row>
        <row r="57">
          <cell r="B57" t="str">
            <v>157-2234</v>
          </cell>
          <cell r="C57" t="str">
            <v>Aldi, Inc. Springfield OH</v>
          </cell>
          <cell r="D57" t="str">
            <v>Aldi Store #9</v>
          </cell>
          <cell r="E57" t="str">
            <v>MILLEDGEVILLE GA</v>
          </cell>
          <cell r="F57">
            <v>42415</v>
          </cell>
          <cell r="G57">
            <v>42411</v>
          </cell>
          <cell r="I57">
            <v>42429</v>
          </cell>
          <cell r="J57" t="str">
            <v>RS</v>
          </cell>
          <cell r="L57">
            <v>4977</v>
          </cell>
          <cell r="M57">
            <v>0</v>
          </cell>
          <cell r="N57">
            <v>1</v>
          </cell>
          <cell r="O57">
            <v>34594.379999999997</v>
          </cell>
          <cell r="P57" t="str">
            <v>GA</v>
          </cell>
          <cell r="Q57" t="str">
            <v>4PD</v>
          </cell>
          <cell r="R57">
            <v>40137.065499999997</v>
          </cell>
          <cell r="S57" t="b">
            <v>0</v>
          </cell>
          <cell r="T57" t="str">
            <v>No</v>
          </cell>
          <cell r="V57" t="str">
            <v>A</v>
          </cell>
        </row>
        <row r="58">
          <cell r="B58" t="str">
            <v>165-0093</v>
          </cell>
          <cell r="C58" t="str">
            <v>Publix Super Markets Inc.</v>
          </cell>
          <cell r="D58" t="str">
            <v>Publix #736</v>
          </cell>
          <cell r="E58" t="str">
            <v>Middleburg, FL</v>
          </cell>
          <cell r="F58">
            <v>42415</v>
          </cell>
          <cell r="G58">
            <v>42418</v>
          </cell>
          <cell r="I58">
            <v>42419</v>
          </cell>
          <cell r="J58" t="str">
            <v>.</v>
          </cell>
          <cell r="L58">
            <v>0</v>
          </cell>
          <cell r="M58">
            <v>0</v>
          </cell>
          <cell r="N58">
            <v>0</v>
          </cell>
          <cell r="O58">
            <v>950</v>
          </cell>
          <cell r="P58" t="str">
            <v>GA</v>
          </cell>
          <cell r="Q58" t="str">
            <v>4PD</v>
          </cell>
          <cell r="R58">
            <v>3518.75</v>
          </cell>
          <cell r="S58" t="b">
            <v>0</v>
          </cell>
          <cell r="T58" t="str">
            <v>No</v>
          </cell>
          <cell r="V58" t="str">
            <v>A</v>
          </cell>
        </row>
        <row r="59">
          <cell r="B59" t="str">
            <v>167-0135</v>
          </cell>
          <cell r="C59" t="str">
            <v>SMI Procurement Co./Schnucks</v>
          </cell>
          <cell r="D59" t="str">
            <v>SchnucksTelegraph #118</v>
          </cell>
          <cell r="E59" t="str">
            <v>SAINT LOUIS MO</v>
          </cell>
          <cell r="F59">
            <v>42415</v>
          </cell>
          <cell r="G59">
            <v>42418</v>
          </cell>
          <cell r="I59">
            <v>42419</v>
          </cell>
          <cell r="J59" t="str">
            <v>SS</v>
          </cell>
          <cell r="L59">
            <v>274</v>
          </cell>
          <cell r="M59">
            <v>0</v>
          </cell>
          <cell r="N59">
            <v>0</v>
          </cell>
          <cell r="O59">
            <v>4008.91</v>
          </cell>
          <cell r="P59" t="str">
            <v>GA</v>
          </cell>
          <cell r="Q59" t="str">
            <v>4PD</v>
          </cell>
          <cell r="R59">
            <v>4008.9110000000001</v>
          </cell>
          <cell r="S59" t="b">
            <v>0</v>
          </cell>
          <cell r="T59" t="str">
            <v>No</v>
          </cell>
          <cell r="U59" t="str">
            <v>LTL</v>
          </cell>
        </row>
        <row r="60">
          <cell r="B60" t="str">
            <v>165-0011</v>
          </cell>
          <cell r="C60" t="str">
            <v>Roche Brothers / DTX</v>
          </cell>
          <cell r="D60" t="str">
            <v>Roche Brothers</v>
          </cell>
          <cell r="E60" t="str">
            <v>Boston, MA</v>
          </cell>
          <cell r="F60">
            <v>42415</v>
          </cell>
          <cell r="G60">
            <v>42418</v>
          </cell>
          <cell r="I60">
            <v>42419</v>
          </cell>
          <cell r="J60" t="str">
            <v>SC</v>
          </cell>
          <cell r="L60">
            <v>4491</v>
          </cell>
          <cell r="M60">
            <v>0</v>
          </cell>
          <cell r="N60">
            <v>3</v>
          </cell>
          <cell r="O60">
            <v>76860.41</v>
          </cell>
          <cell r="P60" t="str">
            <v>GA</v>
          </cell>
          <cell r="Q60" t="str">
            <v>4PD</v>
          </cell>
          <cell r="R60">
            <v>79809.3122</v>
          </cell>
          <cell r="S60" t="b">
            <v>0</v>
          </cell>
          <cell r="T60" t="str">
            <v>No</v>
          </cell>
          <cell r="V60" t="str">
            <v>A</v>
          </cell>
        </row>
        <row r="61">
          <cell r="B61" t="str">
            <v>167-0020</v>
          </cell>
          <cell r="C61" t="str">
            <v>Two Farms, Inc.</v>
          </cell>
          <cell r="D61" t="str">
            <v>Royal Farms 192</v>
          </cell>
          <cell r="E61" t="str">
            <v>MARCUS HOOK PA</v>
          </cell>
          <cell r="F61">
            <v>42415</v>
          </cell>
          <cell r="G61">
            <v>42418</v>
          </cell>
          <cell r="I61">
            <v>42419</v>
          </cell>
          <cell r="J61" t="str">
            <v>PC</v>
          </cell>
          <cell r="L61">
            <v>2309</v>
          </cell>
          <cell r="M61">
            <v>0</v>
          </cell>
          <cell r="N61">
            <v>5</v>
          </cell>
          <cell r="O61">
            <v>21512.09</v>
          </cell>
          <cell r="P61" t="str">
            <v>GA</v>
          </cell>
          <cell r="Q61" t="str">
            <v>4PD</v>
          </cell>
          <cell r="R61">
            <v>34999.693500000001</v>
          </cell>
          <cell r="S61" t="b">
            <v>0</v>
          </cell>
          <cell r="T61" t="str">
            <v>No</v>
          </cell>
          <cell r="U61" t="str">
            <v>FBed</v>
          </cell>
          <cell r="V61" t="str">
            <v>A</v>
          </cell>
        </row>
        <row r="62">
          <cell r="B62" t="str">
            <v>165-0028</v>
          </cell>
          <cell r="C62" t="str">
            <v>Dollar Tree Sourcing Comp. LLC</v>
          </cell>
          <cell r="D62" t="str">
            <v>DT# 6290   WM FLDLCRDR  DP WIC/LED</v>
          </cell>
          <cell r="E62" t="str">
            <v>FAIRVIEW PARK, OH</v>
          </cell>
          <cell r="F62">
            <v>42415</v>
          </cell>
          <cell r="G62">
            <v>42418</v>
          </cell>
          <cell r="I62">
            <v>42419</v>
          </cell>
          <cell r="J62" t="str">
            <v>.</v>
          </cell>
          <cell r="L62">
            <v>551</v>
          </cell>
          <cell r="M62">
            <v>0</v>
          </cell>
          <cell r="N62">
            <v>2</v>
          </cell>
          <cell r="O62">
            <v>5669.12</v>
          </cell>
          <cell r="P62" t="str">
            <v>GA</v>
          </cell>
          <cell r="Q62" t="str">
            <v>4PD</v>
          </cell>
          <cell r="R62">
            <v>10225.245199999999</v>
          </cell>
          <cell r="S62" t="b">
            <v>1</v>
          </cell>
          <cell r="T62" t="str">
            <v>Yes</v>
          </cell>
        </row>
        <row r="63">
          <cell r="B63" t="str">
            <v>167-0047PEV1</v>
          </cell>
          <cell r="C63" t="str">
            <v>KPS, LLC Mid-Atlantic # 029</v>
          </cell>
          <cell r="D63" t="str">
            <v>Kroger R-512 OLS</v>
          </cell>
          <cell r="E63" t="str">
            <v>MIDLOTHIAN VA</v>
          </cell>
          <cell r="F63">
            <v>42415</v>
          </cell>
          <cell r="G63">
            <v>42418</v>
          </cell>
          <cell r="I63">
            <v>42419</v>
          </cell>
          <cell r="J63" t="str">
            <v>RS</v>
          </cell>
          <cell r="L63">
            <v>1106</v>
          </cell>
          <cell r="M63">
            <v>0</v>
          </cell>
          <cell r="N63">
            <v>3</v>
          </cell>
          <cell r="O63">
            <v>10986.78</v>
          </cell>
          <cell r="P63" t="str">
            <v>GA</v>
          </cell>
          <cell r="Q63" t="str">
            <v>4PD</v>
          </cell>
          <cell r="R63">
            <v>12672.4954</v>
          </cell>
          <cell r="S63" t="b">
            <v>0</v>
          </cell>
          <cell r="T63" t="str">
            <v>No</v>
          </cell>
          <cell r="U63" t="str">
            <v>FBed</v>
          </cell>
          <cell r="V63" t="str">
            <v>A</v>
          </cell>
        </row>
        <row r="64">
          <cell r="B64" t="str">
            <v>157-2217</v>
          </cell>
          <cell r="C64" t="str">
            <v>Wal-Mart Store Planning</v>
          </cell>
          <cell r="D64" t="str">
            <v>Walmart 5087-211-SC-REM</v>
          </cell>
          <cell r="E64" t="str">
            <v>N. Myrtle Beach, SC</v>
          </cell>
          <cell r="F64">
            <v>42415</v>
          </cell>
          <cell r="G64">
            <v>42418</v>
          </cell>
          <cell r="I64">
            <v>42419</v>
          </cell>
          <cell r="J64" t="str">
            <v>PQ</v>
          </cell>
          <cell r="L64">
            <v>0</v>
          </cell>
          <cell r="M64">
            <v>0</v>
          </cell>
          <cell r="N64">
            <v>1</v>
          </cell>
          <cell r="O64">
            <v>16517.48</v>
          </cell>
          <cell r="P64" t="str">
            <v>GA</v>
          </cell>
          <cell r="Q64" t="str">
            <v>4PD</v>
          </cell>
          <cell r="R64">
            <v>73792.409700000004</v>
          </cell>
          <cell r="S64" t="b">
            <v>1</v>
          </cell>
          <cell r="T64" t="str">
            <v>Yes</v>
          </cell>
          <cell r="V64" t="str">
            <v>A</v>
          </cell>
        </row>
        <row r="65">
          <cell r="B65" t="str">
            <v>157-2229</v>
          </cell>
          <cell r="C65" t="str">
            <v>Madigan Refrigeration</v>
          </cell>
          <cell r="D65" t="str">
            <v>Baraboo Freezer</v>
          </cell>
          <cell r="E65" t="str">
            <v>Wisconsin</v>
          </cell>
          <cell r="F65">
            <v>42415</v>
          </cell>
          <cell r="G65">
            <v>42418</v>
          </cell>
          <cell r="H65">
            <v>46.2</v>
          </cell>
          <cell r="I65">
            <v>42419</v>
          </cell>
          <cell r="J65" t="str">
            <v>PF</v>
          </cell>
          <cell r="K65" t="str">
            <v>CC</v>
          </cell>
          <cell r="L65">
            <v>1841</v>
          </cell>
          <cell r="M65">
            <v>38</v>
          </cell>
          <cell r="N65">
            <v>2</v>
          </cell>
          <cell r="O65">
            <v>15670.95</v>
          </cell>
          <cell r="P65" t="str">
            <v>GA</v>
          </cell>
          <cell r="Q65" t="str">
            <v>4PD</v>
          </cell>
          <cell r="R65">
            <v>15882.7562</v>
          </cell>
          <cell r="S65" t="b">
            <v>1</v>
          </cell>
          <cell r="T65" t="str">
            <v>Yes</v>
          </cell>
          <cell r="V65" t="str">
            <v>A</v>
          </cell>
        </row>
        <row r="66">
          <cell r="B66" t="str">
            <v>150-0578</v>
          </cell>
          <cell r="C66" t="str">
            <v>Tamimi Company</v>
          </cell>
          <cell r="D66" t="str">
            <v>Tamimi # 124 - Dammam</v>
          </cell>
          <cell r="E66" t="str">
            <v xml:space="preserve">Dammam </v>
          </cell>
          <cell r="F66">
            <v>42415</v>
          </cell>
          <cell r="G66">
            <v>42419</v>
          </cell>
          <cell r="I66">
            <v>42422</v>
          </cell>
          <cell r="J66" t="str">
            <v>SF</v>
          </cell>
          <cell r="L66">
            <v>6412</v>
          </cell>
          <cell r="M66">
            <v>0</v>
          </cell>
          <cell r="N66">
            <v>9</v>
          </cell>
          <cell r="O66">
            <v>58428.26</v>
          </cell>
          <cell r="P66" t="str">
            <v>GA</v>
          </cell>
          <cell r="Q66" t="str">
            <v>4PD</v>
          </cell>
          <cell r="R66">
            <v>63129.088799999998</v>
          </cell>
          <cell r="S66" t="b">
            <v>0</v>
          </cell>
          <cell r="T66" t="str">
            <v>No</v>
          </cell>
          <cell r="V66" t="str">
            <v>CIA</v>
          </cell>
        </row>
        <row r="67">
          <cell r="B67" t="str">
            <v>155-0989</v>
          </cell>
          <cell r="C67" t="str">
            <v>Associated Grocers of Florida</v>
          </cell>
          <cell r="D67" t="str">
            <v>Chase</v>
          </cell>
          <cell r="E67" t="str">
            <v xml:space="preserve"> </v>
          </cell>
          <cell r="F67">
            <v>42415</v>
          </cell>
          <cell r="G67">
            <v>42419</v>
          </cell>
          <cell r="I67">
            <v>42422</v>
          </cell>
          <cell r="J67" t="str">
            <v>RS</v>
          </cell>
          <cell r="L67">
            <v>3262</v>
          </cell>
          <cell r="M67">
            <v>0</v>
          </cell>
          <cell r="N67">
            <v>0</v>
          </cell>
          <cell r="O67">
            <v>28524.62</v>
          </cell>
          <cell r="P67" t="str">
            <v>GA</v>
          </cell>
          <cell r="Q67" t="str">
            <v>4PD</v>
          </cell>
          <cell r="R67">
            <v>40498.794000000002</v>
          </cell>
          <cell r="S67" t="b">
            <v>1</v>
          </cell>
          <cell r="T67" t="str">
            <v>Yes</v>
          </cell>
          <cell r="V67" t="str">
            <v>A</v>
          </cell>
        </row>
        <row r="68">
          <cell r="B68" t="str">
            <v xml:space="preserve">165-0057 </v>
          </cell>
          <cell r="C68" t="str">
            <v>Berachah Air</v>
          </cell>
          <cell r="D68" t="str">
            <v>Tuckernuck Grocery</v>
          </cell>
          <cell r="E68" t="str">
            <v xml:space="preserve"> Henrico, VA</v>
          </cell>
          <cell r="F68">
            <v>42415</v>
          </cell>
          <cell r="G68">
            <v>42422</v>
          </cell>
          <cell r="I68">
            <v>42419</v>
          </cell>
          <cell r="J68" t="str">
            <v>VSS</v>
          </cell>
          <cell r="L68">
            <v>3261</v>
          </cell>
          <cell r="M68">
            <v>0</v>
          </cell>
          <cell r="N68">
            <v>2</v>
          </cell>
          <cell r="O68">
            <v>31813.05</v>
          </cell>
          <cell r="P68" t="str">
            <v>GA</v>
          </cell>
          <cell r="Q68" t="str">
            <v>4PD</v>
          </cell>
          <cell r="R68">
            <v>44844.669000000002</v>
          </cell>
          <cell r="S68" t="b">
            <v>0</v>
          </cell>
          <cell r="T68" t="str">
            <v>No</v>
          </cell>
          <cell r="V68" t="str">
            <v>A</v>
          </cell>
        </row>
        <row r="69">
          <cell r="B69" t="str">
            <v>155-0991E</v>
          </cell>
          <cell r="C69" t="str">
            <v>Publix Super Markets Inc.</v>
          </cell>
          <cell r="D69" t="str">
            <v>Publix 1342 - Manatee, FL</v>
          </cell>
          <cell r="E69" t="str">
            <v>Manatee, FL</v>
          </cell>
          <cell r="F69">
            <v>42415</v>
          </cell>
          <cell r="G69">
            <v>42422</v>
          </cell>
          <cell r="I69">
            <v>42423</v>
          </cell>
          <cell r="J69" t="str">
            <v>SC</v>
          </cell>
          <cell r="L69">
            <v>1920</v>
          </cell>
          <cell r="M69">
            <v>0</v>
          </cell>
          <cell r="N69">
            <v>2</v>
          </cell>
          <cell r="O69">
            <v>15584.2</v>
          </cell>
          <cell r="P69" t="str">
            <v>GA</v>
          </cell>
          <cell r="Q69" t="str">
            <v>4PD</v>
          </cell>
          <cell r="R69">
            <v>16450.839</v>
          </cell>
          <cell r="S69" t="b">
            <v>0</v>
          </cell>
          <cell r="T69" t="str">
            <v>No</v>
          </cell>
          <cell r="V69" t="str">
            <v>A</v>
          </cell>
        </row>
        <row r="70">
          <cell r="B70" t="str">
            <v>155-1148</v>
          </cell>
          <cell r="C70" t="str">
            <v>Publix Super Markets Inc.</v>
          </cell>
          <cell r="D70" t="str">
            <v>Publix #1047, Spring Hill Village</v>
          </cell>
          <cell r="E70" t="str">
            <v>Williamson, TN</v>
          </cell>
          <cell r="F70">
            <v>42415</v>
          </cell>
          <cell r="G70">
            <v>42422</v>
          </cell>
          <cell r="I70">
            <v>42423</v>
          </cell>
          <cell r="J70" t="str">
            <v>AP</v>
          </cell>
          <cell r="L70">
            <v>0</v>
          </cell>
          <cell r="M70">
            <v>0</v>
          </cell>
          <cell r="N70">
            <v>1</v>
          </cell>
          <cell r="O70">
            <v>1610.1</v>
          </cell>
          <cell r="P70" t="str">
            <v>GA</v>
          </cell>
          <cell r="Q70" t="str">
            <v>4PD</v>
          </cell>
          <cell r="R70">
            <v>1856.06</v>
          </cell>
          <cell r="S70" t="b">
            <v>0</v>
          </cell>
          <cell r="T70" t="str">
            <v>No</v>
          </cell>
          <cell r="V70" t="str">
            <v>A</v>
          </cell>
        </row>
        <row r="71">
          <cell r="B71" t="str">
            <v>165-0021</v>
          </cell>
          <cell r="C71" t="str">
            <v>Dollar Tree Sourcing Comp. LLC</v>
          </cell>
          <cell r="D71" t="str">
            <v>DT# 6243   WM FRDRCLDL</v>
          </cell>
          <cell r="E71" t="str">
            <v>HOULTON, ME</v>
          </cell>
          <cell r="F71">
            <v>42415</v>
          </cell>
          <cell r="G71">
            <v>42422</v>
          </cell>
          <cell r="I71">
            <v>42423</v>
          </cell>
          <cell r="J71" t="str">
            <v>.</v>
          </cell>
          <cell r="L71">
            <v>551</v>
          </cell>
          <cell r="M71">
            <v>0</v>
          </cell>
          <cell r="N71">
            <v>2</v>
          </cell>
          <cell r="O71">
            <v>5500.12</v>
          </cell>
          <cell r="P71" t="str">
            <v>GA</v>
          </cell>
          <cell r="Q71" t="str">
            <v>4PD</v>
          </cell>
          <cell r="R71">
            <v>9933.2451999999994</v>
          </cell>
          <cell r="S71" t="b">
            <v>1</v>
          </cell>
          <cell r="T71" t="str">
            <v>Yes</v>
          </cell>
        </row>
        <row r="72">
          <cell r="B72" t="str">
            <v>155-1127</v>
          </cell>
          <cell r="C72" t="str">
            <v>Bay Area Electric &amp; Refrig.</v>
          </cell>
          <cell r="D72" t="str">
            <v>Palm Bay</v>
          </cell>
          <cell r="E72" t="str">
            <v xml:space="preserve"> </v>
          </cell>
          <cell r="F72">
            <v>42415</v>
          </cell>
          <cell r="G72">
            <v>42422</v>
          </cell>
          <cell r="I72">
            <v>42423</v>
          </cell>
          <cell r="J72" t="str">
            <v>PC</v>
          </cell>
          <cell r="L72">
            <v>286</v>
          </cell>
          <cell r="M72">
            <v>0</v>
          </cell>
          <cell r="N72">
            <v>0</v>
          </cell>
          <cell r="O72">
            <v>2917.24</v>
          </cell>
          <cell r="P72" t="str">
            <v>GA</v>
          </cell>
          <cell r="Q72" t="str">
            <v>4PD</v>
          </cell>
          <cell r="R72">
            <v>2917.2395999999999</v>
          </cell>
          <cell r="S72" t="b">
            <v>0</v>
          </cell>
          <cell r="T72" t="str">
            <v>No</v>
          </cell>
          <cell r="V72" t="str">
            <v>A</v>
          </cell>
        </row>
        <row r="73">
          <cell r="B73" t="str">
            <v>165-0020</v>
          </cell>
          <cell r="C73" t="str">
            <v>Dollar Tree Sourcing Comp. LLC</v>
          </cell>
          <cell r="D73" t="str">
            <v>DT# 6278   WM FLDLCRDR  DP WIC/LED</v>
          </cell>
          <cell r="E73" t="str">
            <v>MT GILEAD, OH</v>
          </cell>
          <cell r="F73">
            <v>42415</v>
          </cell>
          <cell r="G73">
            <v>42425</v>
          </cell>
          <cell r="I73">
            <v>42426</v>
          </cell>
          <cell r="J73" t="str">
            <v>.</v>
          </cell>
          <cell r="L73">
            <v>551</v>
          </cell>
          <cell r="M73">
            <v>0</v>
          </cell>
          <cell r="N73">
            <v>2</v>
          </cell>
          <cell r="O73">
            <v>5669.12</v>
          </cell>
          <cell r="P73" t="str">
            <v>GA</v>
          </cell>
          <cell r="Q73" t="str">
            <v>4PD</v>
          </cell>
          <cell r="R73">
            <v>10225.245199999999</v>
          </cell>
          <cell r="S73" t="b">
            <v>1</v>
          </cell>
          <cell r="T73" t="str">
            <v>Yes</v>
          </cell>
        </row>
        <row r="74">
          <cell r="B74" t="str">
            <v xml:space="preserve">157-1876 </v>
          </cell>
          <cell r="C74" t="str">
            <v>KPS, LLC Columbus #016</v>
          </cell>
          <cell r="D74" t="str">
            <v>Kroger N-822</v>
          </cell>
          <cell r="E74" t="str">
            <v>WASHINGTON COURT HOUSE OH</v>
          </cell>
          <cell r="F74">
            <v>42415</v>
          </cell>
          <cell r="G74">
            <v>42425</v>
          </cell>
          <cell r="I74">
            <v>42426</v>
          </cell>
          <cell r="J74" t="str">
            <v>AP</v>
          </cell>
          <cell r="L74">
            <v>1674</v>
          </cell>
          <cell r="M74">
            <v>0</v>
          </cell>
          <cell r="N74">
            <v>2</v>
          </cell>
          <cell r="O74">
            <v>13927.63</v>
          </cell>
          <cell r="P74" t="str">
            <v>GA</v>
          </cell>
          <cell r="Q74" t="str">
            <v>4PD</v>
          </cell>
          <cell r="R74">
            <v>13927.6312</v>
          </cell>
          <cell r="S74" t="b">
            <v>1</v>
          </cell>
          <cell r="T74" t="str">
            <v>Yes</v>
          </cell>
          <cell r="U74" t="str">
            <v>FBed</v>
          </cell>
          <cell r="V74" t="str">
            <v>A</v>
          </cell>
        </row>
        <row r="75">
          <cell r="B75" t="str">
            <v>165-0095</v>
          </cell>
          <cell r="C75" t="str">
            <v>Frey - Moss Structures</v>
          </cell>
          <cell r="D75" t="str">
            <v>R-1 Template Murphy #1200 G626601</v>
          </cell>
          <cell r="E75" t="str">
            <v>Conyers, GA</v>
          </cell>
          <cell r="F75">
            <v>42415</v>
          </cell>
          <cell r="G75">
            <v>42425</v>
          </cell>
          <cell r="I75">
            <v>42426</v>
          </cell>
          <cell r="J75" t="str">
            <v>AP</v>
          </cell>
          <cell r="L75">
            <v>799</v>
          </cell>
          <cell r="M75">
            <v>0</v>
          </cell>
          <cell r="N75">
            <v>1</v>
          </cell>
          <cell r="O75">
            <v>7090.6</v>
          </cell>
          <cell r="P75" t="str">
            <v>GA</v>
          </cell>
          <cell r="Q75" t="str">
            <v>4PD</v>
          </cell>
          <cell r="R75">
            <v>26045.000100000001</v>
          </cell>
          <cell r="S75" t="b">
            <v>0</v>
          </cell>
          <cell r="T75" t="str">
            <v>No</v>
          </cell>
        </row>
        <row r="76">
          <cell r="B76" t="str">
            <v>165-0096</v>
          </cell>
          <cell r="C76" t="str">
            <v>Frey - Moss Structures</v>
          </cell>
          <cell r="D76" t="str">
            <v>R-1 Template Murphy #1200 G626601</v>
          </cell>
          <cell r="E76" t="str">
            <v>Conyers, GA</v>
          </cell>
          <cell r="F76">
            <v>42415</v>
          </cell>
          <cell r="G76">
            <v>42425</v>
          </cell>
          <cell r="I76">
            <v>42426</v>
          </cell>
          <cell r="J76" t="str">
            <v>AP</v>
          </cell>
          <cell r="L76">
            <v>799</v>
          </cell>
          <cell r="M76">
            <v>0</v>
          </cell>
          <cell r="N76">
            <v>1</v>
          </cell>
          <cell r="O76">
            <v>7090.6</v>
          </cell>
          <cell r="P76" t="str">
            <v>GA</v>
          </cell>
          <cell r="Q76" t="str">
            <v>4PD</v>
          </cell>
          <cell r="R76">
            <v>26045.000100000001</v>
          </cell>
          <cell r="S76" t="b">
            <v>0</v>
          </cell>
          <cell r="T76" t="str">
            <v>No</v>
          </cell>
        </row>
        <row r="77">
          <cell r="B77" t="str">
            <v>165-0097</v>
          </cell>
          <cell r="C77" t="str">
            <v>Frey - Moss Structures</v>
          </cell>
          <cell r="D77" t="str">
            <v>R-1 Template Murphy #1200 G626601</v>
          </cell>
          <cell r="E77" t="str">
            <v>Conyers, GA</v>
          </cell>
          <cell r="F77">
            <v>42415</v>
          </cell>
          <cell r="G77">
            <v>42425</v>
          </cell>
          <cell r="I77">
            <v>42426</v>
          </cell>
          <cell r="J77" t="str">
            <v>AP</v>
          </cell>
          <cell r="L77">
            <v>799</v>
          </cell>
          <cell r="M77">
            <v>0</v>
          </cell>
          <cell r="N77">
            <v>1</v>
          </cell>
          <cell r="O77">
            <v>7090.6</v>
          </cell>
          <cell r="P77" t="str">
            <v>GA</v>
          </cell>
          <cell r="Q77" t="str">
            <v>4PD</v>
          </cell>
          <cell r="R77">
            <v>26045.000100000001</v>
          </cell>
          <cell r="S77" t="b">
            <v>0</v>
          </cell>
          <cell r="T77" t="str">
            <v>No</v>
          </cell>
        </row>
        <row r="78">
          <cell r="B78" t="str">
            <v>165-0098</v>
          </cell>
          <cell r="C78" t="str">
            <v>Frey - Moss Structures</v>
          </cell>
          <cell r="D78" t="str">
            <v>R-1 Template Murphy #1200 G626601</v>
          </cell>
          <cell r="E78" t="str">
            <v>Conyers, GA</v>
          </cell>
          <cell r="F78">
            <v>42415</v>
          </cell>
          <cell r="G78">
            <v>42425</v>
          </cell>
          <cell r="I78">
            <v>42426</v>
          </cell>
          <cell r="J78" t="str">
            <v>AP</v>
          </cell>
          <cell r="L78">
            <v>799</v>
          </cell>
          <cell r="M78">
            <v>0</v>
          </cell>
          <cell r="N78">
            <v>1</v>
          </cell>
          <cell r="O78">
            <v>7090.6</v>
          </cell>
          <cell r="P78" t="str">
            <v>GA</v>
          </cell>
          <cell r="Q78" t="str">
            <v>4PD</v>
          </cell>
          <cell r="R78">
            <v>26045.000100000001</v>
          </cell>
          <cell r="S78" t="b">
            <v>0</v>
          </cell>
          <cell r="T78" t="str">
            <v>No</v>
          </cell>
        </row>
        <row r="79">
          <cell r="B79" t="str">
            <v>165-0099</v>
          </cell>
          <cell r="C79" t="str">
            <v>Frey - Moss Structures</v>
          </cell>
          <cell r="D79" t="str">
            <v>R-1 Template Murphy #1200 G626601</v>
          </cell>
          <cell r="E79" t="str">
            <v>Conyers, GA</v>
          </cell>
          <cell r="F79">
            <v>42415</v>
          </cell>
          <cell r="G79">
            <v>42425</v>
          </cell>
          <cell r="I79">
            <v>42426</v>
          </cell>
          <cell r="J79" t="str">
            <v>AP</v>
          </cell>
          <cell r="L79">
            <v>799</v>
          </cell>
          <cell r="M79">
            <v>0</v>
          </cell>
          <cell r="N79">
            <v>1</v>
          </cell>
          <cell r="O79">
            <v>7090.6</v>
          </cell>
          <cell r="P79" t="str">
            <v>GA</v>
          </cell>
          <cell r="Q79" t="str">
            <v>4PD</v>
          </cell>
          <cell r="R79">
            <v>26045.000100000001</v>
          </cell>
          <cell r="S79" t="b">
            <v>0</v>
          </cell>
          <cell r="T79" t="str">
            <v>No</v>
          </cell>
        </row>
        <row r="80">
          <cell r="B80" t="str">
            <v>165-0100</v>
          </cell>
          <cell r="C80" t="str">
            <v>Frey - Moss Structures</v>
          </cell>
          <cell r="D80" t="str">
            <v>R-1 Template Murphy #1200 G626601</v>
          </cell>
          <cell r="E80" t="str">
            <v>Conyers, GA</v>
          </cell>
          <cell r="F80">
            <v>42415</v>
          </cell>
          <cell r="G80">
            <v>42425</v>
          </cell>
          <cell r="I80">
            <v>42426</v>
          </cell>
          <cell r="J80" t="str">
            <v>AP</v>
          </cell>
          <cell r="L80">
            <v>799</v>
          </cell>
          <cell r="M80">
            <v>0</v>
          </cell>
          <cell r="N80">
            <v>1</v>
          </cell>
          <cell r="O80">
            <v>7090.6</v>
          </cell>
          <cell r="P80" t="str">
            <v>GA</v>
          </cell>
          <cell r="Q80" t="str">
            <v>4PD</v>
          </cell>
          <cell r="R80">
            <v>26045.000100000001</v>
          </cell>
          <cell r="S80" t="b">
            <v>0</v>
          </cell>
          <cell r="T80" t="str">
            <v>No</v>
          </cell>
        </row>
        <row r="81">
          <cell r="B81" t="str">
            <v>165-0102</v>
          </cell>
          <cell r="C81" t="str">
            <v>Frey - Moss Structures</v>
          </cell>
          <cell r="D81" t="str">
            <v>R-1 Template Murphy #1200 G626601</v>
          </cell>
          <cell r="E81" t="str">
            <v>Conyers, GA</v>
          </cell>
          <cell r="F81">
            <v>42415</v>
          </cell>
          <cell r="G81">
            <v>42425</v>
          </cell>
          <cell r="I81">
            <v>42426</v>
          </cell>
          <cell r="J81" t="str">
            <v>AP</v>
          </cell>
          <cell r="L81">
            <v>799</v>
          </cell>
          <cell r="M81">
            <v>0</v>
          </cell>
          <cell r="N81">
            <v>1</v>
          </cell>
          <cell r="O81">
            <v>7090.6</v>
          </cell>
          <cell r="P81" t="str">
            <v>GA</v>
          </cell>
          <cell r="Q81" t="str">
            <v>4PD</v>
          </cell>
          <cell r="R81">
            <v>26045.000100000001</v>
          </cell>
          <cell r="S81" t="b">
            <v>0</v>
          </cell>
          <cell r="T81" t="str">
            <v>No</v>
          </cell>
        </row>
        <row r="82">
          <cell r="B82" t="str">
            <v>165-0103</v>
          </cell>
          <cell r="C82" t="str">
            <v>Frey - Moss Structures</v>
          </cell>
          <cell r="D82" t="str">
            <v>R-1 Template Murphy #1200 G626601</v>
          </cell>
          <cell r="E82" t="str">
            <v>Conyers, GA</v>
          </cell>
          <cell r="F82">
            <v>42415</v>
          </cell>
          <cell r="G82">
            <v>42425</v>
          </cell>
          <cell r="I82">
            <v>42426</v>
          </cell>
          <cell r="J82" t="str">
            <v>AP</v>
          </cell>
          <cell r="L82">
            <v>799</v>
          </cell>
          <cell r="M82">
            <v>0</v>
          </cell>
          <cell r="N82">
            <v>1</v>
          </cell>
          <cell r="O82">
            <v>7090.6</v>
          </cell>
          <cell r="P82" t="str">
            <v>GA</v>
          </cell>
          <cell r="Q82" t="str">
            <v>4PD</v>
          </cell>
          <cell r="R82">
            <v>26045.000100000001</v>
          </cell>
          <cell r="S82" t="b">
            <v>0</v>
          </cell>
          <cell r="T82" t="str">
            <v>No</v>
          </cell>
        </row>
        <row r="83">
          <cell r="B83" t="str">
            <v>165-0101</v>
          </cell>
          <cell r="C83" t="str">
            <v>Frey - Moss Structures</v>
          </cell>
          <cell r="D83" t="str">
            <v>R-1 Template Murphy #1200 G626601</v>
          </cell>
          <cell r="E83" t="str">
            <v>Conyers, GA</v>
          </cell>
          <cell r="F83">
            <v>42415</v>
          </cell>
          <cell r="G83">
            <v>42425</v>
          </cell>
          <cell r="I83">
            <v>42426</v>
          </cell>
          <cell r="J83" t="str">
            <v>AP</v>
          </cell>
          <cell r="L83">
            <v>799</v>
          </cell>
          <cell r="M83">
            <v>0</v>
          </cell>
          <cell r="N83">
            <v>1</v>
          </cell>
          <cell r="O83">
            <v>7090.6</v>
          </cell>
          <cell r="P83" t="str">
            <v>GA</v>
          </cell>
          <cell r="Q83" t="str">
            <v>4PD</v>
          </cell>
          <cell r="R83">
            <v>26045.000100000001</v>
          </cell>
          <cell r="S83" t="b">
            <v>0</v>
          </cell>
          <cell r="T83" t="str">
            <v>No</v>
          </cell>
        </row>
        <row r="84">
          <cell r="B84" t="str">
            <v>165-0007</v>
          </cell>
          <cell r="C84" t="str">
            <v>Dollar Tree Sourcing Comp. LLC</v>
          </cell>
          <cell r="D84" t="str">
            <v>DT# 6209   WSM FLDLCRDR Floor w/DP CL</v>
          </cell>
          <cell r="E84" t="str">
            <v>BROOKLYN, NY</v>
          </cell>
          <cell r="F84">
            <v>42415</v>
          </cell>
          <cell r="G84">
            <v>42425</v>
          </cell>
          <cell r="I84">
            <v>42426</v>
          </cell>
          <cell r="J84" t="str">
            <v>.</v>
          </cell>
          <cell r="L84">
            <v>657</v>
          </cell>
          <cell r="M84">
            <v>0</v>
          </cell>
          <cell r="N84">
            <v>2</v>
          </cell>
          <cell r="O84">
            <v>6158.99</v>
          </cell>
          <cell r="P84" t="str">
            <v>GA</v>
          </cell>
          <cell r="Q84" t="str">
            <v>4PD</v>
          </cell>
          <cell r="R84">
            <v>10537.237499999999</v>
          </cell>
          <cell r="S84" t="b">
            <v>1</v>
          </cell>
          <cell r="T84" t="str">
            <v>Yes</v>
          </cell>
        </row>
        <row r="85">
          <cell r="B85" t="str">
            <v>157-1395</v>
          </cell>
          <cell r="C85" t="str">
            <v>KPS, LLC Michigan # 018</v>
          </cell>
          <cell r="D85" t="str">
            <v>Kroger D-759</v>
          </cell>
          <cell r="E85" t="str">
            <v>White Lake MI</v>
          </cell>
          <cell r="F85">
            <v>42415</v>
          </cell>
          <cell r="G85">
            <v>42425</v>
          </cell>
          <cell r="I85">
            <v>42426</v>
          </cell>
          <cell r="J85" t="str">
            <v>RW</v>
          </cell>
          <cell r="L85">
            <v>17363</v>
          </cell>
          <cell r="M85">
            <v>0</v>
          </cell>
          <cell r="N85">
            <v>17</v>
          </cell>
          <cell r="O85">
            <v>126233.63</v>
          </cell>
          <cell r="P85" t="str">
            <v>GA</v>
          </cell>
          <cell r="Q85" t="str">
            <v>4PD</v>
          </cell>
          <cell r="R85">
            <v>126233.6292</v>
          </cell>
          <cell r="S85" t="b">
            <v>0</v>
          </cell>
          <cell r="T85" t="str">
            <v>No</v>
          </cell>
          <cell r="U85" t="str">
            <v>FBed</v>
          </cell>
        </row>
        <row r="86">
          <cell r="B86" t="str">
            <v>155-0908</v>
          </cell>
          <cell r="C86" t="str">
            <v>Giant Eagle-Aetos Construction</v>
          </cell>
          <cell r="D86" t="str">
            <v>GE 4096  Dairy Remodel</v>
          </cell>
          <cell r="E86" t="str">
            <v>STOW OH</v>
          </cell>
          <cell r="F86">
            <v>42415</v>
          </cell>
          <cell r="G86">
            <v>42425</v>
          </cell>
          <cell r="I86">
            <v>42426</v>
          </cell>
          <cell r="J86" t="str">
            <v>.</v>
          </cell>
          <cell r="L86">
            <v>410</v>
          </cell>
          <cell r="M86">
            <v>0</v>
          </cell>
          <cell r="N86">
            <v>1</v>
          </cell>
          <cell r="O86">
            <v>3752.89</v>
          </cell>
          <cell r="P86" t="str">
            <v>GA</v>
          </cell>
          <cell r="Q86" t="str">
            <v>4PD</v>
          </cell>
          <cell r="R86">
            <v>3829.5360000000001</v>
          </cell>
          <cell r="S86" t="b">
            <v>0</v>
          </cell>
          <cell r="T86" t="str">
            <v>No</v>
          </cell>
          <cell r="V86" t="str">
            <v>A</v>
          </cell>
        </row>
        <row r="87">
          <cell r="B87" t="str">
            <v>155-1099</v>
          </cell>
          <cell r="C87" t="str">
            <v>Giant Eagle-Aetos Construction</v>
          </cell>
          <cell r="D87" t="str">
            <v>Giant Eagle 5107</v>
          </cell>
          <cell r="E87" t="str">
            <v>Bexley, OH</v>
          </cell>
          <cell r="F87">
            <v>42415</v>
          </cell>
          <cell r="G87">
            <v>42425</v>
          </cell>
          <cell r="I87">
            <v>42426</v>
          </cell>
          <cell r="J87" t="str">
            <v>SQ</v>
          </cell>
          <cell r="L87">
            <v>4155</v>
          </cell>
          <cell r="M87">
            <v>0</v>
          </cell>
          <cell r="N87">
            <v>7</v>
          </cell>
          <cell r="O87">
            <v>42109.16</v>
          </cell>
          <cell r="P87" t="str">
            <v>GA</v>
          </cell>
          <cell r="Q87" t="str">
            <v>4PD</v>
          </cell>
          <cell r="R87">
            <v>76812.948000000004</v>
          </cell>
          <cell r="S87" t="b">
            <v>0</v>
          </cell>
          <cell r="T87" t="str">
            <v>No</v>
          </cell>
        </row>
        <row r="88">
          <cell r="B88" t="str">
            <v>155-1149</v>
          </cell>
          <cell r="C88" t="str">
            <v>Publix Super Markets Inc.</v>
          </cell>
          <cell r="D88" t="str">
            <v>Publix #1006, Mirasol Walk</v>
          </cell>
          <cell r="E88" t="str">
            <v>Paolm Beach, FL</v>
          </cell>
          <cell r="F88">
            <v>42415</v>
          </cell>
          <cell r="G88">
            <v>42425</v>
          </cell>
          <cell r="I88">
            <v>42426</v>
          </cell>
          <cell r="J88" t="str">
            <v>AP</v>
          </cell>
          <cell r="L88">
            <v>0</v>
          </cell>
          <cell r="M88">
            <v>0</v>
          </cell>
          <cell r="N88">
            <v>1</v>
          </cell>
          <cell r="O88">
            <v>1610.1</v>
          </cell>
          <cell r="P88" t="str">
            <v>GA</v>
          </cell>
          <cell r="Q88" t="str">
            <v>4PD</v>
          </cell>
          <cell r="R88">
            <v>1856.06</v>
          </cell>
          <cell r="S88" t="b">
            <v>0</v>
          </cell>
          <cell r="T88" t="str">
            <v>No</v>
          </cell>
          <cell r="V88" t="str">
            <v>A</v>
          </cell>
        </row>
        <row r="89">
          <cell r="B89" t="str">
            <v>157-1792ADD1</v>
          </cell>
          <cell r="C89" t="str">
            <v>Kroger Atlanta # 011</v>
          </cell>
          <cell r="D89" t="str">
            <v>Kroger GA-644OLS</v>
          </cell>
          <cell r="E89" t="str">
            <v>GROVETOWN GA</v>
          </cell>
          <cell r="F89">
            <v>42415</v>
          </cell>
          <cell r="G89">
            <v>42425</v>
          </cell>
          <cell r="I89">
            <v>42426</v>
          </cell>
          <cell r="J89" t="str">
            <v>PF</v>
          </cell>
          <cell r="L89">
            <v>1415</v>
          </cell>
          <cell r="M89">
            <v>0</v>
          </cell>
          <cell r="N89">
            <v>3</v>
          </cell>
          <cell r="O89">
            <v>12716.89</v>
          </cell>
          <cell r="P89" t="str">
            <v>GA</v>
          </cell>
          <cell r="Q89" t="str">
            <v>4PD</v>
          </cell>
          <cell r="R89">
            <v>12716.8902</v>
          </cell>
          <cell r="S89" t="b">
            <v>1</v>
          </cell>
          <cell r="T89" t="str">
            <v>Yes</v>
          </cell>
          <cell r="U89" t="str">
            <v>FBed</v>
          </cell>
          <cell r="V89" t="str">
            <v>A</v>
          </cell>
        </row>
        <row r="90">
          <cell r="B90" t="str">
            <v>165-0104</v>
          </cell>
          <cell r="C90" t="str">
            <v>Frey - Moss Structures</v>
          </cell>
          <cell r="D90" t="str">
            <v>R-1 Template Murphy #1200 G626601</v>
          </cell>
          <cell r="E90" t="str">
            <v>Conyers, GA</v>
          </cell>
          <cell r="F90">
            <v>42415</v>
          </cell>
          <cell r="G90">
            <v>42425</v>
          </cell>
          <cell r="I90">
            <v>42426</v>
          </cell>
          <cell r="J90" t="str">
            <v>AP</v>
          </cell>
          <cell r="L90">
            <v>799</v>
          </cell>
          <cell r="M90">
            <v>0</v>
          </cell>
          <cell r="N90">
            <v>1</v>
          </cell>
          <cell r="O90">
            <v>7090.6</v>
          </cell>
          <cell r="P90" t="str">
            <v>GA</v>
          </cell>
          <cell r="Q90" t="str">
            <v>4PD</v>
          </cell>
          <cell r="R90">
            <v>26045.000100000001</v>
          </cell>
          <cell r="S90" t="b">
            <v>0</v>
          </cell>
          <cell r="T90" t="str">
            <v>No</v>
          </cell>
        </row>
        <row r="91">
          <cell r="B91" t="str">
            <v>157-1792</v>
          </cell>
          <cell r="C91" t="str">
            <v>KPS, LLC Atlanta # 011</v>
          </cell>
          <cell r="D91" t="str">
            <v>Kroger GA-644</v>
          </cell>
          <cell r="E91" t="str">
            <v>Augusta GA</v>
          </cell>
          <cell r="F91">
            <v>42415</v>
          </cell>
          <cell r="G91">
            <v>42425</v>
          </cell>
          <cell r="I91">
            <v>42426</v>
          </cell>
          <cell r="J91" t="str">
            <v>SS</v>
          </cell>
          <cell r="L91">
            <v>16444</v>
          </cell>
          <cell r="M91">
            <v>0</v>
          </cell>
          <cell r="N91">
            <v>14</v>
          </cell>
          <cell r="O91">
            <v>122376.55</v>
          </cell>
          <cell r="P91" t="str">
            <v>GA</v>
          </cell>
          <cell r="Q91" t="str">
            <v>4PD</v>
          </cell>
          <cell r="R91">
            <v>122376.5469</v>
          </cell>
          <cell r="S91" t="b">
            <v>1</v>
          </cell>
          <cell r="T91" t="str">
            <v>Yes</v>
          </cell>
          <cell r="U91" t="str">
            <v>FBed</v>
          </cell>
          <cell r="V91" t="str">
            <v>A</v>
          </cell>
        </row>
        <row r="92">
          <cell r="B92" t="str">
            <v>167-0048PEV1</v>
          </cell>
          <cell r="C92" t="str">
            <v>KPS, LLC Mid-Atlantic # 029</v>
          </cell>
          <cell r="D92" t="str">
            <v>Kroger R-514 OLS</v>
          </cell>
          <cell r="E92" t="str">
            <v>RICHMOND VA</v>
          </cell>
          <cell r="F92">
            <v>42415</v>
          </cell>
          <cell r="G92">
            <v>42425</v>
          </cell>
          <cell r="I92">
            <v>42426</v>
          </cell>
          <cell r="J92" t="str">
            <v>RS</v>
          </cell>
          <cell r="L92">
            <v>1352</v>
          </cell>
          <cell r="M92">
            <v>0</v>
          </cell>
          <cell r="N92">
            <v>3</v>
          </cell>
          <cell r="O92">
            <v>12407.08</v>
          </cell>
          <cell r="P92" t="str">
            <v>GA</v>
          </cell>
          <cell r="Q92" t="str">
            <v>4PD</v>
          </cell>
          <cell r="R92">
            <v>14249.4112</v>
          </cell>
          <cell r="S92" t="b">
            <v>0</v>
          </cell>
          <cell r="T92" t="str">
            <v>No</v>
          </cell>
          <cell r="U92" t="str">
            <v>FBed</v>
          </cell>
          <cell r="V92" t="str">
            <v>A</v>
          </cell>
        </row>
        <row r="93">
          <cell r="B93" t="str">
            <v>157-0520A</v>
          </cell>
          <cell r="C93" t="str">
            <v>KPS, LLC Cincinnati #014</v>
          </cell>
          <cell r="D93" t="str">
            <v>A-935</v>
          </cell>
          <cell r="E93" t="str">
            <v>Centerville, OH</v>
          </cell>
          <cell r="F93">
            <v>42415</v>
          </cell>
          <cell r="G93">
            <v>42425</v>
          </cell>
          <cell r="I93">
            <v>42426</v>
          </cell>
          <cell r="J93" t="str">
            <v>AP</v>
          </cell>
          <cell r="L93">
            <v>3179</v>
          </cell>
          <cell r="M93">
            <v>0</v>
          </cell>
          <cell r="N93">
            <v>2</v>
          </cell>
          <cell r="O93">
            <v>22465.53</v>
          </cell>
          <cell r="P93" t="str">
            <v>GA</v>
          </cell>
          <cell r="Q93" t="str">
            <v>4PD</v>
          </cell>
          <cell r="R93">
            <v>22465.5288</v>
          </cell>
          <cell r="S93" t="b">
            <v>0</v>
          </cell>
          <cell r="T93" t="str">
            <v>No</v>
          </cell>
          <cell r="U93" t="str">
            <v>FBed</v>
          </cell>
        </row>
        <row r="94">
          <cell r="B94" t="str">
            <v>157-0520B</v>
          </cell>
          <cell r="C94" t="str">
            <v>KPS, LLC Cincinnati #014</v>
          </cell>
          <cell r="D94" t="str">
            <v>A-935</v>
          </cell>
          <cell r="E94" t="str">
            <v>Centerville, OH</v>
          </cell>
          <cell r="F94">
            <v>42415</v>
          </cell>
          <cell r="G94">
            <v>42425</v>
          </cell>
          <cell r="I94">
            <v>42426</v>
          </cell>
          <cell r="J94" t="str">
            <v>AP</v>
          </cell>
          <cell r="L94">
            <v>3667</v>
          </cell>
          <cell r="M94">
            <v>0</v>
          </cell>
          <cell r="N94">
            <v>6</v>
          </cell>
          <cell r="O94">
            <v>30802.45</v>
          </cell>
          <cell r="P94" t="str">
            <v>GA</v>
          </cell>
          <cell r="Q94" t="str">
            <v>4PD</v>
          </cell>
          <cell r="R94">
            <v>30802.445</v>
          </cell>
          <cell r="S94" t="b">
            <v>0</v>
          </cell>
          <cell r="T94" t="str">
            <v>No</v>
          </cell>
          <cell r="U94" t="str">
            <v>FBed</v>
          </cell>
        </row>
        <row r="95">
          <cell r="B95" t="str">
            <v>157-2055</v>
          </cell>
          <cell r="C95" t="str">
            <v>Walmart Canada Corp.</v>
          </cell>
          <cell r="D95" t="str">
            <v>Walmart 3139-BR-IPAC-MG2I-DP-B</v>
          </cell>
          <cell r="E95" t="str">
            <v>Val d'Or, QC</v>
          </cell>
          <cell r="F95">
            <v>42415</v>
          </cell>
          <cell r="G95">
            <v>42431</v>
          </cell>
          <cell r="I95">
            <v>42432</v>
          </cell>
          <cell r="J95" t="str">
            <v>AP</v>
          </cell>
          <cell r="L95">
            <v>5216</v>
          </cell>
          <cell r="M95">
            <v>0</v>
          </cell>
          <cell r="N95">
            <v>0</v>
          </cell>
          <cell r="O95">
            <v>44639.03</v>
          </cell>
          <cell r="P95" t="str">
            <v>GA</v>
          </cell>
          <cell r="Q95" t="str">
            <v>4PD</v>
          </cell>
          <cell r="R95">
            <v>80231.968099999998</v>
          </cell>
          <cell r="S95" t="b">
            <v>0</v>
          </cell>
          <cell r="T95" t="str">
            <v>No</v>
          </cell>
          <cell r="V95" t="str">
            <v>A</v>
          </cell>
        </row>
        <row r="96">
          <cell r="B96" t="str">
            <v>165-0019</v>
          </cell>
          <cell r="C96" t="str">
            <v>Dollar Tree Sourcing Comp. LLC</v>
          </cell>
          <cell r="D96" t="str">
            <v>DT# 6350   WM FLDLCRDR</v>
          </cell>
          <cell r="E96" t="str">
            <v>DECATUR, GA</v>
          </cell>
          <cell r="F96">
            <v>42422</v>
          </cell>
          <cell r="G96">
            <v>42424</v>
          </cell>
          <cell r="I96">
            <v>42425</v>
          </cell>
          <cell r="J96" t="str">
            <v>.</v>
          </cell>
          <cell r="L96">
            <v>551</v>
          </cell>
          <cell r="M96">
            <v>0</v>
          </cell>
          <cell r="N96">
            <v>2</v>
          </cell>
          <cell r="O96">
            <v>5500.12</v>
          </cell>
          <cell r="P96" t="str">
            <v>GA</v>
          </cell>
          <cell r="Q96" t="str">
            <v>4PD</v>
          </cell>
          <cell r="R96">
            <v>9933.2451999999994</v>
          </cell>
          <cell r="S96" t="b">
            <v>1</v>
          </cell>
          <cell r="T96" t="str">
            <v>Yes</v>
          </cell>
        </row>
        <row r="97">
          <cell r="B97" t="str">
            <v>167-0079</v>
          </cell>
          <cell r="C97" t="str">
            <v>Phoenix Refrigeration</v>
          </cell>
          <cell r="D97" t="str">
            <v>Harrisville Harbor Groc</v>
          </cell>
          <cell r="E97" t="str">
            <v>Harrisville, MI 48740</v>
          </cell>
          <cell r="F97">
            <v>42422</v>
          </cell>
          <cell r="G97">
            <v>42425</v>
          </cell>
          <cell r="I97">
            <v>42426</v>
          </cell>
          <cell r="J97" t="str">
            <v>SQ</v>
          </cell>
          <cell r="L97">
            <v>1013</v>
          </cell>
          <cell r="M97">
            <v>0</v>
          </cell>
          <cell r="N97">
            <v>2</v>
          </cell>
          <cell r="O97">
            <v>7857.46</v>
          </cell>
          <cell r="P97" t="str">
            <v>GA</v>
          </cell>
          <cell r="Q97" t="str">
            <v>4PD</v>
          </cell>
          <cell r="R97">
            <v>21355.563699999999</v>
          </cell>
          <cell r="S97" t="b">
            <v>1</v>
          </cell>
          <cell r="T97" t="str">
            <v>Yes</v>
          </cell>
          <cell r="V97" t="str">
            <v>A</v>
          </cell>
        </row>
        <row r="98">
          <cell r="B98" t="str">
            <v>157-2048</v>
          </cell>
          <cell r="C98" t="str">
            <v>KPS, LLC Delta #025</v>
          </cell>
          <cell r="D98" t="str">
            <v>V-387</v>
          </cell>
          <cell r="E98" t="str">
            <v>Collierville TN</v>
          </cell>
          <cell r="F98">
            <v>42422</v>
          </cell>
          <cell r="G98">
            <v>42425</v>
          </cell>
          <cell r="I98">
            <v>42426</v>
          </cell>
          <cell r="J98" t="str">
            <v>AP</v>
          </cell>
          <cell r="L98">
            <v>716</v>
          </cell>
          <cell r="M98">
            <v>0</v>
          </cell>
          <cell r="N98">
            <v>1</v>
          </cell>
          <cell r="O98">
            <v>5598.82</v>
          </cell>
          <cell r="P98" t="str">
            <v>GA</v>
          </cell>
          <cell r="Q98" t="str">
            <v>4PD</v>
          </cell>
          <cell r="R98">
            <v>6498.8164999999999</v>
          </cell>
          <cell r="S98" t="b">
            <v>0</v>
          </cell>
          <cell r="T98" t="str">
            <v>No</v>
          </cell>
          <cell r="U98" t="str">
            <v>FBed</v>
          </cell>
        </row>
        <row r="99">
          <cell r="B99" t="str">
            <v>157-2210</v>
          </cell>
          <cell r="C99" t="str">
            <v>Wal-Mart Store Planning</v>
          </cell>
          <cell r="D99" t="str">
            <v>Walmart 2265-223-SC-REM</v>
          </cell>
          <cell r="E99" t="str">
            <v>Simpsonville, SC</v>
          </cell>
          <cell r="F99">
            <v>42422</v>
          </cell>
          <cell r="G99">
            <v>42425</v>
          </cell>
          <cell r="I99">
            <v>42426</v>
          </cell>
          <cell r="J99" t="str">
            <v>PC</v>
          </cell>
          <cell r="L99">
            <v>0</v>
          </cell>
          <cell r="M99">
            <v>0</v>
          </cell>
          <cell r="N99">
            <v>1</v>
          </cell>
          <cell r="O99">
            <v>2674.86</v>
          </cell>
          <cell r="P99" t="str">
            <v>GA</v>
          </cell>
          <cell r="Q99" t="str">
            <v>4PD</v>
          </cell>
          <cell r="R99">
            <v>10189.7701</v>
          </cell>
          <cell r="S99" t="b">
            <v>0</v>
          </cell>
          <cell r="T99" t="str">
            <v>No</v>
          </cell>
          <cell r="V99" t="str">
            <v>A</v>
          </cell>
        </row>
        <row r="100">
          <cell r="B100" t="str">
            <v>157-2200A</v>
          </cell>
          <cell r="C100" t="str">
            <v>Wal-Mart Store Planning</v>
          </cell>
          <cell r="D100" t="str">
            <v>Walmart 2035-219-SC-REM</v>
          </cell>
          <cell r="E100" t="str">
            <v>Greenville, OH</v>
          </cell>
          <cell r="F100">
            <v>42422</v>
          </cell>
          <cell r="G100">
            <v>42425</v>
          </cell>
          <cell r="I100">
            <v>42426</v>
          </cell>
          <cell r="J100" t="str">
            <v>RS</v>
          </cell>
          <cell r="L100">
            <v>0</v>
          </cell>
          <cell r="M100">
            <v>0</v>
          </cell>
          <cell r="N100">
            <v>0</v>
          </cell>
          <cell r="O100">
            <v>1559.97</v>
          </cell>
          <cell r="P100" t="str">
            <v>GA</v>
          </cell>
          <cell r="Q100" t="str">
            <v>4PD</v>
          </cell>
          <cell r="R100">
            <v>23045.280299999999</v>
          </cell>
          <cell r="S100" t="b">
            <v>0</v>
          </cell>
          <cell r="T100" t="str">
            <v>No</v>
          </cell>
          <cell r="V100" t="str">
            <v>A</v>
          </cell>
        </row>
        <row r="101">
          <cell r="B101" t="str">
            <v>157-2191B</v>
          </cell>
          <cell r="C101" t="str">
            <v>Wal-Mart Store Planning</v>
          </cell>
          <cell r="D101" t="str">
            <v>Walmart 0578-226-SC-REM</v>
          </cell>
          <cell r="E101" t="str">
            <v>Sevierville, TN</v>
          </cell>
          <cell r="F101">
            <v>42422</v>
          </cell>
          <cell r="G101">
            <v>42425</v>
          </cell>
          <cell r="I101">
            <v>42426</v>
          </cell>
          <cell r="J101" t="str">
            <v>PC2</v>
          </cell>
          <cell r="L101">
            <v>2105</v>
          </cell>
          <cell r="M101">
            <v>0</v>
          </cell>
          <cell r="N101">
            <v>0</v>
          </cell>
          <cell r="O101">
            <v>15093.52</v>
          </cell>
          <cell r="P101" t="str">
            <v>GA</v>
          </cell>
          <cell r="Q101" t="str">
            <v>4PD</v>
          </cell>
          <cell r="R101">
            <v>17871.329699999998</v>
          </cell>
          <cell r="S101" t="b">
            <v>1</v>
          </cell>
          <cell r="T101" t="str">
            <v>Yes</v>
          </cell>
          <cell r="V101" t="str">
            <v>A</v>
          </cell>
        </row>
        <row r="102">
          <cell r="B102" t="str">
            <v>157-2000A</v>
          </cell>
          <cell r="C102" t="str">
            <v>Wal-Mart Store Planning</v>
          </cell>
          <cell r="D102" t="str">
            <v>Walmart 1675-221-SC-REM</v>
          </cell>
          <cell r="E102" t="str">
            <v>Lebanon, KY</v>
          </cell>
          <cell r="F102">
            <v>42422</v>
          </cell>
          <cell r="G102">
            <v>42425</v>
          </cell>
          <cell r="I102">
            <v>42426</v>
          </cell>
          <cell r="J102" t="str">
            <v>PF</v>
          </cell>
          <cell r="K102" t="str">
            <v>CC</v>
          </cell>
          <cell r="L102">
            <v>0</v>
          </cell>
          <cell r="M102">
            <v>0</v>
          </cell>
          <cell r="N102">
            <v>0</v>
          </cell>
          <cell r="O102">
            <v>10085.780000000001</v>
          </cell>
          <cell r="P102" t="str">
            <v>GA</v>
          </cell>
          <cell r="Q102" t="str">
            <v>4PD</v>
          </cell>
          <cell r="R102">
            <v>74232.912400000001</v>
          </cell>
          <cell r="S102" t="b">
            <v>0</v>
          </cell>
          <cell r="T102" t="str">
            <v>No</v>
          </cell>
          <cell r="V102" t="str">
            <v>A</v>
          </cell>
        </row>
        <row r="103">
          <cell r="B103" t="str">
            <v>157-2198</v>
          </cell>
          <cell r="C103" t="str">
            <v>Wal-Mart Store Planning</v>
          </cell>
          <cell r="D103" t="str">
            <v>Walmart 1373-219-SC-REM</v>
          </cell>
          <cell r="E103" t="str">
            <v>Lilburn, GA</v>
          </cell>
          <cell r="F103">
            <v>42422</v>
          </cell>
          <cell r="G103">
            <v>42425</v>
          </cell>
          <cell r="I103">
            <v>42426</v>
          </cell>
          <cell r="J103" t="str">
            <v>PQ</v>
          </cell>
          <cell r="L103">
            <v>0</v>
          </cell>
          <cell r="M103">
            <v>0</v>
          </cell>
          <cell r="N103">
            <v>0</v>
          </cell>
          <cell r="O103">
            <v>8424</v>
          </cell>
          <cell r="P103" t="str">
            <v>GA</v>
          </cell>
          <cell r="Q103" t="str">
            <v>4PD</v>
          </cell>
          <cell r="R103">
            <v>38861.930500000002</v>
          </cell>
          <cell r="S103" t="b">
            <v>0</v>
          </cell>
          <cell r="T103" t="str">
            <v>No</v>
          </cell>
          <cell r="V103" t="str">
            <v>A</v>
          </cell>
        </row>
        <row r="104">
          <cell r="B104" t="str">
            <v>167-0138</v>
          </cell>
          <cell r="C104" t="str">
            <v>KPS, LLC Columbus #016</v>
          </cell>
          <cell r="D104" t="str">
            <v>Kroger N-965</v>
          </cell>
          <cell r="E104" t="str">
            <v>Westerville OH</v>
          </cell>
          <cell r="F104">
            <v>42422</v>
          </cell>
          <cell r="G104">
            <v>42425</v>
          </cell>
          <cell r="I104">
            <v>42426</v>
          </cell>
          <cell r="J104" t="str">
            <v>SQ</v>
          </cell>
          <cell r="L104">
            <v>1034</v>
          </cell>
          <cell r="M104">
            <v>0</v>
          </cell>
          <cell r="N104">
            <v>3</v>
          </cell>
          <cell r="O104">
            <v>12717.27</v>
          </cell>
          <cell r="P104" t="str">
            <v>GA</v>
          </cell>
          <cell r="Q104" t="str">
            <v>4PD</v>
          </cell>
          <cell r="R104">
            <v>12717.2736</v>
          </cell>
          <cell r="S104" t="b">
            <v>0</v>
          </cell>
          <cell r="T104" t="str">
            <v>No</v>
          </cell>
          <cell r="U104" t="str">
            <v>FBed</v>
          </cell>
        </row>
        <row r="105">
          <cell r="B105" t="str">
            <v>155-1196</v>
          </cell>
          <cell r="C105" t="str">
            <v>Dollar Tree Sourcing Comp. LLC</v>
          </cell>
          <cell r="D105" t="str">
            <v>DT# 6362   WSM FRDRCLDL</v>
          </cell>
          <cell r="E105" t="str">
            <v>GRAND PRAIRIE, TX</v>
          </cell>
          <cell r="F105">
            <v>42422</v>
          </cell>
          <cell r="G105">
            <v>42425</v>
          </cell>
          <cell r="I105">
            <v>42426</v>
          </cell>
          <cell r="J105" t="str">
            <v>.</v>
          </cell>
          <cell r="L105">
            <v>629</v>
          </cell>
          <cell r="M105">
            <v>0</v>
          </cell>
          <cell r="N105">
            <v>2</v>
          </cell>
          <cell r="O105">
            <v>5808.26</v>
          </cell>
          <cell r="P105" t="str">
            <v>GA</v>
          </cell>
          <cell r="Q105" t="str">
            <v>4PD</v>
          </cell>
          <cell r="R105">
            <v>10137.306500000001</v>
          </cell>
          <cell r="S105" t="b">
            <v>1</v>
          </cell>
          <cell r="T105" t="str">
            <v>Yes</v>
          </cell>
        </row>
        <row r="106">
          <cell r="B106" t="str">
            <v>166-0006</v>
          </cell>
          <cell r="C106" t="str">
            <v>MG Automation &amp; Controls Corp</v>
          </cell>
          <cell r="D106" t="str">
            <v>MG Automation &amp; Controls</v>
          </cell>
          <cell r="E106" t="str">
            <v>JACKSONVILLE FL</v>
          </cell>
          <cell r="F106">
            <v>42422</v>
          </cell>
          <cell r="G106">
            <v>42425</v>
          </cell>
          <cell r="I106">
            <v>42426</v>
          </cell>
          <cell r="J106" t="str">
            <v>PC</v>
          </cell>
          <cell r="L106">
            <v>0</v>
          </cell>
          <cell r="M106">
            <v>0</v>
          </cell>
          <cell r="N106">
            <v>1</v>
          </cell>
          <cell r="O106">
            <v>2343.0100000000002</v>
          </cell>
          <cell r="P106" t="str">
            <v>GA</v>
          </cell>
          <cell r="Q106" t="str">
            <v>4PD</v>
          </cell>
          <cell r="R106">
            <v>2343.0100000000002</v>
          </cell>
          <cell r="S106" t="b">
            <v>0</v>
          </cell>
          <cell r="T106" t="str">
            <v>No</v>
          </cell>
          <cell r="V106" t="str">
            <v>A</v>
          </cell>
        </row>
        <row r="107">
          <cell r="B107" t="str">
            <v>157-2196B</v>
          </cell>
          <cell r="C107" t="str">
            <v>Glenn's Commercial Service</v>
          </cell>
          <cell r="D107" t="str">
            <v>Thorntons 20</v>
          </cell>
          <cell r="E107" t="str">
            <v>Louisville, KY</v>
          </cell>
          <cell r="F107">
            <v>42422</v>
          </cell>
          <cell r="G107">
            <v>42425</v>
          </cell>
          <cell r="H107">
            <v>1</v>
          </cell>
          <cell r="I107">
            <v>42426</v>
          </cell>
          <cell r="J107" t="str">
            <v>RR</v>
          </cell>
          <cell r="K107" t="str">
            <v>CC</v>
          </cell>
          <cell r="L107">
            <v>2032</v>
          </cell>
          <cell r="M107">
            <v>0</v>
          </cell>
          <cell r="N107">
            <v>2</v>
          </cell>
          <cell r="O107">
            <v>18818.95</v>
          </cell>
          <cell r="P107" t="str">
            <v>GA</v>
          </cell>
          <cell r="Q107" t="str">
            <v>4PD</v>
          </cell>
          <cell r="R107">
            <v>18818.945</v>
          </cell>
          <cell r="S107" t="b">
            <v>1</v>
          </cell>
          <cell r="T107" t="str">
            <v>Yes</v>
          </cell>
          <cell r="V107" t="str">
            <v>A</v>
          </cell>
        </row>
        <row r="108">
          <cell r="B108" t="str">
            <v>165-0056</v>
          </cell>
          <cell r="C108" t="str">
            <v>Dollar Tree Sourcing Comp. LLC</v>
          </cell>
          <cell r="D108" t="str">
            <v>DT# 9537   WM FLDLCRDR</v>
          </cell>
          <cell r="E108" t="str">
            <v>Pottstown, PA</v>
          </cell>
          <cell r="F108">
            <v>42422</v>
          </cell>
          <cell r="G108">
            <v>42426</v>
          </cell>
          <cell r="I108">
            <v>42429</v>
          </cell>
          <cell r="J108" t="str">
            <v>.</v>
          </cell>
          <cell r="L108">
            <v>551</v>
          </cell>
          <cell r="M108">
            <v>0</v>
          </cell>
          <cell r="N108">
            <v>2</v>
          </cell>
          <cell r="O108">
            <v>5500.12</v>
          </cell>
          <cell r="P108" t="str">
            <v>GA</v>
          </cell>
          <cell r="Q108" t="str">
            <v>4PD</v>
          </cell>
          <cell r="R108">
            <v>9933.2451999999994</v>
          </cell>
          <cell r="S108" t="b">
            <v>1</v>
          </cell>
          <cell r="T108" t="str">
            <v>Yes</v>
          </cell>
        </row>
        <row r="109">
          <cell r="B109" t="str">
            <v>155-0620</v>
          </cell>
          <cell r="C109" t="str">
            <v>Certified Comm Serv &amp; Equip</v>
          </cell>
          <cell r="D109" t="str">
            <v>Pilot Travel Center 1047</v>
          </cell>
          <cell r="E109" t="str">
            <v>JACKSONVILLE FL</v>
          </cell>
          <cell r="F109">
            <v>42422</v>
          </cell>
          <cell r="G109">
            <v>42426</v>
          </cell>
          <cell r="I109">
            <v>42429</v>
          </cell>
          <cell r="J109" t="str">
            <v>PC</v>
          </cell>
          <cell r="L109">
            <v>4211</v>
          </cell>
          <cell r="M109">
            <v>0</v>
          </cell>
          <cell r="N109">
            <v>6</v>
          </cell>
          <cell r="O109">
            <v>35900.160000000003</v>
          </cell>
          <cell r="P109" t="str">
            <v>GA</v>
          </cell>
          <cell r="Q109" t="str">
            <v>4PD</v>
          </cell>
          <cell r="R109">
            <v>35900.154999999999</v>
          </cell>
          <cell r="S109" t="b">
            <v>0</v>
          </cell>
          <cell r="T109" t="str">
            <v>No</v>
          </cell>
          <cell r="V109" t="str">
            <v>A</v>
          </cell>
        </row>
        <row r="110">
          <cell r="B110" t="str">
            <v>157-2053</v>
          </cell>
          <cell r="C110" t="str">
            <v>Wal-Mart Store Planning</v>
          </cell>
          <cell r="D110" t="str">
            <v>Walmart 5923-00-NHM-41</v>
          </cell>
          <cell r="E110" t="str">
            <v>Myrtle Beach, SC</v>
          </cell>
          <cell r="F110">
            <v>42422</v>
          </cell>
          <cell r="G110">
            <v>42426</v>
          </cell>
          <cell r="I110">
            <v>42429</v>
          </cell>
          <cell r="J110" t="str">
            <v>PC</v>
          </cell>
          <cell r="L110">
            <v>4713</v>
          </cell>
          <cell r="M110">
            <v>0</v>
          </cell>
          <cell r="N110">
            <v>1</v>
          </cell>
          <cell r="O110">
            <v>26978.42</v>
          </cell>
          <cell r="P110" t="str">
            <v>GA</v>
          </cell>
          <cell r="Q110" t="str">
            <v>4PD</v>
          </cell>
          <cell r="R110">
            <v>64555.477200000001</v>
          </cell>
          <cell r="S110" t="b">
            <v>0</v>
          </cell>
          <cell r="T110" t="str">
            <v>No</v>
          </cell>
          <cell r="V110" t="str">
            <v>A</v>
          </cell>
        </row>
        <row r="111">
          <cell r="B111" t="str">
            <v>155-1161</v>
          </cell>
          <cell r="C111" t="str">
            <v>Dollar Tree Sourcing Comp. LLC</v>
          </cell>
          <cell r="D111" t="str">
            <v>DT# 6228   WM FLDLCRDR</v>
          </cell>
          <cell r="E111" t="str">
            <v>Hialeah, FL</v>
          </cell>
          <cell r="F111">
            <v>42422</v>
          </cell>
          <cell r="G111">
            <v>42429</v>
          </cell>
          <cell r="I111">
            <v>42430</v>
          </cell>
          <cell r="J111" t="str">
            <v>.</v>
          </cell>
          <cell r="L111">
            <v>551</v>
          </cell>
          <cell r="M111">
            <v>0</v>
          </cell>
          <cell r="N111">
            <v>2</v>
          </cell>
          <cell r="O111">
            <v>5302.05</v>
          </cell>
          <cell r="P111" t="str">
            <v>GA</v>
          </cell>
          <cell r="Q111" t="str">
            <v>4PD</v>
          </cell>
          <cell r="R111">
            <v>9631.1023999999998</v>
          </cell>
          <cell r="S111" t="b">
            <v>1</v>
          </cell>
          <cell r="T111" t="str">
            <v>Yes</v>
          </cell>
        </row>
        <row r="112">
          <cell r="B112" t="str">
            <v>155-1204</v>
          </cell>
          <cell r="C112" t="str">
            <v>Dollar Tree Sourcing Comp. LLC</v>
          </cell>
          <cell r="D112" t="str">
            <v>DT# 6254   WM FRDRCLDL</v>
          </cell>
          <cell r="E112" t="str">
            <v>DALLAS, TX</v>
          </cell>
          <cell r="F112">
            <v>42422</v>
          </cell>
          <cell r="G112">
            <v>42429</v>
          </cell>
          <cell r="I112">
            <v>42430</v>
          </cell>
          <cell r="J112" t="str">
            <v>.</v>
          </cell>
          <cell r="L112">
            <v>551</v>
          </cell>
          <cell r="M112">
            <v>0</v>
          </cell>
          <cell r="N112">
            <v>2</v>
          </cell>
          <cell r="O112">
            <v>5302.05</v>
          </cell>
          <cell r="P112" t="str">
            <v>GA</v>
          </cell>
          <cell r="Q112" t="str">
            <v>4PD</v>
          </cell>
          <cell r="R112">
            <v>9631.1023999999998</v>
          </cell>
          <cell r="S112" t="b">
            <v>1</v>
          </cell>
          <cell r="T112" t="str">
            <v>Yes</v>
          </cell>
        </row>
        <row r="113">
          <cell r="B113" t="str">
            <v>155-1208</v>
          </cell>
          <cell r="C113" t="str">
            <v>Dollar Tree Sourcing Comp. LLC</v>
          </cell>
          <cell r="D113" t="str">
            <v>DT# 6374   WSM FRDRCLDL</v>
          </cell>
          <cell r="E113" t="str">
            <v>NORFOLK, VA</v>
          </cell>
          <cell r="F113">
            <v>42422</v>
          </cell>
          <cell r="G113">
            <v>42430</v>
          </cell>
          <cell r="I113">
            <v>42430</v>
          </cell>
          <cell r="J113" t="str">
            <v>.</v>
          </cell>
          <cell r="L113">
            <v>629</v>
          </cell>
          <cell r="M113">
            <v>0</v>
          </cell>
          <cell r="N113">
            <v>2</v>
          </cell>
          <cell r="O113">
            <v>5808.26</v>
          </cell>
          <cell r="P113" t="str">
            <v>GA</v>
          </cell>
          <cell r="Q113" t="str">
            <v>4PD</v>
          </cell>
          <cell r="R113">
            <v>10137.306500000001</v>
          </cell>
          <cell r="S113" t="b">
            <v>1</v>
          </cell>
          <cell r="T113" t="str">
            <v>Yes</v>
          </cell>
        </row>
        <row r="114">
          <cell r="B114" t="str">
            <v>165-0078</v>
          </cell>
          <cell r="C114" t="str">
            <v>Dollar Tree Sourcing Comp. LLC</v>
          </cell>
          <cell r="D114" t="str">
            <v>DT# 6335   12x6 FLDLCRDR</v>
          </cell>
          <cell r="E114" t="str">
            <v>Mechanicsburg, PA</v>
          </cell>
          <cell r="F114">
            <v>42422</v>
          </cell>
          <cell r="G114">
            <v>42430</v>
          </cell>
          <cell r="I114">
            <v>42431</v>
          </cell>
          <cell r="J114" t="str">
            <v>.</v>
          </cell>
          <cell r="L114">
            <v>433</v>
          </cell>
          <cell r="M114">
            <v>0</v>
          </cell>
          <cell r="N114">
            <v>2</v>
          </cell>
          <cell r="O114">
            <v>4702.6400000000003</v>
          </cell>
          <cell r="P114" t="str">
            <v>GA</v>
          </cell>
          <cell r="Q114" t="str">
            <v>4PD</v>
          </cell>
          <cell r="R114">
            <v>9135.7703999999994</v>
          </cell>
          <cell r="S114" t="b">
            <v>1</v>
          </cell>
          <cell r="T114" t="str">
            <v>Yes</v>
          </cell>
        </row>
        <row r="115">
          <cell r="B115" t="str">
            <v>165-0030</v>
          </cell>
          <cell r="C115" t="str">
            <v>Dollar Tree Sourcing Comp. LLC</v>
          </cell>
          <cell r="D115" t="str">
            <v>DT# 6191   WSM FRDRCLDL</v>
          </cell>
          <cell r="E115" t="str">
            <v>ORLANDO, FL</v>
          </cell>
          <cell r="F115">
            <v>42422</v>
          </cell>
          <cell r="G115">
            <v>42430</v>
          </cell>
          <cell r="I115">
            <v>42431</v>
          </cell>
          <cell r="J115" t="str">
            <v>.</v>
          </cell>
          <cell r="L115">
            <v>629</v>
          </cell>
          <cell r="M115">
            <v>0</v>
          </cell>
          <cell r="N115">
            <v>2</v>
          </cell>
          <cell r="O115">
            <v>6083.54</v>
          </cell>
          <cell r="P115" t="str">
            <v>GA</v>
          </cell>
          <cell r="Q115" t="str">
            <v>4PD</v>
          </cell>
          <cell r="R115">
            <v>10516.6674</v>
          </cell>
          <cell r="S115" t="b">
            <v>1</v>
          </cell>
          <cell r="T115" t="str">
            <v>Yes</v>
          </cell>
        </row>
        <row r="116">
          <cell r="B116" t="str">
            <v>155-1207</v>
          </cell>
          <cell r="C116" t="str">
            <v>Dollar Tree Sourcing Comp. LLC</v>
          </cell>
          <cell r="D116" t="str">
            <v>DT# 6367   12x6 FRDRCLDL</v>
          </cell>
          <cell r="E116" t="str">
            <v>LIVONIA, MI</v>
          </cell>
          <cell r="F116">
            <v>42422</v>
          </cell>
          <cell r="G116">
            <v>42430</v>
          </cell>
          <cell r="I116">
            <v>42431</v>
          </cell>
          <cell r="J116" t="str">
            <v>.</v>
          </cell>
          <cell r="L116">
            <v>433</v>
          </cell>
          <cell r="M116">
            <v>0</v>
          </cell>
          <cell r="N116">
            <v>2</v>
          </cell>
          <cell r="O116">
            <v>4701.9799999999996</v>
          </cell>
          <cell r="P116" t="str">
            <v>GA</v>
          </cell>
          <cell r="Q116" t="str">
            <v>4PD</v>
          </cell>
          <cell r="R116">
            <v>9031.0275000000001</v>
          </cell>
          <cell r="S116" t="b">
            <v>1</v>
          </cell>
          <cell r="T116" t="str">
            <v>Yes</v>
          </cell>
        </row>
        <row r="117">
          <cell r="B117" t="str">
            <v>165-0022</v>
          </cell>
          <cell r="C117" t="str">
            <v>Dollar Tree Sourcing Comp. LLC</v>
          </cell>
          <cell r="D117" t="str">
            <v>DT# 6089   WSM FRDRCLDL</v>
          </cell>
          <cell r="E117" t="str">
            <v>QUEENS, NY</v>
          </cell>
          <cell r="F117">
            <v>42422</v>
          </cell>
          <cell r="G117">
            <v>42430</v>
          </cell>
          <cell r="I117">
            <v>42431</v>
          </cell>
          <cell r="J117" t="str">
            <v>.</v>
          </cell>
          <cell r="L117">
            <v>629</v>
          </cell>
          <cell r="M117">
            <v>0</v>
          </cell>
          <cell r="N117">
            <v>2</v>
          </cell>
          <cell r="O117">
            <v>6083.54</v>
          </cell>
          <cell r="P117" t="str">
            <v>GA</v>
          </cell>
          <cell r="Q117" t="str">
            <v>4PD</v>
          </cell>
          <cell r="R117">
            <v>10516.6674</v>
          </cell>
          <cell r="S117" t="b">
            <v>1</v>
          </cell>
          <cell r="T117" t="str">
            <v>Yes</v>
          </cell>
        </row>
        <row r="118">
          <cell r="B118" t="str">
            <v>165-0058</v>
          </cell>
          <cell r="C118" t="str">
            <v>Dollar Tree Sourcing Comp. LLC</v>
          </cell>
          <cell r="D118" t="str">
            <v>DT# 6203   WM FRDRCLDL</v>
          </cell>
          <cell r="E118" t="str">
            <v>Piney Flats, TN</v>
          </cell>
          <cell r="F118">
            <v>42422</v>
          </cell>
          <cell r="G118">
            <v>42431</v>
          </cell>
          <cell r="I118">
            <v>42432</v>
          </cell>
          <cell r="J118" t="str">
            <v>.</v>
          </cell>
          <cell r="L118">
            <v>551</v>
          </cell>
          <cell r="M118">
            <v>0</v>
          </cell>
          <cell r="N118">
            <v>2</v>
          </cell>
          <cell r="O118">
            <v>5500.12</v>
          </cell>
          <cell r="P118" t="str">
            <v>GA</v>
          </cell>
          <cell r="Q118" t="str">
            <v>4PD</v>
          </cell>
          <cell r="R118">
            <v>9933.2451999999994</v>
          </cell>
          <cell r="S118" t="b">
            <v>1</v>
          </cell>
          <cell r="T118" t="str">
            <v>Yes</v>
          </cell>
        </row>
        <row r="119">
          <cell r="B119" t="str">
            <v>155-1106</v>
          </cell>
          <cell r="C119" t="str">
            <v>Publix Super Markets Inc.</v>
          </cell>
          <cell r="D119" t="str">
            <v>Publix # 1533  49.4</v>
          </cell>
          <cell r="E119" t="str">
            <v>New Bern NC</v>
          </cell>
          <cell r="F119">
            <v>42422</v>
          </cell>
          <cell r="G119">
            <v>42432</v>
          </cell>
          <cell r="I119">
            <v>42433</v>
          </cell>
          <cell r="J119" t="str">
            <v>.</v>
          </cell>
          <cell r="L119">
            <v>12333</v>
          </cell>
          <cell r="M119">
            <v>0</v>
          </cell>
          <cell r="N119">
            <v>12</v>
          </cell>
          <cell r="O119">
            <v>80314.33</v>
          </cell>
          <cell r="P119" t="str">
            <v>GA</v>
          </cell>
          <cell r="Q119" t="str">
            <v>4PD</v>
          </cell>
          <cell r="R119">
            <v>92099.102599999998</v>
          </cell>
          <cell r="S119" t="b">
            <v>0</v>
          </cell>
          <cell r="T119" t="str">
            <v>No</v>
          </cell>
        </row>
        <row r="120">
          <cell r="B120" t="str">
            <v>157-1233</v>
          </cell>
          <cell r="C120" t="str">
            <v>KPS, LLC Cincinnati #014</v>
          </cell>
          <cell r="D120" t="str">
            <v>Kroger A-423OLS</v>
          </cell>
          <cell r="E120" t="str">
            <v>NEWPORT KY</v>
          </cell>
          <cell r="F120">
            <v>42422</v>
          </cell>
          <cell r="G120">
            <v>42432</v>
          </cell>
          <cell r="I120">
            <v>42433</v>
          </cell>
          <cell r="J120" t="str">
            <v>PC2</v>
          </cell>
          <cell r="L120">
            <v>1390</v>
          </cell>
          <cell r="M120">
            <v>49</v>
          </cell>
          <cell r="N120">
            <v>2</v>
          </cell>
          <cell r="O120">
            <v>10908.16</v>
          </cell>
          <cell r="P120" t="str">
            <v>GA</v>
          </cell>
          <cell r="Q120" t="str">
            <v>4PD</v>
          </cell>
          <cell r="R120">
            <v>10908.155699999999</v>
          </cell>
          <cell r="S120" t="b">
            <v>0</v>
          </cell>
          <cell r="T120" t="str">
            <v>No</v>
          </cell>
          <cell r="U120" t="str">
            <v>FBed</v>
          </cell>
        </row>
        <row r="121">
          <cell r="B121" t="str">
            <v>157-1758</v>
          </cell>
          <cell r="C121" t="str">
            <v>KPS, LLC Mid-South #024</v>
          </cell>
          <cell r="D121" t="str">
            <v>Kroger L-785</v>
          </cell>
          <cell r="E121" t="str">
            <v>LOUISVILLE KY</v>
          </cell>
          <cell r="F121">
            <v>42422</v>
          </cell>
          <cell r="G121">
            <v>42432</v>
          </cell>
          <cell r="I121">
            <v>42433</v>
          </cell>
          <cell r="J121" t="str">
            <v>VSS</v>
          </cell>
          <cell r="L121">
            <v>17086</v>
          </cell>
          <cell r="M121">
            <v>0</v>
          </cell>
          <cell r="N121">
            <v>19</v>
          </cell>
          <cell r="O121">
            <v>126155.11</v>
          </cell>
          <cell r="P121" t="str">
            <v>GA</v>
          </cell>
          <cell r="Q121" t="str">
            <v>4PD</v>
          </cell>
          <cell r="R121">
            <v>126155.11410000001</v>
          </cell>
          <cell r="S121" t="b">
            <v>0</v>
          </cell>
          <cell r="T121" t="str">
            <v>No</v>
          </cell>
          <cell r="U121" t="str">
            <v>FBed</v>
          </cell>
        </row>
        <row r="122">
          <cell r="B122" t="str">
            <v>157-2128</v>
          </cell>
          <cell r="C122" t="str">
            <v>KPS, LLC Cincinnati #014</v>
          </cell>
          <cell r="D122" t="str">
            <v>A-929</v>
          </cell>
          <cell r="E122" t="str">
            <v>Cincinnati OH</v>
          </cell>
          <cell r="F122">
            <v>42422</v>
          </cell>
          <cell r="G122">
            <v>42432</v>
          </cell>
          <cell r="I122">
            <v>42433</v>
          </cell>
          <cell r="J122" t="str">
            <v>SQ</v>
          </cell>
          <cell r="L122">
            <v>22710</v>
          </cell>
          <cell r="M122">
            <v>0</v>
          </cell>
          <cell r="N122">
            <v>18</v>
          </cell>
          <cell r="O122">
            <v>177313.85</v>
          </cell>
          <cell r="P122" t="str">
            <v>GA</v>
          </cell>
          <cell r="Q122" t="str">
            <v>4PD</v>
          </cell>
          <cell r="R122">
            <v>177313.845</v>
          </cell>
          <cell r="S122" t="b">
            <v>0</v>
          </cell>
          <cell r="T122" t="str">
            <v>No</v>
          </cell>
          <cell r="U122" t="str">
            <v>FBed</v>
          </cell>
        </row>
        <row r="123">
          <cell r="B123" t="str">
            <v>157-1650A</v>
          </cell>
          <cell r="C123" t="str">
            <v>Kroger Atlanta # 011</v>
          </cell>
          <cell r="D123" t="str">
            <v>Kroger GA-400</v>
          </cell>
          <cell r="E123" t="str">
            <v>MACON GA</v>
          </cell>
          <cell r="F123">
            <v>42422</v>
          </cell>
          <cell r="G123">
            <v>42432</v>
          </cell>
          <cell r="I123">
            <v>42433</v>
          </cell>
          <cell r="J123" t="str">
            <v>VSS</v>
          </cell>
          <cell r="L123">
            <v>5607</v>
          </cell>
          <cell r="M123">
            <v>0</v>
          </cell>
          <cell r="N123">
            <v>6</v>
          </cell>
          <cell r="O123">
            <v>42768.77</v>
          </cell>
          <cell r="P123" t="str">
            <v>GA</v>
          </cell>
          <cell r="Q123" t="str">
            <v>4PD</v>
          </cell>
          <cell r="R123">
            <v>68251.2978</v>
          </cell>
          <cell r="S123" t="b">
            <v>0</v>
          </cell>
          <cell r="T123" t="str">
            <v>No</v>
          </cell>
          <cell r="U123" t="str">
            <v>FBed</v>
          </cell>
          <cell r="V123" t="str">
            <v>A</v>
          </cell>
        </row>
        <row r="124">
          <cell r="B124" t="str">
            <v>167-0097</v>
          </cell>
          <cell r="C124" t="str">
            <v>KPS, LLC Mid-South #024</v>
          </cell>
          <cell r="D124" t="str">
            <v>Kroger L-356 OLS</v>
          </cell>
          <cell r="E124" t="str">
            <v>LOUISVILLE KY</v>
          </cell>
          <cell r="F124">
            <v>42429</v>
          </cell>
          <cell r="G124">
            <v>42432</v>
          </cell>
          <cell r="I124">
            <v>42433</v>
          </cell>
          <cell r="J124" t="str">
            <v>VSS</v>
          </cell>
          <cell r="L124">
            <v>1238</v>
          </cell>
          <cell r="M124">
            <v>0</v>
          </cell>
          <cell r="N124">
            <v>3</v>
          </cell>
          <cell r="O124">
            <v>10642.94</v>
          </cell>
          <cell r="P124" t="str">
            <v>GA</v>
          </cell>
          <cell r="Q124" t="str">
            <v>4PD</v>
          </cell>
          <cell r="R124">
            <v>10642.936400000001</v>
          </cell>
          <cell r="S124" t="b">
            <v>0</v>
          </cell>
          <cell r="T124" t="str">
            <v>No</v>
          </cell>
          <cell r="U124" t="str">
            <v>FBed</v>
          </cell>
        </row>
        <row r="125">
          <cell r="B125" t="str">
            <v>165-0039</v>
          </cell>
          <cell r="C125" t="str">
            <v>Origin Group Int’l Inc</v>
          </cell>
          <cell r="D125" t="str">
            <v>FD# 8816   WM FLDLCRDR</v>
          </cell>
          <cell r="E125" t="str">
            <v>NORFOLK, VA</v>
          </cell>
          <cell r="F125">
            <v>42429</v>
          </cell>
          <cell r="G125">
            <v>42432</v>
          </cell>
          <cell r="I125">
            <v>42433</v>
          </cell>
          <cell r="J125" t="str">
            <v>.</v>
          </cell>
          <cell r="L125">
            <v>551</v>
          </cell>
          <cell r="M125">
            <v>0</v>
          </cell>
          <cell r="N125">
            <v>2</v>
          </cell>
          <cell r="O125">
            <v>5565.7</v>
          </cell>
          <cell r="P125" t="str">
            <v>GA</v>
          </cell>
          <cell r="Q125" t="str">
            <v>4PD</v>
          </cell>
          <cell r="R125">
            <v>9785.3315000000002</v>
          </cell>
          <cell r="S125" t="b">
            <v>1</v>
          </cell>
          <cell r="T125" t="str">
            <v>Yes</v>
          </cell>
        </row>
        <row r="126">
          <cell r="B126" t="str">
            <v>157-1948</v>
          </cell>
          <cell r="C126" t="str">
            <v>KPS, LLC Mid-Atlantic # 029</v>
          </cell>
          <cell r="D126" t="str">
            <v>Kroger E-783</v>
          </cell>
          <cell r="E126" t="str">
            <v>ASHLAND KY</v>
          </cell>
          <cell r="F126">
            <v>42429</v>
          </cell>
          <cell r="G126">
            <v>42432</v>
          </cell>
          <cell r="I126">
            <v>42433</v>
          </cell>
          <cell r="J126" t="str">
            <v>AP</v>
          </cell>
          <cell r="L126">
            <v>379</v>
          </cell>
          <cell r="M126">
            <v>0</v>
          </cell>
          <cell r="N126">
            <v>1</v>
          </cell>
          <cell r="O126">
            <v>3281.97</v>
          </cell>
          <cell r="P126" t="str">
            <v>GA</v>
          </cell>
          <cell r="Q126" t="str">
            <v>4PD</v>
          </cell>
          <cell r="R126">
            <v>3281.9661000000001</v>
          </cell>
          <cell r="S126" t="b">
            <v>0</v>
          </cell>
          <cell r="T126" t="str">
            <v>No</v>
          </cell>
          <cell r="U126" t="str">
            <v>FBed</v>
          </cell>
          <cell r="V126" t="str">
            <v>A</v>
          </cell>
        </row>
        <row r="127">
          <cell r="B127" t="str">
            <v>165-0048</v>
          </cell>
          <cell r="C127" t="str">
            <v>Inno Mechanical</v>
          </cell>
          <cell r="D127" t="str">
            <v>Paris Baguette</v>
          </cell>
          <cell r="E127" t="str">
            <v xml:space="preserve"> </v>
          </cell>
          <cell r="F127">
            <v>42429</v>
          </cell>
          <cell r="G127">
            <v>42432</v>
          </cell>
          <cell r="I127">
            <v>42433</v>
          </cell>
          <cell r="J127" t="str">
            <v>VSS</v>
          </cell>
          <cell r="L127">
            <v>7710</v>
          </cell>
          <cell r="M127">
            <v>0</v>
          </cell>
          <cell r="N127">
            <v>4</v>
          </cell>
          <cell r="O127">
            <v>56848.13</v>
          </cell>
          <cell r="P127" t="str">
            <v>GA</v>
          </cell>
          <cell r="Q127" t="str">
            <v>4PD</v>
          </cell>
          <cell r="R127">
            <v>57154.730799999998</v>
          </cell>
          <cell r="S127" t="b">
            <v>0</v>
          </cell>
          <cell r="T127" t="str">
            <v>No</v>
          </cell>
        </row>
        <row r="128">
          <cell r="B128" t="str">
            <v>167-0094</v>
          </cell>
          <cell r="C128" t="str">
            <v>KPS, LLC Mid-South #024</v>
          </cell>
          <cell r="D128" t="str">
            <v>Kroger L-346 OLS</v>
          </cell>
          <cell r="E128" t="str">
            <v>LOUISVILLE KY</v>
          </cell>
          <cell r="F128">
            <v>42429</v>
          </cell>
          <cell r="G128">
            <v>42432</v>
          </cell>
          <cell r="I128">
            <v>42433</v>
          </cell>
          <cell r="J128" t="str">
            <v>VSS</v>
          </cell>
          <cell r="L128">
            <v>1354</v>
          </cell>
          <cell r="M128">
            <v>0</v>
          </cell>
          <cell r="N128">
            <v>3</v>
          </cell>
          <cell r="O128">
            <v>12801.93</v>
          </cell>
          <cell r="P128" t="str">
            <v>GA</v>
          </cell>
          <cell r="Q128" t="str">
            <v>4PD</v>
          </cell>
          <cell r="R128">
            <v>12801.9288</v>
          </cell>
          <cell r="S128" t="b">
            <v>0</v>
          </cell>
          <cell r="T128" t="str">
            <v>No</v>
          </cell>
          <cell r="U128" t="str">
            <v>FBed</v>
          </cell>
        </row>
        <row r="129">
          <cell r="B129" t="str">
            <v>167-0095</v>
          </cell>
          <cell r="C129" t="str">
            <v>KPS, LLC Mid-South #024</v>
          </cell>
          <cell r="D129" t="str">
            <v>Kroger L-347 OLS</v>
          </cell>
          <cell r="E129" t="str">
            <v>LEXINGTON KY</v>
          </cell>
          <cell r="F129">
            <v>42429</v>
          </cell>
          <cell r="G129">
            <v>42432</v>
          </cell>
          <cell r="I129">
            <v>42433</v>
          </cell>
          <cell r="J129" t="str">
            <v>VSS</v>
          </cell>
          <cell r="L129">
            <v>758</v>
          </cell>
          <cell r="M129">
            <v>0</v>
          </cell>
          <cell r="N129">
            <v>1</v>
          </cell>
          <cell r="O129">
            <v>5537.2</v>
          </cell>
          <cell r="P129" t="str">
            <v>GA</v>
          </cell>
          <cell r="Q129" t="str">
            <v>4PD</v>
          </cell>
          <cell r="R129">
            <v>5537.2029000000002</v>
          </cell>
          <cell r="S129" t="b">
            <v>0</v>
          </cell>
          <cell r="T129" t="str">
            <v>No</v>
          </cell>
          <cell r="U129" t="str">
            <v>FBed</v>
          </cell>
        </row>
        <row r="130">
          <cell r="B130" t="str">
            <v>157-2228</v>
          </cell>
          <cell r="C130" t="str">
            <v>Wal-Mart Store Planning</v>
          </cell>
          <cell r="D130" t="str">
            <v>Walmart 0543-219-SC-REM</v>
          </cell>
          <cell r="E130" t="str">
            <v>Opelousas, LA</v>
          </cell>
          <cell r="F130">
            <v>42429</v>
          </cell>
          <cell r="G130">
            <v>42432</v>
          </cell>
          <cell r="I130">
            <v>42433</v>
          </cell>
          <cell r="J130" t="str">
            <v>RS</v>
          </cell>
          <cell r="L130">
            <v>2321</v>
          </cell>
          <cell r="M130">
            <v>0</v>
          </cell>
          <cell r="N130">
            <v>5</v>
          </cell>
          <cell r="O130">
            <v>24081.38</v>
          </cell>
          <cell r="P130" t="str">
            <v>GA</v>
          </cell>
          <cell r="Q130" t="str">
            <v>4PD</v>
          </cell>
          <cell r="R130">
            <v>88399.670299999998</v>
          </cell>
          <cell r="S130" t="b">
            <v>0</v>
          </cell>
          <cell r="T130" t="str">
            <v>No</v>
          </cell>
          <cell r="V130" t="str">
            <v>A</v>
          </cell>
        </row>
        <row r="131">
          <cell r="B131" t="str">
            <v>157-2135</v>
          </cell>
          <cell r="C131" t="str">
            <v>Wal-Mart Store Planning</v>
          </cell>
          <cell r="D131" t="str">
            <v>Walmart 0537-222-SC-REM</v>
          </cell>
          <cell r="E131" t="str">
            <v>Odessa, TX</v>
          </cell>
          <cell r="F131">
            <v>42429</v>
          </cell>
          <cell r="G131">
            <v>42432</v>
          </cell>
          <cell r="I131">
            <v>42433</v>
          </cell>
          <cell r="J131" t="str">
            <v>PC</v>
          </cell>
          <cell r="L131">
            <v>0</v>
          </cell>
          <cell r="M131">
            <v>0</v>
          </cell>
          <cell r="N131">
            <v>0</v>
          </cell>
          <cell r="O131">
            <v>47964.73</v>
          </cell>
          <cell r="P131" t="str">
            <v>GA</v>
          </cell>
          <cell r="Q131" t="str">
            <v>4PD</v>
          </cell>
          <cell r="R131">
            <v>117499.8904</v>
          </cell>
          <cell r="S131" t="b">
            <v>0</v>
          </cell>
          <cell r="T131" t="str">
            <v>No</v>
          </cell>
          <cell r="V131" t="str">
            <v>A</v>
          </cell>
        </row>
        <row r="132">
          <cell r="B132" t="str">
            <v>167-0098</v>
          </cell>
          <cell r="C132" t="str">
            <v>KPS, LLC Mid-South #024</v>
          </cell>
          <cell r="D132" t="str">
            <v>Kroger L-366 OLS</v>
          </cell>
          <cell r="E132" t="str">
            <v>LOUISVILLE KY</v>
          </cell>
          <cell r="F132">
            <v>42429</v>
          </cell>
          <cell r="G132">
            <v>42432</v>
          </cell>
          <cell r="I132">
            <v>42433</v>
          </cell>
          <cell r="J132" t="str">
            <v>VSS</v>
          </cell>
          <cell r="L132">
            <v>1355</v>
          </cell>
          <cell r="M132">
            <v>0</v>
          </cell>
          <cell r="N132">
            <v>2</v>
          </cell>
          <cell r="O132">
            <v>11089.74</v>
          </cell>
          <cell r="P132" t="str">
            <v>GA</v>
          </cell>
          <cell r="Q132" t="str">
            <v>4PD</v>
          </cell>
          <cell r="R132">
            <v>11775.292600000001</v>
          </cell>
          <cell r="S132" t="b">
            <v>0</v>
          </cell>
          <cell r="T132" t="str">
            <v>No</v>
          </cell>
          <cell r="U132" t="str">
            <v>FBed</v>
          </cell>
        </row>
        <row r="133">
          <cell r="B133" t="str">
            <v>167-0103</v>
          </cell>
          <cell r="C133" t="str">
            <v>KPS, LLC Mid-South #024</v>
          </cell>
          <cell r="D133" t="str">
            <v>Kroger L-744 OLS</v>
          </cell>
          <cell r="E133" t="str">
            <v>NEW ALBANY IN</v>
          </cell>
          <cell r="F133">
            <v>42429</v>
          </cell>
          <cell r="G133">
            <v>42432</v>
          </cell>
          <cell r="I133">
            <v>42433</v>
          </cell>
          <cell r="J133" t="str">
            <v>VSS</v>
          </cell>
          <cell r="L133">
            <v>1033</v>
          </cell>
          <cell r="M133">
            <v>0</v>
          </cell>
          <cell r="N133">
            <v>2</v>
          </cell>
          <cell r="O133">
            <v>9469.6</v>
          </cell>
          <cell r="P133" t="str">
            <v>GA</v>
          </cell>
          <cell r="Q133" t="str">
            <v>4PD</v>
          </cell>
          <cell r="R133">
            <v>9469.6008999999995</v>
          </cell>
          <cell r="S133" t="b">
            <v>0</v>
          </cell>
          <cell r="T133" t="str">
            <v>No</v>
          </cell>
          <cell r="U133" t="str">
            <v>FBed</v>
          </cell>
        </row>
        <row r="134">
          <cell r="B134" t="str">
            <v>167-0100</v>
          </cell>
          <cell r="C134" t="str">
            <v>KPS, LLC Mid-South #024</v>
          </cell>
          <cell r="D134" t="str">
            <v>Kroger L-376 OLS</v>
          </cell>
          <cell r="E134" t="str">
            <v>LOUISVILLE KY</v>
          </cell>
          <cell r="F134">
            <v>42429</v>
          </cell>
          <cell r="G134">
            <v>42432</v>
          </cell>
          <cell r="I134">
            <v>42433</v>
          </cell>
          <cell r="J134" t="str">
            <v>VSS</v>
          </cell>
          <cell r="L134">
            <v>1078</v>
          </cell>
          <cell r="M134">
            <v>0</v>
          </cell>
          <cell r="N134">
            <v>2</v>
          </cell>
          <cell r="O134">
            <v>10037.51</v>
          </cell>
          <cell r="P134" t="str">
            <v>GA</v>
          </cell>
          <cell r="Q134" t="str">
            <v>4PD</v>
          </cell>
          <cell r="R134">
            <v>10037.5087</v>
          </cell>
          <cell r="S134" t="b">
            <v>0</v>
          </cell>
          <cell r="T134" t="str">
            <v>No</v>
          </cell>
          <cell r="U134" t="str">
            <v>FBed</v>
          </cell>
        </row>
        <row r="135">
          <cell r="B135" t="str">
            <v>167-0109</v>
          </cell>
          <cell r="C135" t="str">
            <v>Aldi Inc - Center Valley</v>
          </cell>
          <cell r="D135" t="str">
            <v>ALDI STORE #70</v>
          </cell>
          <cell r="E135" t="str">
            <v>BLOOMFIELD NJ</v>
          </cell>
          <cell r="F135">
            <v>42429</v>
          </cell>
          <cell r="G135">
            <v>42432</v>
          </cell>
          <cell r="I135">
            <v>42433</v>
          </cell>
          <cell r="J135" t="str">
            <v>SW</v>
          </cell>
          <cell r="L135">
            <v>4830</v>
          </cell>
          <cell r="M135">
            <v>0</v>
          </cell>
          <cell r="N135">
            <v>1</v>
          </cell>
          <cell r="O135">
            <v>34320.18</v>
          </cell>
          <cell r="P135" t="str">
            <v>GA</v>
          </cell>
          <cell r="Q135" t="str">
            <v>4PD</v>
          </cell>
          <cell r="R135">
            <v>39903.727599999998</v>
          </cell>
          <cell r="S135" t="b">
            <v>0</v>
          </cell>
          <cell r="T135" t="str">
            <v>No</v>
          </cell>
          <cell r="V135" t="str">
            <v>A</v>
          </cell>
        </row>
        <row r="136">
          <cell r="B136" t="str">
            <v>167-0106</v>
          </cell>
          <cell r="C136" t="str">
            <v>KPS, LLC Mid-South #024</v>
          </cell>
          <cell r="D136" t="str">
            <v>Kroger L-777 OLS</v>
          </cell>
          <cell r="E136" t="str">
            <v>SHELBYVILLE KY</v>
          </cell>
          <cell r="F136">
            <v>42429</v>
          </cell>
          <cell r="G136">
            <v>42432</v>
          </cell>
          <cell r="I136">
            <v>42433</v>
          </cell>
          <cell r="J136" t="str">
            <v>AP</v>
          </cell>
          <cell r="L136">
            <v>1349</v>
          </cell>
          <cell r="M136">
            <v>0</v>
          </cell>
          <cell r="N136">
            <v>3</v>
          </cell>
          <cell r="O136">
            <v>11882.96</v>
          </cell>
          <cell r="P136" t="str">
            <v>GA</v>
          </cell>
          <cell r="Q136" t="str">
            <v>4PD</v>
          </cell>
          <cell r="R136">
            <v>11882.9606</v>
          </cell>
          <cell r="S136" t="b">
            <v>0</v>
          </cell>
          <cell r="T136" t="str">
            <v>No</v>
          </cell>
          <cell r="U136" t="str">
            <v>FBed</v>
          </cell>
        </row>
        <row r="137">
          <cell r="B137" t="str">
            <v>167-0119</v>
          </cell>
          <cell r="C137" t="str">
            <v>KPS, LLC Mid-Atlantic # 029</v>
          </cell>
          <cell r="D137" t="str">
            <v>Kroger R-505 OLS</v>
          </cell>
          <cell r="E137" t="str">
            <v>MIDLOTHIAN VA</v>
          </cell>
          <cell r="F137">
            <v>42429</v>
          </cell>
          <cell r="G137">
            <v>42432</v>
          </cell>
          <cell r="I137">
            <v>42433</v>
          </cell>
          <cell r="J137" t="str">
            <v>VSS</v>
          </cell>
          <cell r="L137">
            <v>1086</v>
          </cell>
          <cell r="M137">
            <v>0</v>
          </cell>
          <cell r="N137">
            <v>2</v>
          </cell>
          <cell r="O137">
            <v>9952.4699999999993</v>
          </cell>
          <cell r="P137" t="str">
            <v>GA</v>
          </cell>
          <cell r="Q137" t="str">
            <v>4PD</v>
          </cell>
          <cell r="R137">
            <v>9952.4688999999998</v>
          </cell>
          <cell r="S137" t="b">
            <v>0</v>
          </cell>
          <cell r="T137" t="str">
            <v>No</v>
          </cell>
          <cell r="U137" t="str">
            <v>FBed</v>
          </cell>
          <cell r="V137" t="str">
            <v>A</v>
          </cell>
        </row>
        <row r="138">
          <cell r="B138" t="str">
            <v>155-1084</v>
          </cell>
          <cell r="C138" t="str">
            <v>Dollar Tree Sourcing Comp. LLC</v>
          </cell>
          <cell r="D138" t="str">
            <v>DT #1503   WSM FLDLCRDR</v>
          </cell>
          <cell r="E138" t="str">
            <v>Athens, GA</v>
          </cell>
          <cell r="F138">
            <v>42429</v>
          </cell>
          <cell r="G138">
            <v>42432</v>
          </cell>
          <cell r="I138">
            <v>42433</v>
          </cell>
          <cell r="J138" t="str">
            <v>.</v>
          </cell>
          <cell r="L138">
            <v>629</v>
          </cell>
          <cell r="M138">
            <v>0</v>
          </cell>
          <cell r="N138">
            <v>2</v>
          </cell>
          <cell r="O138">
            <v>5808.26</v>
          </cell>
          <cell r="P138" t="str">
            <v>GA</v>
          </cell>
          <cell r="Q138" t="str">
            <v>4PD</v>
          </cell>
          <cell r="R138">
            <v>10137.306500000001</v>
          </cell>
          <cell r="S138" t="b">
            <v>1</v>
          </cell>
          <cell r="T138" t="str">
            <v>Yes</v>
          </cell>
        </row>
        <row r="139">
          <cell r="B139" t="str">
            <v xml:space="preserve">157-2244 </v>
          </cell>
          <cell r="C139" t="str">
            <v>Wal-Mart Store Planning</v>
          </cell>
          <cell r="D139" t="str">
            <v>Walmart 1703-219-SC-REM</v>
          </cell>
          <cell r="E139" t="str">
            <v>Martinsburg, WV</v>
          </cell>
          <cell r="F139">
            <v>42429</v>
          </cell>
          <cell r="G139">
            <v>42432</v>
          </cell>
          <cell r="I139">
            <v>42433</v>
          </cell>
          <cell r="J139" t="str">
            <v>PW</v>
          </cell>
          <cell r="L139">
            <v>4808</v>
          </cell>
          <cell r="M139">
            <v>0</v>
          </cell>
          <cell r="N139">
            <v>2</v>
          </cell>
          <cell r="O139">
            <v>36669.1</v>
          </cell>
          <cell r="P139" t="str">
            <v>GA</v>
          </cell>
          <cell r="Q139" t="str">
            <v>4PD</v>
          </cell>
          <cell r="R139">
            <v>81700.382299999997</v>
          </cell>
          <cell r="S139" t="b">
            <v>0</v>
          </cell>
          <cell r="T139" t="str">
            <v>No</v>
          </cell>
          <cell r="V139" t="str">
            <v>A</v>
          </cell>
        </row>
        <row r="140">
          <cell r="B140" t="str">
            <v>165-0060</v>
          </cell>
          <cell r="C140" t="str">
            <v>Dollar Tree Sourcing Comp. LLC</v>
          </cell>
          <cell r="D140" t="str">
            <v>DT# 6271   WM FRDRCLDL</v>
          </cell>
          <cell r="E140" t="str">
            <v>Detroit, MI</v>
          </cell>
          <cell r="F140">
            <v>42429</v>
          </cell>
          <cell r="G140">
            <v>42432</v>
          </cell>
          <cell r="I140">
            <v>42433</v>
          </cell>
          <cell r="J140" t="str">
            <v>.</v>
          </cell>
          <cell r="L140">
            <v>551</v>
          </cell>
          <cell r="M140">
            <v>0</v>
          </cell>
          <cell r="N140">
            <v>2</v>
          </cell>
          <cell r="O140">
            <v>5500.12</v>
          </cell>
          <cell r="P140" t="str">
            <v>GA</v>
          </cell>
          <cell r="Q140" t="str">
            <v>4PD</v>
          </cell>
          <cell r="R140">
            <v>9933.2451999999994</v>
          </cell>
          <cell r="S140" t="b">
            <v>1</v>
          </cell>
          <cell r="T140" t="str">
            <v>Yes</v>
          </cell>
        </row>
        <row r="141">
          <cell r="B141" t="str">
            <v>167-0005</v>
          </cell>
          <cell r="C141" t="str">
            <v>Wal-Mart Store Planning</v>
          </cell>
          <cell r="D141" t="str">
            <v>Walmart 1969-224-SC-REM</v>
          </cell>
          <cell r="E141" t="str">
            <v>Midlothian, VA</v>
          </cell>
          <cell r="F141">
            <v>42429</v>
          </cell>
          <cell r="G141">
            <v>42432</v>
          </cell>
          <cell r="I141">
            <v>42433</v>
          </cell>
          <cell r="J141" t="str">
            <v>RS</v>
          </cell>
          <cell r="L141">
            <v>0</v>
          </cell>
          <cell r="M141">
            <v>0</v>
          </cell>
          <cell r="N141">
            <v>4</v>
          </cell>
          <cell r="O141">
            <v>10585.29</v>
          </cell>
          <cell r="P141" t="str">
            <v>GA</v>
          </cell>
          <cell r="Q141" t="str">
            <v>4PD</v>
          </cell>
          <cell r="R141">
            <v>36510.406000000003</v>
          </cell>
          <cell r="S141" t="b">
            <v>0</v>
          </cell>
          <cell r="T141" t="str">
            <v>No</v>
          </cell>
          <cell r="V141" t="str">
            <v>A</v>
          </cell>
        </row>
        <row r="142">
          <cell r="B142" t="str">
            <v>157-2231A</v>
          </cell>
          <cell r="C142" t="str">
            <v>Wal-Mart Store Planning</v>
          </cell>
          <cell r="D142" t="str">
            <v>Walmart 1206-225 Remodel</v>
          </cell>
          <cell r="E142" t="str">
            <v>Baton Rouge, LA</v>
          </cell>
          <cell r="F142">
            <v>42429</v>
          </cell>
          <cell r="G142">
            <v>42432</v>
          </cell>
          <cell r="I142">
            <v>42433</v>
          </cell>
          <cell r="J142" t="str">
            <v>RS</v>
          </cell>
          <cell r="L142">
            <v>581</v>
          </cell>
          <cell r="M142">
            <v>0</v>
          </cell>
          <cell r="N142">
            <v>0</v>
          </cell>
          <cell r="O142">
            <v>4450.8999999999996</v>
          </cell>
          <cell r="P142" t="str">
            <v>GA</v>
          </cell>
          <cell r="Q142" t="str">
            <v>4PD</v>
          </cell>
          <cell r="R142">
            <v>34558.637900000002</v>
          </cell>
          <cell r="S142" t="b">
            <v>0</v>
          </cell>
          <cell r="T142" t="str">
            <v>No</v>
          </cell>
          <cell r="V142" t="str">
            <v>A</v>
          </cell>
        </row>
        <row r="143">
          <cell r="B143" t="str">
            <v>155-1201</v>
          </cell>
          <cell r="C143" t="str">
            <v>Dollar Tree Sourcing Comp. LLC</v>
          </cell>
          <cell r="D143" t="str">
            <v>DT# 6314   WM FRDRCLDL</v>
          </cell>
          <cell r="E143" t="str">
            <v>PASADENA, TX</v>
          </cell>
          <cell r="F143">
            <v>42429</v>
          </cell>
          <cell r="G143">
            <v>42432</v>
          </cell>
          <cell r="I143">
            <v>42433</v>
          </cell>
          <cell r="J143" t="str">
            <v>.</v>
          </cell>
          <cell r="L143">
            <v>551</v>
          </cell>
          <cell r="M143">
            <v>0</v>
          </cell>
          <cell r="N143">
            <v>2</v>
          </cell>
          <cell r="O143">
            <v>5302.05</v>
          </cell>
          <cell r="P143" t="str">
            <v>GA</v>
          </cell>
          <cell r="Q143" t="str">
            <v>4PD</v>
          </cell>
          <cell r="R143">
            <v>9631.1023999999998</v>
          </cell>
          <cell r="S143" t="b">
            <v>1</v>
          </cell>
          <cell r="T143" t="str">
            <v>Yes</v>
          </cell>
        </row>
        <row r="144">
          <cell r="B144" t="str">
            <v>157-2236</v>
          </cell>
          <cell r="C144" t="str">
            <v>Wal-Mart Store Planning</v>
          </cell>
          <cell r="D144" t="str">
            <v>Walmart 1183-224-SC-REM</v>
          </cell>
          <cell r="E144" t="str">
            <v>West Columba, SC</v>
          </cell>
          <cell r="F144">
            <v>42429</v>
          </cell>
          <cell r="G144">
            <v>42432</v>
          </cell>
          <cell r="I144">
            <v>42433</v>
          </cell>
          <cell r="J144" t="str">
            <v>RS</v>
          </cell>
          <cell r="L144">
            <v>0</v>
          </cell>
          <cell r="M144">
            <v>0</v>
          </cell>
          <cell r="N144">
            <v>0</v>
          </cell>
          <cell r="O144">
            <v>2308.8000000000002</v>
          </cell>
          <cell r="P144" t="str">
            <v>GA</v>
          </cell>
          <cell r="Q144" t="str">
            <v>4PD</v>
          </cell>
          <cell r="R144">
            <v>18700.150000000001</v>
          </cell>
          <cell r="S144" t="b">
            <v>0</v>
          </cell>
          <cell r="T144" t="str">
            <v>No</v>
          </cell>
          <cell r="V144" t="str">
            <v>A</v>
          </cell>
        </row>
        <row r="145">
          <cell r="B145" t="str">
            <v>157-2235</v>
          </cell>
          <cell r="C145" t="str">
            <v>Wal-Mart Store Planning</v>
          </cell>
          <cell r="D145" t="str">
            <v>Walmart 0708-219-SC-REM</v>
          </cell>
          <cell r="E145" t="str">
            <v>Vicksburg, MS</v>
          </cell>
          <cell r="F145">
            <v>42429</v>
          </cell>
          <cell r="G145">
            <v>42432</v>
          </cell>
          <cell r="I145">
            <v>42433</v>
          </cell>
          <cell r="J145" t="str">
            <v>AP</v>
          </cell>
          <cell r="L145">
            <v>0</v>
          </cell>
          <cell r="M145">
            <v>0</v>
          </cell>
          <cell r="N145">
            <v>0</v>
          </cell>
          <cell r="O145">
            <v>38303.56</v>
          </cell>
          <cell r="P145" t="str">
            <v>GA</v>
          </cell>
          <cell r="Q145" t="str">
            <v>4PD</v>
          </cell>
          <cell r="R145">
            <v>98636.117800000007</v>
          </cell>
          <cell r="S145" t="b">
            <v>0</v>
          </cell>
          <cell r="T145" t="str">
            <v>No</v>
          </cell>
          <cell r="V145" t="str">
            <v>A</v>
          </cell>
        </row>
        <row r="146">
          <cell r="B146" t="str">
            <v>157-2000B</v>
          </cell>
          <cell r="C146" t="str">
            <v>Wal-Mart Store Planning</v>
          </cell>
          <cell r="D146" t="str">
            <v>Walmart 1675-221-SC-REM</v>
          </cell>
          <cell r="E146" t="str">
            <v>Lebanon, KY</v>
          </cell>
          <cell r="F146">
            <v>42429</v>
          </cell>
          <cell r="G146">
            <v>42432</v>
          </cell>
          <cell r="I146">
            <v>42433</v>
          </cell>
          <cell r="J146" t="str">
            <v>PF</v>
          </cell>
          <cell r="K146" t="str">
            <v>CC</v>
          </cell>
          <cell r="L146">
            <v>0</v>
          </cell>
          <cell r="M146">
            <v>0</v>
          </cell>
          <cell r="N146">
            <v>0</v>
          </cell>
          <cell r="O146">
            <v>13783.19</v>
          </cell>
          <cell r="P146" t="str">
            <v>GA</v>
          </cell>
          <cell r="Q146" t="str">
            <v>4PD</v>
          </cell>
          <cell r="R146">
            <v>16043.159900000001</v>
          </cell>
          <cell r="S146" t="b">
            <v>0</v>
          </cell>
          <cell r="T146" t="str">
            <v>No</v>
          </cell>
          <cell r="V146" t="str">
            <v>A</v>
          </cell>
        </row>
        <row r="147">
          <cell r="B147" t="str">
            <v>157-2304</v>
          </cell>
          <cell r="C147" t="str">
            <v>Wal-Mart Store Planning</v>
          </cell>
          <cell r="D147" t="str">
            <v>Walmart 0723-226-SC-REM</v>
          </cell>
          <cell r="E147" t="str">
            <v>Troy, AL</v>
          </cell>
          <cell r="F147">
            <v>42429</v>
          </cell>
          <cell r="G147">
            <v>42432</v>
          </cell>
          <cell r="I147">
            <v>42433</v>
          </cell>
          <cell r="J147" t="str">
            <v>RS</v>
          </cell>
          <cell r="L147">
            <v>0</v>
          </cell>
          <cell r="M147">
            <v>0</v>
          </cell>
          <cell r="N147">
            <v>0</v>
          </cell>
          <cell r="O147">
            <v>15787.81</v>
          </cell>
          <cell r="P147" t="str">
            <v>GA</v>
          </cell>
          <cell r="Q147" t="str">
            <v>4PD</v>
          </cell>
          <cell r="R147">
            <v>48884.66</v>
          </cell>
          <cell r="S147" t="b">
            <v>0</v>
          </cell>
          <cell r="T147" t="str">
            <v>No</v>
          </cell>
          <cell r="V147" t="str">
            <v>A</v>
          </cell>
        </row>
        <row r="148">
          <cell r="B148" t="str">
            <v>157-2200B</v>
          </cell>
          <cell r="C148" t="str">
            <v>Wal-Mart Store Planning</v>
          </cell>
          <cell r="D148" t="str">
            <v>Walmart 2035-219-SC-REM</v>
          </cell>
          <cell r="E148" t="str">
            <v>Greenville, OH</v>
          </cell>
          <cell r="F148">
            <v>42429</v>
          </cell>
          <cell r="G148">
            <v>42432</v>
          </cell>
          <cell r="I148">
            <v>42433</v>
          </cell>
          <cell r="J148" t="str">
            <v>RS</v>
          </cell>
          <cell r="L148">
            <v>0</v>
          </cell>
          <cell r="M148">
            <v>0</v>
          </cell>
          <cell r="N148">
            <v>0</v>
          </cell>
          <cell r="O148">
            <v>2277.5700000000002</v>
          </cell>
          <cell r="P148" t="str">
            <v>GA</v>
          </cell>
          <cell r="Q148" t="str">
            <v>4PD</v>
          </cell>
          <cell r="R148">
            <v>2755.35</v>
          </cell>
          <cell r="S148" t="b">
            <v>0</v>
          </cell>
          <cell r="T148" t="str">
            <v>No</v>
          </cell>
          <cell r="V148" t="str">
            <v>A</v>
          </cell>
        </row>
        <row r="149">
          <cell r="B149" t="str">
            <v>155-1177A</v>
          </cell>
          <cell r="C149" t="str">
            <v>Publix Super Markets Inc.</v>
          </cell>
          <cell r="D149" t="str">
            <v>Publix #1511</v>
          </cell>
          <cell r="E149" t="str">
            <v>Chapin  SC</v>
          </cell>
          <cell r="F149">
            <v>42429</v>
          </cell>
          <cell r="G149">
            <v>42432</v>
          </cell>
          <cell r="I149">
            <v>42433</v>
          </cell>
          <cell r="J149" t="str">
            <v>AP</v>
          </cell>
          <cell r="L149">
            <v>11440</v>
          </cell>
          <cell r="M149">
            <v>0</v>
          </cell>
          <cell r="N149">
            <v>12</v>
          </cell>
          <cell r="O149">
            <v>78675.149999999994</v>
          </cell>
          <cell r="P149" t="str">
            <v>GA</v>
          </cell>
          <cell r="Q149" t="str">
            <v>4PD</v>
          </cell>
          <cell r="R149">
            <v>78675.145199999999</v>
          </cell>
          <cell r="S149" t="b">
            <v>0</v>
          </cell>
          <cell r="T149" t="str">
            <v>No</v>
          </cell>
        </row>
        <row r="150">
          <cell r="B150" t="str">
            <v xml:space="preserve">167-0007 </v>
          </cell>
          <cell r="C150" t="str">
            <v>Wal-Mart Store Planning</v>
          </cell>
          <cell r="D150" t="str">
            <v>Walmart 1318-211-SC-REM</v>
          </cell>
          <cell r="E150" t="str">
            <v>Knoxville, TN</v>
          </cell>
          <cell r="F150">
            <v>42429</v>
          </cell>
          <cell r="G150">
            <v>42432</v>
          </cell>
          <cell r="I150">
            <v>42433</v>
          </cell>
          <cell r="J150" t="str">
            <v>RS</v>
          </cell>
          <cell r="L150">
            <v>324</v>
          </cell>
          <cell r="M150">
            <v>0</v>
          </cell>
          <cell r="N150">
            <v>1</v>
          </cell>
          <cell r="O150">
            <v>9571.86</v>
          </cell>
          <cell r="P150" t="str">
            <v>GA</v>
          </cell>
          <cell r="Q150" t="str">
            <v>4PD</v>
          </cell>
          <cell r="R150">
            <v>27673.083600000002</v>
          </cell>
          <cell r="S150" t="b">
            <v>0</v>
          </cell>
          <cell r="T150" t="str">
            <v>No</v>
          </cell>
          <cell r="V150" t="str">
            <v>A</v>
          </cell>
        </row>
        <row r="151">
          <cell r="B151" t="str">
            <v>157-2258</v>
          </cell>
          <cell r="C151" t="str">
            <v>Aldi Inc- Tuly NY Division</v>
          </cell>
          <cell r="D151" t="str">
            <v>Aldi Store</v>
          </cell>
          <cell r="E151" t="str">
            <v>COLONIE NY</v>
          </cell>
          <cell r="F151">
            <v>42429</v>
          </cell>
          <cell r="G151">
            <v>42432</v>
          </cell>
          <cell r="I151">
            <v>42433</v>
          </cell>
          <cell r="J151" t="str">
            <v>SS</v>
          </cell>
          <cell r="L151">
            <v>4821</v>
          </cell>
          <cell r="M151">
            <v>0</v>
          </cell>
          <cell r="N151">
            <v>1</v>
          </cell>
          <cell r="O151">
            <v>32795.5</v>
          </cell>
          <cell r="P151" t="str">
            <v>GA</v>
          </cell>
          <cell r="Q151" t="str">
            <v>4PD</v>
          </cell>
          <cell r="R151">
            <v>38319.882100000003</v>
          </cell>
          <cell r="S151" t="b">
            <v>0</v>
          </cell>
          <cell r="T151" t="str">
            <v>No</v>
          </cell>
          <cell r="V151" t="str">
            <v>A</v>
          </cell>
        </row>
        <row r="152">
          <cell r="B152" t="str">
            <v xml:space="preserve">167-0019 </v>
          </cell>
          <cell r="C152" t="str">
            <v>Wal-Mart Store Planning</v>
          </cell>
          <cell r="D152" t="str">
            <v>Walmart 1640-220-SC-REM</v>
          </cell>
          <cell r="E152" t="str">
            <v>State College, PA</v>
          </cell>
          <cell r="F152">
            <v>42429</v>
          </cell>
          <cell r="G152">
            <v>42432</v>
          </cell>
          <cell r="I152">
            <v>42433</v>
          </cell>
          <cell r="J152" t="str">
            <v>PW</v>
          </cell>
          <cell r="L152">
            <v>11855</v>
          </cell>
          <cell r="M152">
            <v>0</v>
          </cell>
          <cell r="N152">
            <v>8</v>
          </cell>
          <cell r="O152">
            <v>98743.13</v>
          </cell>
          <cell r="P152" t="str">
            <v>GA</v>
          </cell>
          <cell r="Q152" t="str">
            <v>4PD</v>
          </cell>
          <cell r="R152">
            <v>175121.93460000001</v>
          </cell>
          <cell r="S152" t="b">
            <v>0</v>
          </cell>
          <cell r="T152" t="str">
            <v>No</v>
          </cell>
          <cell r="V152" t="str">
            <v>A</v>
          </cell>
        </row>
        <row r="153">
          <cell r="B153" t="str">
            <v>157-2224</v>
          </cell>
          <cell r="C153" t="str">
            <v>Wal-Mart Store Planning</v>
          </cell>
          <cell r="D153" t="str">
            <v>Walmart 0890-226 Remodel</v>
          </cell>
          <cell r="E153" t="str">
            <v>Orlando, FL</v>
          </cell>
          <cell r="F153">
            <v>42429</v>
          </cell>
          <cell r="G153">
            <v>42432</v>
          </cell>
          <cell r="I153">
            <v>42433</v>
          </cell>
          <cell r="J153" t="str">
            <v>RS</v>
          </cell>
          <cell r="L153">
            <v>1260</v>
          </cell>
          <cell r="M153">
            <v>0</v>
          </cell>
          <cell r="N153">
            <v>2</v>
          </cell>
          <cell r="O153">
            <v>10835.73</v>
          </cell>
          <cell r="P153" t="str">
            <v>GA</v>
          </cell>
          <cell r="Q153" t="str">
            <v>4PD</v>
          </cell>
          <cell r="R153">
            <v>20509.338800000001</v>
          </cell>
          <cell r="S153" t="b">
            <v>0</v>
          </cell>
          <cell r="T153" t="str">
            <v>No</v>
          </cell>
          <cell r="V153" t="str">
            <v>A</v>
          </cell>
        </row>
        <row r="154">
          <cell r="B154" t="str">
            <v>167-0009</v>
          </cell>
          <cell r="C154" t="str">
            <v>Wal-Mart Store Planning</v>
          </cell>
          <cell r="D154" t="str">
            <v>Walmart 1392-221-SC-REM</v>
          </cell>
          <cell r="E154" t="str">
            <v>Wilmington, NC</v>
          </cell>
          <cell r="F154">
            <v>42429</v>
          </cell>
          <cell r="G154">
            <v>42432</v>
          </cell>
          <cell r="I154">
            <v>42433</v>
          </cell>
          <cell r="J154" t="str">
            <v>RS</v>
          </cell>
          <cell r="L154">
            <v>0</v>
          </cell>
          <cell r="M154">
            <v>0</v>
          </cell>
          <cell r="N154">
            <v>0</v>
          </cell>
          <cell r="O154">
            <v>18002.66</v>
          </cell>
          <cell r="P154" t="str">
            <v>GA</v>
          </cell>
          <cell r="Q154" t="str">
            <v>4PD</v>
          </cell>
          <cell r="R154">
            <v>62637.680099999998</v>
          </cell>
          <cell r="S154" t="b">
            <v>0</v>
          </cell>
          <cell r="T154" t="str">
            <v>No</v>
          </cell>
          <cell r="V154" t="str">
            <v>A</v>
          </cell>
        </row>
        <row r="155">
          <cell r="B155" t="str">
            <v>155-1019</v>
          </cell>
          <cell r="C155" t="str">
            <v>Dollar Tree Sourcing Comp. LLC</v>
          </cell>
          <cell r="D155" t="str">
            <v>DT# 5752   WSM FRDRCLDL</v>
          </cell>
          <cell r="E155" t="str">
            <v>Miami, FL</v>
          </cell>
          <cell r="F155">
            <v>42429</v>
          </cell>
          <cell r="G155">
            <v>42432</v>
          </cell>
          <cell r="I155">
            <v>42433</v>
          </cell>
          <cell r="J155" t="str">
            <v>.</v>
          </cell>
          <cell r="L155">
            <v>629</v>
          </cell>
          <cell r="M155">
            <v>0</v>
          </cell>
          <cell r="N155">
            <v>2</v>
          </cell>
          <cell r="O155">
            <v>5808.02</v>
          </cell>
          <cell r="P155" t="str">
            <v>GA</v>
          </cell>
          <cell r="Q155" t="str">
            <v>4PD</v>
          </cell>
          <cell r="R155">
            <v>10137.071099999999</v>
          </cell>
          <cell r="S155" t="b">
            <v>1</v>
          </cell>
          <cell r="T155" t="str">
            <v>Yes</v>
          </cell>
          <cell r="V155" t="str">
            <v>A</v>
          </cell>
        </row>
        <row r="156">
          <cell r="B156" t="str">
            <v>165-0062</v>
          </cell>
          <cell r="C156" t="str">
            <v>Dollar Tree Sourcing Comp. LLC</v>
          </cell>
          <cell r="D156" t="str">
            <v>DT# 6298   WM FRDRCLDL</v>
          </cell>
          <cell r="E156" t="str">
            <v>Booneville, AR</v>
          </cell>
          <cell r="F156">
            <v>42429</v>
          </cell>
          <cell r="G156">
            <v>42432</v>
          </cell>
          <cell r="I156">
            <v>42433</v>
          </cell>
          <cell r="J156" t="str">
            <v>.</v>
          </cell>
          <cell r="L156">
            <v>551</v>
          </cell>
          <cell r="M156">
            <v>0</v>
          </cell>
          <cell r="N156">
            <v>2</v>
          </cell>
          <cell r="O156">
            <v>5500.12</v>
          </cell>
          <cell r="P156" t="str">
            <v>GA</v>
          </cell>
          <cell r="Q156" t="str">
            <v>4PD</v>
          </cell>
          <cell r="R156">
            <v>9933.2451999999994</v>
          </cell>
          <cell r="S156" t="b">
            <v>1</v>
          </cell>
          <cell r="T156" t="str">
            <v>Yes</v>
          </cell>
        </row>
        <row r="157">
          <cell r="B157" t="str">
            <v>165-0063</v>
          </cell>
          <cell r="C157" t="str">
            <v>Dollar Tree Sourcing Comp. LLC</v>
          </cell>
          <cell r="D157" t="str">
            <v>DT# 6159   WM FRDRCLDL  DP WIC/LED</v>
          </cell>
          <cell r="E157" t="str">
            <v>Merrillville, IN</v>
          </cell>
          <cell r="F157">
            <v>42429</v>
          </cell>
          <cell r="G157">
            <v>42432</v>
          </cell>
          <cell r="I157">
            <v>42433</v>
          </cell>
          <cell r="J157" t="str">
            <v>.</v>
          </cell>
          <cell r="L157">
            <v>551</v>
          </cell>
          <cell r="M157">
            <v>0</v>
          </cell>
          <cell r="N157">
            <v>2</v>
          </cell>
          <cell r="O157">
            <v>5669.12</v>
          </cell>
          <cell r="P157" t="str">
            <v>GA</v>
          </cell>
          <cell r="Q157" t="str">
            <v>4PD</v>
          </cell>
          <cell r="R157">
            <v>10225.245199999999</v>
          </cell>
          <cell r="S157" t="b">
            <v>1</v>
          </cell>
          <cell r="T157" t="str">
            <v>Yes</v>
          </cell>
        </row>
        <row r="158">
          <cell r="B158" t="str">
            <v>165-0059</v>
          </cell>
          <cell r="C158" t="str">
            <v>Dollar Tree Sourcing Comp. LLC</v>
          </cell>
          <cell r="D158" t="str">
            <v>DT# 1923   WSM FRDRCLDL</v>
          </cell>
          <cell r="E158" t="str">
            <v>Fall River, MA</v>
          </cell>
          <cell r="F158">
            <v>42429</v>
          </cell>
          <cell r="G158">
            <v>42432</v>
          </cell>
          <cell r="I158">
            <v>42433</v>
          </cell>
          <cell r="J158" t="str">
            <v>.</v>
          </cell>
          <cell r="L158">
            <v>629</v>
          </cell>
          <cell r="M158">
            <v>0</v>
          </cell>
          <cell r="N158">
            <v>2</v>
          </cell>
          <cell r="O158">
            <v>6083.54</v>
          </cell>
          <cell r="P158" t="str">
            <v>GA</v>
          </cell>
          <cell r="Q158" t="str">
            <v>4PD</v>
          </cell>
          <cell r="R158">
            <v>10516.6674</v>
          </cell>
          <cell r="S158" t="b">
            <v>1</v>
          </cell>
          <cell r="T158" t="str">
            <v>Yes</v>
          </cell>
        </row>
        <row r="159">
          <cell r="B159" t="str">
            <v>165-0061</v>
          </cell>
          <cell r="C159" t="str">
            <v>Dollar Tree Sourcing Comp. LLC</v>
          </cell>
          <cell r="D159" t="str">
            <v>DT# 6229   WM FRDRCLDL  DP WIC/LED</v>
          </cell>
          <cell r="E159" t="str">
            <v>Niles, OH</v>
          </cell>
          <cell r="F159">
            <v>42429</v>
          </cell>
          <cell r="G159">
            <v>42432</v>
          </cell>
          <cell r="I159">
            <v>42433</v>
          </cell>
          <cell r="J159" t="str">
            <v>.</v>
          </cell>
          <cell r="L159">
            <v>551</v>
          </cell>
          <cell r="M159">
            <v>0</v>
          </cell>
          <cell r="N159">
            <v>2</v>
          </cell>
          <cell r="O159">
            <v>5669.12</v>
          </cell>
          <cell r="P159" t="str">
            <v>GA</v>
          </cell>
          <cell r="Q159" t="str">
            <v>4PD</v>
          </cell>
          <cell r="R159">
            <v>10225.245199999999</v>
          </cell>
          <cell r="S159" t="b">
            <v>1</v>
          </cell>
          <cell r="T159" t="str">
            <v>Yes</v>
          </cell>
        </row>
        <row r="160">
          <cell r="B160" t="str">
            <v>157-2191C</v>
          </cell>
          <cell r="C160" t="str">
            <v>Wal-Mart Store Planning</v>
          </cell>
          <cell r="D160" t="str">
            <v>Walmart 0578-226-SC-REM</v>
          </cell>
          <cell r="E160" t="str">
            <v>Sevierville, TN</v>
          </cell>
          <cell r="F160">
            <v>42429</v>
          </cell>
          <cell r="G160">
            <v>42432</v>
          </cell>
          <cell r="I160">
            <v>42433</v>
          </cell>
          <cell r="J160" t="str">
            <v>PC2</v>
          </cell>
          <cell r="L160">
            <v>896</v>
          </cell>
          <cell r="M160">
            <v>0</v>
          </cell>
          <cell r="N160">
            <v>2</v>
          </cell>
          <cell r="O160">
            <v>8602.34</v>
          </cell>
          <cell r="P160" t="str">
            <v>GA</v>
          </cell>
          <cell r="Q160" t="str">
            <v>4PD</v>
          </cell>
          <cell r="R160">
            <v>8722.0992000000006</v>
          </cell>
          <cell r="S160" t="b">
            <v>1</v>
          </cell>
          <cell r="T160" t="str">
            <v>Yes</v>
          </cell>
          <cell r="V160" t="str">
            <v>A</v>
          </cell>
        </row>
        <row r="161">
          <cell r="B161" t="str">
            <v>165-0071</v>
          </cell>
          <cell r="C161" t="str">
            <v>Dollar Tree Sourcing Comp. LLC</v>
          </cell>
          <cell r="D161" t="str">
            <v>DT# 6326   WSM FLDLCRDR DPFlr in WIC</v>
          </cell>
          <cell r="E161" t="str">
            <v>White Plains, NY</v>
          </cell>
          <cell r="F161">
            <v>42429</v>
          </cell>
          <cell r="G161">
            <v>42432</v>
          </cell>
          <cell r="I161">
            <v>42433</v>
          </cell>
          <cell r="J161" t="str">
            <v>.</v>
          </cell>
          <cell r="L161">
            <v>657</v>
          </cell>
          <cell r="M161">
            <v>0</v>
          </cell>
          <cell r="N161">
            <v>2</v>
          </cell>
          <cell r="O161">
            <v>6466.4</v>
          </cell>
          <cell r="P161" t="str">
            <v>GA</v>
          </cell>
          <cell r="Q161" t="str">
            <v>4PD</v>
          </cell>
          <cell r="R161">
            <v>10917.051799999999</v>
          </cell>
          <cell r="S161" t="b">
            <v>1</v>
          </cell>
          <cell r="T161" t="str">
            <v>Yes</v>
          </cell>
        </row>
        <row r="162">
          <cell r="B162" t="str">
            <v>167-0051</v>
          </cell>
          <cell r="C162" t="str">
            <v>Wal-Mart Store Planning</v>
          </cell>
          <cell r="D162" t="str">
            <v>Walmart 0406-223-SC-REM</v>
          </cell>
          <cell r="E162" t="str">
            <v>Smyrna, TN</v>
          </cell>
          <cell r="F162">
            <v>42429</v>
          </cell>
          <cell r="G162">
            <v>42432</v>
          </cell>
          <cell r="I162">
            <v>42433</v>
          </cell>
          <cell r="J162" t="str">
            <v>RS</v>
          </cell>
          <cell r="L162">
            <v>6341</v>
          </cell>
          <cell r="M162">
            <v>0</v>
          </cell>
          <cell r="N162">
            <v>0</v>
          </cell>
          <cell r="O162">
            <v>45496.54</v>
          </cell>
          <cell r="P162" t="str">
            <v>GA</v>
          </cell>
          <cell r="Q162" t="str">
            <v>4PD</v>
          </cell>
          <cell r="R162">
            <v>100212.50260000001</v>
          </cell>
          <cell r="S162" t="b">
            <v>0</v>
          </cell>
          <cell r="T162" t="str">
            <v>No</v>
          </cell>
          <cell r="V162" t="str">
            <v>A</v>
          </cell>
        </row>
        <row r="163">
          <cell r="B163" t="str">
            <v>167-0163</v>
          </cell>
          <cell r="C163" t="str">
            <v>Wal-Mart Store Planning</v>
          </cell>
          <cell r="D163" t="str">
            <v>Walmart 2881-224-SC-REM</v>
          </cell>
          <cell r="E163" t="str">
            <v>Kissimmee, FL</v>
          </cell>
          <cell r="F163">
            <v>42429</v>
          </cell>
          <cell r="G163">
            <v>42432</v>
          </cell>
          <cell r="I163">
            <v>42433</v>
          </cell>
          <cell r="J163" t="str">
            <v>.</v>
          </cell>
          <cell r="L163">
            <v>1426</v>
          </cell>
          <cell r="M163">
            <v>0</v>
          </cell>
          <cell r="N163">
            <v>0</v>
          </cell>
          <cell r="O163">
            <v>9634.2800000000007</v>
          </cell>
          <cell r="P163" t="str">
            <v>GA</v>
          </cell>
          <cell r="Q163" t="str">
            <v>4PD</v>
          </cell>
          <cell r="R163">
            <v>20216.779200000001</v>
          </cell>
          <cell r="S163" t="b">
            <v>0</v>
          </cell>
          <cell r="T163" t="str">
            <v>No</v>
          </cell>
        </row>
        <row r="164">
          <cell r="B164" t="str">
            <v>167-0108</v>
          </cell>
          <cell r="C164" t="str">
            <v>KPS, LLC Mid-South #024</v>
          </cell>
          <cell r="D164" t="str">
            <v>Kroger L-779 OLS</v>
          </cell>
          <cell r="E164" t="str">
            <v>GEORGETOWN KY</v>
          </cell>
          <cell r="F164">
            <v>42429</v>
          </cell>
          <cell r="G164">
            <v>42432</v>
          </cell>
          <cell r="I164">
            <v>42433</v>
          </cell>
          <cell r="J164" t="str">
            <v>VSS</v>
          </cell>
          <cell r="L164">
            <v>1202</v>
          </cell>
          <cell r="M164">
            <v>0</v>
          </cell>
          <cell r="N164">
            <v>3</v>
          </cell>
          <cell r="O164">
            <v>11546.53</v>
          </cell>
          <cell r="P164" t="str">
            <v>GA</v>
          </cell>
          <cell r="Q164" t="str">
            <v>4PD</v>
          </cell>
          <cell r="R164">
            <v>11546.531800000001</v>
          </cell>
          <cell r="S164" t="b">
            <v>0</v>
          </cell>
          <cell r="T164" t="str">
            <v>No</v>
          </cell>
          <cell r="U164" t="str">
            <v>FBed</v>
          </cell>
        </row>
        <row r="165">
          <cell r="B165" t="str">
            <v>157-2060</v>
          </cell>
          <cell r="C165" t="str">
            <v>KPS, LLC Mid-South #024</v>
          </cell>
          <cell r="D165" t="str">
            <v>Kroger L-768</v>
          </cell>
          <cell r="E165" t="str">
            <v>Lexington KY</v>
          </cell>
          <cell r="F165">
            <v>42429</v>
          </cell>
          <cell r="G165">
            <v>42433</v>
          </cell>
          <cell r="I165">
            <v>42436</v>
          </cell>
          <cell r="J165" t="str">
            <v>RS</v>
          </cell>
          <cell r="L165">
            <v>12731</v>
          </cell>
          <cell r="M165">
            <v>0</v>
          </cell>
          <cell r="N165">
            <v>12</v>
          </cell>
          <cell r="O165">
            <v>98767.22</v>
          </cell>
          <cell r="P165" t="str">
            <v>GA</v>
          </cell>
          <cell r="Q165" t="str">
            <v>4PD</v>
          </cell>
          <cell r="R165">
            <v>98767.224000000002</v>
          </cell>
          <cell r="S165" t="b">
            <v>0</v>
          </cell>
          <cell r="T165" t="str">
            <v>No</v>
          </cell>
          <cell r="V165" t="str">
            <v>A</v>
          </cell>
        </row>
        <row r="166">
          <cell r="B166" t="str">
            <v>155-1178</v>
          </cell>
          <cell r="C166" t="str">
            <v>Dollar Tree Sourcing Comp. LLC</v>
          </cell>
          <cell r="D166" t="str">
            <v>DT# 3489   WSM FRDRCLDL</v>
          </cell>
          <cell r="E166" t="str">
            <v>NORTH BABYLON, NY</v>
          </cell>
          <cell r="F166">
            <v>42429</v>
          </cell>
          <cell r="G166">
            <v>42433</v>
          </cell>
          <cell r="I166">
            <v>42436</v>
          </cell>
          <cell r="J166" t="str">
            <v>.</v>
          </cell>
          <cell r="L166">
            <v>629</v>
          </cell>
          <cell r="M166">
            <v>0</v>
          </cell>
          <cell r="N166">
            <v>2</v>
          </cell>
          <cell r="O166">
            <v>5808.26</v>
          </cell>
          <cell r="P166" t="str">
            <v>GA</v>
          </cell>
          <cell r="Q166" t="str">
            <v>4PD</v>
          </cell>
          <cell r="R166">
            <v>10137.306500000001</v>
          </cell>
          <cell r="S166" t="b">
            <v>1</v>
          </cell>
          <cell r="T166" t="str">
            <v>Yes</v>
          </cell>
        </row>
        <row r="167">
          <cell r="B167" t="str">
            <v>155-0956B</v>
          </cell>
          <cell r="C167" t="str">
            <v>Harris Teeter</v>
          </cell>
          <cell r="D167" t="str">
            <v>Harris Teeter 177</v>
          </cell>
          <cell r="E167" t="str">
            <v xml:space="preserve"> </v>
          </cell>
          <cell r="F167">
            <v>42429</v>
          </cell>
          <cell r="G167">
            <v>42433</v>
          </cell>
          <cell r="I167">
            <v>42436</v>
          </cell>
          <cell r="J167" t="str">
            <v>PF</v>
          </cell>
          <cell r="K167" t="str">
            <v>CC</v>
          </cell>
          <cell r="L167">
            <v>2400</v>
          </cell>
          <cell r="M167">
            <v>43</v>
          </cell>
          <cell r="N167">
            <v>1</v>
          </cell>
          <cell r="O167">
            <v>19472.55</v>
          </cell>
          <cell r="P167" t="str">
            <v>GA</v>
          </cell>
          <cell r="Q167" t="str">
            <v>4PD</v>
          </cell>
          <cell r="R167">
            <v>32979.648999999998</v>
          </cell>
          <cell r="S167" t="b">
            <v>0</v>
          </cell>
          <cell r="T167" t="str">
            <v>No</v>
          </cell>
          <cell r="V167" t="str">
            <v>A</v>
          </cell>
        </row>
        <row r="168">
          <cell r="B168" t="str">
            <v>155-1206</v>
          </cell>
          <cell r="C168" t="str">
            <v>Dollar Tree Sourcing Comp. LLC</v>
          </cell>
          <cell r="D168" t="str">
            <v>DT# 6003   WM FLDLCRDR  DP WIC/LED</v>
          </cell>
          <cell r="E168" t="str">
            <v>CHESTERTON, IN</v>
          </cell>
          <cell r="F168">
            <v>42429</v>
          </cell>
          <cell r="G168">
            <v>42433</v>
          </cell>
          <cell r="I168">
            <v>42436</v>
          </cell>
          <cell r="J168" t="str">
            <v>.</v>
          </cell>
          <cell r="L168">
            <v>551</v>
          </cell>
          <cell r="M168">
            <v>0</v>
          </cell>
          <cell r="N168">
            <v>2</v>
          </cell>
          <cell r="O168">
            <v>5471.05</v>
          </cell>
          <cell r="P168" t="str">
            <v>GA</v>
          </cell>
          <cell r="Q168" t="str">
            <v>4PD</v>
          </cell>
          <cell r="R168">
            <v>9923.1124</v>
          </cell>
          <cell r="S168" t="b">
            <v>1</v>
          </cell>
          <cell r="T168" t="str">
            <v>Yes</v>
          </cell>
        </row>
        <row r="169">
          <cell r="B169" t="str">
            <v>155-0991F</v>
          </cell>
          <cell r="C169" t="str">
            <v>Publix Super Markets Inc.</v>
          </cell>
          <cell r="D169" t="str">
            <v>Publix 1342 - Manatee, FL</v>
          </cell>
          <cell r="E169" t="str">
            <v>Manatee, FL</v>
          </cell>
          <cell r="F169">
            <v>42429</v>
          </cell>
          <cell r="G169">
            <v>42436</v>
          </cell>
          <cell r="I169">
            <v>42437</v>
          </cell>
          <cell r="J169" t="str">
            <v>SW</v>
          </cell>
          <cell r="L169">
            <v>2953</v>
          </cell>
          <cell r="M169">
            <v>0</v>
          </cell>
          <cell r="N169">
            <v>2</v>
          </cell>
          <cell r="O169">
            <v>19548.03</v>
          </cell>
          <cell r="P169" t="str">
            <v>GA</v>
          </cell>
          <cell r="Q169" t="str">
            <v>4PD</v>
          </cell>
          <cell r="R169">
            <v>20491.469000000001</v>
          </cell>
          <cell r="S169" t="b">
            <v>0</v>
          </cell>
          <cell r="T169" t="str">
            <v>No</v>
          </cell>
          <cell r="V169" t="str">
            <v>A</v>
          </cell>
        </row>
        <row r="170">
          <cell r="B170" t="str">
            <v>165-0094A</v>
          </cell>
          <cell r="C170" t="str">
            <v>Publix Super Markets Inc.</v>
          </cell>
          <cell r="D170" t="str">
            <v>Publix #578</v>
          </cell>
          <cell r="E170" t="str">
            <v>Fort Myers, FL</v>
          </cell>
          <cell r="F170">
            <v>42429</v>
          </cell>
          <cell r="G170">
            <v>42436</v>
          </cell>
          <cell r="I170">
            <v>42437</v>
          </cell>
          <cell r="J170" t="str">
            <v>.</v>
          </cell>
          <cell r="L170">
            <v>0</v>
          </cell>
          <cell r="M170">
            <v>0</v>
          </cell>
          <cell r="N170">
            <v>0</v>
          </cell>
          <cell r="O170">
            <v>950</v>
          </cell>
          <cell r="P170" t="str">
            <v>GA</v>
          </cell>
          <cell r="Q170" t="str">
            <v>4PD</v>
          </cell>
          <cell r="R170">
            <v>950</v>
          </cell>
          <cell r="S170" t="b">
            <v>1</v>
          </cell>
          <cell r="T170" t="str">
            <v>Yes</v>
          </cell>
        </row>
        <row r="171">
          <cell r="B171" t="str">
            <v>165-0027</v>
          </cell>
          <cell r="C171" t="str">
            <v>Dollar Tree Sourcing Comp. LLC</v>
          </cell>
          <cell r="D171" t="str">
            <v>DT# 9449   WSM FRDRCLDL</v>
          </cell>
          <cell r="E171" t="str">
            <v>QUINCY, MA</v>
          </cell>
          <cell r="F171">
            <v>42429</v>
          </cell>
          <cell r="G171">
            <v>42437</v>
          </cell>
          <cell r="I171">
            <v>42438</v>
          </cell>
          <cell r="J171" t="str">
            <v>.</v>
          </cell>
          <cell r="L171">
            <v>629</v>
          </cell>
          <cell r="M171">
            <v>0</v>
          </cell>
          <cell r="N171">
            <v>2</v>
          </cell>
          <cell r="O171">
            <v>6083.54</v>
          </cell>
          <cell r="P171" t="str">
            <v>GA</v>
          </cell>
          <cell r="Q171" t="str">
            <v>4PD</v>
          </cell>
          <cell r="R171">
            <v>10516.6674</v>
          </cell>
          <cell r="S171" t="b">
            <v>1</v>
          </cell>
          <cell r="T171" t="str">
            <v>Yes</v>
          </cell>
        </row>
        <row r="172">
          <cell r="B172" t="str">
            <v>165-0010</v>
          </cell>
          <cell r="C172" t="str">
            <v>Certified Comm Serv &amp; Equip</v>
          </cell>
          <cell r="D172" t="str">
            <v>Pilot #1082</v>
          </cell>
          <cell r="E172" t="str">
            <v>Charleston SC</v>
          </cell>
          <cell r="F172">
            <v>42429</v>
          </cell>
          <cell r="G172">
            <v>42438</v>
          </cell>
          <cell r="I172">
            <v>42439</v>
          </cell>
          <cell r="J172" t="str">
            <v>.</v>
          </cell>
          <cell r="L172">
            <v>2915</v>
          </cell>
          <cell r="M172">
            <v>0</v>
          </cell>
          <cell r="N172">
            <v>5</v>
          </cell>
          <cell r="O172">
            <v>25691.99</v>
          </cell>
          <cell r="P172" t="str">
            <v>GA</v>
          </cell>
          <cell r="Q172" t="str">
            <v>4PD</v>
          </cell>
          <cell r="R172">
            <v>25691.9882</v>
          </cell>
          <cell r="S172" t="b">
            <v>0</v>
          </cell>
          <cell r="T172" t="str">
            <v>No</v>
          </cell>
          <cell r="V172" t="str">
            <v>A</v>
          </cell>
        </row>
        <row r="173">
          <cell r="B173" t="str">
            <v>167-0166</v>
          </cell>
          <cell r="C173" t="str">
            <v>KPS, LLC Mid-South #024</v>
          </cell>
          <cell r="D173" t="str">
            <v>Kroger L-387</v>
          </cell>
          <cell r="E173" t="str">
            <v>LOUISVILLE KY</v>
          </cell>
          <cell r="F173">
            <v>42429</v>
          </cell>
          <cell r="G173">
            <v>42438</v>
          </cell>
          <cell r="I173">
            <v>42439</v>
          </cell>
          <cell r="J173" t="str">
            <v>VSS</v>
          </cell>
          <cell r="L173">
            <v>5946</v>
          </cell>
          <cell r="M173">
            <v>0</v>
          </cell>
          <cell r="N173">
            <v>4</v>
          </cell>
          <cell r="O173">
            <v>41638.89</v>
          </cell>
          <cell r="P173" t="str">
            <v>GA</v>
          </cell>
          <cell r="Q173" t="str">
            <v>4PD</v>
          </cell>
          <cell r="R173">
            <v>41638.890899999999</v>
          </cell>
          <cell r="S173" t="b">
            <v>0</v>
          </cell>
          <cell r="T173" t="str">
            <v>No</v>
          </cell>
          <cell r="U173" t="str">
            <v>FBed</v>
          </cell>
        </row>
        <row r="174">
          <cell r="B174" t="str">
            <v>167-0129</v>
          </cell>
          <cell r="C174" t="str">
            <v>Berkot's Super Foods</v>
          </cell>
          <cell r="D174" t="str">
            <v>Berkot's Super Foods</v>
          </cell>
          <cell r="E174" t="str">
            <v>BRAIDWOOD IL</v>
          </cell>
          <cell r="F174">
            <v>42436</v>
          </cell>
          <cell r="G174">
            <v>42439</v>
          </cell>
          <cell r="I174">
            <v>42440</v>
          </cell>
          <cell r="J174" t="str">
            <v>SQ</v>
          </cell>
          <cell r="L174">
            <v>1738</v>
          </cell>
          <cell r="M174">
            <v>0</v>
          </cell>
          <cell r="N174">
            <v>0</v>
          </cell>
          <cell r="O174">
            <v>11861.61</v>
          </cell>
          <cell r="P174" t="str">
            <v>GA</v>
          </cell>
          <cell r="Q174" t="str">
            <v>4PD</v>
          </cell>
          <cell r="R174">
            <v>18154.065900000001</v>
          </cell>
          <cell r="S174" t="b">
            <v>0</v>
          </cell>
          <cell r="T174" t="str">
            <v>No</v>
          </cell>
        </row>
        <row r="175">
          <cell r="B175" t="str">
            <v>157-2195A</v>
          </cell>
          <cell r="C175" t="str">
            <v>Wal-Mart Store Planning</v>
          </cell>
          <cell r="D175" t="str">
            <v>Walmart 1023-219 REM</v>
          </cell>
          <cell r="E175" t="str">
            <v>Galax, VA</v>
          </cell>
          <cell r="F175">
            <v>42436</v>
          </cell>
          <cell r="G175">
            <v>42439</v>
          </cell>
          <cell r="I175">
            <v>42440</v>
          </cell>
          <cell r="J175" t="str">
            <v>RS</v>
          </cell>
          <cell r="L175">
            <v>0</v>
          </cell>
          <cell r="M175">
            <v>0</v>
          </cell>
          <cell r="N175">
            <v>0</v>
          </cell>
          <cell r="O175">
            <v>152</v>
          </cell>
          <cell r="P175" t="str">
            <v>GA</v>
          </cell>
          <cell r="Q175" t="str">
            <v>4PD</v>
          </cell>
          <cell r="R175">
            <v>47969.340700000001</v>
          </cell>
          <cell r="S175" t="b">
            <v>1</v>
          </cell>
          <cell r="T175" t="str">
            <v>Yes</v>
          </cell>
          <cell r="V175" t="str">
            <v>A</v>
          </cell>
        </row>
        <row r="176">
          <cell r="B176" t="str">
            <v xml:space="preserve">157-2211 </v>
          </cell>
          <cell r="C176" t="str">
            <v>Wal-Mart Store Planning</v>
          </cell>
          <cell r="D176" t="str">
            <v>Walmart 2100-212-SC-REM</v>
          </cell>
          <cell r="E176" t="str">
            <v>Cheboygan, MI</v>
          </cell>
          <cell r="F176">
            <v>42436</v>
          </cell>
          <cell r="G176">
            <v>42439</v>
          </cell>
          <cell r="I176">
            <v>42440</v>
          </cell>
          <cell r="J176" t="str">
            <v>AP</v>
          </cell>
          <cell r="L176">
            <v>81</v>
          </cell>
          <cell r="M176">
            <v>0</v>
          </cell>
          <cell r="N176">
            <v>2</v>
          </cell>
          <cell r="O176">
            <v>10267.73</v>
          </cell>
          <cell r="P176" t="str">
            <v>GA</v>
          </cell>
          <cell r="Q176" t="str">
            <v>4PD</v>
          </cell>
          <cell r="R176">
            <v>45890.4905</v>
          </cell>
          <cell r="S176" t="b">
            <v>0</v>
          </cell>
          <cell r="T176" t="str">
            <v>No</v>
          </cell>
          <cell r="V176" t="str">
            <v>A</v>
          </cell>
        </row>
        <row r="177">
          <cell r="B177" t="str">
            <v>165-0025</v>
          </cell>
          <cell r="C177" t="str">
            <v>Dollar Tree Sourcing Comp. LLC</v>
          </cell>
          <cell r="D177" t="str">
            <v>DT# 3773   WM FLDLCRDR DP/LED/Therm</v>
          </cell>
          <cell r="E177" t="str">
            <v>CRYSTAL, MN</v>
          </cell>
          <cell r="F177">
            <v>42436</v>
          </cell>
          <cell r="G177">
            <v>42439</v>
          </cell>
          <cell r="I177">
            <v>42440</v>
          </cell>
          <cell r="J177" t="str">
            <v>.</v>
          </cell>
          <cell r="L177">
            <v>551</v>
          </cell>
          <cell r="M177">
            <v>0</v>
          </cell>
          <cell r="N177">
            <v>2</v>
          </cell>
          <cell r="O177">
            <v>5669.12</v>
          </cell>
          <cell r="P177" t="str">
            <v>GA</v>
          </cell>
          <cell r="Q177" t="str">
            <v>4PD</v>
          </cell>
          <cell r="R177">
            <v>10229.245199999999</v>
          </cell>
          <cell r="S177" t="b">
            <v>1</v>
          </cell>
          <cell r="T177" t="str">
            <v>Yes</v>
          </cell>
        </row>
        <row r="178">
          <cell r="B178" t="str">
            <v>165-0068</v>
          </cell>
          <cell r="C178" t="str">
            <v>K-Va-T Stores</v>
          </cell>
          <cell r="D178" t="str">
            <v>Food City - 717</v>
          </cell>
          <cell r="E178" t="str">
            <v>Harrison TN</v>
          </cell>
          <cell r="F178">
            <v>42436</v>
          </cell>
          <cell r="G178">
            <v>42439</v>
          </cell>
          <cell r="I178">
            <v>42440</v>
          </cell>
          <cell r="J178" t="str">
            <v>.</v>
          </cell>
          <cell r="L178">
            <v>878</v>
          </cell>
          <cell r="M178">
            <v>0</v>
          </cell>
          <cell r="N178">
            <v>1</v>
          </cell>
          <cell r="O178">
            <v>8770.93</v>
          </cell>
          <cell r="P178" t="str">
            <v>GA</v>
          </cell>
          <cell r="Q178" t="str">
            <v>4PD</v>
          </cell>
          <cell r="R178">
            <v>12502.7577</v>
          </cell>
          <cell r="S178" t="b">
            <v>0</v>
          </cell>
          <cell r="T178" t="str">
            <v>No</v>
          </cell>
        </row>
        <row r="179">
          <cell r="B179" t="str">
            <v>157-2084</v>
          </cell>
          <cell r="C179" t="str">
            <v>KPS, LLC Mid-Atlantic # 029</v>
          </cell>
          <cell r="D179" t="str">
            <v>Kroger R-226OLS</v>
          </cell>
          <cell r="E179" t="str">
            <v>SALEM VA</v>
          </cell>
          <cell r="F179">
            <v>42436</v>
          </cell>
          <cell r="G179">
            <v>42439</v>
          </cell>
          <cell r="I179">
            <v>42440</v>
          </cell>
          <cell r="J179" t="str">
            <v>RS</v>
          </cell>
          <cell r="L179">
            <v>1036</v>
          </cell>
          <cell r="M179">
            <v>0</v>
          </cell>
          <cell r="N179">
            <v>3</v>
          </cell>
          <cell r="O179">
            <v>10777.03</v>
          </cell>
          <cell r="P179" t="str">
            <v>GA</v>
          </cell>
          <cell r="Q179" t="str">
            <v>4PD</v>
          </cell>
          <cell r="R179">
            <v>10777.032300000001</v>
          </cell>
          <cell r="S179" t="b">
            <v>0</v>
          </cell>
          <cell r="T179" t="str">
            <v>No</v>
          </cell>
          <cell r="U179" t="str">
            <v>FBed</v>
          </cell>
          <cell r="V179" t="str">
            <v>A</v>
          </cell>
        </row>
        <row r="180">
          <cell r="B180" t="str">
            <v xml:space="preserve">157-2077 </v>
          </cell>
          <cell r="C180" t="str">
            <v>Wal-Mart Store Planning</v>
          </cell>
          <cell r="D180" t="str">
            <v>Walmart 2870-01-NHM-NEW-41.3LC</v>
          </cell>
          <cell r="E180" t="str">
            <v>Myrtle Beach SC</v>
          </cell>
          <cell r="F180">
            <v>42436</v>
          </cell>
          <cell r="G180">
            <v>42439</v>
          </cell>
          <cell r="I180">
            <v>42440</v>
          </cell>
          <cell r="J180" t="str">
            <v>PC</v>
          </cell>
          <cell r="L180">
            <v>6944</v>
          </cell>
          <cell r="M180">
            <v>0</v>
          </cell>
          <cell r="N180">
            <v>1</v>
          </cell>
          <cell r="O180">
            <v>40968.86</v>
          </cell>
          <cell r="P180" t="str">
            <v>GA</v>
          </cell>
          <cell r="Q180" t="str">
            <v>4PD</v>
          </cell>
          <cell r="R180">
            <v>111357.8051</v>
          </cell>
          <cell r="S180" t="b">
            <v>0</v>
          </cell>
          <cell r="T180" t="str">
            <v>No</v>
          </cell>
          <cell r="V180" t="str">
            <v>A</v>
          </cell>
        </row>
        <row r="181">
          <cell r="B181" t="str">
            <v>167-0046</v>
          </cell>
          <cell r="C181" t="str">
            <v>KPS, LLC Mid-Atlantic # 029</v>
          </cell>
          <cell r="D181" t="str">
            <v>Kroger R-519 OLS</v>
          </cell>
          <cell r="E181" t="str">
            <v>RICHMOND VA</v>
          </cell>
          <cell r="F181">
            <v>42436</v>
          </cell>
          <cell r="G181">
            <v>42439</v>
          </cell>
          <cell r="I181">
            <v>42440</v>
          </cell>
          <cell r="J181" t="str">
            <v>RS</v>
          </cell>
          <cell r="L181">
            <v>1354</v>
          </cell>
          <cell r="M181">
            <v>0</v>
          </cell>
          <cell r="N181">
            <v>3</v>
          </cell>
          <cell r="O181">
            <v>12696.79</v>
          </cell>
          <cell r="P181" t="str">
            <v>GA</v>
          </cell>
          <cell r="Q181" t="str">
            <v>4PD</v>
          </cell>
          <cell r="R181">
            <v>14539.122799999999</v>
          </cell>
          <cell r="S181" t="b">
            <v>0</v>
          </cell>
          <cell r="T181" t="str">
            <v>No</v>
          </cell>
          <cell r="V181" t="str">
            <v>A</v>
          </cell>
        </row>
        <row r="182">
          <cell r="B182" t="str">
            <v>157-2200C</v>
          </cell>
          <cell r="C182" t="str">
            <v>Wal-Mart Store Planning</v>
          </cell>
          <cell r="D182" t="str">
            <v>Walmart 2035-219-SC-REM</v>
          </cell>
          <cell r="E182" t="str">
            <v>Greenville, OH</v>
          </cell>
          <cell r="F182">
            <v>42436</v>
          </cell>
          <cell r="G182">
            <v>42439</v>
          </cell>
          <cell r="I182">
            <v>42440</v>
          </cell>
          <cell r="J182" t="str">
            <v>RS</v>
          </cell>
          <cell r="L182">
            <v>0</v>
          </cell>
          <cell r="M182">
            <v>0</v>
          </cell>
          <cell r="N182">
            <v>0</v>
          </cell>
          <cell r="O182">
            <v>3090.2</v>
          </cell>
          <cell r="P182" t="str">
            <v>GA</v>
          </cell>
          <cell r="Q182" t="str">
            <v>4PD</v>
          </cell>
          <cell r="R182">
            <v>3090.2024999999999</v>
          </cell>
          <cell r="S182" t="b">
            <v>0</v>
          </cell>
          <cell r="T182" t="str">
            <v>No</v>
          </cell>
          <cell r="V182" t="str">
            <v>A</v>
          </cell>
        </row>
        <row r="183">
          <cell r="B183" t="str">
            <v>157-2195B</v>
          </cell>
          <cell r="C183" t="str">
            <v>Wal-Mart Store Planning</v>
          </cell>
          <cell r="D183" t="str">
            <v>Walmart 1023-219 REM</v>
          </cell>
          <cell r="E183" t="str">
            <v>Galax, VA</v>
          </cell>
          <cell r="F183">
            <v>42436</v>
          </cell>
          <cell r="G183">
            <v>42439</v>
          </cell>
          <cell r="I183">
            <v>42440</v>
          </cell>
          <cell r="J183" t="str">
            <v>RS</v>
          </cell>
          <cell r="L183">
            <v>3039</v>
          </cell>
          <cell r="M183">
            <v>0</v>
          </cell>
          <cell r="N183">
            <v>0</v>
          </cell>
          <cell r="O183">
            <v>21334.86</v>
          </cell>
          <cell r="P183" t="str">
            <v>GA</v>
          </cell>
          <cell r="Q183" t="str">
            <v>4PD</v>
          </cell>
          <cell r="R183">
            <v>25946.056400000001</v>
          </cell>
          <cell r="S183" t="b">
            <v>0</v>
          </cell>
          <cell r="T183" t="str">
            <v>No</v>
          </cell>
          <cell r="V183" t="str">
            <v>A</v>
          </cell>
        </row>
        <row r="184">
          <cell r="B184" t="str">
            <v>157-1926</v>
          </cell>
          <cell r="C184" t="str">
            <v>Wal-Mart Store Planning</v>
          </cell>
          <cell r="D184" t="str">
            <v>Walmart 5367-00-NHM-NEW-41.3LMG016</v>
          </cell>
          <cell r="E184" t="str">
            <v>Myrtle Beach SC</v>
          </cell>
          <cell r="F184">
            <v>42436</v>
          </cell>
          <cell r="G184">
            <v>42439</v>
          </cell>
          <cell r="I184">
            <v>42440</v>
          </cell>
          <cell r="J184" t="str">
            <v>PC</v>
          </cell>
          <cell r="L184">
            <v>6942</v>
          </cell>
          <cell r="M184">
            <v>0</v>
          </cell>
          <cell r="N184">
            <v>1</v>
          </cell>
          <cell r="O184">
            <v>40921.410000000003</v>
          </cell>
          <cell r="P184" t="str">
            <v>GA</v>
          </cell>
          <cell r="Q184" t="str">
            <v>4PD</v>
          </cell>
          <cell r="R184">
            <v>111309.9</v>
          </cell>
          <cell r="S184" t="b">
            <v>0</v>
          </cell>
          <cell r="T184" t="str">
            <v>No</v>
          </cell>
        </row>
        <row r="185">
          <cell r="B185" t="str">
            <v>165-0032</v>
          </cell>
          <cell r="C185" t="str">
            <v>Dollar Tree Sourcing Comp. LLC</v>
          </cell>
          <cell r="D185" t="str">
            <v>DT# 6293   WM FLDLCRDR</v>
          </cell>
          <cell r="E185" t="str">
            <v>FRISCO, TX</v>
          </cell>
          <cell r="F185">
            <v>42436</v>
          </cell>
          <cell r="G185">
            <v>42439</v>
          </cell>
          <cell r="I185">
            <v>42440</v>
          </cell>
          <cell r="J185" t="str">
            <v>.</v>
          </cell>
          <cell r="L185">
            <v>551</v>
          </cell>
          <cell r="M185">
            <v>0</v>
          </cell>
          <cell r="N185">
            <v>2</v>
          </cell>
          <cell r="O185">
            <v>5500.12</v>
          </cell>
          <cell r="P185" t="str">
            <v>GA</v>
          </cell>
          <cell r="Q185" t="str">
            <v>4PD</v>
          </cell>
          <cell r="R185">
            <v>9933.2451999999994</v>
          </cell>
          <cell r="S185" t="b">
            <v>1</v>
          </cell>
          <cell r="T185" t="str">
            <v>Yes</v>
          </cell>
        </row>
        <row r="186">
          <cell r="B186" t="str">
            <v>157-2139</v>
          </cell>
          <cell r="C186" t="str">
            <v>Wal-Mart Store Planning</v>
          </cell>
          <cell r="D186" t="str">
            <v>Walmart 5378-00-NHM-41LMG016</v>
          </cell>
          <cell r="E186" t="str">
            <v>Cayce SC</v>
          </cell>
          <cell r="F186">
            <v>42436</v>
          </cell>
          <cell r="G186">
            <v>42439</v>
          </cell>
          <cell r="I186">
            <v>42440</v>
          </cell>
          <cell r="J186" t="str">
            <v>PC</v>
          </cell>
          <cell r="L186">
            <v>4926</v>
          </cell>
          <cell r="M186">
            <v>0</v>
          </cell>
          <cell r="N186">
            <v>1</v>
          </cell>
          <cell r="O186">
            <v>42317.37</v>
          </cell>
          <cell r="P186" t="str">
            <v>GA</v>
          </cell>
          <cell r="Q186" t="str">
            <v>4PD</v>
          </cell>
          <cell r="R186">
            <v>74118.026700000002</v>
          </cell>
          <cell r="S186" t="b">
            <v>0</v>
          </cell>
          <cell r="T186" t="str">
            <v>No</v>
          </cell>
          <cell r="V186" t="str">
            <v>A</v>
          </cell>
        </row>
        <row r="187">
          <cell r="B187" t="str">
            <v>165-0009</v>
          </cell>
          <cell r="C187" t="str">
            <v>Certified Comm Serv &amp; Equip</v>
          </cell>
          <cell r="D187" t="str">
            <v>Pilot #1046</v>
          </cell>
          <cell r="E187" t="str">
            <v>South Bay FL</v>
          </cell>
          <cell r="F187">
            <v>42436</v>
          </cell>
          <cell r="G187">
            <v>42439</v>
          </cell>
          <cell r="I187">
            <v>42440</v>
          </cell>
          <cell r="J187" t="str">
            <v>VSS</v>
          </cell>
          <cell r="L187">
            <v>1978</v>
          </cell>
          <cell r="M187">
            <v>0</v>
          </cell>
          <cell r="N187">
            <v>3</v>
          </cell>
          <cell r="O187">
            <v>16294.12</v>
          </cell>
          <cell r="P187" t="str">
            <v>GA</v>
          </cell>
          <cell r="Q187" t="str">
            <v>4PD</v>
          </cell>
          <cell r="R187">
            <v>16294.1173</v>
          </cell>
          <cell r="S187" t="b">
            <v>0</v>
          </cell>
          <cell r="T187" t="str">
            <v>No</v>
          </cell>
          <cell r="V187" t="str">
            <v>A</v>
          </cell>
        </row>
        <row r="188">
          <cell r="B188" t="str">
            <v>157-2231B</v>
          </cell>
          <cell r="C188" t="str">
            <v>Wal-Mart Store Planning</v>
          </cell>
          <cell r="D188" t="str">
            <v>Walmart 1206-225 Remodel</v>
          </cell>
          <cell r="E188" t="str">
            <v>Baton Rouge, LA</v>
          </cell>
          <cell r="F188">
            <v>42436</v>
          </cell>
          <cell r="G188">
            <v>42439</v>
          </cell>
          <cell r="I188">
            <v>42440</v>
          </cell>
          <cell r="J188" t="str">
            <v>RS</v>
          </cell>
          <cell r="L188">
            <v>0</v>
          </cell>
          <cell r="M188">
            <v>0</v>
          </cell>
          <cell r="N188">
            <v>1</v>
          </cell>
          <cell r="O188">
            <v>10035</v>
          </cell>
          <cell r="P188" t="str">
            <v>GA</v>
          </cell>
          <cell r="Q188" t="str">
            <v>4PD</v>
          </cell>
          <cell r="R188">
            <v>15842.5764</v>
          </cell>
          <cell r="S188" t="b">
            <v>0</v>
          </cell>
          <cell r="T188" t="str">
            <v>No</v>
          </cell>
          <cell r="V188" t="str">
            <v>A</v>
          </cell>
        </row>
        <row r="189">
          <cell r="B189" t="str">
            <v xml:space="preserve">160-0061 </v>
          </cell>
          <cell r="C189" t="str">
            <v>Supermarket Source, Inc</v>
          </cell>
          <cell r="D189" t="str">
            <v>A - 1 Bravo Cape Coral</v>
          </cell>
          <cell r="E189" t="str">
            <v>Cape Coral</v>
          </cell>
          <cell r="F189">
            <v>42436</v>
          </cell>
          <cell r="G189">
            <v>42440</v>
          </cell>
          <cell r="I189">
            <v>42443</v>
          </cell>
          <cell r="J189" t="str">
            <v>.</v>
          </cell>
          <cell r="L189">
            <v>5162</v>
          </cell>
          <cell r="M189">
            <v>0</v>
          </cell>
          <cell r="N189">
            <v>5</v>
          </cell>
          <cell r="O189">
            <v>40979.839999999997</v>
          </cell>
          <cell r="P189" t="str">
            <v>GA</v>
          </cell>
          <cell r="Q189" t="str">
            <v>4PD</v>
          </cell>
          <cell r="R189">
            <v>46862.3223</v>
          </cell>
          <cell r="S189" t="b">
            <v>0</v>
          </cell>
          <cell r="T189" t="str">
            <v>No</v>
          </cell>
        </row>
        <row r="190">
          <cell r="B190" t="str">
            <v>157-1053</v>
          </cell>
          <cell r="C190" t="str">
            <v>Wal-Mart Store Planning</v>
          </cell>
          <cell r="D190" t="str">
            <v>Walmart 4619-00-NHM-NEW-45</v>
          </cell>
          <cell r="E190" t="str">
            <v>Tupelo, MS</v>
          </cell>
          <cell r="F190">
            <v>42436</v>
          </cell>
          <cell r="G190">
            <v>42440</v>
          </cell>
          <cell r="I190">
            <v>42443</v>
          </cell>
          <cell r="J190" t="str">
            <v>PC</v>
          </cell>
          <cell r="L190">
            <v>5898</v>
          </cell>
          <cell r="M190">
            <v>0</v>
          </cell>
          <cell r="N190">
            <v>3</v>
          </cell>
          <cell r="O190">
            <v>36565.089999999997</v>
          </cell>
          <cell r="P190" t="str">
            <v>GA</v>
          </cell>
          <cell r="Q190" t="str">
            <v>4PD</v>
          </cell>
          <cell r="R190">
            <v>71879.756099999999</v>
          </cell>
          <cell r="S190" t="b">
            <v>0</v>
          </cell>
          <cell r="T190" t="str">
            <v>No</v>
          </cell>
          <cell r="V190" t="str">
            <v>A</v>
          </cell>
        </row>
        <row r="191">
          <cell r="B191" t="str">
            <v>160-0039</v>
          </cell>
          <cell r="C191" t="str">
            <v>Walmart Puerto Rico</v>
          </cell>
          <cell r="D191" t="str">
            <v>SC Manati Store 3716</v>
          </cell>
          <cell r="E191" t="str">
            <v>San Juan PR</v>
          </cell>
          <cell r="F191">
            <v>42436</v>
          </cell>
          <cell r="G191">
            <v>42440</v>
          </cell>
          <cell r="I191">
            <v>42443</v>
          </cell>
          <cell r="J191" t="str">
            <v>RQ</v>
          </cell>
          <cell r="L191">
            <v>7824</v>
          </cell>
          <cell r="M191">
            <v>0</v>
          </cell>
          <cell r="N191">
            <v>5</v>
          </cell>
          <cell r="O191">
            <v>58268.14</v>
          </cell>
          <cell r="P191" t="str">
            <v>GA</v>
          </cell>
          <cell r="Q191" t="str">
            <v>4PD</v>
          </cell>
          <cell r="R191">
            <v>73322.672600000005</v>
          </cell>
          <cell r="S191" t="b">
            <v>0</v>
          </cell>
          <cell r="T191" t="str">
            <v>No</v>
          </cell>
        </row>
        <row r="192">
          <cell r="B192" t="str">
            <v xml:space="preserve">155-1038ADD1 </v>
          </cell>
          <cell r="C192" t="str">
            <v>K-Va-T Stores</v>
          </cell>
          <cell r="D192" t="str">
            <v>Food City 608</v>
          </cell>
          <cell r="E192" t="str">
            <v>Greenville TN</v>
          </cell>
          <cell r="F192">
            <v>42436</v>
          </cell>
          <cell r="G192">
            <v>42443</v>
          </cell>
          <cell r="I192">
            <v>42444</v>
          </cell>
          <cell r="J192" t="str">
            <v>.</v>
          </cell>
          <cell r="L192">
            <v>931</v>
          </cell>
          <cell r="M192">
            <v>0</v>
          </cell>
          <cell r="N192">
            <v>2</v>
          </cell>
          <cell r="O192">
            <v>8547.15</v>
          </cell>
          <cell r="P192" t="str">
            <v>GA</v>
          </cell>
          <cell r="Q192" t="str">
            <v>4PD</v>
          </cell>
          <cell r="R192">
            <v>8547.1519000000008</v>
          </cell>
          <cell r="S192" t="b">
            <v>1</v>
          </cell>
          <cell r="T192" t="str">
            <v>Yes</v>
          </cell>
          <cell r="V192" t="str">
            <v>A</v>
          </cell>
        </row>
        <row r="193">
          <cell r="B193" t="str">
            <v xml:space="preserve">167-0165 </v>
          </cell>
          <cell r="C193" t="str">
            <v>Berkot's Super Foods</v>
          </cell>
          <cell r="D193" t="str">
            <v>BERKOTS SUPER FOODS</v>
          </cell>
          <cell r="E193" t="str">
            <v>JOLIET IL</v>
          </cell>
          <cell r="F193">
            <v>42436</v>
          </cell>
          <cell r="G193">
            <v>42443</v>
          </cell>
          <cell r="I193">
            <v>42444</v>
          </cell>
          <cell r="J193" t="str">
            <v>SQ</v>
          </cell>
          <cell r="L193">
            <v>15932</v>
          </cell>
          <cell r="M193">
            <v>0</v>
          </cell>
          <cell r="N193">
            <v>9</v>
          </cell>
          <cell r="O193">
            <v>122789.21</v>
          </cell>
          <cell r="P193" t="str">
            <v>GA</v>
          </cell>
          <cell r="Q193" t="str">
            <v>4PD</v>
          </cell>
          <cell r="R193">
            <v>157089.44440000001</v>
          </cell>
          <cell r="S193" t="b">
            <v>0</v>
          </cell>
          <cell r="T193" t="str">
            <v>No</v>
          </cell>
        </row>
        <row r="194">
          <cell r="B194" t="str">
            <v>165-0079</v>
          </cell>
          <cell r="C194" t="str">
            <v>Dollar Tree Sourcing Comp. LLC</v>
          </cell>
          <cell r="D194" t="str">
            <v>DT# 5774   WSM FLDLCRDR</v>
          </cell>
          <cell r="E194" t="str">
            <v>Bronx, NY</v>
          </cell>
          <cell r="F194">
            <v>42436</v>
          </cell>
          <cell r="G194">
            <v>42443</v>
          </cell>
          <cell r="I194">
            <v>42444</v>
          </cell>
          <cell r="J194" t="str">
            <v>.</v>
          </cell>
          <cell r="L194">
            <v>629</v>
          </cell>
          <cell r="M194">
            <v>0</v>
          </cell>
          <cell r="N194">
            <v>2</v>
          </cell>
          <cell r="O194">
            <v>6083.54</v>
          </cell>
          <cell r="P194" t="str">
            <v>GA</v>
          </cell>
          <cell r="Q194" t="str">
            <v>4PD</v>
          </cell>
          <cell r="R194">
            <v>10516.6674</v>
          </cell>
          <cell r="S194" t="b">
            <v>1</v>
          </cell>
          <cell r="T194" t="str">
            <v>Yes</v>
          </cell>
        </row>
        <row r="195">
          <cell r="B195" t="str">
            <v>165-0066</v>
          </cell>
          <cell r="C195" t="str">
            <v>Dollar Tree Sourcing Comp. LLC</v>
          </cell>
          <cell r="D195" t="str">
            <v>DT# 272   WM FLDLCRDR</v>
          </cell>
          <cell r="E195" t="str">
            <v>Lexington, VA</v>
          </cell>
          <cell r="F195">
            <v>42436</v>
          </cell>
          <cell r="G195">
            <v>42443</v>
          </cell>
          <cell r="I195">
            <v>42444</v>
          </cell>
          <cell r="J195" t="str">
            <v>.</v>
          </cell>
          <cell r="L195">
            <v>551</v>
          </cell>
          <cell r="M195">
            <v>0</v>
          </cell>
          <cell r="N195">
            <v>2</v>
          </cell>
          <cell r="O195">
            <v>5500.12</v>
          </cell>
          <cell r="P195" t="str">
            <v>GA</v>
          </cell>
          <cell r="Q195" t="str">
            <v>4PD</v>
          </cell>
          <cell r="R195">
            <v>9933.2451999999994</v>
          </cell>
          <cell r="S195" t="b">
            <v>1</v>
          </cell>
          <cell r="T195" t="str">
            <v>Yes</v>
          </cell>
        </row>
        <row r="196">
          <cell r="B196" t="str">
            <v>165-0034</v>
          </cell>
          <cell r="C196" t="str">
            <v>Dollar Tree Sourcing Comp. LLC</v>
          </cell>
          <cell r="D196" t="str">
            <v>DT# 291   WSM FLDLCRDR</v>
          </cell>
          <cell r="E196" t="str">
            <v>JACKSONVILLE, NC</v>
          </cell>
          <cell r="F196">
            <v>42436</v>
          </cell>
          <cell r="G196">
            <v>42444</v>
          </cell>
          <cell r="I196">
            <v>42445</v>
          </cell>
          <cell r="J196" t="str">
            <v>.</v>
          </cell>
          <cell r="L196">
            <v>629</v>
          </cell>
          <cell r="M196">
            <v>0</v>
          </cell>
          <cell r="N196">
            <v>2</v>
          </cell>
          <cell r="O196">
            <v>6083.54</v>
          </cell>
          <cell r="P196" t="str">
            <v>GA</v>
          </cell>
          <cell r="Q196" t="str">
            <v>4PD</v>
          </cell>
          <cell r="R196">
            <v>10516.6674</v>
          </cell>
          <cell r="S196" t="b">
            <v>1</v>
          </cell>
          <cell r="T196" t="str">
            <v>Yes</v>
          </cell>
        </row>
        <row r="197">
          <cell r="B197" t="str">
            <v>165-0080</v>
          </cell>
          <cell r="C197" t="str">
            <v>Dollar Tree Sourcing Comp. LLC</v>
          </cell>
          <cell r="D197" t="str">
            <v>DT# 565   WSM FRDRCLDL</v>
          </cell>
          <cell r="E197" t="str">
            <v>Augusta, GA</v>
          </cell>
          <cell r="F197">
            <v>42436</v>
          </cell>
          <cell r="G197">
            <v>42445</v>
          </cell>
          <cell r="I197">
            <v>42446</v>
          </cell>
          <cell r="J197" t="str">
            <v>.</v>
          </cell>
          <cell r="L197">
            <v>629</v>
          </cell>
          <cell r="M197">
            <v>0</v>
          </cell>
          <cell r="N197">
            <v>2</v>
          </cell>
          <cell r="O197">
            <v>6083.54</v>
          </cell>
          <cell r="P197" t="str">
            <v>GA</v>
          </cell>
          <cell r="Q197" t="str">
            <v>4PD</v>
          </cell>
          <cell r="R197">
            <v>10516.6674</v>
          </cell>
          <cell r="S197" t="b">
            <v>1</v>
          </cell>
          <cell r="T197" t="str">
            <v>Yes</v>
          </cell>
        </row>
        <row r="198">
          <cell r="B198" t="str">
            <v>157-2219</v>
          </cell>
          <cell r="C198" t="str">
            <v>Wal-Mart Store Planning</v>
          </cell>
          <cell r="D198" t="str">
            <v>Walmart 2010-224 Remodel</v>
          </cell>
          <cell r="E198" t="str">
            <v>Niles, MI</v>
          </cell>
          <cell r="F198">
            <v>42443</v>
          </cell>
          <cell r="G198">
            <v>42439</v>
          </cell>
          <cell r="I198">
            <v>42440</v>
          </cell>
          <cell r="J198" t="str">
            <v>RS</v>
          </cell>
          <cell r="L198">
            <v>0</v>
          </cell>
          <cell r="M198">
            <v>0</v>
          </cell>
          <cell r="N198">
            <v>1</v>
          </cell>
          <cell r="O198">
            <v>3255.72</v>
          </cell>
          <cell r="P198" t="str">
            <v>GA</v>
          </cell>
          <cell r="Q198" t="str">
            <v>4PD</v>
          </cell>
          <cell r="R198">
            <v>10580.79</v>
          </cell>
          <cell r="S198" t="b">
            <v>0</v>
          </cell>
          <cell r="T198" t="str">
            <v>No</v>
          </cell>
          <cell r="V198" t="str">
            <v>A</v>
          </cell>
        </row>
        <row r="199">
          <cell r="B199" t="str">
            <v>165-0017</v>
          </cell>
          <cell r="C199" t="str">
            <v>Publix Super Markets Inc.</v>
          </cell>
          <cell r="D199" t="str">
            <v>Publix #1532</v>
          </cell>
          <cell r="E199" t="str">
            <v>Colbert, AL</v>
          </cell>
          <cell r="F199">
            <v>42443</v>
          </cell>
          <cell r="G199">
            <v>42446</v>
          </cell>
          <cell r="I199">
            <v>42447</v>
          </cell>
          <cell r="J199" t="str">
            <v>AP</v>
          </cell>
          <cell r="L199">
            <v>0</v>
          </cell>
          <cell r="M199">
            <v>0</v>
          </cell>
          <cell r="N199">
            <v>0</v>
          </cell>
          <cell r="O199">
            <v>18115.900000000001</v>
          </cell>
          <cell r="P199" t="str">
            <v>GA</v>
          </cell>
          <cell r="Q199" t="str">
            <v>4PD</v>
          </cell>
          <cell r="R199">
            <v>18115.900000000001</v>
          </cell>
          <cell r="S199" t="b">
            <v>0</v>
          </cell>
          <cell r="T199" t="str">
            <v>No</v>
          </cell>
        </row>
        <row r="200">
          <cell r="B200" t="str">
            <v>157-1231</v>
          </cell>
          <cell r="C200" t="str">
            <v>KPS, LLC Cincinnati #014</v>
          </cell>
          <cell r="D200" t="str">
            <v>Kroger A-939OLS</v>
          </cell>
          <cell r="E200" t="str">
            <v>FAIRFIELD OH</v>
          </cell>
          <cell r="F200">
            <v>42443</v>
          </cell>
          <cell r="G200">
            <v>42446</v>
          </cell>
          <cell r="I200">
            <v>42447</v>
          </cell>
          <cell r="J200" t="str">
            <v>SS</v>
          </cell>
          <cell r="L200">
            <v>1420</v>
          </cell>
          <cell r="M200">
            <v>0</v>
          </cell>
          <cell r="N200">
            <v>2</v>
          </cell>
          <cell r="O200">
            <v>11083.41</v>
          </cell>
          <cell r="P200" t="str">
            <v>GA</v>
          </cell>
          <cell r="Q200" t="str">
            <v>4PD</v>
          </cell>
          <cell r="R200">
            <v>11083.405199999999</v>
          </cell>
          <cell r="S200" t="b">
            <v>0</v>
          </cell>
          <cell r="T200" t="str">
            <v>No</v>
          </cell>
          <cell r="U200" t="str">
            <v>FBed</v>
          </cell>
        </row>
        <row r="201">
          <cell r="B201" t="str">
            <v>165-0001A</v>
          </cell>
          <cell r="C201" t="str">
            <v>Giant Eagle-Aetos Construction</v>
          </cell>
          <cell r="D201" t="str">
            <v>GE 61</v>
          </cell>
          <cell r="F201">
            <v>42443</v>
          </cell>
          <cell r="G201">
            <v>42446</v>
          </cell>
          <cell r="I201">
            <v>42447</v>
          </cell>
          <cell r="J201" t="str">
            <v>SQ</v>
          </cell>
          <cell r="L201">
            <v>777</v>
          </cell>
          <cell r="M201">
            <v>0</v>
          </cell>
          <cell r="N201">
            <v>0</v>
          </cell>
          <cell r="O201">
            <v>6010.2</v>
          </cell>
          <cell r="P201" t="str">
            <v>GA</v>
          </cell>
          <cell r="Q201" t="str">
            <v>4PD</v>
          </cell>
          <cell r="R201">
            <v>25233.57</v>
          </cell>
          <cell r="S201" t="b">
            <v>0</v>
          </cell>
          <cell r="T201" t="str">
            <v>No</v>
          </cell>
          <cell r="V201" t="str">
            <v>A</v>
          </cell>
        </row>
        <row r="202">
          <cell r="B202" t="str">
            <v xml:space="preserve">157-2284 </v>
          </cell>
          <cell r="C202" t="str">
            <v>Wal-Mart Store Planning</v>
          </cell>
          <cell r="D202" t="str">
            <v>Walmart 2027-224-SC-REM</v>
          </cell>
          <cell r="E202" t="str">
            <v>Lavale, MD</v>
          </cell>
          <cell r="F202">
            <v>42443</v>
          </cell>
          <cell r="G202">
            <v>42446</v>
          </cell>
          <cell r="I202">
            <v>42447</v>
          </cell>
          <cell r="J202" t="str">
            <v>RS</v>
          </cell>
          <cell r="L202">
            <v>3114</v>
          </cell>
          <cell r="M202">
            <v>0</v>
          </cell>
          <cell r="N202">
            <v>1</v>
          </cell>
          <cell r="O202">
            <v>29398.05</v>
          </cell>
          <cell r="P202" t="str">
            <v>GA</v>
          </cell>
          <cell r="Q202" t="str">
            <v>4PD</v>
          </cell>
          <cell r="R202">
            <v>58740.051800000001</v>
          </cell>
          <cell r="S202" t="b">
            <v>0</v>
          </cell>
          <cell r="T202" t="str">
            <v>No</v>
          </cell>
          <cell r="V202" t="str">
            <v>A</v>
          </cell>
        </row>
        <row r="203">
          <cell r="B203" t="str">
            <v>157-2000C</v>
          </cell>
          <cell r="C203" t="str">
            <v>Wal-Mart Store Planning</v>
          </cell>
          <cell r="D203" t="str">
            <v>Walmart 1675-221-SC-REM</v>
          </cell>
          <cell r="E203" t="str">
            <v>Lebanon, KY</v>
          </cell>
          <cell r="F203">
            <v>42443</v>
          </cell>
          <cell r="G203">
            <v>42446</v>
          </cell>
          <cell r="I203">
            <v>42447</v>
          </cell>
          <cell r="J203" t="str">
            <v>PF</v>
          </cell>
          <cell r="K203" t="str">
            <v>CC</v>
          </cell>
          <cell r="L203">
            <v>0</v>
          </cell>
          <cell r="M203">
            <v>0</v>
          </cell>
          <cell r="N203">
            <v>0</v>
          </cell>
          <cell r="O203">
            <v>11994.89</v>
          </cell>
          <cell r="P203" t="str">
            <v>GA</v>
          </cell>
          <cell r="Q203" t="str">
            <v>4PD</v>
          </cell>
          <cell r="R203">
            <v>14210.2032</v>
          </cell>
          <cell r="S203" t="b">
            <v>0</v>
          </cell>
          <cell r="T203" t="str">
            <v>No</v>
          </cell>
          <cell r="V203" t="str">
            <v>A</v>
          </cell>
        </row>
        <row r="204">
          <cell r="B204" t="str">
            <v>167-0125</v>
          </cell>
          <cell r="C204" t="str">
            <v>Topco Associates, LLC</v>
          </cell>
          <cell r="D204" t="str">
            <v>Mariano's Fresh Market</v>
          </cell>
          <cell r="E204" t="str">
            <v>CHICAGO IL</v>
          </cell>
          <cell r="F204">
            <v>42443</v>
          </cell>
          <cell r="G204">
            <v>42446</v>
          </cell>
          <cell r="I204">
            <v>42447</v>
          </cell>
          <cell r="J204" t="str">
            <v>SQ</v>
          </cell>
          <cell r="L204">
            <v>19393</v>
          </cell>
          <cell r="M204">
            <v>0</v>
          </cell>
          <cell r="N204">
            <v>1</v>
          </cell>
          <cell r="O204">
            <v>142378.63</v>
          </cell>
          <cell r="P204" t="str">
            <v>GA</v>
          </cell>
          <cell r="Q204" t="str">
            <v>4PD</v>
          </cell>
          <cell r="R204">
            <v>182557.88459999999</v>
          </cell>
          <cell r="S204" t="b">
            <v>0</v>
          </cell>
          <cell r="T204" t="str">
            <v>No</v>
          </cell>
        </row>
        <row r="205">
          <cell r="B205" t="str">
            <v>167-0124</v>
          </cell>
          <cell r="C205" t="str">
            <v>Aldi Inc - Center Valley</v>
          </cell>
          <cell r="D205" t="str">
            <v>ALDI STORE - Monroe</v>
          </cell>
          <cell r="E205" t="str">
            <v>ALEXANDRIA VA</v>
          </cell>
          <cell r="F205">
            <v>42443</v>
          </cell>
          <cell r="G205">
            <v>42446</v>
          </cell>
          <cell r="I205">
            <v>42447</v>
          </cell>
          <cell r="J205" t="str">
            <v>SQ</v>
          </cell>
          <cell r="L205">
            <v>2284</v>
          </cell>
          <cell r="M205">
            <v>0</v>
          </cell>
          <cell r="N205">
            <v>2</v>
          </cell>
          <cell r="O205">
            <v>18456.16</v>
          </cell>
          <cell r="P205" t="str">
            <v>GA</v>
          </cell>
          <cell r="Q205" t="str">
            <v>4PD</v>
          </cell>
          <cell r="R205">
            <v>21538.987400000002</v>
          </cell>
          <cell r="S205" t="b">
            <v>0</v>
          </cell>
          <cell r="T205" t="str">
            <v>No</v>
          </cell>
        </row>
        <row r="206">
          <cell r="B206" t="str">
            <v>165-0035</v>
          </cell>
          <cell r="C206" t="str">
            <v>Dollar Tree Sourcing Comp. LLC</v>
          </cell>
          <cell r="D206" t="str">
            <v>DT# 3945   WSM FLDLCRDR</v>
          </cell>
          <cell r="E206" t="str">
            <v>BRIGHTON, MI</v>
          </cell>
          <cell r="F206">
            <v>42443</v>
          </cell>
          <cell r="G206">
            <v>42446</v>
          </cell>
          <cell r="I206">
            <v>42447</v>
          </cell>
          <cell r="J206" t="str">
            <v>.</v>
          </cell>
          <cell r="L206">
            <v>629</v>
          </cell>
          <cell r="M206">
            <v>0</v>
          </cell>
          <cell r="N206">
            <v>2</v>
          </cell>
          <cell r="O206">
            <v>6083.54</v>
          </cell>
          <cell r="P206" t="str">
            <v>GA</v>
          </cell>
          <cell r="Q206" t="str">
            <v>4PD</v>
          </cell>
          <cell r="R206">
            <v>10516.6674</v>
          </cell>
          <cell r="S206" t="b">
            <v>1</v>
          </cell>
          <cell r="T206" t="str">
            <v>Yes</v>
          </cell>
        </row>
        <row r="207">
          <cell r="B207" t="str">
            <v>157-2231C</v>
          </cell>
          <cell r="C207" t="str">
            <v>Wal-Mart Store Planning</v>
          </cell>
          <cell r="D207" t="str">
            <v>Walmart 1206-225 Remodel</v>
          </cell>
          <cell r="E207" t="str">
            <v>Baton Rouge, LA</v>
          </cell>
          <cell r="F207">
            <v>42443</v>
          </cell>
          <cell r="G207">
            <v>42446</v>
          </cell>
          <cell r="I207">
            <v>42447</v>
          </cell>
          <cell r="J207" t="str">
            <v>RS</v>
          </cell>
          <cell r="L207">
            <v>0</v>
          </cell>
          <cell r="M207">
            <v>0</v>
          </cell>
          <cell r="N207">
            <v>0</v>
          </cell>
          <cell r="O207">
            <v>0</v>
          </cell>
          <cell r="P207" t="str">
            <v>GA</v>
          </cell>
          <cell r="Q207" t="str">
            <v>4PD</v>
          </cell>
          <cell r="R207">
            <v>15280.86</v>
          </cell>
          <cell r="S207" t="b">
            <v>0</v>
          </cell>
          <cell r="T207" t="str">
            <v>No</v>
          </cell>
          <cell r="V207" t="str">
            <v>A</v>
          </cell>
        </row>
        <row r="208">
          <cell r="B208" t="str">
            <v>165-0016A</v>
          </cell>
          <cell r="C208" t="str">
            <v>Publix Super Markets Inc.</v>
          </cell>
          <cell r="D208" t="str">
            <v>Publix #1351</v>
          </cell>
          <cell r="E208" t="str">
            <v>Myrtle Beach SC</v>
          </cell>
          <cell r="F208">
            <v>42443</v>
          </cell>
          <cell r="G208">
            <v>42446</v>
          </cell>
          <cell r="I208">
            <v>42447</v>
          </cell>
          <cell r="J208" t="str">
            <v>AP</v>
          </cell>
          <cell r="L208">
            <v>11453</v>
          </cell>
          <cell r="M208">
            <v>0</v>
          </cell>
          <cell r="N208">
            <v>12</v>
          </cell>
          <cell r="O208">
            <v>78543.3</v>
          </cell>
          <cell r="P208" t="str">
            <v>GA</v>
          </cell>
          <cell r="Q208" t="str">
            <v>4PD</v>
          </cell>
          <cell r="R208">
            <v>78543.297399999996</v>
          </cell>
          <cell r="S208" t="b">
            <v>0</v>
          </cell>
          <cell r="T208" t="str">
            <v>No</v>
          </cell>
        </row>
        <row r="209">
          <cell r="B209" t="str">
            <v>157-2284ADD1</v>
          </cell>
          <cell r="C209" t="str">
            <v>Wal-Mart Store Planning</v>
          </cell>
          <cell r="D209" t="str">
            <v>Walmart 2027-224-SC-REM</v>
          </cell>
          <cell r="E209" t="str">
            <v>Lavale, MD</v>
          </cell>
          <cell r="F209">
            <v>42443</v>
          </cell>
          <cell r="G209">
            <v>42446</v>
          </cell>
          <cell r="I209">
            <v>42447</v>
          </cell>
          <cell r="J209" t="str">
            <v>RS</v>
          </cell>
          <cell r="L209">
            <v>0</v>
          </cell>
          <cell r="M209">
            <v>0</v>
          </cell>
          <cell r="N209">
            <v>0</v>
          </cell>
          <cell r="O209">
            <v>904.8</v>
          </cell>
          <cell r="P209" t="str">
            <v>GA</v>
          </cell>
          <cell r="Q209" t="str">
            <v>4PD</v>
          </cell>
          <cell r="R209">
            <v>3137.3</v>
          </cell>
          <cell r="S209" t="b">
            <v>0</v>
          </cell>
          <cell r="T209" t="str">
            <v>No</v>
          </cell>
          <cell r="V209" t="str">
            <v>A</v>
          </cell>
        </row>
        <row r="210">
          <cell r="B210" t="str">
            <v xml:space="preserve">157-1866 </v>
          </cell>
          <cell r="C210" t="str">
            <v>Cypress Acquisitions, LLC</v>
          </cell>
          <cell r="D210" t="str">
            <v>Walmart 5291-00-NHM-DEV-41L</v>
          </cell>
          <cell r="E210" t="str">
            <v>Columbia SC</v>
          </cell>
          <cell r="F210">
            <v>42443</v>
          </cell>
          <cell r="G210">
            <v>42446</v>
          </cell>
          <cell r="I210">
            <v>42447</v>
          </cell>
          <cell r="J210" t="str">
            <v>PF</v>
          </cell>
          <cell r="K210" t="str">
            <v>CC</v>
          </cell>
          <cell r="L210">
            <v>4930</v>
          </cell>
          <cell r="M210">
            <v>125</v>
          </cell>
          <cell r="N210">
            <v>1</v>
          </cell>
          <cell r="O210">
            <v>34140.28</v>
          </cell>
          <cell r="P210" t="str">
            <v>GA</v>
          </cell>
          <cell r="Q210" t="str">
            <v>4PD</v>
          </cell>
          <cell r="R210">
            <v>68969.877600000007</v>
          </cell>
          <cell r="S210" t="b">
            <v>0</v>
          </cell>
          <cell r="T210" t="str">
            <v>No</v>
          </cell>
          <cell r="U210" t="str">
            <v>FBed</v>
          </cell>
          <cell r="V210" t="str">
            <v>A</v>
          </cell>
        </row>
        <row r="211">
          <cell r="B211" t="str">
            <v>157-2038A</v>
          </cell>
          <cell r="C211" t="str">
            <v>KPS, LLC Nashville #026</v>
          </cell>
          <cell r="D211" t="str">
            <v>Kroger U-670</v>
          </cell>
          <cell r="E211" t="str">
            <v>POWELL TN</v>
          </cell>
          <cell r="F211">
            <v>42443</v>
          </cell>
          <cell r="G211">
            <v>42446</v>
          </cell>
          <cell r="I211">
            <v>42447</v>
          </cell>
          <cell r="J211" t="str">
            <v>AP</v>
          </cell>
          <cell r="L211">
            <v>4413</v>
          </cell>
          <cell r="M211">
            <v>0</v>
          </cell>
          <cell r="N211">
            <v>3</v>
          </cell>
          <cell r="O211">
            <v>31184.26</v>
          </cell>
          <cell r="P211" t="str">
            <v>GA</v>
          </cell>
          <cell r="Q211" t="str">
            <v>4PD</v>
          </cell>
          <cell r="R211">
            <v>31184.261200000001</v>
          </cell>
          <cell r="S211" t="b">
            <v>0</v>
          </cell>
          <cell r="T211" t="str">
            <v>No</v>
          </cell>
          <cell r="U211" t="str">
            <v>FBed</v>
          </cell>
          <cell r="V211" t="str">
            <v>A</v>
          </cell>
        </row>
        <row r="212">
          <cell r="B212" t="str">
            <v>167-0008</v>
          </cell>
          <cell r="C212" t="str">
            <v>Wal-Mart Store Planning</v>
          </cell>
          <cell r="D212" t="str">
            <v>Walmart 2860-220 Remodel</v>
          </cell>
          <cell r="E212" t="str">
            <v>Pooler, GA</v>
          </cell>
          <cell r="F212">
            <v>42443</v>
          </cell>
          <cell r="G212">
            <v>42450</v>
          </cell>
          <cell r="I212">
            <v>42451</v>
          </cell>
          <cell r="J212" t="str">
            <v>RS</v>
          </cell>
          <cell r="L212">
            <v>0</v>
          </cell>
          <cell r="M212">
            <v>0</v>
          </cell>
          <cell r="N212">
            <v>0</v>
          </cell>
          <cell r="O212">
            <v>10760</v>
          </cell>
          <cell r="P212" t="str">
            <v>GA</v>
          </cell>
          <cell r="Q212" t="str">
            <v>4PD</v>
          </cell>
          <cell r="R212">
            <v>43113.69</v>
          </cell>
          <cell r="S212" t="b">
            <v>0</v>
          </cell>
          <cell r="T212" t="str">
            <v>No</v>
          </cell>
          <cell r="V212" t="str">
            <v>A</v>
          </cell>
        </row>
        <row r="213">
          <cell r="B213" t="str">
            <v>167-0134</v>
          </cell>
          <cell r="C213" t="str">
            <v>Wal-Mart Store Planning</v>
          </cell>
          <cell r="D213" t="str">
            <v>Walmart 0356-222-SC-REM</v>
          </cell>
          <cell r="E213" t="str">
            <v>Auburn, AL</v>
          </cell>
          <cell r="F213">
            <v>42443</v>
          </cell>
          <cell r="G213">
            <v>42450</v>
          </cell>
          <cell r="I213">
            <v>42451</v>
          </cell>
          <cell r="J213" t="str">
            <v>RS</v>
          </cell>
          <cell r="L213">
            <v>1224</v>
          </cell>
          <cell r="M213">
            <v>0</v>
          </cell>
          <cell r="N213">
            <v>2</v>
          </cell>
          <cell r="O213">
            <v>10637.45</v>
          </cell>
          <cell r="P213" t="str">
            <v>GA</v>
          </cell>
          <cell r="Q213" t="str">
            <v>4PD</v>
          </cell>
          <cell r="R213">
            <v>26945.884900000001</v>
          </cell>
          <cell r="S213" t="b">
            <v>0</v>
          </cell>
          <cell r="T213" t="str">
            <v>No</v>
          </cell>
          <cell r="V213" t="str">
            <v>A</v>
          </cell>
        </row>
        <row r="214">
          <cell r="B214" t="str">
            <v>165-0026</v>
          </cell>
          <cell r="C214" t="str">
            <v>Dollar Tree Sourcing Comp. LLC</v>
          </cell>
          <cell r="D214" t="str">
            <v>DT# 9447   WSM FRDRCLDL</v>
          </cell>
          <cell r="E214" t="str">
            <v>MIAMI GARDENS, FL</v>
          </cell>
          <cell r="F214">
            <v>42443</v>
          </cell>
          <cell r="G214">
            <v>42450</v>
          </cell>
          <cell r="I214">
            <v>42451</v>
          </cell>
          <cell r="J214" t="str">
            <v>.</v>
          </cell>
          <cell r="L214">
            <v>629</v>
          </cell>
          <cell r="M214">
            <v>0</v>
          </cell>
          <cell r="N214">
            <v>2</v>
          </cell>
          <cell r="O214">
            <v>6083.54</v>
          </cell>
          <cell r="P214" t="str">
            <v>GA</v>
          </cell>
          <cell r="Q214" t="str">
            <v>4PD</v>
          </cell>
          <cell r="R214">
            <v>10516.6674</v>
          </cell>
          <cell r="S214" t="b">
            <v>1</v>
          </cell>
          <cell r="T214" t="str">
            <v>Yes</v>
          </cell>
        </row>
        <row r="215">
          <cell r="B215" t="str">
            <v>157-2204</v>
          </cell>
          <cell r="C215" t="str">
            <v>Kroger Atlanta # 011</v>
          </cell>
          <cell r="D215" t="str">
            <v>Kroger GA-626</v>
          </cell>
          <cell r="E215" t="str">
            <v>ATLANTA GA</v>
          </cell>
          <cell r="F215">
            <v>42443</v>
          </cell>
          <cell r="G215">
            <v>42451</v>
          </cell>
          <cell r="I215">
            <v>42452</v>
          </cell>
          <cell r="J215" t="str">
            <v>VAP</v>
          </cell>
          <cell r="L215">
            <v>17286</v>
          </cell>
          <cell r="M215">
            <v>0</v>
          </cell>
          <cell r="N215">
            <v>17</v>
          </cell>
          <cell r="O215">
            <v>138779.04</v>
          </cell>
          <cell r="P215" t="str">
            <v>GA</v>
          </cell>
          <cell r="Q215" t="str">
            <v>4PD</v>
          </cell>
          <cell r="R215">
            <v>138779.0441</v>
          </cell>
          <cell r="S215" t="b">
            <v>0</v>
          </cell>
          <cell r="T215" t="str">
            <v>No</v>
          </cell>
          <cell r="U215" t="str">
            <v>FBed</v>
          </cell>
          <cell r="V215" t="str">
            <v>A</v>
          </cell>
        </row>
        <row r="216">
          <cell r="B216" t="str">
            <v>157-1575</v>
          </cell>
          <cell r="C216" t="str">
            <v>KPS, LLC Columbus #016</v>
          </cell>
          <cell r="D216" t="str">
            <v>Kroger N-842</v>
          </cell>
          <cell r="E216" t="str">
            <v>GROVE CITY OH</v>
          </cell>
          <cell r="F216">
            <v>42443</v>
          </cell>
          <cell r="G216">
            <v>42453</v>
          </cell>
          <cell r="I216">
            <v>42454</v>
          </cell>
          <cell r="J216" t="str">
            <v>AP</v>
          </cell>
          <cell r="L216">
            <v>17104</v>
          </cell>
          <cell r="M216">
            <v>0</v>
          </cell>
          <cell r="N216">
            <v>18</v>
          </cell>
          <cell r="O216">
            <v>127666.58</v>
          </cell>
          <cell r="P216" t="str">
            <v>GA</v>
          </cell>
          <cell r="Q216" t="str">
            <v>4PD</v>
          </cell>
          <cell r="R216">
            <v>127666.6205</v>
          </cell>
          <cell r="S216" t="b">
            <v>0</v>
          </cell>
          <cell r="T216" t="str">
            <v>No</v>
          </cell>
          <cell r="U216" t="str">
            <v>FBed</v>
          </cell>
        </row>
        <row r="217">
          <cell r="B217" t="str">
            <v>167-0042</v>
          </cell>
          <cell r="C217" t="str">
            <v>Two Farms, Inc.</v>
          </cell>
          <cell r="D217" t="str">
            <v>Royal Farms 167</v>
          </cell>
          <cell r="E217" t="str">
            <v>PARSON MD</v>
          </cell>
          <cell r="F217">
            <v>42443</v>
          </cell>
          <cell r="G217">
            <v>42453</v>
          </cell>
          <cell r="I217">
            <v>42454</v>
          </cell>
          <cell r="J217" t="str">
            <v>PC</v>
          </cell>
          <cell r="L217">
            <v>2303</v>
          </cell>
          <cell r="M217">
            <v>0</v>
          </cell>
          <cell r="N217">
            <v>5</v>
          </cell>
          <cell r="O217">
            <v>21493.89</v>
          </cell>
          <cell r="P217" t="str">
            <v>GA</v>
          </cell>
          <cell r="Q217" t="str">
            <v>4PD</v>
          </cell>
          <cell r="R217">
            <v>37600.206899999997</v>
          </cell>
          <cell r="S217" t="b">
            <v>0</v>
          </cell>
          <cell r="T217" t="str">
            <v>No</v>
          </cell>
          <cell r="U217" t="str">
            <v>FBed</v>
          </cell>
        </row>
        <row r="218">
          <cell r="B218" t="str">
            <v>157-2038B</v>
          </cell>
          <cell r="C218" t="str">
            <v>KPS, LLC Nashville #026</v>
          </cell>
          <cell r="D218" t="str">
            <v>Kroger U-670</v>
          </cell>
          <cell r="E218" t="str">
            <v>POWELL TN</v>
          </cell>
          <cell r="F218">
            <v>42450</v>
          </cell>
          <cell r="G218">
            <v>42453</v>
          </cell>
          <cell r="I218">
            <v>42454</v>
          </cell>
          <cell r="J218" t="str">
            <v>AP</v>
          </cell>
          <cell r="L218">
            <v>11914</v>
          </cell>
          <cell r="M218">
            <v>0</v>
          </cell>
          <cell r="N218">
            <v>14</v>
          </cell>
          <cell r="O218">
            <v>90391.44</v>
          </cell>
          <cell r="P218" t="str">
            <v>GA</v>
          </cell>
          <cell r="Q218" t="str">
            <v>4PD</v>
          </cell>
          <cell r="R218">
            <v>90391.435800000007</v>
          </cell>
          <cell r="S218" t="b">
            <v>0</v>
          </cell>
          <cell r="T218" t="str">
            <v>No</v>
          </cell>
          <cell r="V218" t="str">
            <v>A</v>
          </cell>
        </row>
        <row r="219">
          <cell r="B219" t="str">
            <v>167-0123</v>
          </cell>
          <cell r="C219" t="str">
            <v>KPS, LLC Mid-Atlantic # 029</v>
          </cell>
          <cell r="D219" t="str">
            <v>Kroger R-517 OLS</v>
          </cell>
          <cell r="E219" t="str">
            <v>RICHMOND VA</v>
          </cell>
          <cell r="F219">
            <v>42450</v>
          </cell>
          <cell r="G219">
            <v>42453</v>
          </cell>
          <cell r="I219">
            <v>42454</v>
          </cell>
          <cell r="J219" t="str">
            <v>VSS</v>
          </cell>
          <cell r="L219">
            <v>1219</v>
          </cell>
          <cell r="M219">
            <v>0</v>
          </cell>
          <cell r="N219">
            <v>3</v>
          </cell>
          <cell r="O219">
            <v>11815.95</v>
          </cell>
          <cell r="P219" t="str">
            <v>GA</v>
          </cell>
          <cell r="Q219" t="str">
            <v>4PD</v>
          </cell>
          <cell r="R219">
            <v>11815.948399999999</v>
          </cell>
          <cell r="S219" t="b">
            <v>0</v>
          </cell>
          <cell r="T219" t="str">
            <v>No</v>
          </cell>
          <cell r="U219" t="str">
            <v>FBed</v>
          </cell>
          <cell r="V219" t="str">
            <v>A</v>
          </cell>
        </row>
        <row r="220">
          <cell r="B220" t="str">
            <v xml:space="preserve">155-1015 </v>
          </cell>
          <cell r="C220" t="str">
            <v>Harris Teeter</v>
          </cell>
          <cell r="D220" t="str">
            <v>Harris Teeter 424</v>
          </cell>
          <cell r="E220" t="str">
            <v xml:space="preserve"> </v>
          </cell>
          <cell r="F220">
            <v>42450</v>
          </cell>
          <cell r="G220">
            <v>42453</v>
          </cell>
          <cell r="I220">
            <v>42454</v>
          </cell>
          <cell r="J220" t="str">
            <v>PC</v>
          </cell>
          <cell r="L220">
            <v>1961</v>
          </cell>
          <cell r="M220">
            <v>0</v>
          </cell>
          <cell r="N220">
            <v>0</v>
          </cell>
          <cell r="O220">
            <v>16374.65</v>
          </cell>
          <cell r="P220" t="str">
            <v>GA</v>
          </cell>
          <cell r="Q220" t="str">
            <v>4PD</v>
          </cell>
          <cell r="R220">
            <v>33073.183799999999</v>
          </cell>
          <cell r="S220" t="b">
            <v>0</v>
          </cell>
          <cell r="T220" t="str">
            <v>No</v>
          </cell>
          <cell r="V220" t="str">
            <v>A</v>
          </cell>
        </row>
        <row r="221">
          <cell r="B221" t="str">
            <v>157-1845</v>
          </cell>
          <cell r="C221" t="str">
            <v>Wal-Mart Store Planning</v>
          </cell>
          <cell r="D221" t="str">
            <v>Walmart 1744-05-SC-REL-182</v>
          </cell>
          <cell r="E221" t="str">
            <v>Penfield, NY</v>
          </cell>
          <cell r="F221">
            <v>42450</v>
          </cell>
          <cell r="G221">
            <v>42453</v>
          </cell>
          <cell r="I221">
            <v>42454</v>
          </cell>
          <cell r="J221" t="str">
            <v>PC</v>
          </cell>
          <cell r="L221">
            <v>13269</v>
          </cell>
          <cell r="M221">
            <v>0</v>
          </cell>
          <cell r="N221">
            <v>6</v>
          </cell>
          <cell r="O221">
            <v>86529.54</v>
          </cell>
          <cell r="P221" t="str">
            <v>GA</v>
          </cell>
          <cell r="Q221" t="str">
            <v>4PD</v>
          </cell>
          <cell r="R221">
            <v>201221.41880000001</v>
          </cell>
          <cell r="S221" t="b">
            <v>0</v>
          </cell>
          <cell r="T221" t="str">
            <v>No</v>
          </cell>
          <cell r="V221" t="str">
            <v>A</v>
          </cell>
        </row>
        <row r="222">
          <cell r="B222" t="str">
            <v>157-1757</v>
          </cell>
          <cell r="C222" t="str">
            <v>Wal-Mart Store Planning</v>
          </cell>
          <cell r="D222" t="str">
            <v>Walmart 4388-00-NHM-NEW-41</v>
          </cell>
          <cell r="E222" t="str">
            <v>Waynesboro VA</v>
          </cell>
          <cell r="F222">
            <v>42450</v>
          </cell>
          <cell r="G222">
            <v>42453</v>
          </cell>
          <cell r="I222">
            <v>42454</v>
          </cell>
          <cell r="J222" t="str">
            <v>PC</v>
          </cell>
          <cell r="L222">
            <v>4927</v>
          </cell>
          <cell r="M222">
            <v>0</v>
          </cell>
          <cell r="N222">
            <v>1</v>
          </cell>
          <cell r="O222">
            <v>29176.880000000001</v>
          </cell>
          <cell r="P222" t="str">
            <v>GA</v>
          </cell>
          <cell r="Q222" t="str">
            <v>4PD</v>
          </cell>
          <cell r="R222">
            <v>60612.629099999998</v>
          </cell>
          <cell r="S222" t="b">
            <v>0</v>
          </cell>
          <cell r="T222" t="str">
            <v>No</v>
          </cell>
          <cell r="V222" t="str">
            <v>A</v>
          </cell>
        </row>
        <row r="223">
          <cell r="B223" t="str">
            <v>157-0655ADD1</v>
          </cell>
          <cell r="C223" t="str">
            <v>Wal-Mart Store Planning</v>
          </cell>
          <cell r="D223" t="str">
            <v>Walmart 4826-NHM-NEW-41</v>
          </cell>
          <cell r="E223" t="str">
            <v>Davie, FL</v>
          </cell>
          <cell r="F223">
            <v>42450</v>
          </cell>
          <cell r="G223">
            <v>42453</v>
          </cell>
          <cell r="I223">
            <v>42454</v>
          </cell>
          <cell r="J223" t="str">
            <v>PC2</v>
          </cell>
          <cell r="L223">
            <v>358</v>
          </cell>
          <cell r="M223">
            <v>0</v>
          </cell>
          <cell r="N223">
            <v>1</v>
          </cell>
          <cell r="O223">
            <v>2541.0100000000002</v>
          </cell>
          <cell r="P223" t="str">
            <v>GA</v>
          </cell>
          <cell r="Q223" t="str">
            <v>4PD</v>
          </cell>
          <cell r="R223">
            <v>3095.3020000000001</v>
          </cell>
          <cell r="S223" t="b">
            <v>0</v>
          </cell>
          <cell r="T223" t="str">
            <v>No</v>
          </cell>
          <cell r="V223" t="str">
            <v>A</v>
          </cell>
        </row>
        <row r="224">
          <cell r="B224" t="str">
            <v>165-0001C</v>
          </cell>
          <cell r="C224" t="str">
            <v>Giant Eagle-Aetos Construction</v>
          </cell>
          <cell r="D224" t="str">
            <v>GE 61</v>
          </cell>
          <cell r="F224">
            <v>42450</v>
          </cell>
          <cell r="G224">
            <v>42453</v>
          </cell>
          <cell r="I224">
            <v>42454</v>
          </cell>
          <cell r="J224" t="str">
            <v>SQ</v>
          </cell>
          <cell r="L224">
            <v>1743</v>
          </cell>
          <cell r="M224">
            <v>0</v>
          </cell>
          <cell r="N224">
            <v>1</v>
          </cell>
          <cell r="O224">
            <v>13125.79</v>
          </cell>
          <cell r="P224" t="str">
            <v>GA</v>
          </cell>
          <cell r="Q224" t="str">
            <v>4PD</v>
          </cell>
          <cell r="R224">
            <v>18404.125400000001</v>
          </cell>
          <cell r="S224" t="b">
            <v>0</v>
          </cell>
          <cell r="T224" t="str">
            <v>No</v>
          </cell>
          <cell r="V224" t="str">
            <v>A</v>
          </cell>
        </row>
        <row r="225">
          <cell r="B225" t="str">
            <v>165-0001B</v>
          </cell>
          <cell r="C225" t="str">
            <v>Giant Eagle-Aetos Construction</v>
          </cell>
          <cell r="D225" t="str">
            <v>GE 61</v>
          </cell>
          <cell r="F225">
            <v>42450</v>
          </cell>
          <cell r="G225">
            <v>42453</v>
          </cell>
          <cell r="I225">
            <v>42454</v>
          </cell>
          <cell r="J225" t="str">
            <v>SQ</v>
          </cell>
          <cell r="L225">
            <v>458</v>
          </cell>
          <cell r="M225">
            <v>0</v>
          </cell>
          <cell r="N225">
            <v>1</v>
          </cell>
          <cell r="O225">
            <v>3668.36</v>
          </cell>
          <cell r="P225" t="str">
            <v>GA</v>
          </cell>
          <cell r="Q225" t="str">
            <v>4PD</v>
          </cell>
          <cell r="R225">
            <v>3735.5855999999999</v>
          </cell>
          <cell r="S225" t="b">
            <v>0</v>
          </cell>
          <cell r="T225" t="str">
            <v>No</v>
          </cell>
          <cell r="V225" t="str">
            <v>A</v>
          </cell>
        </row>
        <row r="226">
          <cell r="B226" t="str">
            <v xml:space="preserve">167-0131 </v>
          </cell>
          <cell r="C226" t="str">
            <v>KPS, LLC Mid-Atlantic # 029</v>
          </cell>
          <cell r="D226" t="str">
            <v>Kroger 722</v>
          </cell>
          <cell r="E226" t="str">
            <v>BUCKHANNON, WV</v>
          </cell>
          <cell r="F226">
            <v>42450</v>
          </cell>
          <cell r="G226">
            <v>42453</v>
          </cell>
          <cell r="I226">
            <v>42454</v>
          </cell>
          <cell r="J226" t="str">
            <v>VSS</v>
          </cell>
          <cell r="L226">
            <v>1128</v>
          </cell>
          <cell r="M226">
            <v>0</v>
          </cell>
          <cell r="N226">
            <v>1</v>
          </cell>
          <cell r="O226">
            <v>9458.5400000000009</v>
          </cell>
          <cell r="P226" t="str">
            <v>GA</v>
          </cell>
          <cell r="Q226" t="str">
            <v>4PD</v>
          </cell>
          <cell r="R226">
            <v>9458.5388000000003</v>
          </cell>
          <cell r="S226" t="b">
            <v>0</v>
          </cell>
          <cell r="T226" t="str">
            <v>No</v>
          </cell>
          <cell r="U226" t="str">
            <v>FBed</v>
          </cell>
          <cell r="V226" t="str">
            <v>A</v>
          </cell>
        </row>
        <row r="227">
          <cell r="B227" t="str">
            <v>157-0655</v>
          </cell>
          <cell r="C227" t="str">
            <v>Wal-Mart Store Planning</v>
          </cell>
          <cell r="D227" t="str">
            <v>Walmart 4826-NHM-NEW-41</v>
          </cell>
          <cell r="E227" t="str">
            <v>Davie, FL</v>
          </cell>
          <cell r="F227">
            <v>42450</v>
          </cell>
          <cell r="G227">
            <v>42453</v>
          </cell>
          <cell r="I227">
            <v>42454</v>
          </cell>
          <cell r="J227" t="str">
            <v>PC2</v>
          </cell>
          <cell r="L227">
            <v>4368</v>
          </cell>
          <cell r="M227">
            <v>0</v>
          </cell>
          <cell r="N227">
            <v>0</v>
          </cell>
          <cell r="O227">
            <v>23908.43</v>
          </cell>
          <cell r="P227" t="str">
            <v>GA</v>
          </cell>
          <cell r="Q227" t="str">
            <v>4PD</v>
          </cell>
          <cell r="R227">
            <v>50658.779499999997</v>
          </cell>
          <cell r="S227" t="b">
            <v>0</v>
          </cell>
          <cell r="T227" t="str">
            <v>No</v>
          </cell>
          <cell r="V227" t="str">
            <v>A</v>
          </cell>
        </row>
        <row r="228">
          <cell r="B228" t="str">
            <v>157-2231D</v>
          </cell>
          <cell r="C228" t="str">
            <v>Wal-Mart Store Planning</v>
          </cell>
          <cell r="D228" t="str">
            <v>Walmart 1206-225 Remodel</v>
          </cell>
          <cell r="E228" t="str">
            <v>Baton Rouge, LA</v>
          </cell>
          <cell r="F228">
            <v>42450</v>
          </cell>
          <cell r="G228">
            <v>42453</v>
          </cell>
          <cell r="I228">
            <v>42454</v>
          </cell>
          <cell r="J228" t="str">
            <v>RS</v>
          </cell>
          <cell r="L228">
            <v>0</v>
          </cell>
          <cell r="M228">
            <v>0</v>
          </cell>
          <cell r="N228">
            <v>0</v>
          </cell>
          <cell r="O228">
            <v>8502.82</v>
          </cell>
          <cell r="P228" t="str">
            <v>GA</v>
          </cell>
          <cell r="Q228" t="str">
            <v>4PD</v>
          </cell>
          <cell r="R228">
            <v>10808.419</v>
          </cell>
          <cell r="S228" t="b">
            <v>0</v>
          </cell>
          <cell r="T228" t="str">
            <v>No</v>
          </cell>
          <cell r="V228" t="str">
            <v>A</v>
          </cell>
        </row>
        <row r="229">
          <cell r="B229" t="str">
            <v xml:space="preserve">150-0630 </v>
          </cell>
          <cell r="C229" t="str">
            <v>Supermarket Source, Inc</v>
          </cell>
          <cell r="D229" t="str">
            <v xml:space="preserve">Safe Harbor Seafood </v>
          </cell>
          <cell r="E229" t="str">
            <v>Jacksonville FL</v>
          </cell>
          <cell r="F229">
            <v>42450</v>
          </cell>
          <cell r="G229">
            <v>42453</v>
          </cell>
          <cell r="I229">
            <v>42454</v>
          </cell>
          <cell r="J229" t="str">
            <v>VSS</v>
          </cell>
          <cell r="L229">
            <v>2320</v>
          </cell>
          <cell r="M229">
            <v>0</v>
          </cell>
          <cell r="N229">
            <v>4</v>
          </cell>
          <cell r="O229">
            <v>46965.89</v>
          </cell>
          <cell r="P229" t="str">
            <v>GA</v>
          </cell>
          <cell r="Q229" t="str">
            <v>4PD</v>
          </cell>
          <cell r="R229">
            <v>49599.071499999998</v>
          </cell>
          <cell r="S229" t="b">
            <v>0</v>
          </cell>
          <cell r="T229" t="str">
            <v>No</v>
          </cell>
          <cell r="V229" t="str">
            <v>A</v>
          </cell>
        </row>
        <row r="230">
          <cell r="B230" t="str">
            <v>155-1153B</v>
          </cell>
          <cell r="C230" t="str">
            <v>Publix Super Markets Inc.</v>
          </cell>
          <cell r="D230" t="str">
            <v>Publix # 1304 - Remodel</v>
          </cell>
          <cell r="E230" t="str">
            <v>Lake Mary FL</v>
          </cell>
          <cell r="F230">
            <v>42450</v>
          </cell>
          <cell r="G230">
            <v>42453</v>
          </cell>
          <cell r="I230">
            <v>42454</v>
          </cell>
          <cell r="J230" t="str">
            <v>.</v>
          </cell>
          <cell r="L230">
            <v>1735</v>
          </cell>
          <cell r="M230">
            <v>0</v>
          </cell>
          <cell r="N230">
            <v>0</v>
          </cell>
          <cell r="O230">
            <v>13242.16</v>
          </cell>
          <cell r="P230" t="str">
            <v>GA</v>
          </cell>
          <cell r="Q230" t="str">
            <v>4PD</v>
          </cell>
          <cell r="R230">
            <v>13242.1572</v>
          </cell>
          <cell r="S230" t="b">
            <v>1</v>
          </cell>
          <cell r="T230" t="str">
            <v>Yes</v>
          </cell>
          <cell r="V230" t="str">
            <v>A</v>
          </cell>
        </row>
        <row r="231">
          <cell r="B231" t="str">
            <v>157-2147</v>
          </cell>
          <cell r="C231" t="str">
            <v>Wal-Mart Store Planning</v>
          </cell>
          <cell r="D231" t="str">
            <v>Walmart 4434-00-NHM-41LMG016</v>
          </cell>
          <cell r="E231" t="str">
            <v>OCALA FL</v>
          </cell>
          <cell r="F231">
            <v>42450</v>
          </cell>
          <cell r="G231">
            <v>42453</v>
          </cell>
          <cell r="I231">
            <v>42454</v>
          </cell>
          <cell r="J231" t="str">
            <v>.</v>
          </cell>
          <cell r="L231">
            <v>4926</v>
          </cell>
          <cell r="M231">
            <v>0</v>
          </cell>
          <cell r="N231">
            <v>1</v>
          </cell>
          <cell r="O231">
            <v>28855.67</v>
          </cell>
          <cell r="P231" t="str">
            <v>GA</v>
          </cell>
          <cell r="Q231" t="str">
            <v>4PD</v>
          </cell>
          <cell r="R231">
            <v>60656.326699999998</v>
          </cell>
          <cell r="S231" t="b">
            <v>0</v>
          </cell>
          <cell r="T231" t="str">
            <v>No</v>
          </cell>
        </row>
        <row r="232">
          <cell r="B232" t="str">
            <v>155-0606</v>
          </cell>
          <cell r="C232" t="str">
            <v>Harris Teeter</v>
          </cell>
          <cell r="D232" t="str">
            <v>HT-324</v>
          </cell>
          <cell r="E232" t="str">
            <v>Bowie, MD</v>
          </cell>
          <cell r="F232">
            <v>42450</v>
          </cell>
          <cell r="G232">
            <v>42453</v>
          </cell>
          <cell r="I232">
            <v>42454</v>
          </cell>
          <cell r="J232" t="str">
            <v>PW</v>
          </cell>
          <cell r="L232">
            <v>7485</v>
          </cell>
          <cell r="M232">
            <v>0</v>
          </cell>
          <cell r="N232">
            <v>5</v>
          </cell>
          <cell r="O232">
            <v>50366.64</v>
          </cell>
          <cell r="P232" t="str">
            <v>GA</v>
          </cell>
          <cell r="Q232" t="str">
            <v>4PD</v>
          </cell>
          <cell r="R232">
            <v>91845.470199999996</v>
          </cell>
          <cell r="S232" t="b">
            <v>0</v>
          </cell>
          <cell r="T232" t="str">
            <v>No</v>
          </cell>
          <cell r="V232" t="str">
            <v>A</v>
          </cell>
        </row>
        <row r="233">
          <cell r="B233" t="str">
            <v>167-0175</v>
          </cell>
          <cell r="C233" t="str">
            <v>SUPERVALU</v>
          </cell>
          <cell r="D233" t="str">
            <v>SAVE-A-LOT</v>
          </cell>
          <cell r="E233" t="str">
            <v>PEORIA IL</v>
          </cell>
          <cell r="F233">
            <v>42450</v>
          </cell>
          <cell r="G233">
            <v>42457</v>
          </cell>
          <cell r="I233">
            <v>42458</v>
          </cell>
          <cell r="J233" t="str">
            <v>SQ</v>
          </cell>
          <cell r="L233">
            <v>3866</v>
          </cell>
          <cell r="M233">
            <v>0</v>
          </cell>
          <cell r="N233">
            <v>4</v>
          </cell>
          <cell r="O233">
            <v>32057.919999999998</v>
          </cell>
          <cell r="P233" t="str">
            <v>GA</v>
          </cell>
          <cell r="Q233" t="str">
            <v>4PD</v>
          </cell>
          <cell r="R233">
            <v>39644.310799999999</v>
          </cell>
          <cell r="S233" t="b">
            <v>0</v>
          </cell>
          <cell r="T233" t="str">
            <v>No</v>
          </cell>
          <cell r="U233" t="str">
            <v>FBed</v>
          </cell>
        </row>
        <row r="234">
          <cell r="B234" t="str">
            <v>155-1151</v>
          </cell>
          <cell r="C234" t="str">
            <v>Giant Tiger Stores Unlimited</v>
          </cell>
          <cell r="D234" t="str">
            <v>Giant Tiger 216, Toro Fergus</v>
          </cell>
          <cell r="E234" t="str">
            <v xml:space="preserve"> </v>
          </cell>
          <cell r="F234">
            <v>42450</v>
          </cell>
          <cell r="G234">
            <v>42458</v>
          </cell>
          <cell r="I234">
            <v>42459</v>
          </cell>
          <cell r="J234" t="str">
            <v>PC</v>
          </cell>
          <cell r="L234">
            <v>1678</v>
          </cell>
          <cell r="M234">
            <v>0</v>
          </cell>
          <cell r="N234">
            <v>2</v>
          </cell>
          <cell r="O234">
            <v>13295.06</v>
          </cell>
          <cell r="P234" t="str">
            <v>GA</v>
          </cell>
          <cell r="Q234" t="str">
            <v>4PD</v>
          </cell>
          <cell r="R234">
            <v>13295.0569</v>
          </cell>
          <cell r="S234" t="b">
            <v>0</v>
          </cell>
          <cell r="T234" t="str">
            <v>No</v>
          </cell>
          <cell r="V234" t="str">
            <v>A</v>
          </cell>
        </row>
        <row r="235">
          <cell r="B235" t="str">
            <v>167-0139</v>
          </cell>
          <cell r="C235" t="str">
            <v>KPS, LLC Central #021</v>
          </cell>
          <cell r="D235" t="str">
            <v>Kroger J-983</v>
          </cell>
          <cell r="E235" t="str">
            <v>Westfield IN</v>
          </cell>
          <cell r="F235">
            <v>42450</v>
          </cell>
          <cell r="G235">
            <v>42458</v>
          </cell>
          <cell r="I235">
            <v>42459</v>
          </cell>
          <cell r="J235" t="str">
            <v>SQ</v>
          </cell>
          <cell r="L235">
            <v>2218</v>
          </cell>
          <cell r="M235">
            <v>0</v>
          </cell>
          <cell r="N235">
            <v>3</v>
          </cell>
          <cell r="O235">
            <v>18598.7</v>
          </cell>
          <cell r="P235" t="str">
            <v>GA</v>
          </cell>
          <cell r="Q235" t="str">
            <v>4PD</v>
          </cell>
          <cell r="R235">
            <v>18598.698400000001</v>
          </cell>
          <cell r="S235" t="b">
            <v>0</v>
          </cell>
          <cell r="T235" t="str">
            <v>No</v>
          </cell>
          <cell r="U235" t="str">
            <v>FBed</v>
          </cell>
        </row>
        <row r="236">
          <cell r="B236" t="str">
            <v>147-0443</v>
          </cell>
          <cell r="C236" t="str">
            <v>Wal-Mart Store Planning</v>
          </cell>
          <cell r="D236" t="str">
            <v>Walmart 4248-00-SC-NEW-182</v>
          </cell>
          <cell r="E236" t="str">
            <v>Centerton, AR</v>
          </cell>
          <cell r="F236">
            <v>42450</v>
          </cell>
          <cell r="G236">
            <v>42460</v>
          </cell>
          <cell r="I236">
            <v>42461</v>
          </cell>
          <cell r="J236" t="str">
            <v>PW</v>
          </cell>
          <cell r="L236">
            <v>13300</v>
          </cell>
          <cell r="M236">
            <v>0</v>
          </cell>
          <cell r="N236">
            <v>6</v>
          </cell>
          <cell r="O236">
            <v>86367.31</v>
          </cell>
          <cell r="P236" t="str">
            <v>GA</v>
          </cell>
          <cell r="Q236" t="str">
            <v>4PD</v>
          </cell>
          <cell r="R236">
            <v>138833.20009999999</v>
          </cell>
          <cell r="S236" t="b">
            <v>0</v>
          </cell>
          <cell r="T236" t="str">
            <v>No</v>
          </cell>
        </row>
        <row r="237">
          <cell r="B237" t="str">
            <v>157-1970</v>
          </cell>
          <cell r="C237" t="str">
            <v>Kroger Atlanta # 011</v>
          </cell>
          <cell r="D237" t="str">
            <v xml:space="preserve">Kroger GA-629 </v>
          </cell>
          <cell r="E237" t="str">
            <v>CARTERSVILLE GA</v>
          </cell>
          <cell r="F237">
            <v>42450</v>
          </cell>
          <cell r="G237">
            <v>42460</v>
          </cell>
          <cell r="I237">
            <v>42461</v>
          </cell>
          <cell r="J237" t="str">
            <v>VSS</v>
          </cell>
          <cell r="L237">
            <v>17932</v>
          </cell>
          <cell r="M237">
            <v>0</v>
          </cell>
          <cell r="N237">
            <v>17</v>
          </cell>
          <cell r="O237">
            <v>133436.45000000001</v>
          </cell>
          <cell r="P237" t="str">
            <v>GA</v>
          </cell>
          <cell r="Q237" t="str">
            <v>4PD</v>
          </cell>
          <cell r="R237">
            <v>133436.5367</v>
          </cell>
          <cell r="S237" t="b">
            <v>0</v>
          </cell>
          <cell r="T237" t="str">
            <v>No</v>
          </cell>
          <cell r="U237" t="str">
            <v>FBed</v>
          </cell>
          <cell r="V237" t="str">
            <v>A</v>
          </cell>
        </row>
        <row r="238">
          <cell r="B238" t="str">
            <v>157-2136</v>
          </cell>
          <cell r="C238" t="str">
            <v>KPS, LLC Columbus #016</v>
          </cell>
          <cell r="D238" t="str">
            <v>Kroger N-128</v>
          </cell>
          <cell r="E238" t="str">
            <v>NEWARK OH</v>
          </cell>
          <cell r="F238">
            <v>42457</v>
          </cell>
          <cell r="G238">
            <v>42460</v>
          </cell>
          <cell r="I238">
            <v>42461</v>
          </cell>
          <cell r="J238" t="str">
            <v>AP</v>
          </cell>
          <cell r="L238">
            <v>16496</v>
          </cell>
          <cell r="M238">
            <v>0</v>
          </cell>
          <cell r="N238">
            <v>17</v>
          </cell>
          <cell r="O238">
            <v>121118.12</v>
          </cell>
          <cell r="P238" t="str">
            <v>GA</v>
          </cell>
          <cell r="Q238" t="str">
            <v>4PD</v>
          </cell>
          <cell r="R238">
            <v>121118.1155</v>
          </cell>
          <cell r="S238" t="b">
            <v>0</v>
          </cell>
          <cell r="T238" t="str">
            <v>No</v>
          </cell>
          <cell r="U238" t="str">
            <v>FBed</v>
          </cell>
        </row>
        <row r="239">
          <cell r="B239" t="str">
            <v>165-0086</v>
          </cell>
          <cell r="C239" t="str">
            <v>Dollar Tree Sourcing Comp. LLC</v>
          </cell>
          <cell r="D239" t="str">
            <v>DT# 6098   WM FLDLCRDR DP/LED/Therm</v>
          </cell>
          <cell r="E239" t="str">
            <v>Mokena, IL</v>
          </cell>
          <cell r="F239">
            <v>42457</v>
          </cell>
          <cell r="G239">
            <v>42460</v>
          </cell>
          <cell r="I239">
            <v>42461</v>
          </cell>
          <cell r="J239" t="str">
            <v>.</v>
          </cell>
          <cell r="L239">
            <v>551</v>
          </cell>
          <cell r="M239">
            <v>0</v>
          </cell>
          <cell r="N239">
            <v>2</v>
          </cell>
          <cell r="O239">
            <v>5669.12</v>
          </cell>
          <cell r="P239" t="str">
            <v>GA</v>
          </cell>
          <cell r="Q239" t="str">
            <v>4PD</v>
          </cell>
          <cell r="R239">
            <v>10229.245199999999</v>
          </cell>
          <cell r="S239" t="b">
            <v>1</v>
          </cell>
          <cell r="T239" t="str">
            <v>Yes</v>
          </cell>
        </row>
        <row r="240">
          <cell r="B240" t="str">
            <v xml:space="preserve">167-0084 </v>
          </cell>
          <cell r="C240" t="str">
            <v>Wal-Mart Store Planning</v>
          </cell>
          <cell r="D240" t="str">
            <v>Walmart 4606-218-SC-REM</v>
          </cell>
          <cell r="E240" t="str">
            <v>Osceola, IA</v>
          </cell>
          <cell r="F240">
            <v>42457</v>
          </cell>
          <cell r="G240">
            <v>42460</v>
          </cell>
          <cell r="I240">
            <v>42461</v>
          </cell>
          <cell r="J240" t="str">
            <v>.</v>
          </cell>
          <cell r="L240">
            <v>0</v>
          </cell>
          <cell r="M240">
            <v>0</v>
          </cell>
          <cell r="N240">
            <v>0</v>
          </cell>
          <cell r="O240">
            <v>6801.6</v>
          </cell>
          <cell r="P240" t="str">
            <v>GA</v>
          </cell>
          <cell r="Q240" t="str">
            <v>4PD</v>
          </cell>
          <cell r="R240">
            <v>28815.35</v>
          </cell>
          <cell r="S240" t="b">
            <v>0</v>
          </cell>
          <cell r="T240" t="str">
            <v>No</v>
          </cell>
        </row>
        <row r="241">
          <cell r="B241" t="str">
            <v>157-2222</v>
          </cell>
          <cell r="C241" t="str">
            <v>KPS, LLC Dillon's # 615</v>
          </cell>
          <cell r="D241" t="str">
            <v>Kroger DIL-037</v>
          </cell>
          <cell r="E241" t="str">
            <v>TOPEKA KS</v>
          </cell>
          <cell r="F241">
            <v>42457</v>
          </cell>
          <cell r="G241">
            <v>42460</v>
          </cell>
          <cell r="I241">
            <v>42461</v>
          </cell>
          <cell r="J241" t="str">
            <v>RS</v>
          </cell>
          <cell r="L241">
            <v>654</v>
          </cell>
          <cell r="M241">
            <v>0</v>
          </cell>
          <cell r="N241">
            <v>2</v>
          </cell>
          <cell r="O241">
            <v>6745.83</v>
          </cell>
          <cell r="P241" t="str">
            <v>GA</v>
          </cell>
          <cell r="Q241" t="str">
            <v>4PD</v>
          </cell>
          <cell r="R241">
            <v>6745.8347999999996</v>
          </cell>
          <cell r="S241" t="b">
            <v>0</v>
          </cell>
          <cell r="T241" t="str">
            <v>No</v>
          </cell>
          <cell r="U241" t="str">
            <v>FBed</v>
          </cell>
        </row>
        <row r="242">
          <cell r="B242" t="str">
            <v>157-1947</v>
          </cell>
          <cell r="C242" t="str">
            <v>KPS, LLC Mid-Atlantic # 029</v>
          </cell>
          <cell r="D242" t="str">
            <v>Kroger E-755</v>
          </cell>
          <cell r="E242" t="str">
            <v>MORGANTOWN WV</v>
          </cell>
          <cell r="F242">
            <v>42457</v>
          </cell>
          <cell r="G242">
            <v>42460</v>
          </cell>
          <cell r="I242">
            <v>42461</v>
          </cell>
          <cell r="J242" t="str">
            <v>VSS</v>
          </cell>
          <cell r="L242">
            <v>822</v>
          </cell>
          <cell r="M242">
            <v>0</v>
          </cell>
          <cell r="N242">
            <v>2</v>
          </cell>
          <cell r="O242">
            <v>7708.89</v>
          </cell>
          <cell r="P242" t="str">
            <v>GA</v>
          </cell>
          <cell r="Q242" t="str">
            <v>4PD</v>
          </cell>
          <cell r="R242">
            <v>7708.8860000000004</v>
          </cell>
          <cell r="S242" t="b">
            <v>0</v>
          </cell>
          <cell r="T242" t="str">
            <v>No</v>
          </cell>
          <cell r="U242" t="str">
            <v>FBed</v>
          </cell>
        </row>
        <row r="243">
          <cell r="B243" t="str">
            <v>155-0590</v>
          </cell>
          <cell r="C243" t="str">
            <v>Harris Teeter</v>
          </cell>
          <cell r="D243" t="str">
            <v>HT-281</v>
          </cell>
          <cell r="E243" t="str">
            <v>Gastonia, NC</v>
          </cell>
          <cell r="F243">
            <v>42457</v>
          </cell>
          <cell r="G243">
            <v>42460</v>
          </cell>
          <cell r="I243">
            <v>42461</v>
          </cell>
          <cell r="J243" t="str">
            <v>PC</v>
          </cell>
          <cell r="L243">
            <v>8593</v>
          </cell>
          <cell r="M243">
            <v>0</v>
          </cell>
          <cell r="N243">
            <v>5</v>
          </cell>
          <cell r="O243">
            <v>59486.61</v>
          </cell>
          <cell r="P243" t="str">
            <v>GA</v>
          </cell>
          <cell r="Q243" t="str">
            <v>4PD</v>
          </cell>
          <cell r="R243">
            <v>104389.6099</v>
          </cell>
          <cell r="S243" t="b">
            <v>0</v>
          </cell>
          <cell r="T243" t="str">
            <v>No</v>
          </cell>
        </row>
        <row r="244">
          <cell r="B244" t="str">
            <v>167-0041</v>
          </cell>
          <cell r="C244" t="str">
            <v>KPS, LLC Dillon's # 615</v>
          </cell>
          <cell r="D244" t="str">
            <v>Kroger DIL-065</v>
          </cell>
          <cell r="E244" t="str">
            <v>Wichita KS</v>
          </cell>
          <cell r="F244">
            <v>42457</v>
          </cell>
          <cell r="G244">
            <v>42460</v>
          </cell>
          <cell r="I244">
            <v>42461</v>
          </cell>
          <cell r="J244" t="str">
            <v>SQ</v>
          </cell>
          <cell r="L244">
            <v>706</v>
          </cell>
          <cell r="M244">
            <v>0</v>
          </cell>
          <cell r="N244">
            <v>2</v>
          </cell>
          <cell r="O244">
            <v>7676.25</v>
          </cell>
          <cell r="P244" t="str">
            <v>GA</v>
          </cell>
          <cell r="Q244" t="str">
            <v>4PD</v>
          </cell>
          <cell r="R244">
            <v>7676.25</v>
          </cell>
          <cell r="S244" t="b">
            <v>0</v>
          </cell>
          <cell r="T244" t="str">
            <v>No</v>
          </cell>
        </row>
        <row r="245">
          <cell r="B245" t="str">
            <v>157-0537</v>
          </cell>
          <cell r="C245" t="str">
            <v>Wal-Mart Store Planning</v>
          </cell>
          <cell r="D245" t="str">
            <v>Walmart 7020-00-FuelStation-NEW</v>
          </cell>
          <cell r="E245" t="str">
            <v>La Vergne, TN</v>
          </cell>
          <cell r="F245">
            <v>42457</v>
          </cell>
          <cell r="G245">
            <v>42460</v>
          </cell>
          <cell r="I245">
            <v>42461</v>
          </cell>
          <cell r="J245" t="str">
            <v>PC</v>
          </cell>
          <cell r="L245">
            <v>887</v>
          </cell>
          <cell r="M245">
            <v>0</v>
          </cell>
          <cell r="N245">
            <v>0</v>
          </cell>
          <cell r="O245">
            <v>6092.5</v>
          </cell>
          <cell r="P245" t="str">
            <v>GA</v>
          </cell>
          <cell r="Q245" t="str">
            <v>4PD</v>
          </cell>
          <cell r="R245">
            <v>16638.018100000001</v>
          </cell>
          <cell r="S245" t="b">
            <v>0</v>
          </cell>
          <cell r="T245" t="str">
            <v>No</v>
          </cell>
          <cell r="V245" t="str">
            <v>A</v>
          </cell>
        </row>
        <row r="246">
          <cell r="B246" t="str">
            <v>165-0094B</v>
          </cell>
          <cell r="C246" t="str">
            <v>Publix Super Markets Inc.</v>
          </cell>
          <cell r="D246" t="str">
            <v>Publix #578</v>
          </cell>
          <cell r="E246" t="str">
            <v>Fort Myers, FL</v>
          </cell>
          <cell r="F246">
            <v>42457</v>
          </cell>
          <cell r="G246">
            <v>42460</v>
          </cell>
          <cell r="I246">
            <v>42461</v>
          </cell>
          <cell r="J246" t="str">
            <v>.</v>
          </cell>
          <cell r="L246">
            <v>0</v>
          </cell>
          <cell r="M246">
            <v>0</v>
          </cell>
          <cell r="N246">
            <v>0</v>
          </cell>
          <cell r="O246">
            <v>0</v>
          </cell>
          <cell r="P246" t="str">
            <v>GA</v>
          </cell>
          <cell r="Q246" t="str">
            <v>4PD</v>
          </cell>
          <cell r="R246">
            <v>0</v>
          </cell>
          <cell r="S246" t="b">
            <v>0</v>
          </cell>
          <cell r="T246" t="str">
            <v>No</v>
          </cell>
        </row>
        <row r="247">
          <cell r="B247" t="str">
            <v>167-0159</v>
          </cell>
          <cell r="C247" t="str">
            <v>KPS, LLC Columbus #016</v>
          </cell>
          <cell r="D247" t="str">
            <v>N-312</v>
          </cell>
          <cell r="E247" t="str">
            <v>Chillicothe OH</v>
          </cell>
          <cell r="F247">
            <v>42457</v>
          </cell>
          <cell r="G247">
            <v>42460</v>
          </cell>
          <cell r="I247">
            <v>42461</v>
          </cell>
          <cell r="J247" t="str">
            <v>SQ</v>
          </cell>
          <cell r="L247">
            <v>537</v>
          </cell>
          <cell r="M247">
            <v>0</v>
          </cell>
          <cell r="N247">
            <v>2</v>
          </cell>
          <cell r="O247">
            <v>7841.78</v>
          </cell>
          <cell r="P247" t="str">
            <v>GA</v>
          </cell>
          <cell r="Q247" t="str">
            <v>4PD</v>
          </cell>
          <cell r="R247">
            <v>7841.7795999999998</v>
          </cell>
          <cell r="S247" t="b">
            <v>0</v>
          </cell>
          <cell r="T247" t="str">
            <v>No</v>
          </cell>
          <cell r="U247" t="str">
            <v>FBed</v>
          </cell>
        </row>
        <row r="248">
          <cell r="B248" t="str">
            <v>165-0082</v>
          </cell>
          <cell r="C248" t="str">
            <v>Dollar Tree Sourcing Comp. LLC</v>
          </cell>
          <cell r="D248" t="str">
            <v>DT# 6207   WM FLDLCRDR</v>
          </cell>
          <cell r="E248" t="str">
            <v>Richmond, TX</v>
          </cell>
          <cell r="F248">
            <v>42457</v>
          </cell>
          <cell r="G248">
            <v>42460</v>
          </cell>
          <cell r="I248">
            <v>42461</v>
          </cell>
          <cell r="J248" t="str">
            <v>.</v>
          </cell>
          <cell r="L248">
            <v>551</v>
          </cell>
          <cell r="M248">
            <v>0</v>
          </cell>
          <cell r="N248">
            <v>2</v>
          </cell>
          <cell r="O248">
            <v>5500.12</v>
          </cell>
          <cell r="P248" t="str">
            <v>GA</v>
          </cell>
          <cell r="Q248" t="str">
            <v>4PD</v>
          </cell>
          <cell r="R248">
            <v>9933.2451999999994</v>
          </cell>
          <cell r="S248" t="b">
            <v>1</v>
          </cell>
          <cell r="T248" t="str">
            <v>Yes</v>
          </cell>
        </row>
        <row r="249">
          <cell r="B249" t="str">
            <v>157-2172</v>
          </cell>
          <cell r="C249" t="str">
            <v>KPS, LLC Columbus #016</v>
          </cell>
          <cell r="D249" t="str">
            <v>Kroger N-549</v>
          </cell>
          <cell r="E249" t="str">
            <v>MARYSVILLE OH</v>
          </cell>
          <cell r="F249">
            <v>42457</v>
          </cell>
          <cell r="G249">
            <v>42460</v>
          </cell>
          <cell r="I249">
            <v>42461</v>
          </cell>
          <cell r="J249" t="str">
            <v>VSS</v>
          </cell>
          <cell r="L249">
            <v>16403</v>
          </cell>
          <cell r="M249">
            <v>0</v>
          </cell>
          <cell r="N249">
            <v>17</v>
          </cell>
          <cell r="O249">
            <v>119854.71</v>
          </cell>
          <cell r="P249" t="str">
            <v>GA</v>
          </cell>
          <cell r="Q249" t="str">
            <v>4PD</v>
          </cell>
          <cell r="R249">
            <v>119854.70729999999</v>
          </cell>
          <cell r="S249" t="b">
            <v>0</v>
          </cell>
          <cell r="T249" t="str">
            <v>No</v>
          </cell>
          <cell r="U249" t="str">
            <v>FBed</v>
          </cell>
        </row>
        <row r="250">
          <cell r="B250" t="str">
            <v>157-2231E</v>
          </cell>
          <cell r="C250" t="str">
            <v>Wal-Mart Store Planning</v>
          </cell>
          <cell r="D250" t="str">
            <v>Walmart 1206-225 Remodel</v>
          </cell>
          <cell r="E250" t="str">
            <v>Baton Rouge, LA</v>
          </cell>
          <cell r="F250">
            <v>42457</v>
          </cell>
          <cell r="G250">
            <v>42460</v>
          </cell>
          <cell r="I250">
            <v>42461</v>
          </cell>
          <cell r="J250" t="str">
            <v>RS</v>
          </cell>
          <cell r="L250">
            <v>0</v>
          </cell>
          <cell r="M250">
            <v>0</v>
          </cell>
          <cell r="N250">
            <v>1</v>
          </cell>
          <cell r="O250">
            <v>16484.54</v>
          </cell>
          <cell r="P250" t="str">
            <v>GA</v>
          </cell>
          <cell r="Q250" t="str">
            <v>4PD</v>
          </cell>
          <cell r="R250">
            <v>16576.9434</v>
          </cell>
          <cell r="S250" t="b">
            <v>0</v>
          </cell>
          <cell r="T250" t="str">
            <v>No</v>
          </cell>
          <cell r="V250" t="str">
            <v>A</v>
          </cell>
        </row>
        <row r="251">
          <cell r="B251" t="str">
            <v>167-0053</v>
          </cell>
          <cell r="C251" t="str">
            <v>Wal-Mart Store Planning</v>
          </cell>
          <cell r="D251" t="str">
            <v>Walmart 0205-220 Remodel</v>
          </cell>
          <cell r="E251" t="str">
            <v>Philadelphia, MS</v>
          </cell>
          <cell r="F251">
            <v>42457</v>
          </cell>
          <cell r="G251">
            <v>42460</v>
          </cell>
          <cell r="I251">
            <v>42461</v>
          </cell>
          <cell r="J251" t="str">
            <v>RS</v>
          </cell>
          <cell r="L251">
            <v>9961</v>
          </cell>
          <cell r="M251">
            <v>0</v>
          </cell>
          <cell r="N251">
            <v>4</v>
          </cell>
          <cell r="O251">
            <v>74140.789999999994</v>
          </cell>
          <cell r="P251" t="str">
            <v>GA</v>
          </cell>
          <cell r="Q251" t="str">
            <v>4PD</v>
          </cell>
          <cell r="R251">
            <v>146690.42360000001</v>
          </cell>
          <cell r="S251" t="b">
            <v>0</v>
          </cell>
          <cell r="T251" t="str">
            <v>No</v>
          </cell>
        </row>
        <row r="252">
          <cell r="B252" t="str">
            <v xml:space="preserve">167-0149 </v>
          </cell>
          <cell r="C252" t="str">
            <v>Wal-Mart Store Planning</v>
          </cell>
          <cell r="D252" t="str">
            <v>Walmart 3289-220-SC-REM</v>
          </cell>
          <cell r="E252" t="str">
            <v>West Jefferson, NC</v>
          </cell>
          <cell r="F252">
            <v>42457</v>
          </cell>
          <cell r="G252">
            <v>42460</v>
          </cell>
          <cell r="I252">
            <v>42461</v>
          </cell>
          <cell r="J252" t="str">
            <v>.</v>
          </cell>
          <cell r="L252">
            <v>5090</v>
          </cell>
          <cell r="M252">
            <v>0</v>
          </cell>
          <cell r="N252">
            <v>4</v>
          </cell>
          <cell r="O252">
            <v>42223.31</v>
          </cell>
          <cell r="P252" t="str">
            <v>GA</v>
          </cell>
          <cell r="Q252" t="str">
            <v>4PD</v>
          </cell>
          <cell r="R252">
            <v>76536.861000000004</v>
          </cell>
          <cell r="S252" t="b">
            <v>0</v>
          </cell>
          <cell r="T252" t="str">
            <v>No</v>
          </cell>
        </row>
        <row r="253">
          <cell r="B253" t="str">
            <v>165-0089</v>
          </cell>
          <cell r="C253" t="str">
            <v>Dollar Tree Sourcing Comp. LLC</v>
          </cell>
          <cell r="D253" t="str">
            <v>DT# 1349   WM FLDLCRDR  DP WIC/LED</v>
          </cell>
          <cell r="E253" t="str">
            <v>Jasper, IN</v>
          </cell>
          <cell r="F253">
            <v>42457</v>
          </cell>
          <cell r="G253">
            <v>42461</v>
          </cell>
          <cell r="I253">
            <v>42464</v>
          </cell>
          <cell r="J253" t="str">
            <v>.</v>
          </cell>
          <cell r="L253">
            <v>551</v>
          </cell>
          <cell r="M253">
            <v>0</v>
          </cell>
          <cell r="N253">
            <v>2</v>
          </cell>
          <cell r="O253">
            <v>5500.12</v>
          </cell>
          <cell r="P253" t="str">
            <v>GA</v>
          </cell>
          <cell r="Q253" t="str">
            <v>4PD</v>
          </cell>
          <cell r="R253">
            <v>10056.245199999999</v>
          </cell>
          <cell r="S253" t="b">
            <v>1</v>
          </cell>
          <cell r="T253" t="str">
            <v>Yes</v>
          </cell>
        </row>
        <row r="254">
          <cell r="B254" t="str">
            <v>167-0032</v>
          </cell>
          <cell r="C254" t="str">
            <v>KPS, LLC Central #021</v>
          </cell>
          <cell r="D254" t="str">
            <v>Kroger J-895</v>
          </cell>
          <cell r="E254" t="str">
            <v>FISHERS IN</v>
          </cell>
          <cell r="F254">
            <v>42457</v>
          </cell>
          <cell r="G254">
            <v>42461</v>
          </cell>
          <cell r="I254">
            <v>42464</v>
          </cell>
          <cell r="J254" t="str">
            <v>VSS</v>
          </cell>
          <cell r="L254">
            <v>17155</v>
          </cell>
          <cell r="M254">
            <v>0</v>
          </cell>
          <cell r="N254">
            <v>16</v>
          </cell>
          <cell r="O254">
            <v>124040.87</v>
          </cell>
          <cell r="P254" t="str">
            <v>GA</v>
          </cell>
          <cell r="Q254" t="str">
            <v>4PD</v>
          </cell>
          <cell r="R254">
            <v>124040.8674</v>
          </cell>
          <cell r="S254" t="b">
            <v>0</v>
          </cell>
          <cell r="T254" t="str">
            <v>No</v>
          </cell>
          <cell r="U254" t="str">
            <v>FBed</v>
          </cell>
          <cell r="V254" t="str">
            <v>A</v>
          </cell>
        </row>
        <row r="255">
          <cell r="B255" t="str">
            <v>165-0087</v>
          </cell>
          <cell r="C255" t="str">
            <v>Dollar Tree Sourcing Comp. LLC</v>
          </cell>
          <cell r="D255" t="str">
            <v>DT# 6354   WSM FLDLCRDR DP/LED/Thm</v>
          </cell>
          <cell r="E255" t="str">
            <v>Chicago, IL</v>
          </cell>
          <cell r="F255">
            <v>42457</v>
          </cell>
          <cell r="G255">
            <v>42461</v>
          </cell>
          <cell r="I255">
            <v>42464</v>
          </cell>
          <cell r="J255" t="str">
            <v>.</v>
          </cell>
          <cell r="L255">
            <v>629</v>
          </cell>
          <cell r="M255">
            <v>0</v>
          </cell>
          <cell r="N255">
            <v>2</v>
          </cell>
          <cell r="O255">
            <v>6252.54</v>
          </cell>
          <cell r="P255" t="str">
            <v>GA</v>
          </cell>
          <cell r="Q255" t="str">
            <v>4PD</v>
          </cell>
          <cell r="R255">
            <v>10812.6674</v>
          </cell>
          <cell r="S255" t="b">
            <v>1</v>
          </cell>
          <cell r="T255" t="str">
            <v>Yes</v>
          </cell>
        </row>
        <row r="256">
          <cell r="B256" t="str">
            <v>165-0072</v>
          </cell>
          <cell r="C256" t="str">
            <v>Dollar Tree Sourcing Comp. LLC</v>
          </cell>
          <cell r="D256" t="str">
            <v>DT# 6328   WM FRDRCLDL REMOTE FlrC</v>
          </cell>
          <cell r="E256" t="str">
            <v>Baltimore, MD</v>
          </cell>
          <cell r="F256">
            <v>42457</v>
          </cell>
          <cell r="G256">
            <v>42464</v>
          </cell>
          <cell r="I256">
            <v>42465</v>
          </cell>
          <cell r="J256" t="str">
            <v>.</v>
          </cell>
          <cell r="L256">
            <v>578</v>
          </cell>
          <cell r="M256">
            <v>0</v>
          </cell>
          <cell r="N256">
            <v>2</v>
          </cell>
          <cell r="O256">
            <v>5863.52</v>
          </cell>
          <cell r="P256" t="str">
            <v>GA</v>
          </cell>
          <cell r="Q256" t="str">
            <v>4PD</v>
          </cell>
          <cell r="R256">
            <v>10620.405500000001</v>
          </cell>
          <cell r="S256" t="b">
            <v>1</v>
          </cell>
          <cell r="T256" t="str">
            <v>Yes</v>
          </cell>
        </row>
        <row r="257">
          <cell r="B257" t="str">
            <v>155-1200</v>
          </cell>
          <cell r="C257" t="str">
            <v>Dollar Tree Sourcing Comp. LLC</v>
          </cell>
          <cell r="D257" t="str">
            <v>DT# 9438   WSM FLDLCRDR</v>
          </cell>
          <cell r="E257" t="str">
            <v>SPRINGFIELD, VA</v>
          </cell>
          <cell r="F257">
            <v>42457</v>
          </cell>
          <cell r="G257">
            <v>42464</v>
          </cell>
          <cell r="I257">
            <v>42465</v>
          </cell>
          <cell r="J257" t="str">
            <v>.</v>
          </cell>
          <cell r="L257">
            <v>629</v>
          </cell>
          <cell r="M257">
            <v>0</v>
          </cell>
          <cell r="N257">
            <v>2</v>
          </cell>
          <cell r="O257">
            <v>5808.26</v>
          </cell>
          <cell r="P257" t="str">
            <v>GA</v>
          </cell>
          <cell r="Q257" t="str">
            <v>4PD</v>
          </cell>
          <cell r="R257">
            <v>10137.306500000001</v>
          </cell>
          <cell r="S257" t="b">
            <v>1</v>
          </cell>
          <cell r="T257" t="str">
            <v>Yes</v>
          </cell>
        </row>
        <row r="258">
          <cell r="B258" t="str">
            <v>165-0067</v>
          </cell>
          <cell r="C258" t="str">
            <v>Dollar Tree Sourcing Comp. LLC</v>
          </cell>
          <cell r="D258" t="str">
            <v>DT# 9389   WM FLDLCRDR</v>
          </cell>
          <cell r="E258" t="str">
            <v>Machias, ME</v>
          </cell>
          <cell r="F258">
            <v>42457</v>
          </cell>
          <cell r="G258">
            <v>42464</v>
          </cell>
          <cell r="I258">
            <v>42465</v>
          </cell>
          <cell r="J258" t="str">
            <v>.</v>
          </cell>
          <cell r="L258">
            <v>551</v>
          </cell>
          <cell r="M258">
            <v>0</v>
          </cell>
          <cell r="N258">
            <v>2</v>
          </cell>
          <cell r="O258">
            <v>5500.12</v>
          </cell>
          <cell r="P258" t="str">
            <v>GA</v>
          </cell>
          <cell r="Q258" t="str">
            <v>4PD</v>
          </cell>
          <cell r="R258">
            <v>9933.2451999999994</v>
          </cell>
          <cell r="S258" t="b">
            <v>1</v>
          </cell>
          <cell r="T258" t="str">
            <v>Yes</v>
          </cell>
        </row>
        <row r="259">
          <cell r="B259" t="str">
            <v>165-0113</v>
          </cell>
          <cell r="C259" t="str">
            <v>Giant Tiger Stores Unlimited</v>
          </cell>
          <cell r="D259" t="str">
            <v>Giant Tiger 218</v>
          </cell>
          <cell r="E259" t="str">
            <v xml:space="preserve"> </v>
          </cell>
          <cell r="F259">
            <v>42457</v>
          </cell>
          <cell r="G259">
            <v>42465</v>
          </cell>
          <cell r="I259">
            <v>42466</v>
          </cell>
          <cell r="J259" t="str">
            <v>.</v>
          </cell>
          <cell r="L259">
            <v>1780</v>
          </cell>
          <cell r="M259">
            <v>0</v>
          </cell>
          <cell r="N259">
            <v>2</v>
          </cell>
          <cell r="O259">
            <v>13932.17</v>
          </cell>
          <cell r="P259" t="str">
            <v>GA</v>
          </cell>
          <cell r="Q259" t="str">
            <v>4PD</v>
          </cell>
          <cell r="R259">
            <v>13932.1733</v>
          </cell>
          <cell r="S259" t="b">
            <v>0</v>
          </cell>
          <cell r="T259" t="str">
            <v>No</v>
          </cell>
          <cell r="U259" t="str">
            <v>CPUp</v>
          </cell>
        </row>
        <row r="260">
          <cell r="B260" t="str">
            <v>157-1909</v>
          </cell>
          <cell r="C260" t="str">
            <v>KPS, LLC Mid-Atlantic # 029</v>
          </cell>
          <cell r="D260" t="str">
            <v>Kroger R-345</v>
          </cell>
          <cell r="E260" t="str">
            <v>CHRISTIANSBURG VA</v>
          </cell>
          <cell r="F260">
            <v>42457</v>
          </cell>
          <cell r="G260">
            <v>42465</v>
          </cell>
          <cell r="I260">
            <v>42466</v>
          </cell>
          <cell r="J260" t="str">
            <v>VSS</v>
          </cell>
          <cell r="L260">
            <v>16168</v>
          </cell>
          <cell r="M260">
            <v>0</v>
          </cell>
          <cell r="N260">
            <v>18</v>
          </cell>
          <cell r="O260">
            <v>118914.4</v>
          </cell>
          <cell r="P260" t="str">
            <v>GA</v>
          </cell>
          <cell r="Q260" t="str">
            <v>4PD</v>
          </cell>
          <cell r="R260">
            <v>118914.4004</v>
          </cell>
          <cell r="S260" t="b">
            <v>0</v>
          </cell>
          <cell r="T260" t="str">
            <v>No</v>
          </cell>
          <cell r="U260" t="str">
            <v>FBed</v>
          </cell>
        </row>
        <row r="261">
          <cell r="B261" t="str">
            <v>165-0090</v>
          </cell>
          <cell r="C261" t="str">
            <v>Dollar Tree Sourcing Comp. LLC</v>
          </cell>
          <cell r="D261" t="str">
            <v>DT# 6139   WM FLDLCRDR</v>
          </cell>
          <cell r="E261" t="str">
            <v>Grand Ledge, MI</v>
          </cell>
          <cell r="F261">
            <v>42457</v>
          </cell>
          <cell r="G261">
            <v>42465</v>
          </cell>
          <cell r="I261">
            <v>42466</v>
          </cell>
          <cell r="J261" t="str">
            <v>.</v>
          </cell>
          <cell r="L261">
            <v>551</v>
          </cell>
          <cell r="M261">
            <v>0</v>
          </cell>
          <cell r="N261">
            <v>2</v>
          </cell>
          <cell r="O261">
            <v>5500.12</v>
          </cell>
          <cell r="P261" t="str">
            <v>GA</v>
          </cell>
          <cell r="Q261" t="str">
            <v>4PD</v>
          </cell>
          <cell r="R261">
            <v>9933.2451999999994</v>
          </cell>
          <cell r="S261" t="b">
            <v>1</v>
          </cell>
          <cell r="T261" t="str">
            <v>Yes</v>
          </cell>
        </row>
        <row r="262">
          <cell r="B262" t="str">
            <v>165-0073</v>
          </cell>
          <cell r="C262" t="str">
            <v>Dollar Tree Sourcing Comp. LLC</v>
          </cell>
          <cell r="D262" t="str">
            <v>DT# 6274   WM FLDLCRDR</v>
          </cell>
          <cell r="E262" t="str">
            <v>Louisville, KY</v>
          </cell>
          <cell r="F262">
            <v>42457</v>
          </cell>
          <cell r="G262">
            <v>42466</v>
          </cell>
          <cell r="I262">
            <v>42467</v>
          </cell>
          <cell r="J262" t="str">
            <v>.</v>
          </cell>
          <cell r="L262">
            <v>551</v>
          </cell>
          <cell r="M262">
            <v>0</v>
          </cell>
          <cell r="N262">
            <v>2</v>
          </cell>
          <cell r="O262">
            <v>5500.12</v>
          </cell>
          <cell r="P262" t="str">
            <v>GA</v>
          </cell>
          <cell r="Q262" t="str">
            <v>4PD</v>
          </cell>
          <cell r="R262">
            <v>9933.2451999999994</v>
          </cell>
          <cell r="S262" t="b">
            <v>1</v>
          </cell>
          <cell r="T262" t="str">
            <v>Yes</v>
          </cell>
        </row>
        <row r="263">
          <cell r="B263" t="str">
            <v>157-1907</v>
          </cell>
          <cell r="C263" t="str">
            <v>Wal-Mart Store Planning</v>
          </cell>
          <cell r="D263" t="str">
            <v>Walmart 6958-00-SC-NEW-182</v>
          </cell>
          <cell r="E263" t="str">
            <v>Spout Springs, NC</v>
          </cell>
          <cell r="F263">
            <v>42464</v>
          </cell>
          <cell r="G263">
            <v>42432</v>
          </cell>
          <cell r="I263">
            <v>42473</v>
          </cell>
          <cell r="J263" t="str">
            <v>.</v>
          </cell>
          <cell r="L263">
            <v>13154</v>
          </cell>
          <cell r="M263">
            <v>0</v>
          </cell>
          <cell r="N263">
            <v>6</v>
          </cell>
          <cell r="O263">
            <v>85851.21</v>
          </cell>
          <cell r="P263" t="str">
            <v>GA</v>
          </cell>
          <cell r="Q263" t="str">
            <v>4PD</v>
          </cell>
          <cell r="R263">
            <v>145123.326</v>
          </cell>
          <cell r="S263" t="b">
            <v>0</v>
          </cell>
          <cell r="T263" t="str">
            <v>No</v>
          </cell>
          <cell r="V263" t="str">
            <v>A</v>
          </cell>
        </row>
        <row r="264">
          <cell r="B264" t="str">
            <v>155-1205</v>
          </cell>
          <cell r="C264" t="str">
            <v>Dollar Tree Sourcing Comp. LLC</v>
          </cell>
          <cell r="D264" t="str">
            <v>DT# 5965   WM FRDRCLDL</v>
          </cell>
          <cell r="E264" t="str">
            <v>HURST, TX</v>
          </cell>
          <cell r="F264">
            <v>42464</v>
          </cell>
          <cell r="G264">
            <v>42467</v>
          </cell>
          <cell r="I264">
            <v>42468</v>
          </cell>
          <cell r="J264" t="str">
            <v>.</v>
          </cell>
          <cell r="L264">
            <v>551</v>
          </cell>
          <cell r="M264">
            <v>0</v>
          </cell>
          <cell r="N264">
            <v>2</v>
          </cell>
          <cell r="O264">
            <v>5302.05</v>
          </cell>
          <cell r="P264" t="str">
            <v>GA</v>
          </cell>
          <cell r="Q264" t="str">
            <v>4PD</v>
          </cell>
          <cell r="R264">
            <v>9631.1023999999998</v>
          </cell>
          <cell r="S264" t="b">
            <v>1</v>
          </cell>
          <cell r="T264" t="str">
            <v>Yes</v>
          </cell>
        </row>
        <row r="265">
          <cell r="B265" t="str">
            <v>165-0091</v>
          </cell>
          <cell r="C265" t="str">
            <v>Dollar Tree Sourcing Comp. LLC</v>
          </cell>
          <cell r="D265" t="str">
            <v>DT# 6320   WM FRDRCLDL</v>
          </cell>
          <cell r="E265" t="str">
            <v>Warsaw, NY</v>
          </cell>
          <cell r="F265">
            <v>42464</v>
          </cell>
          <cell r="G265">
            <v>42467</v>
          </cell>
          <cell r="I265">
            <v>42468</v>
          </cell>
          <cell r="J265" t="str">
            <v>.</v>
          </cell>
          <cell r="L265">
            <v>551</v>
          </cell>
          <cell r="M265">
            <v>0</v>
          </cell>
          <cell r="N265">
            <v>2</v>
          </cell>
          <cell r="O265">
            <v>5500.12</v>
          </cell>
          <cell r="P265" t="str">
            <v>GA</v>
          </cell>
          <cell r="Q265" t="str">
            <v>4PD</v>
          </cell>
          <cell r="R265">
            <v>9933.2451999999994</v>
          </cell>
          <cell r="S265" t="b">
            <v>1</v>
          </cell>
          <cell r="T265" t="str">
            <v>Yes</v>
          </cell>
        </row>
        <row r="266">
          <cell r="B266" t="str">
            <v>157-2141</v>
          </cell>
          <cell r="C266" t="str">
            <v>Wal-Mart Store Planning</v>
          </cell>
          <cell r="D266" t="str">
            <v>Walmart 6941-00-NHM-41LMG016</v>
          </cell>
          <cell r="E266" t="str">
            <v>Cape Coral FL</v>
          </cell>
          <cell r="F266">
            <v>42464</v>
          </cell>
          <cell r="G266">
            <v>42467</v>
          </cell>
          <cell r="I266">
            <v>42468</v>
          </cell>
          <cell r="J266" t="str">
            <v>.</v>
          </cell>
          <cell r="L266">
            <v>4926</v>
          </cell>
          <cell r="M266">
            <v>0</v>
          </cell>
          <cell r="N266">
            <v>1</v>
          </cell>
          <cell r="O266">
            <v>28855.67</v>
          </cell>
          <cell r="P266" t="str">
            <v>GA</v>
          </cell>
          <cell r="Q266" t="str">
            <v>4PD</v>
          </cell>
          <cell r="R266">
            <v>60656.326699999998</v>
          </cell>
          <cell r="S266" t="b">
            <v>0</v>
          </cell>
          <cell r="T266" t="str">
            <v>No</v>
          </cell>
          <cell r="V266" t="str">
            <v>A</v>
          </cell>
        </row>
        <row r="267">
          <cell r="B267" t="str">
            <v>157-1120ADD1</v>
          </cell>
          <cell r="C267" t="str">
            <v>Wal-Mart Store Planning</v>
          </cell>
          <cell r="D267" t="str">
            <v>Walmart 4563-00-NHM-NEW-41</v>
          </cell>
          <cell r="E267" t="str">
            <v>Dania Beach, FL</v>
          </cell>
          <cell r="F267">
            <v>42464</v>
          </cell>
          <cell r="G267">
            <v>42467</v>
          </cell>
          <cell r="I267">
            <v>42468</v>
          </cell>
          <cell r="J267" t="str">
            <v>.</v>
          </cell>
          <cell r="L267">
            <v>364</v>
          </cell>
          <cell r="M267">
            <v>0</v>
          </cell>
          <cell r="N267">
            <v>0</v>
          </cell>
          <cell r="O267">
            <v>1680.74</v>
          </cell>
          <cell r="P267" t="str">
            <v>GA</v>
          </cell>
          <cell r="Q267" t="str">
            <v>4PD</v>
          </cell>
          <cell r="R267">
            <v>2070.4974999999999</v>
          </cell>
          <cell r="S267" t="b">
            <v>0</v>
          </cell>
          <cell r="T267" t="str">
            <v>No</v>
          </cell>
          <cell r="V267" t="str">
            <v>A</v>
          </cell>
        </row>
        <row r="268">
          <cell r="B268" t="str">
            <v>157-2184A</v>
          </cell>
          <cell r="C268" t="str">
            <v>Wal-Mart Store Planning</v>
          </cell>
          <cell r="D268" t="str">
            <v>Walmart 0155-221 REM</v>
          </cell>
          <cell r="E268" t="str">
            <v>Senatobia, MS</v>
          </cell>
          <cell r="F268">
            <v>42464</v>
          </cell>
          <cell r="G268">
            <v>42467</v>
          </cell>
          <cell r="I268">
            <v>42468</v>
          </cell>
          <cell r="J268" t="str">
            <v>RS</v>
          </cell>
          <cell r="L268">
            <v>1951</v>
          </cell>
          <cell r="M268">
            <v>0</v>
          </cell>
          <cell r="N268">
            <v>0</v>
          </cell>
          <cell r="O268">
            <v>12125.58</v>
          </cell>
          <cell r="P268" t="str">
            <v>GA</v>
          </cell>
          <cell r="Q268" t="str">
            <v>4PD</v>
          </cell>
          <cell r="R268">
            <v>84619.133600000001</v>
          </cell>
          <cell r="S268" t="b">
            <v>0</v>
          </cell>
          <cell r="T268" t="str">
            <v>No</v>
          </cell>
        </row>
        <row r="269">
          <cell r="B269" t="str">
            <v>157-1120</v>
          </cell>
          <cell r="C269" t="str">
            <v>Wal-Mart Store Planning</v>
          </cell>
          <cell r="D269" t="str">
            <v>Walmart 4563-00-NHM-NEW-41</v>
          </cell>
          <cell r="E269" t="str">
            <v>Dania Beach, FL</v>
          </cell>
          <cell r="F269">
            <v>42464</v>
          </cell>
          <cell r="G269">
            <v>42467</v>
          </cell>
          <cell r="I269">
            <v>42468</v>
          </cell>
          <cell r="J269" t="str">
            <v>PF</v>
          </cell>
          <cell r="K269" t="str">
            <v>CC</v>
          </cell>
          <cell r="L269">
            <v>4780</v>
          </cell>
          <cell r="M269">
            <v>137</v>
          </cell>
          <cell r="N269">
            <v>1</v>
          </cell>
          <cell r="O269">
            <v>29134.54</v>
          </cell>
          <cell r="P269" t="str">
            <v>GA</v>
          </cell>
          <cell r="Q269" t="str">
            <v>4PD</v>
          </cell>
          <cell r="R269">
            <v>61640.752500000002</v>
          </cell>
          <cell r="S269" t="b">
            <v>0</v>
          </cell>
          <cell r="T269" t="str">
            <v>No</v>
          </cell>
          <cell r="V269" t="str">
            <v>A</v>
          </cell>
        </row>
        <row r="270">
          <cell r="B270" t="str">
            <v>157-2231F</v>
          </cell>
          <cell r="C270" t="str">
            <v>Wal-Mart Store Planning</v>
          </cell>
          <cell r="D270" t="str">
            <v>Walmart 1206-225 Remodel</v>
          </cell>
          <cell r="E270" t="str">
            <v>Baton Rouge, LA</v>
          </cell>
          <cell r="F270">
            <v>42464</v>
          </cell>
          <cell r="G270">
            <v>42467</v>
          </cell>
          <cell r="I270">
            <v>42468</v>
          </cell>
          <cell r="J270" t="str">
            <v>RS</v>
          </cell>
          <cell r="L270">
            <v>0</v>
          </cell>
          <cell r="M270">
            <v>0</v>
          </cell>
          <cell r="N270">
            <v>0</v>
          </cell>
          <cell r="O270">
            <v>0</v>
          </cell>
          <cell r="P270" t="str">
            <v>GA</v>
          </cell>
          <cell r="Q270" t="str">
            <v>4PD</v>
          </cell>
          <cell r="R270">
            <v>1658.45</v>
          </cell>
          <cell r="S270" t="b">
            <v>0</v>
          </cell>
          <cell r="T270" t="str">
            <v>No</v>
          </cell>
          <cell r="V270" t="str">
            <v>A</v>
          </cell>
        </row>
        <row r="271">
          <cell r="B271" t="str">
            <v>165-0012</v>
          </cell>
          <cell r="C271" t="str">
            <v>Dollar Tree Sourcing Comp. LLC</v>
          </cell>
          <cell r="D271" t="str">
            <v>DT# 1589   WM FRDRCLDL DP WIC/LED</v>
          </cell>
          <cell r="E271" t="str">
            <v>Kirksville, MO</v>
          </cell>
          <cell r="F271">
            <v>42464</v>
          </cell>
          <cell r="G271">
            <v>42467</v>
          </cell>
          <cell r="I271">
            <v>42468</v>
          </cell>
          <cell r="J271" t="str">
            <v>.</v>
          </cell>
          <cell r="L271">
            <v>551</v>
          </cell>
          <cell r="M271">
            <v>0</v>
          </cell>
          <cell r="N271">
            <v>2</v>
          </cell>
          <cell r="O271">
            <v>5669.12</v>
          </cell>
          <cell r="P271" t="str">
            <v>GA</v>
          </cell>
          <cell r="Q271" t="str">
            <v>4PD</v>
          </cell>
          <cell r="R271">
            <v>10225.245199999999</v>
          </cell>
          <cell r="S271" t="b">
            <v>1</v>
          </cell>
          <cell r="T271" t="str">
            <v>Yes</v>
          </cell>
        </row>
        <row r="272">
          <cell r="B272" t="str">
            <v>167-0011</v>
          </cell>
          <cell r="C272" t="str">
            <v>Wal-Mart Store Planning</v>
          </cell>
          <cell r="D272" t="str">
            <v>Walmart 3629-00-NHM-41RMG016</v>
          </cell>
          <cell r="E272" t="str">
            <v>Port Orange FL</v>
          </cell>
          <cell r="F272">
            <v>42464</v>
          </cell>
          <cell r="G272">
            <v>42467</v>
          </cell>
          <cell r="I272">
            <v>42468</v>
          </cell>
          <cell r="J272" t="str">
            <v>.</v>
          </cell>
          <cell r="L272">
            <v>4926</v>
          </cell>
          <cell r="M272">
            <v>0</v>
          </cell>
          <cell r="N272">
            <v>1</v>
          </cell>
          <cell r="O272">
            <v>28651.83</v>
          </cell>
          <cell r="P272" t="str">
            <v>GA</v>
          </cell>
          <cell r="Q272" t="str">
            <v>4PD</v>
          </cell>
          <cell r="R272">
            <v>60449.217400000001</v>
          </cell>
          <cell r="S272" t="b">
            <v>0</v>
          </cell>
          <cell r="T272" t="str">
            <v>No</v>
          </cell>
          <cell r="V272" t="str">
            <v>A</v>
          </cell>
        </row>
        <row r="273">
          <cell r="B273" t="str">
            <v>157-2105</v>
          </cell>
          <cell r="C273" t="str">
            <v>KPS, LLC Michigan # 018</v>
          </cell>
          <cell r="D273" t="str">
            <v>Kroger D-684</v>
          </cell>
          <cell r="E273" t="str">
            <v xml:space="preserve"> </v>
          </cell>
          <cell r="F273">
            <v>42464</v>
          </cell>
          <cell r="G273">
            <v>42467</v>
          </cell>
          <cell r="I273">
            <v>42468</v>
          </cell>
          <cell r="J273" t="str">
            <v>VSS</v>
          </cell>
          <cell r="L273">
            <v>896</v>
          </cell>
          <cell r="M273">
            <v>0</v>
          </cell>
          <cell r="N273">
            <v>3</v>
          </cell>
          <cell r="O273">
            <v>9871.34</v>
          </cell>
          <cell r="P273" t="str">
            <v>GA</v>
          </cell>
          <cell r="Q273" t="str">
            <v>4PD</v>
          </cell>
          <cell r="R273">
            <v>9926.8569000000007</v>
          </cell>
          <cell r="S273" t="b">
            <v>0</v>
          </cell>
          <cell r="T273" t="str">
            <v>No</v>
          </cell>
          <cell r="U273" t="str">
            <v>FBed</v>
          </cell>
          <cell r="V273" t="str">
            <v>A</v>
          </cell>
        </row>
        <row r="274">
          <cell r="B274" t="str">
            <v>157-2195D</v>
          </cell>
          <cell r="C274" t="str">
            <v>Wal-Mart Store Planning</v>
          </cell>
          <cell r="D274" t="str">
            <v>Walmart 1023-219 REM</v>
          </cell>
          <cell r="E274" t="str">
            <v>Galax, VA</v>
          </cell>
          <cell r="F274">
            <v>42464</v>
          </cell>
          <cell r="G274">
            <v>42467</v>
          </cell>
          <cell r="I274">
            <v>42468</v>
          </cell>
          <cell r="J274" t="str">
            <v>RS</v>
          </cell>
          <cell r="L274">
            <v>1049</v>
          </cell>
          <cell r="M274">
            <v>0</v>
          </cell>
          <cell r="N274">
            <v>2</v>
          </cell>
          <cell r="O274">
            <v>9483.0400000000009</v>
          </cell>
          <cell r="P274" t="str">
            <v>GA</v>
          </cell>
          <cell r="Q274" t="str">
            <v>4PD</v>
          </cell>
          <cell r="R274">
            <v>9602.7972000000009</v>
          </cell>
          <cell r="S274" t="b">
            <v>0</v>
          </cell>
          <cell r="T274" t="str">
            <v>No</v>
          </cell>
          <cell r="V274" t="str">
            <v>A</v>
          </cell>
        </row>
        <row r="275">
          <cell r="B275" t="str">
            <v>167-0099</v>
          </cell>
          <cell r="C275" t="str">
            <v>Aldi Inc - Salisbury Division</v>
          </cell>
          <cell r="D275" t="str">
            <v>ALDI STORE #49</v>
          </cell>
          <cell r="E275" t="str">
            <v>FLORENCE SC</v>
          </cell>
          <cell r="F275">
            <v>42464</v>
          </cell>
          <cell r="G275">
            <v>42468</v>
          </cell>
          <cell r="I275">
            <v>42471</v>
          </cell>
          <cell r="J275" t="str">
            <v>SQ</v>
          </cell>
          <cell r="L275">
            <v>4776</v>
          </cell>
          <cell r="M275">
            <v>0</v>
          </cell>
          <cell r="N275">
            <v>1</v>
          </cell>
          <cell r="O275">
            <v>34319.629999999997</v>
          </cell>
          <cell r="P275" t="str">
            <v>GA</v>
          </cell>
          <cell r="Q275" t="str">
            <v>4PD</v>
          </cell>
          <cell r="R275">
            <v>39903.184500000003</v>
          </cell>
          <cell r="S275" t="b">
            <v>0</v>
          </cell>
          <cell r="T275" t="str">
            <v>No</v>
          </cell>
        </row>
        <row r="276">
          <cell r="B276" t="str">
            <v xml:space="preserve">167-0160 </v>
          </cell>
          <cell r="C276" t="str">
            <v>Wal-Mart Store Planning</v>
          </cell>
          <cell r="D276" t="str">
            <v>Walmart 1385-208-SC-REM</v>
          </cell>
          <cell r="E276" t="str">
            <v>Gastonia, NC</v>
          </cell>
          <cell r="F276">
            <v>42471</v>
          </cell>
          <cell r="G276">
            <v>42474</v>
          </cell>
          <cell r="I276">
            <v>42475</v>
          </cell>
          <cell r="J276" t="str">
            <v>.</v>
          </cell>
          <cell r="L276">
            <v>12529</v>
          </cell>
          <cell r="M276">
            <v>0</v>
          </cell>
          <cell r="N276">
            <v>7</v>
          </cell>
          <cell r="O276">
            <v>98841.9</v>
          </cell>
          <cell r="P276" t="str">
            <v>GA</v>
          </cell>
          <cell r="Q276" t="str">
            <v>4PD</v>
          </cell>
          <cell r="R276">
            <v>183800.73379999999</v>
          </cell>
          <cell r="S276" t="b">
            <v>0</v>
          </cell>
          <cell r="T276" t="str">
            <v>No</v>
          </cell>
        </row>
        <row r="277">
          <cell r="B277" t="str">
            <v>167-0162</v>
          </cell>
          <cell r="C277" t="str">
            <v>Wal-Mart Store Planning</v>
          </cell>
          <cell r="D277" t="str">
            <v>Walmart 1707-214-SC-REM</v>
          </cell>
          <cell r="E277" t="str">
            <v>East Liverpool, OH</v>
          </cell>
          <cell r="F277">
            <v>42471</v>
          </cell>
          <cell r="G277">
            <v>42474</v>
          </cell>
          <cell r="I277">
            <v>42475</v>
          </cell>
          <cell r="J277" t="str">
            <v>SS</v>
          </cell>
          <cell r="L277">
            <v>5023</v>
          </cell>
          <cell r="M277">
            <v>0</v>
          </cell>
          <cell r="N277">
            <v>6</v>
          </cell>
          <cell r="O277">
            <v>42267.42</v>
          </cell>
          <cell r="P277" t="str">
            <v>GA</v>
          </cell>
          <cell r="Q277" t="str">
            <v>4PD</v>
          </cell>
          <cell r="R277">
            <v>75263.206699999995</v>
          </cell>
          <cell r="S277" t="b">
            <v>0</v>
          </cell>
          <cell r="T277" t="str">
            <v>No</v>
          </cell>
        </row>
        <row r="278">
          <cell r="B278" t="str">
            <v>167-0112</v>
          </cell>
          <cell r="C278" t="str">
            <v>Wal-Mart Store Planning</v>
          </cell>
          <cell r="D278" t="str">
            <v>Walmart 2641-225-SC-REM</v>
          </cell>
          <cell r="E278" t="str">
            <v>Allentown, PA</v>
          </cell>
          <cell r="F278">
            <v>42471</v>
          </cell>
          <cell r="G278">
            <v>42474</v>
          </cell>
          <cell r="I278">
            <v>42475</v>
          </cell>
          <cell r="J278" t="str">
            <v>RS</v>
          </cell>
          <cell r="L278">
            <v>9844</v>
          </cell>
          <cell r="M278">
            <v>0</v>
          </cell>
          <cell r="N278">
            <v>2</v>
          </cell>
          <cell r="O278">
            <v>73587</v>
          </cell>
          <cell r="P278" t="str">
            <v>GA</v>
          </cell>
          <cell r="Q278" t="str">
            <v>4PD</v>
          </cell>
          <cell r="R278">
            <v>164411.0974</v>
          </cell>
          <cell r="S278" t="b">
            <v>0</v>
          </cell>
          <cell r="T278" t="str">
            <v>No</v>
          </cell>
        </row>
        <row r="279">
          <cell r="B279" t="str">
            <v>167-0087</v>
          </cell>
          <cell r="C279" t="str">
            <v>Wal-Mart Store Planning</v>
          </cell>
          <cell r="D279" t="str">
            <v>Walmart 0811-222 Remodel</v>
          </cell>
          <cell r="E279" t="str">
            <v>Arcadia, FL</v>
          </cell>
          <cell r="F279">
            <v>42471</v>
          </cell>
          <cell r="G279">
            <v>42474</v>
          </cell>
          <cell r="I279">
            <v>42475</v>
          </cell>
          <cell r="J279" t="str">
            <v>RS</v>
          </cell>
          <cell r="L279">
            <v>7450</v>
          </cell>
          <cell r="M279">
            <v>0</v>
          </cell>
          <cell r="N279">
            <v>6</v>
          </cell>
          <cell r="O279">
            <v>61920.74</v>
          </cell>
          <cell r="P279" t="str">
            <v>GA</v>
          </cell>
          <cell r="Q279" t="str">
            <v>4PD</v>
          </cell>
          <cell r="R279">
            <v>121885.577</v>
          </cell>
          <cell r="S279" t="b">
            <v>0</v>
          </cell>
          <cell r="T279" t="str">
            <v>No</v>
          </cell>
        </row>
        <row r="280">
          <cell r="B280" t="str">
            <v>157-2184B</v>
          </cell>
          <cell r="C280" t="str">
            <v>Wal-Mart Store Planning</v>
          </cell>
          <cell r="D280" t="str">
            <v>Walmart 0155-221 REM</v>
          </cell>
          <cell r="E280" t="str">
            <v>Senatobia, MS</v>
          </cell>
          <cell r="F280">
            <v>42471</v>
          </cell>
          <cell r="G280">
            <v>42474</v>
          </cell>
          <cell r="I280">
            <v>42475</v>
          </cell>
          <cell r="J280" t="str">
            <v>RS</v>
          </cell>
          <cell r="L280">
            <v>776</v>
          </cell>
          <cell r="M280">
            <v>0</v>
          </cell>
          <cell r="N280">
            <v>2</v>
          </cell>
          <cell r="O280">
            <v>7708.61</v>
          </cell>
          <cell r="P280" t="str">
            <v>GA</v>
          </cell>
          <cell r="Q280" t="str">
            <v>4PD</v>
          </cell>
          <cell r="R280">
            <v>7801.7273999999998</v>
          </cell>
          <cell r="S280" t="b">
            <v>0</v>
          </cell>
          <cell r="T280" t="str">
            <v>No</v>
          </cell>
        </row>
        <row r="281">
          <cell r="B281" t="str">
            <v>167-0170</v>
          </cell>
          <cell r="C281" t="str">
            <v>Wal-Mart Store Planning</v>
          </cell>
          <cell r="D281" t="str">
            <v>Walmart 2504-219-SC-REM</v>
          </cell>
          <cell r="E281" t="str">
            <v>Kingston, NY</v>
          </cell>
          <cell r="F281">
            <v>42471</v>
          </cell>
          <cell r="G281">
            <v>42474</v>
          </cell>
          <cell r="I281">
            <v>42475</v>
          </cell>
          <cell r="J281" t="str">
            <v>SS</v>
          </cell>
          <cell r="L281">
            <v>7185</v>
          </cell>
          <cell r="M281">
            <v>0</v>
          </cell>
          <cell r="N281">
            <v>7</v>
          </cell>
          <cell r="O281">
            <v>59185.9</v>
          </cell>
          <cell r="P281" t="str">
            <v>GA</v>
          </cell>
          <cell r="Q281" t="str">
            <v>4PD</v>
          </cell>
          <cell r="R281">
            <v>120713.5637</v>
          </cell>
          <cell r="S281" t="b">
            <v>0</v>
          </cell>
          <cell r="T281" t="str">
            <v>No</v>
          </cell>
        </row>
        <row r="282">
          <cell r="B282" t="str">
            <v>167-0004</v>
          </cell>
          <cell r="C282" t="str">
            <v>Wal-Mart Store Planning</v>
          </cell>
          <cell r="D282" t="str">
            <v>Walmart 5829-00-NHM-41LMG016</v>
          </cell>
          <cell r="E282" t="str">
            <v>Danville VA</v>
          </cell>
          <cell r="F282">
            <v>42471</v>
          </cell>
          <cell r="G282">
            <v>42474</v>
          </cell>
          <cell r="I282">
            <v>42475</v>
          </cell>
          <cell r="J282" t="str">
            <v>.</v>
          </cell>
          <cell r="L282">
            <v>4926</v>
          </cell>
          <cell r="M282">
            <v>0</v>
          </cell>
          <cell r="N282">
            <v>1</v>
          </cell>
          <cell r="O282">
            <v>28855.67</v>
          </cell>
          <cell r="P282" t="str">
            <v>GA</v>
          </cell>
          <cell r="Q282" t="str">
            <v>4PD</v>
          </cell>
          <cell r="R282">
            <v>60656.326699999998</v>
          </cell>
          <cell r="S282" t="b">
            <v>0</v>
          </cell>
          <cell r="T282" t="str">
            <v>No</v>
          </cell>
        </row>
        <row r="283">
          <cell r="B283" t="str">
            <v xml:space="preserve">167-0173 </v>
          </cell>
          <cell r="C283" t="str">
            <v>Wal-Mart Store Planning</v>
          </cell>
          <cell r="D283" t="str">
            <v>Walmart 2929-218-SC-REM</v>
          </cell>
          <cell r="E283" t="str">
            <v>Hope Mills, NC</v>
          </cell>
          <cell r="F283">
            <v>42471</v>
          </cell>
          <cell r="G283">
            <v>42474</v>
          </cell>
          <cell r="I283">
            <v>42475</v>
          </cell>
          <cell r="J283" t="str">
            <v>SS</v>
          </cell>
          <cell r="L283">
            <v>0</v>
          </cell>
          <cell r="M283">
            <v>0</v>
          </cell>
          <cell r="N283">
            <v>0</v>
          </cell>
          <cell r="O283">
            <v>16349.07</v>
          </cell>
          <cell r="P283" t="str">
            <v>GA</v>
          </cell>
          <cell r="Q283" t="str">
            <v>4PD</v>
          </cell>
          <cell r="R283">
            <v>53043.339899999999</v>
          </cell>
          <cell r="S283" t="b">
            <v>0</v>
          </cell>
          <cell r="T283" t="str">
            <v>No</v>
          </cell>
        </row>
        <row r="284">
          <cell r="B284" t="str">
            <v>157-2195C</v>
          </cell>
          <cell r="C284" t="str">
            <v>Wal-Mart Store Planning</v>
          </cell>
          <cell r="D284" t="str">
            <v>Walmart 1023-219 REM</v>
          </cell>
          <cell r="E284" t="str">
            <v>Galax, VA</v>
          </cell>
          <cell r="F284">
            <v>42471</v>
          </cell>
          <cell r="G284">
            <v>42474</v>
          </cell>
          <cell r="I284">
            <v>42475</v>
          </cell>
          <cell r="J284" t="str">
            <v>RS</v>
          </cell>
          <cell r="L284">
            <v>1467</v>
          </cell>
          <cell r="M284">
            <v>0</v>
          </cell>
          <cell r="N284">
            <v>2</v>
          </cell>
          <cell r="O284">
            <v>13525.38</v>
          </cell>
          <cell r="P284" t="str">
            <v>GA</v>
          </cell>
          <cell r="Q284" t="str">
            <v>4PD</v>
          </cell>
          <cell r="R284">
            <v>17289.7994</v>
          </cell>
          <cell r="S284" t="b">
            <v>0</v>
          </cell>
          <cell r="T284" t="str">
            <v>No</v>
          </cell>
          <cell r="V284" t="str">
            <v>A</v>
          </cell>
        </row>
        <row r="285">
          <cell r="B285" t="str">
            <v>157-2185</v>
          </cell>
          <cell r="C285" t="str">
            <v>Hutton Construction, Inc.</v>
          </cell>
          <cell r="D285" t="str">
            <v>Walmart 3959-00-NHM-DEV-SPMG012</v>
          </cell>
          <cell r="E285" t="str">
            <v>Knoxville, TN</v>
          </cell>
          <cell r="F285">
            <v>42471</v>
          </cell>
          <cell r="G285">
            <v>42479</v>
          </cell>
          <cell r="I285">
            <v>42480</v>
          </cell>
          <cell r="J285" t="str">
            <v>PC</v>
          </cell>
          <cell r="L285">
            <v>5383</v>
          </cell>
          <cell r="M285">
            <v>0</v>
          </cell>
          <cell r="N285">
            <v>2</v>
          </cell>
          <cell r="O285">
            <v>37877.42</v>
          </cell>
          <cell r="P285" t="str">
            <v>GA</v>
          </cell>
          <cell r="Q285" t="str">
            <v>4PD</v>
          </cell>
          <cell r="R285">
            <v>78564.672500000001</v>
          </cell>
          <cell r="S285" t="b">
            <v>0</v>
          </cell>
          <cell r="T285" t="str">
            <v>No</v>
          </cell>
        </row>
        <row r="286">
          <cell r="B286" t="str">
            <v>157-0790</v>
          </cell>
          <cell r="C286" t="str">
            <v>Wal-Mart Store Planning</v>
          </cell>
          <cell r="D286" t="str">
            <v>Walmart 2756-03-SC-NEW-182</v>
          </cell>
          <cell r="E286" t="str">
            <v>Frederick (N), MD</v>
          </cell>
          <cell r="F286">
            <v>42471</v>
          </cell>
          <cell r="G286">
            <v>42481</v>
          </cell>
          <cell r="I286">
            <v>42482</v>
          </cell>
          <cell r="J286" t="str">
            <v>PC</v>
          </cell>
          <cell r="L286">
            <v>13212</v>
          </cell>
          <cell r="M286">
            <v>0</v>
          </cell>
          <cell r="N286">
            <v>6</v>
          </cell>
          <cell r="O286">
            <v>85940.19</v>
          </cell>
          <cell r="P286" t="str">
            <v>GA</v>
          </cell>
          <cell r="Q286" t="str">
            <v>4PD</v>
          </cell>
          <cell r="R286">
            <v>143872.63320000001</v>
          </cell>
          <cell r="S286" t="b">
            <v>0</v>
          </cell>
          <cell r="T286" t="str">
            <v>No</v>
          </cell>
        </row>
        <row r="287">
          <cell r="B287" t="str">
            <v>157-1559</v>
          </cell>
          <cell r="C287" t="str">
            <v>KPS, LLC Michigan # 018</v>
          </cell>
          <cell r="D287" t="str">
            <v>Kroger D-743</v>
          </cell>
          <cell r="E287" t="str">
            <v>ROYAL OAK MI</v>
          </cell>
          <cell r="F287">
            <v>42471</v>
          </cell>
          <cell r="G287">
            <v>42481</v>
          </cell>
          <cell r="I287">
            <v>42482</v>
          </cell>
          <cell r="J287" t="str">
            <v>AP</v>
          </cell>
          <cell r="L287">
            <v>16447</v>
          </cell>
          <cell r="M287">
            <v>0</v>
          </cell>
          <cell r="N287">
            <v>14</v>
          </cell>
          <cell r="O287">
            <v>129196.81</v>
          </cell>
          <cell r="P287" t="str">
            <v>GA</v>
          </cell>
          <cell r="Q287" t="str">
            <v>4PD</v>
          </cell>
          <cell r="R287">
            <v>129196.80740000001</v>
          </cell>
          <cell r="S287" t="b">
            <v>0</v>
          </cell>
          <cell r="T287" t="str">
            <v>No</v>
          </cell>
          <cell r="U287" t="str">
            <v>FBed</v>
          </cell>
        </row>
        <row r="288">
          <cell r="B288" t="str">
            <v>157-2119</v>
          </cell>
          <cell r="C288" t="str">
            <v>KPS, LLC Central #021</v>
          </cell>
          <cell r="D288" t="str">
            <v>Kroger J-979</v>
          </cell>
          <cell r="E288" t="str">
            <v>FRANKLIN IN</v>
          </cell>
          <cell r="F288">
            <v>42478</v>
          </cell>
          <cell r="G288">
            <v>42481</v>
          </cell>
          <cell r="I288">
            <v>42482</v>
          </cell>
          <cell r="J288" t="str">
            <v>AP</v>
          </cell>
          <cell r="L288">
            <v>16251</v>
          </cell>
          <cell r="M288">
            <v>0</v>
          </cell>
          <cell r="N288">
            <v>18</v>
          </cell>
          <cell r="O288">
            <v>120240.34</v>
          </cell>
          <cell r="P288" t="str">
            <v>GA</v>
          </cell>
          <cell r="Q288" t="str">
            <v>4PD</v>
          </cell>
          <cell r="R288">
            <v>120240.3379</v>
          </cell>
          <cell r="S288" t="b">
            <v>0</v>
          </cell>
          <cell r="T288" t="str">
            <v>No</v>
          </cell>
          <cell r="U288" t="str">
            <v>FBed</v>
          </cell>
          <cell r="V288" t="str">
            <v>A</v>
          </cell>
        </row>
        <row r="289">
          <cell r="B289" t="str">
            <v>167-0018</v>
          </cell>
          <cell r="C289" t="str">
            <v>Two Farms, Inc.</v>
          </cell>
          <cell r="D289" t="str">
            <v>Royal Farms 135</v>
          </cell>
          <cell r="E289" t="str">
            <v>DENTON MD</v>
          </cell>
          <cell r="F289">
            <v>42478</v>
          </cell>
          <cell r="G289">
            <v>42481</v>
          </cell>
          <cell r="I289">
            <v>42482</v>
          </cell>
          <cell r="J289" t="str">
            <v>PC</v>
          </cell>
          <cell r="L289">
            <v>2306</v>
          </cell>
          <cell r="M289">
            <v>0</v>
          </cell>
          <cell r="N289">
            <v>5</v>
          </cell>
          <cell r="O289">
            <v>21373.25</v>
          </cell>
          <cell r="P289" t="str">
            <v>GA</v>
          </cell>
          <cell r="Q289" t="str">
            <v>4PD</v>
          </cell>
          <cell r="R289">
            <v>37299.965700000001</v>
          </cell>
          <cell r="S289" t="b">
            <v>0</v>
          </cell>
          <cell r="T289" t="str">
            <v>No</v>
          </cell>
          <cell r="U289" t="str">
            <v>FBed</v>
          </cell>
        </row>
        <row r="290">
          <cell r="B290" t="str">
            <v>157-1979</v>
          </cell>
          <cell r="C290" t="str">
            <v>Wal-Mart Store Planning</v>
          </cell>
          <cell r="D290" t="str">
            <v>Walmart 0661-224-SC-REM</v>
          </cell>
          <cell r="E290" t="str">
            <v>Athens, AL</v>
          </cell>
          <cell r="F290">
            <v>42478</v>
          </cell>
          <cell r="G290">
            <v>42481</v>
          </cell>
          <cell r="I290">
            <v>42482</v>
          </cell>
          <cell r="J290" t="str">
            <v>PC2</v>
          </cell>
          <cell r="L290">
            <v>0</v>
          </cell>
          <cell r="M290">
            <v>0</v>
          </cell>
          <cell r="N290">
            <v>1</v>
          </cell>
          <cell r="O290">
            <v>1863.62</v>
          </cell>
          <cell r="P290" t="str">
            <v>GA</v>
          </cell>
          <cell r="Q290" t="str">
            <v>4PD</v>
          </cell>
          <cell r="R290">
            <v>21932.399600000001</v>
          </cell>
          <cell r="S290" t="b">
            <v>0</v>
          </cell>
          <cell r="T290" t="str">
            <v>No</v>
          </cell>
        </row>
        <row r="291">
          <cell r="B291" t="str">
            <v>167-0050</v>
          </cell>
          <cell r="C291" t="str">
            <v>KPS, LLC Dillon's # 615</v>
          </cell>
          <cell r="D291" t="str">
            <v>Kroger DIL-084</v>
          </cell>
          <cell r="E291" t="str">
            <v>NEWTON KS</v>
          </cell>
          <cell r="F291">
            <v>42478</v>
          </cell>
          <cell r="G291">
            <v>42481</v>
          </cell>
          <cell r="I291">
            <v>42482</v>
          </cell>
          <cell r="J291" t="str">
            <v>.</v>
          </cell>
          <cell r="L291">
            <v>116</v>
          </cell>
          <cell r="M291">
            <v>0</v>
          </cell>
          <cell r="N291">
            <v>0</v>
          </cell>
          <cell r="O291">
            <v>1479.64</v>
          </cell>
          <cell r="P291" t="str">
            <v>GA</v>
          </cell>
          <cell r="Q291" t="str">
            <v>4PD</v>
          </cell>
          <cell r="R291">
            <v>1479.6424</v>
          </cell>
          <cell r="S291" t="b">
            <v>0</v>
          </cell>
          <cell r="T291" t="str">
            <v>No</v>
          </cell>
        </row>
        <row r="292">
          <cell r="B292" t="str">
            <v>157-2088B</v>
          </cell>
          <cell r="C292" t="str">
            <v>KPS, LLC Columbus #016</v>
          </cell>
          <cell r="D292" t="str">
            <v>Kroger N-878</v>
          </cell>
          <cell r="E292" t="str">
            <v>BOWLING GREEN OH</v>
          </cell>
          <cell r="F292">
            <v>42478</v>
          </cell>
          <cell r="G292">
            <v>42481</v>
          </cell>
          <cell r="I292">
            <v>42482</v>
          </cell>
          <cell r="J292" t="str">
            <v>AP</v>
          </cell>
          <cell r="L292">
            <v>14703</v>
          </cell>
          <cell r="M292">
            <v>0</v>
          </cell>
          <cell r="N292">
            <v>16</v>
          </cell>
          <cell r="O292">
            <v>108006.32</v>
          </cell>
          <cell r="P292" t="str">
            <v>GA</v>
          </cell>
          <cell r="Q292" t="str">
            <v>4PD</v>
          </cell>
          <cell r="R292">
            <v>108006.3207</v>
          </cell>
          <cell r="S292" t="b">
            <v>0</v>
          </cell>
          <cell r="T292" t="str">
            <v>No</v>
          </cell>
          <cell r="U292" t="str">
            <v>FBed</v>
          </cell>
          <cell r="V292" t="str">
            <v>A</v>
          </cell>
        </row>
        <row r="293">
          <cell r="B293" t="str">
            <v>157-1047</v>
          </cell>
          <cell r="C293" t="str">
            <v>Trader Joes East</v>
          </cell>
          <cell r="D293" t="str">
            <v>Trader Joe's Metairie, LA</v>
          </cell>
          <cell r="E293" t="str">
            <v xml:space="preserve"> </v>
          </cell>
          <cell r="F293">
            <v>42478</v>
          </cell>
          <cell r="G293">
            <v>42481</v>
          </cell>
          <cell r="I293">
            <v>42482</v>
          </cell>
          <cell r="J293" t="str">
            <v>.</v>
          </cell>
          <cell r="L293">
            <v>2081</v>
          </cell>
          <cell r="M293">
            <v>0</v>
          </cell>
          <cell r="N293">
            <v>1</v>
          </cell>
          <cell r="O293">
            <v>16602.900000000001</v>
          </cell>
          <cell r="P293" t="str">
            <v>GA</v>
          </cell>
          <cell r="Q293" t="str">
            <v>4PD</v>
          </cell>
          <cell r="R293">
            <v>24080.305700000001</v>
          </cell>
          <cell r="S293" t="b">
            <v>0</v>
          </cell>
          <cell r="T293" t="str">
            <v>No</v>
          </cell>
          <cell r="V293" t="str">
            <v>A</v>
          </cell>
        </row>
        <row r="294">
          <cell r="B294" t="str">
            <v>157-2184C</v>
          </cell>
          <cell r="C294" t="str">
            <v>Wal-Mart Store Planning</v>
          </cell>
          <cell r="D294" t="str">
            <v>Walmart 0155-221 REM</v>
          </cell>
          <cell r="E294" t="str">
            <v>Senatobia, MS</v>
          </cell>
          <cell r="F294">
            <v>42478</v>
          </cell>
          <cell r="G294">
            <v>42481</v>
          </cell>
          <cell r="I294">
            <v>42482</v>
          </cell>
          <cell r="J294" t="str">
            <v>RS</v>
          </cell>
          <cell r="L294">
            <v>2210</v>
          </cell>
          <cell r="M294">
            <v>0</v>
          </cell>
          <cell r="N294">
            <v>0</v>
          </cell>
          <cell r="O294">
            <v>14049.59</v>
          </cell>
          <cell r="P294" t="str">
            <v>GA</v>
          </cell>
          <cell r="Q294" t="str">
            <v>4PD</v>
          </cell>
          <cell r="R294">
            <v>19332.513999999999</v>
          </cell>
          <cell r="S294" t="b">
            <v>0</v>
          </cell>
          <cell r="T294" t="str">
            <v>No</v>
          </cell>
        </row>
        <row r="295">
          <cell r="B295" t="str">
            <v>167-0028</v>
          </cell>
          <cell r="C295" t="str">
            <v>KPS, LLC Cincinnati #014</v>
          </cell>
          <cell r="D295" t="str">
            <v>Kroger A-439</v>
          </cell>
          <cell r="E295" t="str">
            <v>Liberty Twp</v>
          </cell>
          <cell r="F295">
            <v>42478</v>
          </cell>
          <cell r="G295">
            <v>42485</v>
          </cell>
          <cell r="I295">
            <v>42486</v>
          </cell>
          <cell r="J295" t="str">
            <v>RQ</v>
          </cell>
          <cell r="L295">
            <v>19033</v>
          </cell>
          <cell r="M295">
            <v>0</v>
          </cell>
          <cell r="N295">
            <v>16</v>
          </cell>
          <cell r="O295">
            <v>136195.35</v>
          </cell>
          <cell r="P295" t="str">
            <v>GA</v>
          </cell>
          <cell r="Q295" t="str">
            <v>4PD</v>
          </cell>
          <cell r="R295">
            <v>136195.35200000001</v>
          </cell>
          <cell r="S295" t="b">
            <v>0</v>
          </cell>
          <cell r="T295" t="str">
            <v>No</v>
          </cell>
          <cell r="U295" t="str">
            <v>FBed</v>
          </cell>
        </row>
        <row r="296">
          <cell r="B296" t="str">
            <v>157-1951ADD1</v>
          </cell>
          <cell r="C296" t="str">
            <v>St. Cloud Refrigeration</v>
          </cell>
          <cell r="D296" t="str">
            <v>Eastside Food Co-op Meat &amp; Dairy</v>
          </cell>
          <cell r="E296" t="str">
            <v>MINNEAPOLIS MN</v>
          </cell>
          <cell r="F296">
            <v>42478</v>
          </cell>
          <cell r="G296">
            <v>42485</v>
          </cell>
          <cell r="I296">
            <v>42486</v>
          </cell>
          <cell r="J296" t="str">
            <v>VSS</v>
          </cell>
          <cell r="L296">
            <v>2456</v>
          </cell>
          <cell r="M296">
            <v>0</v>
          </cell>
          <cell r="N296">
            <v>6</v>
          </cell>
          <cell r="O296">
            <v>25012.42</v>
          </cell>
          <cell r="P296" t="str">
            <v>GA</v>
          </cell>
          <cell r="Q296" t="str">
            <v>4PD</v>
          </cell>
          <cell r="R296">
            <v>25523.503799999999</v>
          </cell>
          <cell r="S296" t="b">
            <v>0</v>
          </cell>
          <cell r="T296" t="str">
            <v>No</v>
          </cell>
          <cell r="U296" t="str">
            <v>FBed</v>
          </cell>
        </row>
        <row r="297">
          <cell r="B297" t="str">
            <v xml:space="preserve">157-2255 </v>
          </cell>
          <cell r="C297" t="str">
            <v>Hannaford Bros. Co.</v>
          </cell>
          <cell r="D297" t="str">
            <v>Gowell's Market</v>
          </cell>
          <cell r="E297" t="str">
            <v>LITCHFIELD ME</v>
          </cell>
          <cell r="F297">
            <v>42478</v>
          </cell>
          <cell r="G297">
            <v>42486</v>
          </cell>
          <cell r="I297">
            <v>42487</v>
          </cell>
          <cell r="J297" t="str">
            <v>SS</v>
          </cell>
          <cell r="L297">
            <v>4406</v>
          </cell>
          <cell r="M297">
            <v>0</v>
          </cell>
          <cell r="N297">
            <v>8</v>
          </cell>
          <cell r="O297">
            <v>45124.47</v>
          </cell>
          <cell r="P297" t="str">
            <v>GA</v>
          </cell>
          <cell r="Q297" t="str">
            <v>4PD</v>
          </cell>
          <cell r="R297">
            <v>56253.332699999999</v>
          </cell>
          <cell r="S297" t="b">
            <v>0</v>
          </cell>
          <cell r="T297" t="str">
            <v>No</v>
          </cell>
          <cell r="V297" t="str">
            <v>A</v>
          </cell>
        </row>
        <row r="298">
          <cell r="B298" t="str">
            <v xml:space="preserve">147-1640 </v>
          </cell>
          <cell r="C298" t="str">
            <v>KPS, LLC Delta #025</v>
          </cell>
          <cell r="D298" t="str">
            <v>V-402</v>
          </cell>
          <cell r="E298" t="str">
            <v>Memphis TN</v>
          </cell>
          <cell r="F298">
            <v>42478</v>
          </cell>
          <cell r="G298">
            <v>42488</v>
          </cell>
          <cell r="I298">
            <v>42489</v>
          </cell>
          <cell r="J298" t="str">
            <v>PW</v>
          </cell>
          <cell r="L298">
            <v>14990</v>
          </cell>
          <cell r="M298">
            <v>0</v>
          </cell>
          <cell r="N298">
            <v>13</v>
          </cell>
          <cell r="O298">
            <v>108086.56</v>
          </cell>
          <cell r="P298" t="str">
            <v>GA</v>
          </cell>
          <cell r="Q298" t="str">
            <v>4PD</v>
          </cell>
          <cell r="R298">
            <v>108086.5646</v>
          </cell>
          <cell r="S298" t="b">
            <v>0</v>
          </cell>
          <cell r="T298" t="str">
            <v>No</v>
          </cell>
          <cell r="U298" t="str">
            <v>FBed</v>
          </cell>
        </row>
        <row r="299">
          <cell r="B299" t="str">
            <v>157-0903ADD1</v>
          </cell>
          <cell r="C299" t="str">
            <v>Wal-Mart Store Planning</v>
          </cell>
          <cell r="D299" t="str">
            <v>Walmart 5059-00-NEW-LC-MG016</v>
          </cell>
          <cell r="E299" t="str">
            <v>Hopkinsville, KY</v>
          </cell>
          <cell r="F299">
            <v>42485</v>
          </cell>
          <cell r="G299">
            <v>42488</v>
          </cell>
          <cell r="I299">
            <v>42489</v>
          </cell>
          <cell r="J299" t="str">
            <v>PC2</v>
          </cell>
          <cell r="L299">
            <v>1566</v>
          </cell>
          <cell r="M299">
            <v>0</v>
          </cell>
          <cell r="N299">
            <v>0</v>
          </cell>
          <cell r="O299">
            <v>10539.67</v>
          </cell>
          <cell r="P299" t="str">
            <v>GA</v>
          </cell>
          <cell r="Q299" t="str">
            <v>4PD</v>
          </cell>
          <cell r="R299">
            <v>28438.151999999998</v>
          </cell>
          <cell r="S299" t="b">
            <v>0</v>
          </cell>
          <cell r="T299" t="str">
            <v>No</v>
          </cell>
          <cell r="V299" t="str">
            <v>A</v>
          </cell>
        </row>
        <row r="300">
          <cell r="B300" t="str">
            <v xml:space="preserve">157-2280 </v>
          </cell>
          <cell r="C300" t="str">
            <v>Southern Refrigeration, Inc</v>
          </cell>
          <cell r="D300" t="str">
            <v>Shawns Cajun Meats</v>
          </cell>
          <cell r="E300" t="str">
            <v>Delcambre, LA</v>
          </cell>
          <cell r="F300">
            <v>42485</v>
          </cell>
          <cell r="G300">
            <v>42488</v>
          </cell>
          <cell r="I300">
            <v>42489</v>
          </cell>
          <cell r="J300" t="str">
            <v>VSS</v>
          </cell>
          <cell r="L300">
            <v>4819</v>
          </cell>
          <cell r="M300">
            <v>0</v>
          </cell>
          <cell r="N300">
            <v>4</v>
          </cell>
          <cell r="O300">
            <v>35194.69</v>
          </cell>
          <cell r="P300" t="str">
            <v>GA</v>
          </cell>
          <cell r="Q300" t="str">
            <v>4PD</v>
          </cell>
          <cell r="R300">
            <v>50765.084199999998</v>
          </cell>
          <cell r="S300" t="b">
            <v>0</v>
          </cell>
          <cell r="T300" t="str">
            <v>No</v>
          </cell>
          <cell r="U300" t="str">
            <v>FBed</v>
          </cell>
        </row>
        <row r="301">
          <cell r="B301" t="str">
            <v>167-0115</v>
          </cell>
          <cell r="C301" t="str">
            <v>Wal-Mart Store Planning</v>
          </cell>
          <cell r="D301" t="str">
            <v>Walmart 1453-217 SC-REM</v>
          </cell>
          <cell r="E301" t="str">
            <v>Green Bay, WI</v>
          </cell>
          <cell r="F301">
            <v>42485</v>
          </cell>
          <cell r="G301">
            <v>42488</v>
          </cell>
          <cell r="I301">
            <v>42489</v>
          </cell>
          <cell r="J301" t="str">
            <v>RS</v>
          </cell>
          <cell r="L301">
            <v>12947</v>
          </cell>
          <cell r="M301">
            <v>0</v>
          </cell>
          <cell r="N301">
            <v>4</v>
          </cell>
          <cell r="O301">
            <v>95396.4</v>
          </cell>
          <cell r="P301" t="str">
            <v>GA</v>
          </cell>
          <cell r="Q301" t="str">
            <v>4PD</v>
          </cell>
          <cell r="R301">
            <v>208182.6318</v>
          </cell>
          <cell r="S301" t="b">
            <v>0</v>
          </cell>
          <cell r="T301" t="str">
            <v>No</v>
          </cell>
        </row>
        <row r="302">
          <cell r="B302" t="str">
            <v>167-0122</v>
          </cell>
          <cell r="C302" t="str">
            <v>Wal-Mart Store Planning</v>
          </cell>
          <cell r="D302" t="str">
            <v>Walmart 5418-223-SC-REM</v>
          </cell>
          <cell r="E302" t="str">
            <v>Louisville, KY</v>
          </cell>
          <cell r="F302">
            <v>42485</v>
          </cell>
          <cell r="G302">
            <v>42488</v>
          </cell>
          <cell r="I302">
            <v>42489</v>
          </cell>
          <cell r="J302" t="str">
            <v>RS</v>
          </cell>
          <cell r="L302">
            <v>369</v>
          </cell>
          <cell r="M302">
            <v>0</v>
          </cell>
          <cell r="N302">
            <v>3</v>
          </cell>
          <cell r="O302">
            <v>33176.879999999997</v>
          </cell>
          <cell r="P302" t="str">
            <v>GA</v>
          </cell>
          <cell r="Q302" t="str">
            <v>4PD</v>
          </cell>
          <cell r="R302">
            <v>77284.018800000005</v>
          </cell>
          <cell r="S302" t="b">
            <v>0</v>
          </cell>
          <cell r="T302" t="str">
            <v>No</v>
          </cell>
        </row>
        <row r="303">
          <cell r="B303" t="str">
            <v>157-0903</v>
          </cell>
          <cell r="C303" t="str">
            <v>Wal-Mart Store Planning</v>
          </cell>
          <cell r="D303" t="str">
            <v>Walmart 5059-NHM-NEW-41.1</v>
          </cell>
          <cell r="E303" t="str">
            <v>Hopkinsville KY</v>
          </cell>
          <cell r="F303">
            <v>42485</v>
          </cell>
          <cell r="G303">
            <v>42488</v>
          </cell>
          <cell r="I303">
            <v>42489</v>
          </cell>
          <cell r="J303" t="str">
            <v>PC2</v>
          </cell>
          <cell r="L303">
            <v>4929</v>
          </cell>
          <cell r="M303">
            <v>0</v>
          </cell>
          <cell r="N303">
            <v>1</v>
          </cell>
          <cell r="O303">
            <v>27040.75</v>
          </cell>
          <cell r="P303" t="str">
            <v>GA</v>
          </cell>
          <cell r="Q303" t="str">
            <v>4PD</v>
          </cell>
          <cell r="R303">
            <v>57955.963300000003</v>
          </cell>
          <cell r="S303" t="b">
            <v>0</v>
          </cell>
          <cell r="T303" t="str">
            <v>No</v>
          </cell>
          <cell r="V303" t="str">
            <v>A</v>
          </cell>
        </row>
        <row r="304">
          <cell r="B304" t="str">
            <v>157-2184D</v>
          </cell>
          <cell r="C304" t="str">
            <v>Wal-Mart Store Planning</v>
          </cell>
          <cell r="D304" t="str">
            <v>Walmart 0155-221 REM</v>
          </cell>
          <cell r="E304" t="str">
            <v>Senatobia, MS</v>
          </cell>
          <cell r="F304">
            <v>42485</v>
          </cell>
          <cell r="G304">
            <v>42488</v>
          </cell>
          <cell r="I304">
            <v>42489</v>
          </cell>
          <cell r="J304" t="str">
            <v>RS</v>
          </cell>
          <cell r="L304">
            <v>2198</v>
          </cell>
          <cell r="M304">
            <v>0</v>
          </cell>
          <cell r="N304">
            <v>1</v>
          </cell>
          <cell r="O304">
            <v>16362.04</v>
          </cell>
          <cell r="P304" t="str">
            <v>GA</v>
          </cell>
          <cell r="Q304" t="str">
            <v>4PD</v>
          </cell>
          <cell r="R304">
            <v>20469.274399999998</v>
          </cell>
          <cell r="S304" t="b">
            <v>0</v>
          </cell>
          <cell r="T304" t="str">
            <v>No</v>
          </cell>
        </row>
        <row r="305">
          <cell r="B305" t="str">
            <v xml:space="preserve">167-0172 </v>
          </cell>
          <cell r="C305" t="str">
            <v>Wal-Mart Store Planning</v>
          </cell>
          <cell r="D305" t="str">
            <v>Walmart 1642-220-SC-REM</v>
          </cell>
          <cell r="E305" t="str">
            <v>Charlotte, MI</v>
          </cell>
          <cell r="F305">
            <v>42485</v>
          </cell>
          <cell r="G305">
            <v>42488</v>
          </cell>
          <cell r="I305">
            <v>42489</v>
          </cell>
          <cell r="J305" t="str">
            <v>.</v>
          </cell>
          <cell r="L305">
            <v>0</v>
          </cell>
          <cell r="M305">
            <v>0</v>
          </cell>
          <cell r="N305">
            <v>0</v>
          </cell>
          <cell r="O305">
            <v>6333.6</v>
          </cell>
          <cell r="P305" t="str">
            <v>GA</v>
          </cell>
          <cell r="Q305" t="str">
            <v>4PD</v>
          </cell>
          <cell r="R305">
            <v>36028.899899999997</v>
          </cell>
          <cell r="S305" t="b">
            <v>0</v>
          </cell>
          <cell r="T305" t="str">
            <v>No</v>
          </cell>
        </row>
        <row r="306">
          <cell r="B306" t="str">
            <v>157-1187</v>
          </cell>
          <cell r="C306" t="str">
            <v>Wal-Mart Store Planning</v>
          </cell>
          <cell r="D306" t="str">
            <v>Walmart 5084-00-NHM-NEW-41</v>
          </cell>
          <cell r="E306" t="str">
            <v>Wilson, NC</v>
          </cell>
          <cell r="F306">
            <v>42485</v>
          </cell>
          <cell r="G306">
            <v>42488</v>
          </cell>
          <cell r="I306">
            <v>42489</v>
          </cell>
          <cell r="J306" t="str">
            <v>PF</v>
          </cell>
          <cell r="K306" t="str">
            <v>CC</v>
          </cell>
          <cell r="L306">
            <v>4929</v>
          </cell>
          <cell r="M306">
            <v>125</v>
          </cell>
          <cell r="N306">
            <v>1</v>
          </cell>
          <cell r="O306">
            <v>29056.42</v>
          </cell>
          <cell r="P306" t="str">
            <v>GA</v>
          </cell>
          <cell r="Q306" t="str">
            <v>4PD</v>
          </cell>
          <cell r="R306">
            <v>59430.200299999997</v>
          </cell>
          <cell r="S306" t="b">
            <v>0</v>
          </cell>
          <cell r="T306" t="str">
            <v>No</v>
          </cell>
          <cell r="V306" t="str">
            <v>A</v>
          </cell>
        </row>
        <row r="307">
          <cell r="B307" t="str">
            <v>157-2193</v>
          </cell>
          <cell r="C307" t="str">
            <v>KPS, LLC Cincinnati #014</v>
          </cell>
          <cell r="D307" t="str">
            <v>Kroger A-960</v>
          </cell>
          <cell r="E307" t="str">
            <v>DAYTON OH</v>
          </cell>
          <cell r="F307">
            <v>42485</v>
          </cell>
          <cell r="G307">
            <v>42488</v>
          </cell>
          <cell r="I307">
            <v>42489</v>
          </cell>
          <cell r="J307" t="str">
            <v>RS</v>
          </cell>
          <cell r="L307">
            <v>17162</v>
          </cell>
          <cell r="M307">
            <v>0</v>
          </cell>
          <cell r="N307">
            <v>17</v>
          </cell>
          <cell r="O307">
            <v>124664.83</v>
          </cell>
          <cell r="P307" t="str">
            <v>GA</v>
          </cell>
          <cell r="Q307" t="str">
            <v>4PD</v>
          </cell>
          <cell r="R307">
            <v>124664.83379999999</v>
          </cell>
          <cell r="S307" t="b">
            <v>0</v>
          </cell>
          <cell r="T307" t="str">
            <v>No</v>
          </cell>
          <cell r="U307" t="str">
            <v>FBed</v>
          </cell>
        </row>
        <row r="308">
          <cell r="B308" t="str">
            <v>167-0169</v>
          </cell>
          <cell r="C308" t="str">
            <v>SUPERVALU</v>
          </cell>
          <cell r="D308" t="str">
            <v>Save-A-Lot</v>
          </cell>
          <cell r="E308" t="str">
            <v>TARPON SPRINGS FL</v>
          </cell>
          <cell r="F308">
            <v>42485</v>
          </cell>
          <cell r="G308">
            <v>42488</v>
          </cell>
          <cell r="I308">
            <v>42489</v>
          </cell>
          <cell r="J308" t="str">
            <v>SQ</v>
          </cell>
          <cell r="L308">
            <v>4004</v>
          </cell>
          <cell r="M308">
            <v>0</v>
          </cell>
          <cell r="N308">
            <v>4</v>
          </cell>
          <cell r="O308">
            <v>30833.21</v>
          </cell>
          <cell r="P308" t="str">
            <v>GA</v>
          </cell>
          <cell r="Q308" t="str">
            <v>4PD</v>
          </cell>
          <cell r="R308">
            <v>43000.796199999997</v>
          </cell>
          <cell r="S308" t="b">
            <v>0</v>
          </cell>
          <cell r="T308" t="str">
            <v>No</v>
          </cell>
          <cell r="U308" t="str">
            <v>FBed</v>
          </cell>
        </row>
        <row r="309">
          <cell r="B309" t="str">
            <v>165-0041</v>
          </cell>
          <cell r="C309" t="str">
            <v>Dollar Tree Sourcing Comp. LLC</v>
          </cell>
          <cell r="D309" t="str">
            <v>DT# 9542   WSM FLDLCRDR</v>
          </cell>
          <cell r="E309" t="str">
            <v>North Huntingdon, PA</v>
          </cell>
          <cell r="F309">
            <v>42485</v>
          </cell>
          <cell r="G309">
            <v>42492</v>
          </cell>
          <cell r="I309">
            <v>42493</v>
          </cell>
          <cell r="J309" t="str">
            <v>.</v>
          </cell>
          <cell r="L309">
            <v>629</v>
          </cell>
          <cell r="M309">
            <v>0</v>
          </cell>
          <cell r="N309">
            <v>2</v>
          </cell>
          <cell r="O309">
            <v>6083.54</v>
          </cell>
          <cell r="P309" t="str">
            <v>GA</v>
          </cell>
          <cell r="Q309" t="str">
            <v>4PD</v>
          </cell>
          <cell r="R309">
            <v>10516.6674</v>
          </cell>
          <cell r="S309" t="b">
            <v>1</v>
          </cell>
          <cell r="T309" t="str">
            <v>Yes</v>
          </cell>
        </row>
        <row r="310">
          <cell r="B310" t="str">
            <v>157-1897</v>
          </cell>
          <cell r="C310" t="str">
            <v>Kroger Atlanta # 011</v>
          </cell>
          <cell r="D310" t="str">
            <v>Kroger GA-672</v>
          </cell>
          <cell r="E310" t="str">
            <v xml:space="preserve"> </v>
          </cell>
          <cell r="F310">
            <v>42380</v>
          </cell>
          <cell r="G310">
            <v>42387</v>
          </cell>
          <cell r="H310">
            <v>30</v>
          </cell>
          <cell r="I310">
            <v>42426</v>
          </cell>
          <cell r="J310" t="str">
            <v>PF</v>
          </cell>
          <cell r="K310" t="str">
            <v>CC</v>
          </cell>
          <cell r="L310">
            <v>4090</v>
          </cell>
          <cell r="M310">
            <v>115</v>
          </cell>
          <cell r="N310">
            <v>9</v>
          </cell>
          <cell r="O310">
            <v>144952.01999999999</v>
          </cell>
          <cell r="P310" t="str">
            <v>GA</v>
          </cell>
          <cell r="Q310" t="str">
            <v>4PD</v>
          </cell>
          <cell r="R310">
            <v>144952.03469999999</v>
          </cell>
          <cell r="S310" t="b">
            <v>0</v>
          </cell>
          <cell r="T310" t="str">
            <v>No</v>
          </cell>
          <cell r="U310" t="str">
            <v>FBed</v>
          </cell>
          <cell r="V310" t="str">
            <v>A</v>
          </cell>
        </row>
      </sheetData>
      <sheetData sheetId="2">
        <row r="1">
          <cell r="D1">
            <v>1</v>
          </cell>
        </row>
        <row r="2">
          <cell r="C2" t="str">
            <v>TOTAL WIP</v>
          </cell>
        </row>
        <row r="4">
          <cell r="C4">
            <v>3</v>
          </cell>
        </row>
        <row r="5">
          <cell r="C5">
            <v>4</v>
          </cell>
        </row>
        <row r="6">
          <cell r="C6">
            <v>4</v>
          </cell>
        </row>
        <row r="7">
          <cell r="C7">
            <v>2</v>
          </cell>
        </row>
        <row r="8">
          <cell r="B8" t="str">
            <v>TOTAL</v>
          </cell>
          <cell r="C8">
            <v>13</v>
          </cell>
        </row>
        <row r="22">
          <cell r="F22" t="str">
            <v>157-1897</v>
          </cell>
          <cell r="G22" t="str">
            <v>Kroger Atlanta # 011</v>
          </cell>
          <cell r="H22" t="str">
            <v>Kroger GA-672</v>
          </cell>
          <cell r="I22" t="str">
            <v xml:space="preserve"> </v>
          </cell>
          <cell r="J22">
            <v>42380</v>
          </cell>
          <cell r="K22">
            <v>42387</v>
          </cell>
          <cell r="L22">
            <v>30</v>
          </cell>
          <cell r="M22">
            <v>42426</v>
          </cell>
          <cell r="N22" t="str">
            <v>PF</v>
          </cell>
          <cell r="O22" t="str">
            <v>M</v>
          </cell>
          <cell r="P22">
            <v>15893</v>
          </cell>
          <cell r="Q22">
            <v>415</v>
          </cell>
          <cell r="R22">
            <v>10</v>
          </cell>
          <cell r="S22">
            <v>144952.01999999999</v>
          </cell>
          <cell r="T22" t="str">
            <v>GA</v>
          </cell>
          <cell r="U22" t="str">
            <v>4PD</v>
          </cell>
          <cell r="V22">
            <v>144952.03469999999</v>
          </cell>
          <cell r="W22" t="b">
            <v>0</v>
          </cell>
          <cell r="X22" t="str">
            <v>No</v>
          </cell>
          <cell r="Y22" t="str">
            <v>FBed</v>
          </cell>
          <cell r="Z22" t="str">
            <v>A</v>
          </cell>
        </row>
        <row r="23">
          <cell r="F23" t="str">
            <v>157-2203</v>
          </cell>
          <cell r="G23" t="str">
            <v>Aldi Inc- Tuly NY Division</v>
          </cell>
          <cell r="H23" t="str">
            <v>Aldi Store #86</v>
          </cell>
          <cell r="I23" t="str">
            <v>FAIRPORT NY</v>
          </cell>
          <cell r="J23">
            <v>42401</v>
          </cell>
          <cell r="K23">
            <v>42404</v>
          </cell>
          <cell r="L23">
            <v>0</v>
          </cell>
          <cell r="M23">
            <v>42405</v>
          </cell>
          <cell r="N23" t="str">
            <v>PF</v>
          </cell>
          <cell r="O23" t="str">
            <v>M</v>
          </cell>
          <cell r="P23">
            <v>3884</v>
          </cell>
          <cell r="Q23">
            <v>104</v>
          </cell>
          <cell r="R23">
            <v>1</v>
          </cell>
          <cell r="S23">
            <v>27848.2</v>
          </cell>
          <cell r="T23" t="str">
            <v>GA</v>
          </cell>
          <cell r="U23" t="str">
            <v>4PD</v>
          </cell>
          <cell r="V23">
            <v>33365.8485</v>
          </cell>
          <cell r="W23" t="b">
            <v>1</v>
          </cell>
          <cell r="X23" t="str">
            <v>Yes</v>
          </cell>
          <cell r="Y23">
            <v>0</v>
          </cell>
          <cell r="Z23" t="str">
            <v>A</v>
          </cell>
        </row>
        <row r="24">
          <cell r="F24" t="str">
            <v>155-1179</v>
          </cell>
          <cell r="G24" t="str">
            <v>Dollar Tree Sourcing Comp. LLC</v>
          </cell>
          <cell r="H24" t="str">
            <v>DT# 6307   WM FLDLCRDR</v>
          </cell>
          <cell r="I24" t="str">
            <v>TOMS RIVER, NJ</v>
          </cell>
          <cell r="J24">
            <v>42408</v>
          </cell>
          <cell r="K24">
            <v>42402</v>
          </cell>
          <cell r="L24">
            <v>23</v>
          </cell>
          <cell r="M24">
            <v>42416</v>
          </cell>
          <cell r="N24" t="str">
            <v>PF</v>
          </cell>
          <cell r="O24" t="str">
            <v>M</v>
          </cell>
          <cell r="P24">
            <v>551</v>
          </cell>
          <cell r="Q24">
            <v>19</v>
          </cell>
          <cell r="R24">
            <v>2</v>
          </cell>
          <cell r="S24">
            <v>5302.05</v>
          </cell>
          <cell r="T24" t="str">
            <v>GA</v>
          </cell>
          <cell r="U24" t="str">
            <v>4PD</v>
          </cell>
          <cell r="V24">
            <v>9631.1023999999998</v>
          </cell>
          <cell r="W24" t="b">
            <v>1</v>
          </cell>
          <cell r="X24" t="str">
            <v>Yes</v>
          </cell>
          <cell r="Y24">
            <v>0</v>
          </cell>
          <cell r="Z24">
            <v>0</v>
          </cell>
        </row>
        <row r="25">
          <cell r="F25" t="e">
            <v>#NUM!</v>
          </cell>
          <cell r="G25" t="e">
            <v>#NUM!</v>
          </cell>
          <cell r="H25" t="e">
            <v>#NUM!</v>
          </cell>
          <cell r="I25" t="e">
            <v>#NUM!</v>
          </cell>
          <cell r="J25" t="e">
            <v>#NUM!</v>
          </cell>
          <cell r="K25" t="e">
            <v>#NUM!</v>
          </cell>
          <cell r="L25" t="e">
            <v>#NUM!</v>
          </cell>
          <cell r="M25" t="e">
            <v>#NUM!</v>
          </cell>
          <cell r="N25" t="e">
            <v>#NUM!</v>
          </cell>
          <cell r="O25" t="e">
            <v>#NUM!</v>
          </cell>
          <cell r="P25" t="e">
            <v>#NUM!</v>
          </cell>
          <cell r="Q25" t="e">
            <v>#NUM!</v>
          </cell>
          <cell r="R25" t="e">
            <v>#NUM!</v>
          </cell>
          <cell r="S25" t="e">
            <v>#NUM!</v>
          </cell>
          <cell r="T25" t="e">
            <v>#NUM!</v>
          </cell>
          <cell r="U25" t="e">
            <v>#NUM!</v>
          </cell>
          <cell r="V25" t="e">
            <v>#NUM!</v>
          </cell>
          <cell r="W25" t="e">
            <v>#NUM!</v>
          </cell>
          <cell r="X25" t="e">
            <v>#NUM!</v>
          </cell>
          <cell r="Y25" t="e">
            <v>#NUM!</v>
          </cell>
          <cell r="Z25" t="e">
            <v>#NUM!</v>
          </cell>
        </row>
        <row r="26">
          <cell r="F26" t="e">
            <v>#NUM!</v>
          </cell>
          <cell r="G26" t="e">
            <v>#NUM!</v>
          </cell>
          <cell r="H26" t="e">
            <v>#NUM!</v>
          </cell>
          <cell r="I26" t="e">
            <v>#NUM!</v>
          </cell>
          <cell r="J26" t="e">
            <v>#NUM!</v>
          </cell>
          <cell r="K26" t="e">
            <v>#NUM!</v>
          </cell>
          <cell r="L26" t="e">
            <v>#NUM!</v>
          </cell>
          <cell r="M26" t="e">
            <v>#NUM!</v>
          </cell>
          <cell r="N26" t="e">
            <v>#NUM!</v>
          </cell>
          <cell r="O26" t="e">
            <v>#NUM!</v>
          </cell>
          <cell r="P26" t="e">
            <v>#NUM!</v>
          </cell>
          <cell r="Q26" t="e">
            <v>#NUM!</v>
          </cell>
          <cell r="R26" t="e">
            <v>#NUM!</v>
          </cell>
          <cell r="S26" t="e">
            <v>#NUM!</v>
          </cell>
          <cell r="T26" t="e">
            <v>#NUM!</v>
          </cell>
          <cell r="U26" t="e">
            <v>#NUM!</v>
          </cell>
          <cell r="V26" t="e">
            <v>#NUM!</v>
          </cell>
          <cell r="W26" t="e">
            <v>#NUM!</v>
          </cell>
          <cell r="X26" t="e">
            <v>#NUM!</v>
          </cell>
          <cell r="Y26" t="e">
            <v>#NUM!</v>
          </cell>
          <cell r="Z26" t="e">
            <v>#NUM!</v>
          </cell>
        </row>
        <row r="27">
          <cell r="F27" t="e">
            <v>#NUM!</v>
          </cell>
          <cell r="G27" t="e">
            <v>#NUM!</v>
          </cell>
          <cell r="H27" t="e">
            <v>#NUM!</v>
          </cell>
          <cell r="I27" t="e">
            <v>#NUM!</v>
          </cell>
          <cell r="J27" t="e">
            <v>#NUM!</v>
          </cell>
          <cell r="K27" t="e">
            <v>#NUM!</v>
          </cell>
          <cell r="L27" t="e">
            <v>#NUM!</v>
          </cell>
          <cell r="M27" t="e">
            <v>#NUM!</v>
          </cell>
          <cell r="N27" t="e">
            <v>#NUM!</v>
          </cell>
          <cell r="O27" t="e">
            <v>#NUM!</v>
          </cell>
          <cell r="P27" t="e">
            <v>#NUM!</v>
          </cell>
          <cell r="Q27" t="e">
            <v>#NUM!</v>
          </cell>
          <cell r="R27" t="e">
            <v>#NUM!</v>
          </cell>
          <cell r="S27" t="e">
            <v>#NUM!</v>
          </cell>
          <cell r="T27" t="e">
            <v>#NUM!</v>
          </cell>
          <cell r="U27" t="e">
            <v>#NUM!</v>
          </cell>
          <cell r="V27" t="e">
            <v>#NUM!</v>
          </cell>
          <cell r="W27" t="e">
            <v>#NUM!</v>
          </cell>
          <cell r="X27" t="e">
            <v>#NUM!</v>
          </cell>
          <cell r="Y27" t="e">
            <v>#NUM!</v>
          </cell>
          <cell r="Z27" t="e">
            <v>#NUM!</v>
          </cell>
        </row>
        <row r="28">
          <cell r="F28" t="e">
            <v>#NUM!</v>
          </cell>
          <cell r="G28" t="e">
            <v>#NUM!</v>
          </cell>
          <cell r="H28" t="e">
            <v>#NUM!</v>
          </cell>
          <cell r="I28" t="e">
            <v>#NUM!</v>
          </cell>
          <cell r="J28" t="e">
            <v>#NUM!</v>
          </cell>
          <cell r="K28" t="e">
            <v>#NUM!</v>
          </cell>
          <cell r="L28" t="e">
            <v>#NUM!</v>
          </cell>
          <cell r="M28" t="e">
            <v>#NUM!</v>
          </cell>
          <cell r="N28" t="e">
            <v>#NUM!</v>
          </cell>
          <cell r="O28" t="e">
            <v>#NUM!</v>
          </cell>
          <cell r="P28" t="e">
            <v>#NUM!</v>
          </cell>
          <cell r="Q28" t="e">
            <v>#NUM!</v>
          </cell>
          <cell r="R28" t="e">
            <v>#NUM!</v>
          </cell>
          <cell r="S28" t="e">
            <v>#NUM!</v>
          </cell>
          <cell r="T28" t="e">
            <v>#NUM!</v>
          </cell>
          <cell r="U28" t="e">
            <v>#NUM!</v>
          </cell>
          <cell r="V28" t="e">
            <v>#NUM!</v>
          </cell>
          <cell r="W28" t="e">
            <v>#NUM!</v>
          </cell>
          <cell r="X28" t="e">
            <v>#NUM!</v>
          </cell>
          <cell r="Y28" t="e">
            <v>#NUM!</v>
          </cell>
          <cell r="Z28" t="e">
            <v>#NUM!</v>
          </cell>
        </row>
        <row r="29">
          <cell r="F29" t="e">
            <v>#NUM!</v>
          </cell>
          <cell r="G29" t="e">
            <v>#NUM!</v>
          </cell>
          <cell r="H29" t="e">
            <v>#NUM!</v>
          </cell>
          <cell r="I29" t="e">
            <v>#NUM!</v>
          </cell>
          <cell r="J29" t="e">
            <v>#NUM!</v>
          </cell>
          <cell r="K29" t="e">
            <v>#NUM!</v>
          </cell>
          <cell r="L29" t="e">
            <v>#NUM!</v>
          </cell>
          <cell r="M29" t="e">
            <v>#NUM!</v>
          </cell>
          <cell r="N29" t="e">
            <v>#NUM!</v>
          </cell>
          <cell r="O29" t="e">
            <v>#NUM!</v>
          </cell>
          <cell r="P29" t="e">
            <v>#NUM!</v>
          </cell>
          <cell r="Q29" t="e">
            <v>#NUM!</v>
          </cell>
          <cell r="R29" t="e">
            <v>#NUM!</v>
          </cell>
          <cell r="S29" t="e">
            <v>#NUM!</v>
          </cell>
          <cell r="T29" t="e">
            <v>#NUM!</v>
          </cell>
          <cell r="U29" t="e">
            <v>#NUM!</v>
          </cell>
          <cell r="V29" t="e">
            <v>#NUM!</v>
          </cell>
          <cell r="W29" t="e">
            <v>#NUM!</v>
          </cell>
          <cell r="X29" t="e">
            <v>#NUM!</v>
          </cell>
          <cell r="Y29" t="e">
            <v>#NUM!</v>
          </cell>
          <cell r="Z29" t="e">
            <v>#NUM!</v>
          </cell>
        </row>
        <row r="30">
          <cell r="F30" t="e">
            <v>#NUM!</v>
          </cell>
          <cell r="G30" t="e">
            <v>#NUM!</v>
          </cell>
          <cell r="H30" t="e">
            <v>#NUM!</v>
          </cell>
          <cell r="I30" t="e">
            <v>#NUM!</v>
          </cell>
          <cell r="J30" t="e">
            <v>#NUM!</v>
          </cell>
          <cell r="K30" t="e">
            <v>#NUM!</v>
          </cell>
          <cell r="L30" t="e">
            <v>#NUM!</v>
          </cell>
          <cell r="M30" t="e">
            <v>#NUM!</v>
          </cell>
          <cell r="N30" t="e">
            <v>#NUM!</v>
          </cell>
          <cell r="O30" t="e">
            <v>#NUM!</v>
          </cell>
          <cell r="P30" t="e">
            <v>#NUM!</v>
          </cell>
          <cell r="Q30" t="e">
            <v>#NUM!</v>
          </cell>
          <cell r="R30" t="e">
            <v>#NUM!</v>
          </cell>
          <cell r="S30" t="e">
            <v>#NUM!</v>
          </cell>
          <cell r="T30" t="e">
            <v>#NUM!</v>
          </cell>
          <cell r="U30" t="e">
            <v>#NUM!</v>
          </cell>
          <cell r="V30" t="e">
            <v>#NUM!</v>
          </cell>
          <cell r="W30" t="e">
            <v>#NUM!</v>
          </cell>
          <cell r="X30" t="e">
            <v>#NUM!</v>
          </cell>
          <cell r="Y30" t="e">
            <v>#NUM!</v>
          </cell>
          <cell r="Z30" t="e">
            <v>#NUM!</v>
          </cell>
        </row>
        <row r="31">
          <cell r="F31" t="e">
            <v>#NUM!</v>
          </cell>
          <cell r="G31" t="e">
            <v>#NUM!</v>
          </cell>
          <cell r="H31" t="e">
            <v>#NUM!</v>
          </cell>
          <cell r="I31" t="e">
            <v>#NUM!</v>
          </cell>
          <cell r="J31" t="e">
            <v>#NUM!</v>
          </cell>
          <cell r="K31" t="e">
            <v>#NUM!</v>
          </cell>
          <cell r="L31" t="e">
            <v>#NUM!</v>
          </cell>
          <cell r="M31" t="e">
            <v>#NUM!</v>
          </cell>
          <cell r="N31" t="e">
            <v>#NUM!</v>
          </cell>
          <cell r="O31" t="e">
            <v>#NUM!</v>
          </cell>
          <cell r="P31" t="e">
            <v>#NUM!</v>
          </cell>
          <cell r="Q31" t="e">
            <v>#NUM!</v>
          </cell>
          <cell r="R31" t="e">
            <v>#NUM!</v>
          </cell>
          <cell r="S31" t="e">
            <v>#NUM!</v>
          </cell>
          <cell r="T31" t="e">
            <v>#NUM!</v>
          </cell>
          <cell r="U31" t="e">
            <v>#NUM!</v>
          </cell>
          <cell r="V31" t="e">
            <v>#NUM!</v>
          </cell>
          <cell r="W31" t="e">
            <v>#NUM!</v>
          </cell>
          <cell r="X31" t="e">
            <v>#NUM!</v>
          </cell>
          <cell r="Y31" t="e">
            <v>#NUM!</v>
          </cell>
          <cell r="Z31" t="e">
            <v>#NUM!</v>
          </cell>
        </row>
        <row r="32">
          <cell r="F32" t="e">
            <v>#NUM!</v>
          </cell>
          <cell r="G32" t="e">
            <v>#NUM!</v>
          </cell>
          <cell r="H32" t="e">
            <v>#NUM!</v>
          </cell>
          <cell r="I32" t="e">
            <v>#NUM!</v>
          </cell>
          <cell r="J32" t="e">
            <v>#NUM!</v>
          </cell>
          <cell r="K32" t="e">
            <v>#NUM!</v>
          </cell>
          <cell r="L32" t="e">
            <v>#NUM!</v>
          </cell>
          <cell r="M32" t="e">
            <v>#NUM!</v>
          </cell>
          <cell r="N32" t="e">
            <v>#NUM!</v>
          </cell>
          <cell r="O32" t="e">
            <v>#NUM!</v>
          </cell>
          <cell r="P32" t="e">
            <v>#NUM!</v>
          </cell>
          <cell r="Q32" t="e">
            <v>#NUM!</v>
          </cell>
          <cell r="R32" t="e">
            <v>#NUM!</v>
          </cell>
          <cell r="S32" t="e">
            <v>#NUM!</v>
          </cell>
          <cell r="T32" t="e">
            <v>#NUM!</v>
          </cell>
          <cell r="U32" t="e">
            <v>#NUM!</v>
          </cell>
          <cell r="V32" t="e">
            <v>#NUM!</v>
          </cell>
          <cell r="W32" t="e">
            <v>#NUM!</v>
          </cell>
          <cell r="X32" t="e">
            <v>#NUM!</v>
          </cell>
          <cell r="Y32" t="e">
            <v>#NUM!</v>
          </cell>
          <cell r="Z32" t="e">
            <v>#NUM!</v>
          </cell>
        </row>
        <row r="33">
          <cell r="F33" t="e">
            <v>#NUM!</v>
          </cell>
          <cell r="G33" t="e">
            <v>#NUM!</v>
          </cell>
          <cell r="H33" t="e">
            <v>#NUM!</v>
          </cell>
          <cell r="I33" t="e">
            <v>#NUM!</v>
          </cell>
          <cell r="J33" t="e">
            <v>#NUM!</v>
          </cell>
          <cell r="K33" t="e">
            <v>#NUM!</v>
          </cell>
          <cell r="L33" t="e">
            <v>#NUM!</v>
          </cell>
          <cell r="M33" t="e">
            <v>#NUM!</v>
          </cell>
          <cell r="N33" t="e">
            <v>#NUM!</v>
          </cell>
          <cell r="O33" t="e">
            <v>#NUM!</v>
          </cell>
          <cell r="P33" t="e">
            <v>#NUM!</v>
          </cell>
          <cell r="Q33" t="e">
            <v>#NUM!</v>
          </cell>
          <cell r="R33" t="e">
            <v>#NUM!</v>
          </cell>
          <cell r="S33" t="e">
            <v>#NUM!</v>
          </cell>
          <cell r="T33" t="e">
            <v>#NUM!</v>
          </cell>
          <cell r="U33" t="e">
            <v>#NUM!</v>
          </cell>
          <cell r="V33" t="e">
            <v>#NUM!</v>
          </cell>
          <cell r="W33" t="e">
            <v>#NUM!</v>
          </cell>
          <cell r="X33" t="e">
            <v>#NUM!</v>
          </cell>
          <cell r="Y33" t="e">
            <v>#NUM!</v>
          </cell>
          <cell r="Z33" t="e">
            <v>#NUM!</v>
          </cell>
        </row>
        <row r="34">
          <cell r="F34" t="e">
            <v>#NUM!</v>
          </cell>
          <cell r="G34" t="e">
            <v>#NUM!</v>
          </cell>
          <cell r="H34" t="e">
            <v>#NUM!</v>
          </cell>
          <cell r="I34" t="e">
            <v>#NUM!</v>
          </cell>
          <cell r="J34" t="e">
            <v>#NUM!</v>
          </cell>
          <cell r="K34" t="e">
            <v>#NUM!</v>
          </cell>
          <cell r="L34" t="e">
            <v>#NUM!</v>
          </cell>
          <cell r="M34" t="e">
            <v>#NUM!</v>
          </cell>
          <cell r="N34" t="e">
            <v>#NUM!</v>
          </cell>
          <cell r="O34" t="e">
            <v>#NUM!</v>
          </cell>
          <cell r="P34" t="e">
            <v>#NUM!</v>
          </cell>
          <cell r="Q34" t="e">
            <v>#NUM!</v>
          </cell>
          <cell r="R34" t="e">
            <v>#NUM!</v>
          </cell>
          <cell r="S34" t="e">
            <v>#NUM!</v>
          </cell>
          <cell r="T34" t="e">
            <v>#NUM!</v>
          </cell>
          <cell r="U34" t="e">
            <v>#NUM!</v>
          </cell>
          <cell r="V34" t="e">
            <v>#NUM!</v>
          </cell>
          <cell r="W34" t="e">
            <v>#NUM!</v>
          </cell>
          <cell r="X34" t="e">
            <v>#NUM!</v>
          </cell>
          <cell r="Y34" t="e">
            <v>#NUM!</v>
          </cell>
          <cell r="Z34" t="e">
            <v>#NUM!</v>
          </cell>
        </row>
        <row r="35">
          <cell r="F35" t="e">
            <v>#NUM!</v>
          </cell>
          <cell r="G35" t="e">
            <v>#NUM!</v>
          </cell>
          <cell r="H35" t="e">
            <v>#NUM!</v>
          </cell>
          <cell r="I35" t="e">
            <v>#NUM!</v>
          </cell>
          <cell r="J35" t="e">
            <v>#NUM!</v>
          </cell>
          <cell r="K35" t="e">
            <v>#NUM!</v>
          </cell>
          <cell r="L35" t="e">
            <v>#NUM!</v>
          </cell>
          <cell r="M35" t="e">
            <v>#NUM!</v>
          </cell>
          <cell r="N35" t="e">
            <v>#NUM!</v>
          </cell>
          <cell r="O35" t="e">
            <v>#NUM!</v>
          </cell>
          <cell r="P35" t="e">
            <v>#NUM!</v>
          </cell>
          <cell r="Q35" t="e">
            <v>#NUM!</v>
          </cell>
          <cell r="R35" t="e">
            <v>#NUM!</v>
          </cell>
          <cell r="S35" t="e">
            <v>#NUM!</v>
          </cell>
          <cell r="T35" t="e">
            <v>#NUM!</v>
          </cell>
          <cell r="U35" t="e">
            <v>#NUM!</v>
          </cell>
          <cell r="V35" t="e">
            <v>#NUM!</v>
          </cell>
          <cell r="W35" t="e">
            <v>#NUM!</v>
          </cell>
          <cell r="X35" t="e">
            <v>#NUM!</v>
          </cell>
          <cell r="Y35" t="e">
            <v>#NUM!</v>
          </cell>
          <cell r="Z35" t="e">
            <v>#NUM!</v>
          </cell>
        </row>
        <row r="36">
          <cell r="F36" t="e">
            <v>#NUM!</v>
          </cell>
          <cell r="G36" t="e">
            <v>#NUM!</v>
          </cell>
          <cell r="H36" t="e">
            <v>#NUM!</v>
          </cell>
          <cell r="I36" t="e">
            <v>#NUM!</v>
          </cell>
          <cell r="J36" t="e">
            <v>#NUM!</v>
          </cell>
          <cell r="K36" t="e">
            <v>#NUM!</v>
          </cell>
          <cell r="L36" t="e">
            <v>#NUM!</v>
          </cell>
          <cell r="M36" t="e">
            <v>#NUM!</v>
          </cell>
          <cell r="N36" t="e">
            <v>#NUM!</v>
          </cell>
          <cell r="O36" t="e">
            <v>#NUM!</v>
          </cell>
          <cell r="P36" t="e">
            <v>#NUM!</v>
          </cell>
          <cell r="Q36" t="e">
            <v>#NUM!</v>
          </cell>
          <cell r="R36" t="e">
            <v>#NUM!</v>
          </cell>
          <cell r="S36" t="e">
            <v>#NUM!</v>
          </cell>
          <cell r="T36" t="e">
            <v>#NUM!</v>
          </cell>
          <cell r="U36" t="e">
            <v>#NUM!</v>
          </cell>
          <cell r="V36" t="e">
            <v>#NUM!</v>
          </cell>
          <cell r="W36" t="e">
            <v>#NUM!</v>
          </cell>
          <cell r="X36" t="e">
            <v>#NUM!</v>
          </cell>
          <cell r="Y36" t="e">
            <v>#NUM!</v>
          </cell>
          <cell r="Z36" t="e">
            <v>#NUM!</v>
          </cell>
        </row>
        <row r="37">
          <cell r="F37" t="e">
            <v>#NUM!</v>
          </cell>
          <cell r="G37" t="e">
            <v>#NUM!</v>
          </cell>
          <cell r="H37" t="e">
            <v>#NUM!</v>
          </cell>
          <cell r="I37" t="e">
            <v>#NUM!</v>
          </cell>
          <cell r="J37" t="e">
            <v>#NUM!</v>
          </cell>
          <cell r="K37" t="e">
            <v>#NUM!</v>
          </cell>
          <cell r="L37" t="e">
            <v>#NUM!</v>
          </cell>
          <cell r="M37" t="e">
            <v>#NUM!</v>
          </cell>
          <cell r="N37" t="e">
            <v>#NUM!</v>
          </cell>
          <cell r="O37" t="e">
            <v>#NUM!</v>
          </cell>
          <cell r="P37" t="e">
            <v>#NUM!</v>
          </cell>
          <cell r="Q37" t="e">
            <v>#NUM!</v>
          </cell>
          <cell r="R37" t="e">
            <v>#NUM!</v>
          </cell>
          <cell r="S37" t="e">
            <v>#NUM!</v>
          </cell>
          <cell r="T37" t="e">
            <v>#NUM!</v>
          </cell>
          <cell r="U37" t="e">
            <v>#NUM!</v>
          </cell>
          <cell r="V37" t="e">
            <v>#NUM!</v>
          </cell>
          <cell r="W37" t="e">
            <v>#NUM!</v>
          </cell>
          <cell r="X37" t="e">
            <v>#NUM!</v>
          </cell>
          <cell r="Y37" t="e">
            <v>#NUM!</v>
          </cell>
          <cell r="Z37" t="e">
            <v>#NUM!</v>
          </cell>
        </row>
        <row r="38">
          <cell r="F38" t="e">
            <v>#NUM!</v>
          </cell>
          <cell r="G38" t="e">
            <v>#NUM!</v>
          </cell>
          <cell r="H38" t="e">
            <v>#NUM!</v>
          </cell>
          <cell r="I38" t="e">
            <v>#NUM!</v>
          </cell>
          <cell r="J38" t="e">
            <v>#NUM!</v>
          </cell>
          <cell r="K38" t="e">
            <v>#NUM!</v>
          </cell>
          <cell r="L38" t="e">
            <v>#NUM!</v>
          </cell>
          <cell r="M38" t="e">
            <v>#NUM!</v>
          </cell>
          <cell r="N38" t="e">
            <v>#NUM!</v>
          </cell>
          <cell r="O38" t="e">
            <v>#NUM!</v>
          </cell>
          <cell r="P38" t="e">
            <v>#NUM!</v>
          </cell>
          <cell r="Q38" t="e">
            <v>#NUM!</v>
          </cell>
          <cell r="R38" t="e">
            <v>#NUM!</v>
          </cell>
          <cell r="S38" t="e">
            <v>#NUM!</v>
          </cell>
          <cell r="T38" t="e">
            <v>#NUM!</v>
          </cell>
          <cell r="U38" t="e">
            <v>#NUM!</v>
          </cell>
          <cell r="V38" t="e">
            <v>#NUM!</v>
          </cell>
          <cell r="W38" t="e">
            <v>#NUM!</v>
          </cell>
          <cell r="X38" t="e">
            <v>#NUM!</v>
          </cell>
          <cell r="Y38" t="e">
            <v>#NUM!</v>
          </cell>
          <cell r="Z38" t="e">
            <v>#NUM!</v>
          </cell>
        </row>
        <row r="39">
          <cell r="F39" t="e">
            <v>#NUM!</v>
          </cell>
          <cell r="G39" t="e">
            <v>#NUM!</v>
          </cell>
          <cell r="H39" t="e">
            <v>#NUM!</v>
          </cell>
          <cell r="I39" t="e">
            <v>#NUM!</v>
          </cell>
          <cell r="J39" t="e">
            <v>#NUM!</v>
          </cell>
          <cell r="K39" t="e">
            <v>#NUM!</v>
          </cell>
          <cell r="L39" t="e">
            <v>#NUM!</v>
          </cell>
          <cell r="M39" t="e">
            <v>#NUM!</v>
          </cell>
          <cell r="N39" t="e">
            <v>#NUM!</v>
          </cell>
          <cell r="O39" t="e">
            <v>#NUM!</v>
          </cell>
          <cell r="P39" t="e">
            <v>#NUM!</v>
          </cell>
          <cell r="Q39" t="e">
            <v>#NUM!</v>
          </cell>
          <cell r="R39" t="e">
            <v>#NUM!</v>
          </cell>
          <cell r="S39" t="e">
            <v>#NUM!</v>
          </cell>
          <cell r="T39" t="e">
            <v>#NUM!</v>
          </cell>
          <cell r="U39" t="e">
            <v>#NUM!</v>
          </cell>
          <cell r="V39" t="e">
            <v>#NUM!</v>
          </cell>
          <cell r="W39" t="e">
            <v>#NUM!</v>
          </cell>
          <cell r="X39" t="e">
            <v>#NUM!</v>
          </cell>
          <cell r="Y39" t="e">
            <v>#NUM!</v>
          </cell>
          <cell r="Z39" t="e">
            <v>#NUM!</v>
          </cell>
        </row>
        <row r="40">
          <cell r="F40" t="e">
            <v>#NUM!</v>
          </cell>
          <cell r="G40" t="e">
            <v>#NUM!</v>
          </cell>
          <cell r="H40" t="e">
            <v>#NUM!</v>
          </cell>
          <cell r="I40" t="e">
            <v>#NUM!</v>
          </cell>
          <cell r="J40" t="e">
            <v>#NUM!</v>
          </cell>
          <cell r="K40" t="e">
            <v>#NUM!</v>
          </cell>
          <cell r="L40" t="e">
            <v>#NUM!</v>
          </cell>
          <cell r="M40" t="e">
            <v>#NUM!</v>
          </cell>
          <cell r="N40" t="e">
            <v>#NUM!</v>
          </cell>
          <cell r="O40" t="e">
            <v>#NUM!</v>
          </cell>
          <cell r="P40" t="e">
            <v>#NUM!</v>
          </cell>
          <cell r="Q40" t="e">
            <v>#NUM!</v>
          </cell>
          <cell r="R40" t="e">
            <v>#NUM!</v>
          </cell>
          <cell r="S40" t="e">
            <v>#NUM!</v>
          </cell>
          <cell r="T40" t="e">
            <v>#NUM!</v>
          </cell>
          <cell r="U40" t="e">
            <v>#NUM!</v>
          </cell>
          <cell r="V40" t="e">
            <v>#NUM!</v>
          </cell>
          <cell r="W40" t="e">
            <v>#NUM!</v>
          </cell>
          <cell r="X40" t="e">
            <v>#NUM!</v>
          </cell>
          <cell r="Y40" t="e">
            <v>#NUM!</v>
          </cell>
          <cell r="Z40" t="e">
            <v>#NUM!</v>
          </cell>
        </row>
        <row r="41">
          <cell r="F41" t="e">
            <v>#NUM!</v>
          </cell>
          <cell r="G41" t="e">
            <v>#NUM!</v>
          </cell>
          <cell r="H41" t="e">
            <v>#NUM!</v>
          </cell>
          <cell r="I41" t="e">
            <v>#NUM!</v>
          </cell>
          <cell r="J41" t="e">
            <v>#NUM!</v>
          </cell>
          <cell r="K41" t="e">
            <v>#NUM!</v>
          </cell>
          <cell r="L41" t="e">
            <v>#NUM!</v>
          </cell>
          <cell r="M41" t="e">
            <v>#NUM!</v>
          </cell>
          <cell r="N41" t="e">
            <v>#NUM!</v>
          </cell>
          <cell r="O41" t="e">
            <v>#NUM!</v>
          </cell>
          <cell r="P41" t="e">
            <v>#NUM!</v>
          </cell>
          <cell r="Q41" t="e">
            <v>#NUM!</v>
          </cell>
          <cell r="R41" t="e">
            <v>#NUM!</v>
          </cell>
          <cell r="S41" t="e">
            <v>#NUM!</v>
          </cell>
          <cell r="T41" t="e">
            <v>#NUM!</v>
          </cell>
          <cell r="U41" t="e">
            <v>#NUM!</v>
          </cell>
          <cell r="V41" t="e">
            <v>#NUM!</v>
          </cell>
          <cell r="W41" t="e">
            <v>#NUM!</v>
          </cell>
          <cell r="X41" t="e">
            <v>#NUM!</v>
          </cell>
          <cell r="Y41" t="e">
            <v>#NUM!</v>
          </cell>
          <cell r="Z41" t="e">
            <v>#NUM!</v>
          </cell>
        </row>
        <row r="42">
          <cell r="F42" t="e">
            <v>#NUM!</v>
          </cell>
          <cell r="G42" t="e">
            <v>#NUM!</v>
          </cell>
          <cell r="H42" t="e">
            <v>#NUM!</v>
          </cell>
          <cell r="I42" t="e">
            <v>#NUM!</v>
          </cell>
          <cell r="J42" t="e">
            <v>#NUM!</v>
          </cell>
          <cell r="K42" t="e">
            <v>#NUM!</v>
          </cell>
          <cell r="L42" t="e">
            <v>#NUM!</v>
          </cell>
          <cell r="M42" t="e">
            <v>#NUM!</v>
          </cell>
          <cell r="N42" t="e">
            <v>#NUM!</v>
          </cell>
          <cell r="O42" t="e">
            <v>#NUM!</v>
          </cell>
          <cell r="P42" t="e">
            <v>#NUM!</v>
          </cell>
          <cell r="Q42" t="e">
            <v>#NUM!</v>
          </cell>
          <cell r="R42" t="e">
            <v>#NUM!</v>
          </cell>
          <cell r="S42" t="e">
            <v>#NUM!</v>
          </cell>
          <cell r="T42" t="e">
            <v>#NUM!</v>
          </cell>
          <cell r="U42" t="e">
            <v>#NUM!</v>
          </cell>
          <cell r="V42" t="e">
            <v>#NUM!</v>
          </cell>
          <cell r="W42" t="e">
            <v>#NUM!</v>
          </cell>
          <cell r="X42" t="e">
            <v>#NUM!</v>
          </cell>
          <cell r="Y42" t="e">
            <v>#NUM!</v>
          </cell>
          <cell r="Z42" t="e">
            <v>#NUM!</v>
          </cell>
        </row>
        <row r="43">
          <cell r="F43" t="e">
            <v>#NUM!</v>
          </cell>
          <cell r="G43" t="e">
            <v>#NUM!</v>
          </cell>
          <cell r="H43" t="e">
            <v>#NUM!</v>
          </cell>
          <cell r="I43" t="e">
            <v>#NUM!</v>
          </cell>
          <cell r="J43" t="e">
            <v>#NUM!</v>
          </cell>
          <cell r="K43" t="e">
            <v>#NUM!</v>
          </cell>
          <cell r="L43" t="e">
            <v>#NUM!</v>
          </cell>
          <cell r="M43" t="e">
            <v>#NUM!</v>
          </cell>
          <cell r="N43" t="e">
            <v>#NUM!</v>
          </cell>
          <cell r="O43" t="e">
            <v>#NUM!</v>
          </cell>
          <cell r="P43" t="e">
            <v>#NUM!</v>
          </cell>
          <cell r="Q43" t="e">
            <v>#NUM!</v>
          </cell>
          <cell r="R43" t="e">
            <v>#NUM!</v>
          </cell>
          <cell r="S43" t="e">
            <v>#NUM!</v>
          </cell>
          <cell r="T43" t="e">
            <v>#NUM!</v>
          </cell>
          <cell r="U43" t="e">
            <v>#NUM!</v>
          </cell>
          <cell r="V43" t="e">
            <v>#NUM!</v>
          </cell>
          <cell r="W43" t="e">
            <v>#NUM!</v>
          </cell>
          <cell r="X43" t="e">
            <v>#NUM!</v>
          </cell>
          <cell r="Y43" t="e">
            <v>#NUM!</v>
          </cell>
          <cell r="Z43" t="e">
            <v>#NUM!</v>
          </cell>
        </row>
        <row r="44">
          <cell r="F44" t="e">
            <v>#NUM!</v>
          </cell>
          <cell r="G44" t="e">
            <v>#NUM!</v>
          </cell>
          <cell r="H44" t="e">
            <v>#NUM!</v>
          </cell>
          <cell r="I44" t="e">
            <v>#NUM!</v>
          </cell>
          <cell r="J44" t="e">
            <v>#NUM!</v>
          </cell>
          <cell r="K44" t="e">
            <v>#NUM!</v>
          </cell>
          <cell r="L44" t="e">
            <v>#NUM!</v>
          </cell>
          <cell r="M44" t="e">
            <v>#NUM!</v>
          </cell>
          <cell r="N44" t="e">
            <v>#NUM!</v>
          </cell>
          <cell r="O44" t="e">
            <v>#NUM!</v>
          </cell>
          <cell r="P44" t="e">
            <v>#NUM!</v>
          </cell>
          <cell r="Q44" t="e">
            <v>#NUM!</v>
          </cell>
          <cell r="R44" t="e">
            <v>#NUM!</v>
          </cell>
          <cell r="S44" t="e">
            <v>#NUM!</v>
          </cell>
          <cell r="T44" t="e">
            <v>#NUM!</v>
          </cell>
          <cell r="U44" t="e">
            <v>#NUM!</v>
          </cell>
          <cell r="V44" t="e">
            <v>#NUM!</v>
          </cell>
          <cell r="W44" t="e">
            <v>#NUM!</v>
          </cell>
          <cell r="X44" t="e">
            <v>#NUM!</v>
          </cell>
          <cell r="Y44" t="e">
            <v>#NUM!</v>
          </cell>
          <cell r="Z44" t="e">
            <v>#NUM!</v>
          </cell>
        </row>
        <row r="45">
          <cell r="F45" t="e">
            <v>#NUM!</v>
          </cell>
          <cell r="G45" t="e">
            <v>#NUM!</v>
          </cell>
          <cell r="H45" t="e">
            <v>#NUM!</v>
          </cell>
          <cell r="I45" t="e">
            <v>#NUM!</v>
          </cell>
          <cell r="J45" t="e">
            <v>#NUM!</v>
          </cell>
          <cell r="K45" t="e">
            <v>#NUM!</v>
          </cell>
          <cell r="L45" t="e">
            <v>#NUM!</v>
          </cell>
          <cell r="M45" t="e">
            <v>#NUM!</v>
          </cell>
          <cell r="N45" t="e">
            <v>#NUM!</v>
          </cell>
          <cell r="O45" t="e">
            <v>#NUM!</v>
          </cell>
          <cell r="P45" t="e">
            <v>#NUM!</v>
          </cell>
          <cell r="Q45" t="e">
            <v>#NUM!</v>
          </cell>
          <cell r="R45" t="e">
            <v>#NUM!</v>
          </cell>
          <cell r="S45" t="e">
            <v>#NUM!</v>
          </cell>
          <cell r="T45" t="e">
            <v>#NUM!</v>
          </cell>
          <cell r="U45" t="e">
            <v>#NUM!</v>
          </cell>
          <cell r="V45" t="e">
            <v>#NUM!</v>
          </cell>
          <cell r="W45" t="e">
            <v>#NUM!</v>
          </cell>
          <cell r="X45" t="e">
            <v>#NUM!</v>
          </cell>
          <cell r="Y45" t="e">
            <v>#NUM!</v>
          </cell>
          <cell r="Z45" t="e">
            <v>#NUM!</v>
          </cell>
        </row>
        <row r="46">
          <cell r="F46" t="e">
            <v>#NUM!</v>
          </cell>
          <cell r="G46" t="e">
            <v>#NUM!</v>
          </cell>
          <cell r="H46" t="e">
            <v>#NUM!</v>
          </cell>
          <cell r="I46" t="e">
            <v>#NUM!</v>
          </cell>
          <cell r="J46" t="e">
            <v>#NUM!</v>
          </cell>
          <cell r="K46" t="e">
            <v>#NUM!</v>
          </cell>
          <cell r="L46" t="e">
            <v>#NUM!</v>
          </cell>
          <cell r="M46" t="e">
            <v>#NUM!</v>
          </cell>
          <cell r="N46" t="e">
            <v>#NUM!</v>
          </cell>
          <cell r="O46" t="e">
            <v>#NUM!</v>
          </cell>
          <cell r="P46" t="e">
            <v>#NUM!</v>
          </cell>
          <cell r="Q46" t="e">
            <v>#NUM!</v>
          </cell>
          <cell r="R46" t="e">
            <v>#NUM!</v>
          </cell>
          <cell r="S46" t="e">
            <v>#NUM!</v>
          </cell>
          <cell r="T46" t="e">
            <v>#NUM!</v>
          </cell>
          <cell r="U46" t="e">
            <v>#NUM!</v>
          </cell>
          <cell r="V46" t="e">
            <v>#NUM!</v>
          </cell>
          <cell r="W46" t="e">
            <v>#NUM!</v>
          </cell>
          <cell r="X46" t="e">
            <v>#NUM!</v>
          </cell>
          <cell r="Y46" t="e">
            <v>#NUM!</v>
          </cell>
          <cell r="Z46" t="e">
            <v>#NUM!</v>
          </cell>
        </row>
        <row r="47">
          <cell r="F47" t="e">
            <v>#NUM!</v>
          </cell>
          <cell r="G47" t="e">
            <v>#NUM!</v>
          </cell>
          <cell r="H47" t="e">
            <v>#NUM!</v>
          </cell>
          <cell r="I47" t="e">
            <v>#NUM!</v>
          </cell>
          <cell r="J47" t="e">
            <v>#NUM!</v>
          </cell>
          <cell r="K47" t="e">
            <v>#NUM!</v>
          </cell>
          <cell r="L47" t="e">
            <v>#NUM!</v>
          </cell>
          <cell r="M47" t="e">
            <v>#NUM!</v>
          </cell>
          <cell r="N47" t="e">
            <v>#NUM!</v>
          </cell>
          <cell r="O47" t="e">
            <v>#NUM!</v>
          </cell>
          <cell r="P47" t="e">
            <v>#NUM!</v>
          </cell>
          <cell r="Q47" t="e">
            <v>#NUM!</v>
          </cell>
          <cell r="R47" t="e">
            <v>#NUM!</v>
          </cell>
          <cell r="S47" t="e">
            <v>#NUM!</v>
          </cell>
          <cell r="T47" t="e">
            <v>#NUM!</v>
          </cell>
          <cell r="U47" t="e">
            <v>#NUM!</v>
          </cell>
          <cell r="V47" t="e">
            <v>#NUM!</v>
          </cell>
          <cell r="W47" t="e">
            <v>#NUM!</v>
          </cell>
          <cell r="X47" t="e">
            <v>#NUM!</v>
          </cell>
          <cell r="Y47" t="e">
            <v>#NUM!</v>
          </cell>
          <cell r="Z47" t="e">
            <v>#NUM!</v>
          </cell>
        </row>
        <row r="48">
          <cell r="F48" t="e">
            <v>#NUM!</v>
          </cell>
          <cell r="G48" t="e">
            <v>#NUM!</v>
          </cell>
          <cell r="H48" t="e">
            <v>#NUM!</v>
          </cell>
          <cell r="I48" t="e">
            <v>#NUM!</v>
          </cell>
          <cell r="J48" t="e">
            <v>#NUM!</v>
          </cell>
          <cell r="K48" t="e">
            <v>#NUM!</v>
          </cell>
          <cell r="L48" t="e">
            <v>#NUM!</v>
          </cell>
          <cell r="M48" t="e">
            <v>#NUM!</v>
          </cell>
          <cell r="N48" t="e">
            <v>#NUM!</v>
          </cell>
          <cell r="O48" t="e">
            <v>#NUM!</v>
          </cell>
          <cell r="P48" t="e">
            <v>#NUM!</v>
          </cell>
          <cell r="Q48" t="e">
            <v>#NUM!</v>
          </cell>
          <cell r="R48" t="e">
            <v>#NUM!</v>
          </cell>
          <cell r="S48" t="e">
            <v>#NUM!</v>
          </cell>
          <cell r="T48" t="e">
            <v>#NUM!</v>
          </cell>
          <cell r="U48" t="e">
            <v>#NUM!</v>
          </cell>
          <cell r="V48" t="e">
            <v>#NUM!</v>
          </cell>
          <cell r="W48" t="e">
            <v>#NUM!</v>
          </cell>
          <cell r="X48" t="e">
            <v>#NUM!</v>
          </cell>
          <cell r="Y48" t="e">
            <v>#NUM!</v>
          </cell>
          <cell r="Z48" t="e">
            <v>#NUM!</v>
          </cell>
        </row>
        <row r="49">
          <cell r="F49" t="e">
            <v>#NUM!</v>
          </cell>
          <cell r="G49" t="e">
            <v>#NUM!</v>
          </cell>
          <cell r="H49" t="e">
            <v>#NUM!</v>
          </cell>
          <cell r="I49" t="e">
            <v>#NUM!</v>
          </cell>
          <cell r="J49" t="e">
            <v>#NUM!</v>
          </cell>
          <cell r="K49" t="e">
            <v>#NUM!</v>
          </cell>
          <cell r="L49" t="e">
            <v>#NUM!</v>
          </cell>
          <cell r="M49" t="e">
            <v>#NUM!</v>
          </cell>
          <cell r="N49" t="e">
            <v>#NUM!</v>
          </cell>
          <cell r="O49" t="e">
            <v>#NUM!</v>
          </cell>
          <cell r="P49" t="e">
            <v>#NUM!</v>
          </cell>
          <cell r="Q49" t="e">
            <v>#NUM!</v>
          </cell>
          <cell r="R49" t="e">
            <v>#NUM!</v>
          </cell>
          <cell r="S49" t="e">
            <v>#NUM!</v>
          </cell>
          <cell r="T49" t="e">
            <v>#NUM!</v>
          </cell>
          <cell r="U49" t="e">
            <v>#NUM!</v>
          </cell>
          <cell r="V49" t="e">
            <v>#NUM!</v>
          </cell>
          <cell r="W49" t="e">
            <v>#NUM!</v>
          </cell>
          <cell r="X49" t="e">
            <v>#NUM!</v>
          </cell>
          <cell r="Y49" t="e">
            <v>#NUM!</v>
          </cell>
          <cell r="Z49" t="e">
            <v>#NUM!</v>
          </cell>
        </row>
        <row r="50">
          <cell r="F50" t="e">
            <v>#NUM!</v>
          </cell>
          <cell r="G50" t="e">
            <v>#NUM!</v>
          </cell>
          <cell r="H50" t="e">
            <v>#NUM!</v>
          </cell>
          <cell r="I50" t="e">
            <v>#NUM!</v>
          </cell>
          <cell r="J50" t="e">
            <v>#NUM!</v>
          </cell>
          <cell r="K50" t="e">
            <v>#NUM!</v>
          </cell>
          <cell r="L50" t="e">
            <v>#NUM!</v>
          </cell>
          <cell r="M50" t="e">
            <v>#NUM!</v>
          </cell>
          <cell r="N50" t="e">
            <v>#NUM!</v>
          </cell>
          <cell r="O50" t="e">
            <v>#NUM!</v>
          </cell>
          <cell r="P50" t="e">
            <v>#NUM!</v>
          </cell>
          <cell r="Q50" t="e">
            <v>#NUM!</v>
          </cell>
          <cell r="R50" t="e">
            <v>#NUM!</v>
          </cell>
          <cell r="S50" t="e">
            <v>#NUM!</v>
          </cell>
          <cell r="T50" t="e">
            <v>#NUM!</v>
          </cell>
          <cell r="U50" t="e">
            <v>#NUM!</v>
          </cell>
          <cell r="V50" t="e">
            <v>#NUM!</v>
          </cell>
          <cell r="W50" t="e">
            <v>#NUM!</v>
          </cell>
          <cell r="X50" t="e">
            <v>#NUM!</v>
          </cell>
          <cell r="Y50" t="e">
            <v>#NUM!</v>
          </cell>
          <cell r="Z50" t="e">
            <v>#NUM!</v>
          </cell>
        </row>
        <row r="51">
          <cell r="N51" t="str">
            <v>TOTAL SQFT:</v>
          </cell>
          <cell r="P51">
            <v>20328</v>
          </cell>
          <cell r="Q51">
            <v>538</v>
          </cell>
          <cell r="R51">
            <v>13</v>
          </cell>
        </row>
        <row r="52">
          <cell r="F52" t="str">
            <v>JOB NUMBER</v>
          </cell>
          <cell r="G52" t="str">
            <v>CUSTOMER</v>
          </cell>
          <cell r="H52" t="str">
            <v>JOB NAME</v>
          </cell>
          <cell r="I52" t="str">
            <v>LOCATION</v>
          </cell>
          <cell r="J52" t="str">
            <v>PROD WEEK</v>
          </cell>
          <cell r="K52" t="str">
            <v>PRODDUEDATE</v>
          </cell>
          <cell r="L52" t="str">
            <v>GROUP_val</v>
          </cell>
          <cell r="M52" t="str">
            <v>SHIP DATE</v>
          </cell>
          <cell r="N52" t="str">
            <v>ENG STATUS</v>
          </cell>
          <cell r="O52" t="str">
            <v>PROD STATUS</v>
          </cell>
          <cell r="P52" t="str">
            <v>SQFT</v>
          </cell>
          <cell r="Q52" t="str">
            <v>PANELS</v>
          </cell>
          <cell r="R52" t="str">
            <v>DOORS</v>
          </cell>
          <cell r="S52" t="str">
            <v>BOX</v>
          </cell>
          <cell r="T52" t="str">
            <v>BUILT BY</v>
          </cell>
          <cell r="U52" t="str">
            <v>SO Code</v>
          </cell>
          <cell r="V52" t="str">
            <v>Job Total</v>
          </cell>
          <cell r="W52" t="str">
            <v>Confirmed</v>
          </cell>
          <cell r="X52" t="str">
            <v>Confm</v>
          </cell>
          <cell r="Y52" t="str">
            <v>FreightTyoe</v>
          </cell>
          <cell r="Z52" t="str">
            <v>CR</v>
          </cell>
        </row>
        <row r="54">
          <cell r="F54" t="str">
            <v xml:space="preserve">165-0065 </v>
          </cell>
          <cell r="G54" t="str">
            <v>Certified Comm Serv &amp; Equip</v>
          </cell>
          <cell r="H54" t="str">
            <v>Pilot Travel Center #338</v>
          </cell>
          <cell r="I54" t="str">
            <v>Cayce, SC</v>
          </cell>
          <cell r="J54">
            <v>42401</v>
          </cell>
          <cell r="K54">
            <v>42398</v>
          </cell>
          <cell r="L54">
            <v>18</v>
          </cell>
          <cell r="M54">
            <v>42409</v>
          </cell>
          <cell r="N54" t="str">
            <v>PF</v>
          </cell>
          <cell r="O54" t="str">
            <v>A</v>
          </cell>
          <cell r="P54">
            <v>961</v>
          </cell>
          <cell r="Q54">
            <v>35</v>
          </cell>
          <cell r="R54">
            <v>1</v>
          </cell>
          <cell r="S54">
            <v>7864.3</v>
          </cell>
          <cell r="T54" t="str">
            <v>GA</v>
          </cell>
          <cell r="U54" t="str">
            <v>4PD</v>
          </cell>
          <cell r="V54">
            <v>7864.3037999999997</v>
          </cell>
          <cell r="W54" t="b">
            <v>1</v>
          </cell>
          <cell r="X54" t="str">
            <v>Yes</v>
          </cell>
          <cell r="Y54">
            <v>0</v>
          </cell>
          <cell r="Z54" t="str">
            <v>A</v>
          </cell>
        </row>
        <row r="55">
          <cell r="F55" t="str">
            <v>157-0740</v>
          </cell>
          <cell r="G55" t="str">
            <v>Wal-Mart Store Planning</v>
          </cell>
          <cell r="H55" t="str">
            <v>Walmart 0655-10-SC-NEW-182</v>
          </cell>
          <cell r="I55" t="str">
            <v>Madisonville (Hanson), KY</v>
          </cell>
          <cell r="J55">
            <v>42401</v>
          </cell>
          <cell r="K55">
            <v>42401</v>
          </cell>
          <cell r="L55">
            <v>21</v>
          </cell>
          <cell r="M55">
            <v>42405</v>
          </cell>
          <cell r="N55" t="str">
            <v>PF</v>
          </cell>
          <cell r="O55" t="str">
            <v>A</v>
          </cell>
          <cell r="P55">
            <v>13212</v>
          </cell>
          <cell r="Q55">
            <v>325</v>
          </cell>
          <cell r="R55">
            <v>6</v>
          </cell>
          <cell r="S55">
            <v>85940.19</v>
          </cell>
          <cell r="T55" t="str">
            <v>GA</v>
          </cell>
          <cell r="U55" t="str">
            <v>4PD</v>
          </cell>
          <cell r="V55">
            <v>142204.6317</v>
          </cell>
          <cell r="W55" t="b">
            <v>1</v>
          </cell>
          <cell r="X55" t="str">
            <v>Yes</v>
          </cell>
          <cell r="Y55">
            <v>0</v>
          </cell>
          <cell r="Z55" t="str">
            <v>A</v>
          </cell>
        </row>
        <row r="56">
          <cell r="F56" t="str">
            <v>157-2209</v>
          </cell>
          <cell r="G56" t="str">
            <v>Wal-Mart Store Planning</v>
          </cell>
          <cell r="H56" t="str">
            <v>Walmart 0071-216-REM-SP</v>
          </cell>
          <cell r="I56" t="str">
            <v>Pocahontas, AR</v>
          </cell>
          <cell r="J56">
            <v>42401</v>
          </cell>
          <cell r="K56">
            <v>42402</v>
          </cell>
          <cell r="L56">
            <v>21.2</v>
          </cell>
          <cell r="M56">
            <v>42405</v>
          </cell>
          <cell r="N56" t="str">
            <v>PF</v>
          </cell>
          <cell r="O56" t="str">
            <v>A</v>
          </cell>
          <cell r="P56">
            <v>1092</v>
          </cell>
          <cell r="Q56">
            <v>31</v>
          </cell>
          <cell r="R56">
            <v>2</v>
          </cell>
          <cell r="S56">
            <v>10332.11</v>
          </cell>
          <cell r="T56" t="str">
            <v>GA</v>
          </cell>
          <cell r="U56" t="str">
            <v>4PD</v>
          </cell>
          <cell r="V56">
            <v>19523.1348</v>
          </cell>
          <cell r="W56" t="b">
            <v>1</v>
          </cell>
          <cell r="X56" t="str">
            <v>Yes</v>
          </cell>
          <cell r="Y56">
            <v>0</v>
          </cell>
          <cell r="Z56" t="str">
            <v>A</v>
          </cell>
        </row>
        <row r="57">
          <cell r="F57" t="str">
            <v>157-1151</v>
          </cell>
          <cell r="G57" t="str">
            <v>Wal-Mart Store Planning</v>
          </cell>
          <cell r="H57" t="str">
            <v>Walmart 4586-00-NHM-NEW-41</v>
          </cell>
          <cell r="I57" t="str">
            <v>Biloxi, MS</v>
          </cell>
          <cell r="J57">
            <v>42401</v>
          </cell>
          <cell r="K57">
            <v>42402</v>
          </cell>
          <cell r="L57">
            <v>22</v>
          </cell>
          <cell r="M57">
            <v>42412</v>
          </cell>
          <cell r="N57" t="str">
            <v>PF</v>
          </cell>
          <cell r="O57" t="str">
            <v>A</v>
          </cell>
          <cell r="P57">
            <v>4929</v>
          </cell>
          <cell r="Q57">
            <v>125</v>
          </cell>
          <cell r="R57">
            <v>1</v>
          </cell>
          <cell r="S57">
            <v>27040.75</v>
          </cell>
          <cell r="T57" t="str">
            <v>GA</v>
          </cell>
          <cell r="U57" t="str">
            <v>4PD</v>
          </cell>
          <cell r="V57">
            <v>57025.961300000003</v>
          </cell>
          <cell r="W57" t="b">
            <v>1</v>
          </cell>
          <cell r="X57" t="str">
            <v>Yes</v>
          </cell>
          <cell r="Y57">
            <v>0</v>
          </cell>
          <cell r="Z57" t="str">
            <v>A</v>
          </cell>
        </row>
        <row r="58">
          <cell r="F58" t="e">
            <v>#NUM!</v>
          </cell>
          <cell r="G58" t="e">
            <v>#NUM!</v>
          </cell>
          <cell r="H58" t="e">
            <v>#NUM!</v>
          </cell>
          <cell r="I58" t="e">
            <v>#NUM!</v>
          </cell>
          <cell r="J58" t="e">
            <v>#NUM!</v>
          </cell>
          <cell r="K58" t="e">
            <v>#NUM!</v>
          </cell>
          <cell r="L58" t="e">
            <v>#NUM!</v>
          </cell>
          <cell r="M58" t="e">
            <v>#NUM!</v>
          </cell>
          <cell r="N58" t="e">
            <v>#NUM!</v>
          </cell>
          <cell r="O58" t="e">
            <v>#NUM!</v>
          </cell>
          <cell r="P58" t="e">
            <v>#NUM!</v>
          </cell>
          <cell r="Q58" t="e">
            <v>#NUM!</v>
          </cell>
          <cell r="R58" t="e">
            <v>#NUM!</v>
          </cell>
          <cell r="S58" t="e">
            <v>#NUM!</v>
          </cell>
          <cell r="T58" t="e">
            <v>#NUM!</v>
          </cell>
          <cell r="U58" t="e">
            <v>#NUM!</v>
          </cell>
          <cell r="V58" t="e">
            <v>#NUM!</v>
          </cell>
          <cell r="W58" t="e">
            <v>#NUM!</v>
          </cell>
          <cell r="X58" t="e">
            <v>#NUM!</v>
          </cell>
          <cell r="Y58" t="e">
            <v>#NUM!</v>
          </cell>
          <cell r="Z58" t="e">
            <v>#NUM!</v>
          </cell>
        </row>
        <row r="59">
          <cell r="F59" t="e">
            <v>#NUM!</v>
          </cell>
          <cell r="G59" t="e">
            <v>#NUM!</v>
          </cell>
          <cell r="H59" t="e">
            <v>#NUM!</v>
          </cell>
          <cell r="I59" t="e">
            <v>#NUM!</v>
          </cell>
          <cell r="J59" t="e">
            <v>#NUM!</v>
          </cell>
          <cell r="K59" t="e">
            <v>#NUM!</v>
          </cell>
          <cell r="L59" t="e">
            <v>#NUM!</v>
          </cell>
          <cell r="M59" t="e">
            <v>#NUM!</v>
          </cell>
          <cell r="N59" t="e">
            <v>#NUM!</v>
          </cell>
          <cell r="O59" t="e">
            <v>#NUM!</v>
          </cell>
          <cell r="P59" t="e">
            <v>#NUM!</v>
          </cell>
          <cell r="Q59" t="e">
            <v>#NUM!</v>
          </cell>
          <cell r="R59" t="e">
            <v>#NUM!</v>
          </cell>
          <cell r="S59" t="e">
            <v>#NUM!</v>
          </cell>
          <cell r="T59" t="e">
            <v>#NUM!</v>
          </cell>
          <cell r="U59" t="e">
            <v>#NUM!</v>
          </cell>
          <cell r="V59" t="e">
            <v>#NUM!</v>
          </cell>
          <cell r="W59" t="e">
            <v>#NUM!</v>
          </cell>
          <cell r="X59" t="e">
            <v>#NUM!</v>
          </cell>
          <cell r="Y59" t="e">
            <v>#NUM!</v>
          </cell>
          <cell r="Z59" t="e">
            <v>#NUM!</v>
          </cell>
        </row>
        <row r="60">
          <cell r="F60" t="e">
            <v>#NUM!</v>
          </cell>
          <cell r="G60" t="e">
            <v>#NUM!</v>
          </cell>
          <cell r="H60" t="e">
            <v>#NUM!</v>
          </cell>
          <cell r="I60" t="e">
            <v>#NUM!</v>
          </cell>
          <cell r="J60" t="e">
            <v>#NUM!</v>
          </cell>
          <cell r="K60" t="e">
            <v>#NUM!</v>
          </cell>
          <cell r="L60" t="e">
            <v>#NUM!</v>
          </cell>
          <cell r="M60" t="e">
            <v>#NUM!</v>
          </cell>
          <cell r="N60" t="e">
            <v>#NUM!</v>
          </cell>
          <cell r="O60" t="e">
            <v>#NUM!</v>
          </cell>
          <cell r="P60" t="e">
            <v>#NUM!</v>
          </cell>
          <cell r="Q60" t="e">
            <v>#NUM!</v>
          </cell>
          <cell r="R60" t="e">
            <v>#NUM!</v>
          </cell>
          <cell r="S60" t="e">
            <v>#NUM!</v>
          </cell>
          <cell r="T60" t="e">
            <v>#NUM!</v>
          </cell>
          <cell r="U60" t="e">
            <v>#NUM!</v>
          </cell>
          <cell r="V60" t="e">
            <v>#NUM!</v>
          </cell>
          <cell r="W60" t="e">
            <v>#NUM!</v>
          </cell>
          <cell r="X60" t="e">
            <v>#NUM!</v>
          </cell>
          <cell r="Y60" t="e">
            <v>#NUM!</v>
          </cell>
          <cell r="Z60" t="e">
            <v>#NUM!</v>
          </cell>
        </row>
        <row r="61">
          <cell r="F61" t="e">
            <v>#NUM!</v>
          </cell>
          <cell r="G61" t="e">
            <v>#NUM!</v>
          </cell>
          <cell r="H61" t="e">
            <v>#NUM!</v>
          </cell>
          <cell r="I61" t="e">
            <v>#NUM!</v>
          </cell>
          <cell r="J61" t="e">
            <v>#NUM!</v>
          </cell>
          <cell r="K61" t="e">
            <v>#NUM!</v>
          </cell>
          <cell r="L61" t="e">
            <v>#NUM!</v>
          </cell>
          <cell r="M61" t="e">
            <v>#NUM!</v>
          </cell>
          <cell r="N61" t="e">
            <v>#NUM!</v>
          </cell>
          <cell r="O61" t="e">
            <v>#NUM!</v>
          </cell>
          <cell r="P61" t="e">
            <v>#NUM!</v>
          </cell>
          <cell r="Q61" t="e">
            <v>#NUM!</v>
          </cell>
          <cell r="R61" t="e">
            <v>#NUM!</v>
          </cell>
          <cell r="S61" t="e">
            <v>#NUM!</v>
          </cell>
          <cell r="T61" t="e">
            <v>#NUM!</v>
          </cell>
          <cell r="U61" t="e">
            <v>#NUM!</v>
          </cell>
          <cell r="V61" t="e">
            <v>#NUM!</v>
          </cell>
          <cell r="W61" t="e">
            <v>#NUM!</v>
          </cell>
          <cell r="X61" t="e">
            <v>#NUM!</v>
          </cell>
          <cell r="Y61" t="e">
            <v>#NUM!</v>
          </cell>
          <cell r="Z61" t="e">
            <v>#NUM!</v>
          </cell>
        </row>
        <row r="62">
          <cell r="F62" t="e">
            <v>#NUM!</v>
          </cell>
          <cell r="G62" t="e">
            <v>#NUM!</v>
          </cell>
          <cell r="H62" t="e">
            <v>#NUM!</v>
          </cell>
          <cell r="I62" t="e">
            <v>#NUM!</v>
          </cell>
          <cell r="J62" t="e">
            <v>#NUM!</v>
          </cell>
          <cell r="K62" t="e">
            <v>#NUM!</v>
          </cell>
          <cell r="L62" t="e">
            <v>#NUM!</v>
          </cell>
          <cell r="M62" t="e">
            <v>#NUM!</v>
          </cell>
          <cell r="N62" t="e">
            <v>#NUM!</v>
          </cell>
          <cell r="O62" t="e">
            <v>#NUM!</v>
          </cell>
          <cell r="P62" t="e">
            <v>#NUM!</v>
          </cell>
          <cell r="Q62" t="e">
            <v>#NUM!</v>
          </cell>
          <cell r="R62" t="e">
            <v>#NUM!</v>
          </cell>
          <cell r="S62" t="e">
            <v>#NUM!</v>
          </cell>
          <cell r="T62" t="e">
            <v>#NUM!</v>
          </cell>
          <cell r="U62" t="e">
            <v>#NUM!</v>
          </cell>
          <cell r="V62" t="e">
            <v>#NUM!</v>
          </cell>
          <cell r="W62" t="e">
            <v>#NUM!</v>
          </cell>
          <cell r="X62" t="e">
            <v>#NUM!</v>
          </cell>
          <cell r="Y62" t="e">
            <v>#NUM!</v>
          </cell>
          <cell r="Z62" t="e">
            <v>#NUM!</v>
          </cell>
        </row>
        <row r="63">
          <cell r="F63" t="e">
            <v>#NUM!</v>
          </cell>
          <cell r="G63" t="e">
            <v>#NUM!</v>
          </cell>
          <cell r="H63" t="e">
            <v>#NUM!</v>
          </cell>
          <cell r="I63" t="e">
            <v>#NUM!</v>
          </cell>
          <cell r="J63" t="e">
            <v>#NUM!</v>
          </cell>
          <cell r="K63" t="e">
            <v>#NUM!</v>
          </cell>
          <cell r="L63" t="e">
            <v>#NUM!</v>
          </cell>
          <cell r="M63" t="e">
            <v>#NUM!</v>
          </cell>
          <cell r="N63" t="e">
            <v>#NUM!</v>
          </cell>
          <cell r="O63" t="e">
            <v>#NUM!</v>
          </cell>
          <cell r="P63" t="e">
            <v>#NUM!</v>
          </cell>
          <cell r="Q63" t="e">
            <v>#NUM!</v>
          </cell>
          <cell r="R63" t="e">
            <v>#NUM!</v>
          </cell>
          <cell r="S63" t="e">
            <v>#NUM!</v>
          </cell>
          <cell r="T63" t="e">
            <v>#NUM!</v>
          </cell>
          <cell r="U63" t="e">
            <v>#NUM!</v>
          </cell>
          <cell r="V63" t="e">
            <v>#NUM!</v>
          </cell>
          <cell r="W63" t="e">
            <v>#NUM!</v>
          </cell>
          <cell r="X63" t="e">
            <v>#NUM!</v>
          </cell>
          <cell r="Y63" t="e">
            <v>#NUM!</v>
          </cell>
          <cell r="Z63" t="e">
            <v>#NUM!</v>
          </cell>
        </row>
        <row r="64">
          <cell r="F64" t="e">
            <v>#NUM!</v>
          </cell>
          <cell r="G64" t="e">
            <v>#NUM!</v>
          </cell>
          <cell r="H64" t="e">
            <v>#NUM!</v>
          </cell>
          <cell r="I64" t="e">
            <v>#NUM!</v>
          </cell>
          <cell r="J64" t="e">
            <v>#NUM!</v>
          </cell>
          <cell r="K64" t="e">
            <v>#NUM!</v>
          </cell>
          <cell r="L64" t="e">
            <v>#NUM!</v>
          </cell>
          <cell r="M64" t="e">
            <v>#NUM!</v>
          </cell>
          <cell r="N64" t="e">
            <v>#NUM!</v>
          </cell>
          <cell r="O64" t="e">
            <v>#NUM!</v>
          </cell>
          <cell r="P64" t="e">
            <v>#NUM!</v>
          </cell>
          <cell r="Q64" t="e">
            <v>#NUM!</v>
          </cell>
          <cell r="R64" t="e">
            <v>#NUM!</v>
          </cell>
          <cell r="S64" t="e">
            <v>#NUM!</v>
          </cell>
          <cell r="T64" t="e">
            <v>#NUM!</v>
          </cell>
          <cell r="U64" t="e">
            <v>#NUM!</v>
          </cell>
          <cell r="V64" t="e">
            <v>#NUM!</v>
          </cell>
          <cell r="W64" t="e">
            <v>#NUM!</v>
          </cell>
          <cell r="X64" t="e">
            <v>#NUM!</v>
          </cell>
          <cell r="Y64" t="e">
            <v>#NUM!</v>
          </cell>
          <cell r="Z64" t="e">
            <v>#NUM!</v>
          </cell>
        </row>
        <row r="65">
          <cell r="F65" t="e">
            <v>#NUM!</v>
          </cell>
          <cell r="G65" t="e">
            <v>#NUM!</v>
          </cell>
          <cell r="H65" t="e">
            <v>#NUM!</v>
          </cell>
          <cell r="I65" t="e">
            <v>#NUM!</v>
          </cell>
          <cell r="J65" t="e">
            <v>#NUM!</v>
          </cell>
          <cell r="K65" t="e">
            <v>#NUM!</v>
          </cell>
          <cell r="L65" t="e">
            <v>#NUM!</v>
          </cell>
          <cell r="M65" t="e">
            <v>#NUM!</v>
          </cell>
          <cell r="N65" t="e">
            <v>#NUM!</v>
          </cell>
          <cell r="O65" t="e">
            <v>#NUM!</v>
          </cell>
          <cell r="P65" t="e">
            <v>#NUM!</v>
          </cell>
          <cell r="Q65" t="e">
            <v>#NUM!</v>
          </cell>
          <cell r="R65" t="e">
            <v>#NUM!</v>
          </cell>
          <cell r="S65" t="e">
            <v>#NUM!</v>
          </cell>
          <cell r="T65" t="e">
            <v>#NUM!</v>
          </cell>
          <cell r="U65" t="e">
            <v>#NUM!</v>
          </cell>
          <cell r="V65" t="e">
            <v>#NUM!</v>
          </cell>
          <cell r="W65" t="e">
            <v>#NUM!</v>
          </cell>
          <cell r="X65" t="e">
            <v>#NUM!</v>
          </cell>
          <cell r="Y65" t="e">
            <v>#NUM!</v>
          </cell>
          <cell r="Z65" t="e">
            <v>#NUM!</v>
          </cell>
        </row>
        <row r="66">
          <cell r="F66" t="e">
            <v>#NUM!</v>
          </cell>
          <cell r="G66" t="e">
            <v>#NUM!</v>
          </cell>
          <cell r="H66" t="e">
            <v>#NUM!</v>
          </cell>
          <cell r="I66" t="e">
            <v>#NUM!</v>
          </cell>
          <cell r="J66" t="e">
            <v>#NUM!</v>
          </cell>
          <cell r="K66" t="e">
            <v>#NUM!</v>
          </cell>
          <cell r="L66" t="e">
            <v>#NUM!</v>
          </cell>
          <cell r="M66" t="e">
            <v>#NUM!</v>
          </cell>
          <cell r="N66" t="e">
            <v>#NUM!</v>
          </cell>
          <cell r="O66" t="e">
            <v>#NUM!</v>
          </cell>
          <cell r="P66" t="e">
            <v>#NUM!</v>
          </cell>
          <cell r="Q66" t="e">
            <v>#NUM!</v>
          </cell>
          <cell r="R66" t="e">
            <v>#NUM!</v>
          </cell>
          <cell r="S66" t="e">
            <v>#NUM!</v>
          </cell>
          <cell r="T66" t="e">
            <v>#NUM!</v>
          </cell>
          <cell r="U66" t="e">
            <v>#NUM!</v>
          </cell>
          <cell r="V66" t="e">
            <v>#NUM!</v>
          </cell>
          <cell r="W66" t="e">
            <v>#NUM!</v>
          </cell>
          <cell r="X66" t="e">
            <v>#NUM!</v>
          </cell>
          <cell r="Y66" t="e">
            <v>#NUM!</v>
          </cell>
          <cell r="Z66" t="e">
            <v>#NUM!</v>
          </cell>
        </row>
        <row r="67">
          <cell r="F67" t="e">
            <v>#NUM!</v>
          </cell>
          <cell r="G67" t="e">
            <v>#NUM!</v>
          </cell>
          <cell r="H67" t="e">
            <v>#NUM!</v>
          </cell>
          <cell r="I67" t="e">
            <v>#NUM!</v>
          </cell>
          <cell r="J67" t="e">
            <v>#NUM!</v>
          </cell>
          <cell r="K67" t="e">
            <v>#NUM!</v>
          </cell>
          <cell r="L67" t="e">
            <v>#NUM!</v>
          </cell>
          <cell r="M67" t="e">
            <v>#NUM!</v>
          </cell>
          <cell r="N67" t="e">
            <v>#NUM!</v>
          </cell>
          <cell r="O67" t="e">
            <v>#NUM!</v>
          </cell>
          <cell r="P67" t="e">
            <v>#NUM!</v>
          </cell>
          <cell r="Q67" t="e">
            <v>#NUM!</v>
          </cell>
          <cell r="R67" t="e">
            <v>#NUM!</v>
          </cell>
          <cell r="S67" t="e">
            <v>#NUM!</v>
          </cell>
          <cell r="T67" t="e">
            <v>#NUM!</v>
          </cell>
          <cell r="U67" t="e">
            <v>#NUM!</v>
          </cell>
          <cell r="V67" t="e">
            <v>#NUM!</v>
          </cell>
          <cell r="W67" t="e">
            <v>#NUM!</v>
          </cell>
          <cell r="X67" t="e">
            <v>#NUM!</v>
          </cell>
          <cell r="Y67" t="e">
            <v>#NUM!</v>
          </cell>
          <cell r="Z67" t="e">
            <v>#NUM!</v>
          </cell>
        </row>
        <row r="68">
          <cell r="F68" t="e">
            <v>#NUM!</v>
          </cell>
          <cell r="G68" t="e">
            <v>#NUM!</v>
          </cell>
          <cell r="H68" t="e">
            <v>#NUM!</v>
          </cell>
          <cell r="I68" t="e">
            <v>#NUM!</v>
          </cell>
          <cell r="J68" t="e">
            <v>#NUM!</v>
          </cell>
          <cell r="K68" t="e">
            <v>#NUM!</v>
          </cell>
          <cell r="L68" t="e">
            <v>#NUM!</v>
          </cell>
          <cell r="M68" t="e">
            <v>#NUM!</v>
          </cell>
          <cell r="N68" t="e">
            <v>#NUM!</v>
          </cell>
          <cell r="O68" t="e">
            <v>#NUM!</v>
          </cell>
          <cell r="P68" t="e">
            <v>#NUM!</v>
          </cell>
          <cell r="Q68" t="e">
            <v>#NUM!</v>
          </cell>
          <cell r="R68" t="e">
            <v>#NUM!</v>
          </cell>
          <cell r="S68" t="e">
            <v>#NUM!</v>
          </cell>
          <cell r="T68" t="e">
            <v>#NUM!</v>
          </cell>
          <cell r="U68" t="e">
            <v>#NUM!</v>
          </cell>
          <cell r="V68" t="e">
            <v>#NUM!</v>
          </cell>
          <cell r="W68" t="e">
            <v>#NUM!</v>
          </cell>
          <cell r="X68" t="e">
            <v>#NUM!</v>
          </cell>
          <cell r="Y68" t="e">
            <v>#NUM!</v>
          </cell>
          <cell r="Z68" t="e">
            <v>#NUM!</v>
          </cell>
        </row>
        <row r="69">
          <cell r="F69" t="e">
            <v>#NUM!</v>
          </cell>
          <cell r="G69" t="e">
            <v>#NUM!</v>
          </cell>
          <cell r="H69" t="e">
            <v>#NUM!</v>
          </cell>
          <cell r="I69" t="e">
            <v>#NUM!</v>
          </cell>
          <cell r="J69" t="e">
            <v>#NUM!</v>
          </cell>
          <cell r="K69" t="e">
            <v>#NUM!</v>
          </cell>
          <cell r="L69" t="e">
            <v>#NUM!</v>
          </cell>
          <cell r="M69" t="e">
            <v>#NUM!</v>
          </cell>
          <cell r="N69" t="e">
            <v>#NUM!</v>
          </cell>
          <cell r="O69" t="e">
            <v>#NUM!</v>
          </cell>
          <cell r="P69" t="e">
            <v>#NUM!</v>
          </cell>
          <cell r="Q69" t="e">
            <v>#NUM!</v>
          </cell>
          <cell r="R69" t="e">
            <v>#NUM!</v>
          </cell>
          <cell r="S69" t="e">
            <v>#NUM!</v>
          </cell>
          <cell r="T69" t="e">
            <v>#NUM!</v>
          </cell>
          <cell r="U69" t="e">
            <v>#NUM!</v>
          </cell>
          <cell r="V69" t="e">
            <v>#NUM!</v>
          </cell>
          <cell r="W69" t="e">
            <v>#NUM!</v>
          </cell>
          <cell r="X69" t="e">
            <v>#NUM!</v>
          </cell>
          <cell r="Y69" t="e">
            <v>#NUM!</v>
          </cell>
          <cell r="Z69" t="e">
            <v>#NUM!</v>
          </cell>
        </row>
        <row r="70">
          <cell r="F70" t="e">
            <v>#NUM!</v>
          </cell>
          <cell r="G70" t="e">
            <v>#NUM!</v>
          </cell>
          <cell r="H70" t="e">
            <v>#NUM!</v>
          </cell>
          <cell r="I70" t="e">
            <v>#NUM!</v>
          </cell>
          <cell r="J70" t="e">
            <v>#NUM!</v>
          </cell>
          <cell r="K70" t="e">
            <v>#NUM!</v>
          </cell>
          <cell r="L70" t="e">
            <v>#NUM!</v>
          </cell>
          <cell r="M70" t="e">
            <v>#NUM!</v>
          </cell>
          <cell r="N70" t="e">
            <v>#NUM!</v>
          </cell>
          <cell r="O70" t="e">
            <v>#NUM!</v>
          </cell>
          <cell r="P70" t="e">
            <v>#NUM!</v>
          </cell>
          <cell r="Q70" t="e">
            <v>#NUM!</v>
          </cell>
          <cell r="R70" t="e">
            <v>#NUM!</v>
          </cell>
          <cell r="S70" t="e">
            <v>#NUM!</v>
          </cell>
          <cell r="T70" t="e">
            <v>#NUM!</v>
          </cell>
          <cell r="U70" t="e">
            <v>#NUM!</v>
          </cell>
          <cell r="V70" t="e">
            <v>#NUM!</v>
          </cell>
          <cell r="W70" t="e">
            <v>#NUM!</v>
          </cell>
          <cell r="X70" t="e">
            <v>#NUM!</v>
          </cell>
          <cell r="Y70" t="e">
            <v>#NUM!</v>
          </cell>
          <cell r="Z70" t="e">
            <v>#NUM!</v>
          </cell>
        </row>
        <row r="71">
          <cell r="F71" t="e">
            <v>#NUM!</v>
          </cell>
          <cell r="G71" t="e">
            <v>#NUM!</v>
          </cell>
          <cell r="H71" t="e">
            <v>#NUM!</v>
          </cell>
          <cell r="I71" t="e">
            <v>#NUM!</v>
          </cell>
          <cell r="J71" t="e">
            <v>#NUM!</v>
          </cell>
          <cell r="K71" t="e">
            <v>#NUM!</v>
          </cell>
          <cell r="L71" t="e">
            <v>#NUM!</v>
          </cell>
          <cell r="M71" t="e">
            <v>#NUM!</v>
          </cell>
          <cell r="N71" t="e">
            <v>#NUM!</v>
          </cell>
          <cell r="O71" t="e">
            <v>#NUM!</v>
          </cell>
          <cell r="P71" t="e">
            <v>#NUM!</v>
          </cell>
          <cell r="Q71" t="e">
            <v>#NUM!</v>
          </cell>
          <cell r="R71" t="e">
            <v>#NUM!</v>
          </cell>
          <cell r="S71" t="e">
            <v>#NUM!</v>
          </cell>
          <cell r="T71" t="e">
            <v>#NUM!</v>
          </cell>
          <cell r="U71" t="e">
            <v>#NUM!</v>
          </cell>
          <cell r="V71" t="e">
            <v>#NUM!</v>
          </cell>
          <cell r="W71" t="e">
            <v>#NUM!</v>
          </cell>
          <cell r="X71" t="e">
            <v>#NUM!</v>
          </cell>
          <cell r="Y71" t="e">
            <v>#NUM!</v>
          </cell>
          <cell r="Z71" t="e">
            <v>#NUM!</v>
          </cell>
        </row>
        <row r="72">
          <cell r="F72" t="e">
            <v>#NUM!</v>
          </cell>
          <cell r="G72" t="e">
            <v>#NUM!</v>
          </cell>
          <cell r="H72" t="e">
            <v>#NUM!</v>
          </cell>
          <cell r="I72" t="e">
            <v>#NUM!</v>
          </cell>
          <cell r="J72" t="e">
            <v>#NUM!</v>
          </cell>
          <cell r="K72" t="e">
            <v>#NUM!</v>
          </cell>
          <cell r="L72" t="e">
            <v>#NUM!</v>
          </cell>
          <cell r="M72" t="e">
            <v>#NUM!</v>
          </cell>
          <cell r="N72" t="e">
            <v>#NUM!</v>
          </cell>
          <cell r="O72" t="e">
            <v>#NUM!</v>
          </cell>
          <cell r="P72" t="e">
            <v>#NUM!</v>
          </cell>
          <cell r="Q72" t="e">
            <v>#NUM!</v>
          </cell>
          <cell r="R72" t="e">
            <v>#NUM!</v>
          </cell>
          <cell r="S72" t="e">
            <v>#NUM!</v>
          </cell>
          <cell r="T72" t="e">
            <v>#NUM!</v>
          </cell>
          <cell r="U72" t="e">
            <v>#NUM!</v>
          </cell>
          <cell r="V72" t="e">
            <v>#NUM!</v>
          </cell>
          <cell r="W72" t="e">
            <v>#NUM!</v>
          </cell>
          <cell r="X72" t="e">
            <v>#NUM!</v>
          </cell>
          <cell r="Y72" t="e">
            <v>#NUM!</v>
          </cell>
          <cell r="Z72" t="e">
            <v>#NUM!</v>
          </cell>
        </row>
        <row r="73">
          <cell r="F73" t="e">
            <v>#NUM!</v>
          </cell>
          <cell r="G73" t="e">
            <v>#NUM!</v>
          </cell>
          <cell r="H73" t="e">
            <v>#NUM!</v>
          </cell>
          <cell r="I73" t="e">
            <v>#NUM!</v>
          </cell>
          <cell r="J73" t="e">
            <v>#NUM!</v>
          </cell>
          <cell r="K73" t="e">
            <v>#NUM!</v>
          </cell>
          <cell r="L73" t="e">
            <v>#NUM!</v>
          </cell>
          <cell r="M73" t="e">
            <v>#NUM!</v>
          </cell>
          <cell r="N73" t="e">
            <v>#NUM!</v>
          </cell>
          <cell r="O73" t="e">
            <v>#NUM!</v>
          </cell>
          <cell r="P73" t="e">
            <v>#NUM!</v>
          </cell>
          <cell r="Q73" t="e">
            <v>#NUM!</v>
          </cell>
          <cell r="R73" t="e">
            <v>#NUM!</v>
          </cell>
          <cell r="S73" t="e">
            <v>#NUM!</v>
          </cell>
          <cell r="T73" t="e">
            <v>#NUM!</v>
          </cell>
          <cell r="U73" t="e">
            <v>#NUM!</v>
          </cell>
          <cell r="V73" t="e">
            <v>#NUM!</v>
          </cell>
          <cell r="W73" t="e">
            <v>#NUM!</v>
          </cell>
          <cell r="X73" t="e">
            <v>#NUM!</v>
          </cell>
          <cell r="Y73" t="e">
            <v>#NUM!</v>
          </cell>
          <cell r="Z73" t="e">
            <v>#NUM!</v>
          </cell>
        </row>
        <row r="74">
          <cell r="F74" t="e">
            <v>#NUM!</v>
          </cell>
          <cell r="G74" t="e">
            <v>#NUM!</v>
          </cell>
          <cell r="H74" t="e">
            <v>#NUM!</v>
          </cell>
          <cell r="I74" t="e">
            <v>#NUM!</v>
          </cell>
          <cell r="J74" t="e">
            <v>#NUM!</v>
          </cell>
          <cell r="K74" t="e">
            <v>#NUM!</v>
          </cell>
          <cell r="L74" t="e">
            <v>#NUM!</v>
          </cell>
          <cell r="M74" t="e">
            <v>#NUM!</v>
          </cell>
          <cell r="N74" t="e">
            <v>#NUM!</v>
          </cell>
          <cell r="O74" t="e">
            <v>#NUM!</v>
          </cell>
          <cell r="P74" t="e">
            <v>#NUM!</v>
          </cell>
          <cell r="Q74" t="e">
            <v>#NUM!</v>
          </cell>
          <cell r="R74" t="e">
            <v>#NUM!</v>
          </cell>
          <cell r="S74" t="e">
            <v>#NUM!</v>
          </cell>
          <cell r="T74" t="e">
            <v>#NUM!</v>
          </cell>
          <cell r="U74" t="e">
            <v>#NUM!</v>
          </cell>
          <cell r="V74" t="e">
            <v>#NUM!</v>
          </cell>
          <cell r="W74" t="e">
            <v>#NUM!</v>
          </cell>
          <cell r="X74" t="e">
            <v>#NUM!</v>
          </cell>
          <cell r="Y74" t="e">
            <v>#NUM!</v>
          </cell>
          <cell r="Z74" t="e">
            <v>#NUM!</v>
          </cell>
        </row>
        <row r="75">
          <cell r="F75" t="e">
            <v>#NUM!</v>
          </cell>
          <cell r="G75" t="e">
            <v>#NUM!</v>
          </cell>
          <cell r="H75" t="e">
            <v>#NUM!</v>
          </cell>
          <cell r="I75" t="e">
            <v>#NUM!</v>
          </cell>
          <cell r="J75" t="e">
            <v>#NUM!</v>
          </cell>
          <cell r="K75" t="e">
            <v>#NUM!</v>
          </cell>
          <cell r="L75" t="e">
            <v>#NUM!</v>
          </cell>
          <cell r="M75" t="e">
            <v>#NUM!</v>
          </cell>
          <cell r="N75" t="e">
            <v>#NUM!</v>
          </cell>
          <cell r="O75" t="e">
            <v>#NUM!</v>
          </cell>
          <cell r="P75" t="e">
            <v>#NUM!</v>
          </cell>
          <cell r="Q75" t="e">
            <v>#NUM!</v>
          </cell>
          <cell r="R75" t="e">
            <v>#NUM!</v>
          </cell>
          <cell r="S75" t="e">
            <v>#NUM!</v>
          </cell>
          <cell r="T75" t="e">
            <v>#NUM!</v>
          </cell>
          <cell r="U75" t="e">
            <v>#NUM!</v>
          </cell>
          <cell r="V75" t="e">
            <v>#NUM!</v>
          </cell>
          <cell r="W75" t="e">
            <v>#NUM!</v>
          </cell>
          <cell r="X75" t="e">
            <v>#NUM!</v>
          </cell>
          <cell r="Y75" t="e">
            <v>#NUM!</v>
          </cell>
          <cell r="Z75" t="e">
            <v>#NUM!</v>
          </cell>
        </row>
        <row r="76">
          <cell r="F76" t="e">
            <v>#NUM!</v>
          </cell>
          <cell r="G76" t="e">
            <v>#NUM!</v>
          </cell>
          <cell r="H76" t="e">
            <v>#NUM!</v>
          </cell>
          <cell r="I76" t="e">
            <v>#NUM!</v>
          </cell>
          <cell r="J76" t="e">
            <v>#NUM!</v>
          </cell>
          <cell r="K76" t="e">
            <v>#NUM!</v>
          </cell>
          <cell r="L76" t="e">
            <v>#NUM!</v>
          </cell>
          <cell r="M76" t="e">
            <v>#NUM!</v>
          </cell>
          <cell r="N76" t="e">
            <v>#NUM!</v>
          </cell>
          <cell r="O76" t="e">
            <v>#NUM!</v>
          </cell>
          <cell r="P76" t="e">
            <v>#NUM!</v>
          </cell>
          <cell r="Q76" t="e">
            <v>#NUM!</v>
          </cell>
          <cell r="R76" t="e">
            <v>#NUM!</v>
          </cell>
          <cell r="S76" t="e">
            <v>#NUM!</v>
          </cell>
          <cell r="T76" t="e">
            <v>#NUM!</v>
          </cell>
          <cell r="U76" t="e">
            <v>#NUM!</v>
          </cell>
          <cell r="V76" t="e">
            <v>#NUM!</v>
          </cell>
          <cell r="W76" t="e">
            <v>#NUM!</v>
          </cell>
          <cell r="X76" t="e">
            <v>#NUM!</v>
          </cell>
          <cell r="Y76" t="e">
            <v>#NUM!</v>
          </cell>
          <cell r="Z76" t="e">
            <v>#NUM!</v>
          </cell>
        </row>
        <row r="77">
          <cell r="F77" t="e">
            <v>#NUM!</v>
          </cell>
          <cell r="G77" t="e">
            <v>#NUM!</v>
          </cell>
          <cell r="H77" t="e">
            <v>#NUM!</v>
          </cell>
          <cell r="I77" t="e">
            <v>#NUM!</v>
          </cell>
          <cell r="J77" t="e">
            <v>#NUM!</v>
          </cell>
          <cell r="K77" t="e">
            <v>#NUM!</v>
          </cell>
          <cell r="L77" t="e">
            <v>#NUM!</v>
          </cell>
          <cell r="M77" t="e">
            <v>#NUM!</v>
          </cell>
          <cell r="N77" t="e">
            <v>#NUM!</v>
          </cell>
          <cell r="O77" t="e">
            <v>#NUM!</v>
          </cell>
          <cell r="P77" t="e">
            <v>#NUM!</v>
          </cell>
          <cell r="Q77" t="e">
            <v>#NUM!</v>
          </cell>
          <cell r="R77" t="e">
            <v>#NUM!</v>
          </cell>
          <cell r="S77" t="e">
            <v>#NUM!</v>
          </cell>
          <cell r="T77" t="e">
            <v>#NUM!</v>
          </cell>
          <cell r="U77" t="e">
            <v>#NUM!</v>
          </cell>
          <cell r="V77" t="e">
            <v>#NUM!</v>
          </cell>
          <cell r="W77" t="e">
            <v>#NUM!</v>
          </cell>
          <cell r="X77" t="e">
            <v>#NUM!</v>
          </cell>
          <cell r="Y77" t="e">
            <v>#NUM!</v>
          </cell>
          <cell r="Z77" t="e">
            <v>#NUM!</v>
          </cell>
        </row>
        <row r="78">
          <cell r="F78" t="e">
            <v>#NUM!</v>
          </cell>
          <cell r="G78" t="e">
            <v>#NUM!</v>
          </cell>
          <cell r="H78" t="e">
            <v>#NUM!</v>
          </cell>
          <cell r="I78" t="e">
            <v>#NUM!</v>
          </cell>
          <cell r="J78" t="e">
            <v>#NUM!</v>
          </cell>
          <cell r="K78" t="e">
            <v>#NUM!</v>
          </cell>
          <cell r="L78" t="e">
            <v>#NUM!</v>
          </cell>
          <cell r="M78" t="e">
            <v>#NUM!</v>
          </cell>
          <cell r="N78" t="e">
            <v>#NUM!</v>
          </cell>
          <cell r="O78" t="e">
            <v>#NUM!</v>
          </cell>
          <cell r="P78" t="e">
            <v>#NUM!</v>
          </cell>
          <cell r="Q78" t="e">
            <v>#NUM!</v>
          </cell>
          <cell r="R78" t="e">
            <v>#NUM!</v>
          </cell>
          <cell r="S78" t="e">
            <v>#NUM!</v>
          </cell>
          <cell r="T78" t="e">
            <v>#NUM!</v>
          </cell>
          <cell r="U78" t="e">
            <v>#NUM!</v>
          </cell>
          <cell r="V78" t="e">
            <v>#NUM!</v>
          </cell>
          <cell r="W78" t="e">
            <v>#NUM!</v>
          </cell>
          <cell r="X78" t="e">
            <v>#NUM!</v>
          </cell>
          <cell r="Y78" t="e">
            <v>#NUM!</v>
          </cell>
          <cell r="Z78" t="e">
            <v>#NUM!</v>
          </cell>
        </row>
        <row r="79">
          <cell r="F79" t="e">
            <v>#NUM!</v>
          </cell>
          <cell r="G79" t="e">
            <v>#NUM!</v>
          </cell>
          <cell r="H79" t="e">
            <v>#NUM!</v>
          </cell>
          <cell r="I79" t="e">
            <v>#NUM!</v>
          </cell>
          <cell r="J79" t="e">
            <v>#NUM!</v>
          </cell>
          <cell r="K79" t="e">
            <v>#NUM!</v>
          </cell>
          <cell r="L79" t="e">
            <v>#NUM!</v>
          </cell>
          <cell r="M79" t="e">
            <v>#NUM!</v>
          </cell>
          <cell r="N79" t="e">
            <v>#NUM!</v>
          </cell>
          <cell r="O79" t="e">
            <v>#NUM!</v>
          </cell>
          <cell r="P79" t="e">
            <v>#NUM!</v>
          </cell>
          <cell r="Q79" t="e">
            <v>#NUM!</v>
          </cell>
          <cell r="R79" t="e">
            <v>#NUM!</v>
          </cell>
          <cell r="S79" t="e">
            <v>#NUM!</v>
          </cell>
          <cell r="T79" t="e">
            <v>#NUM!</v>
          </cell>
          <cell r="U79" t="e">
            <v>#NUM!</v>
          </cell>
          <cell r="V79" t="e">
            <v>#NUM!</v>
          </cell>
          <cell r="W79" t="e">
            <v>#NUM!</v>
          </cell>
          <cell r="X79" t="e">
            <v>#NUM!</v>
          </cell>
          <cell r="Y79" t="e">
            <v>#NUM!</v>
          </cell>
          <cell r="Z79" t="e">
            <v>#NUM!</v>
          </cell>
        </row>
        <row r="80">
          <cell r="F80" t="e">
            <v>#NUM!</v>
          </cell>
          <cell r="G80" t="e">
            <v>#NUM!</v>
          </cell>
          <cell r="H80" t="e">
            <v>#NUM!</v>
          </cell>
          <cell r="I80" t="e">
            <v>#NUM!</v>
          </cell>
          <cell r="J80" t="e">
            <v>#NUM!</v>
          </cell>
          <cell r="K80" t="e">
            <v>#NUM!</v>
          </cell>
          <cell r="L80" t="e">
            <v>#NUM!</v>
          </cell>
          <cell r="M80" t="e">
            <v>#NUM!</v>
          </cell>
          <cell r="N80" t="e">
            <v>#NUM!</v>
          </cell>
          <cell r="O80" t="e">
            <v>#NUM!</v>
          </cell>
          <cell r="P80" t="e">
            <v>#NUM!</v>
          </cell>
          <cell r="Q80" t="e">
            <v>#NUM!</v>
          </cell>
          <cell r="R80" t="e">
            <v>#NUM!</v>
          </cell>
          <cell r="S80" t="e">
            <v>#NUM!</v>
          </cell>
          <cell r="T80" t="e">
            <v>#NUM!</v>
          </cell>
          <cell r="U80" t="e">
            <v>#NUM!</v>
          </cell>
          <cell r="V80" t="e">
            <v>#NUM!</v>
          </cell>
          <cell r="W80" t="e">
            <v>#NUM!</v>
          </cell>
          <cell r="X80" t="e">
            <v>#NUM!</v>
          </cell>
          <cell r="Y80" t="e">
            <v>#NUM!</v>
          </cell>
          <cell r="Z80" t="e">
            <v>#NUM!</v>
          </cell>
        </row>
        <row r="81">
          <cell r="F81" t="e">
            <v>#NUM!</v>
          </cell>
          <cell r="G81" t="e">
            <v>#NUM!</v>
          </cell>
          <cell r="H81" t="e">
            <v>#NUM!</v>
          </cell>
          <cell r="I81" t="e">
            <v>#NUM!</v>
          </cell>
          <cell r="J81" t="e">
            <v>#NUM!</v>
          </cell>
          <cell r="K81" t="e">
            <v>#NUM!</v>
          </cell>
          <cell r="L81" t="e">
            <v>#NUM!</v>
          </cell>
          <cell r="M81" t="e">
            <v>#NUM!</v>
          </cell>
          <cell r="N81" t="e">
            <v>#NUM!</v>
          </cell>
          <cell r="O81" t="e">
            <v>#NUM!</v>
          </cell>
          <cell r="P81" t="e">
            <v>#NUM!</v>
          </cell>
          <cell r="Q81" t="e">
            <v>#NUM!</v>
          </cell>
          <cell r="R81" t="e">
            <v>#NUM!</v>
          </cell>
          <cell r="S81" t="e">
            <v>#NUM!</v>
          </cell>
          <cell r="T81" t="e">
            <v>#NUM!</v>
          </cell>
          <cell r="U81" t="e">
            <v>#NUM!</v>
          </cell>
          <cell r="V81" t="e">
            <v>#NUM!</v>
          </cell>
          <cell r="W81" t="e">
            <v>#NUM!</v>
          </cell>
          <cell r="X81" t="e">
            <v>#NUM!</v>
          </cell>
          <cell r="Y81" t="e">
            <v>#NUM!</v>
          </cell>
          <cell r="Z81" t="e">
            <v>#NUM!</v>
          </cell>
        </row>
        <row r="82">
          <cell r="F82" t="e">
            <v>#NUM!</v>
          </cell>
          <cell r="G82" t="e">
            <v>#NUM!</v>
          </cell>
          <cell r="H82" t="e">
            <v>#NUM!</v>
          </cell>
          <cell r="I82" t="e">
            <v>#NUM!</v>
          </cell>
          <cell r="J82" t="e">
            <v>#NUM!</v>
          </cell>
          <cell r="K82" t="e">
            <v>#NUM!</v>
          </cell>
          <cell r="L82" t="e">
            <v>#NUM!</v>
          </cell>
          <cell r="M82" t="e">
            <v>#NUM!</v>
          </cell>
          <cell r="N82" t="e">
            <v>#NUM!</v>
          </cell>
          <cell r="O82" t="e">
            <v>#NUM!</v>
          </cell>
          <cell r="P82" t="e">
            <v>#NUM!</v>
          </cell>
          <cell r="Q82" t="e">
            <v>#NUM!</v>
          </cell>
          <cell r="R82" t="e">
            <v>#NUM!</v>
          </cell>
          <cell r="S82" t="e">
            <v>#NUM!</v>
          </cell>
          <cell r="T82" t="e">
            <v>#NUM!</v>
          </cell>
          <cell r="U82" t="e">
            <v>#NUM!</v>
          </cell>
          <cell r="V82" t="e">
            <v>#NUM!</v>
          </cell>
          <cell r="W82" t="e">
            <v>#NUM!</v>
          </cell>
          <cell r="X82" t="e">
            <v>#NUM!</v>
          </cell>
          <cell r="Y82" t="e">
            <v>#NUM!</v>
          </cell>
          <cell r="Z82" t="e">
            <v>#NUM!</v>
          </cell>
        </row>
        <row r="83">
          <cell r="F83" t="e">
            <v>#NUM!</v>
          </cell>
          <cell r="G83" t="e">
            <v>#NUM!</v>
          </cell>
          <cell r="H83" t="e">
            <v>#NUM!</v>
          </cell>
          <cell r="I83" t="e">
            <v>#NUM!</v>
          </cell>
          <cell r="J83" t="e">
            <v>#NUM!</v>
          </cell>
          <cell r="K83" t="e">
            <v>#NUM!</v>
          </cell>
          <cell r="L83" t="e">
            <v>#NUM!</v>
          </cell>
          <cell r="M83" t="e">
            <v>#NUM!</v>
          </cell>
          <cell r="N83" t="e">
            <v>#NUM!</v>
          </cell>
          <cell r="O83" t="e">
            <v>#NUM!</v>
          </cell>
          <cell r="P83" t="e">
            <v>#NUM!</v>
          </cell>
          <cell r="Q83" t="e">
            <v>#NUM!</v>
          </cell>
          <cell r="R83" t="e">
            <v>#NUM!</v>
          </cell>
          <cell r="S83" t="e">
            <v>#NUM!</v>
          </cell>
          <cell r="T83" t="e">
            <v>#NUM!</v>
          </cell>
          <cell r="U83" t="e">
            <v>#NUM!</v>
          </cell>
          <cell r="V83" t="e">
            <v>#NUM!</v>
          </cell>
          <cell r="W83" t="e">
            <v>#NUM!</v>
          </cell>
          <cell r="X83" t="e">
            <v>#NUM!</v>
          </cell>
          <cell r="Y83" t="e">
            <v>#NUM!</v>
          </cell>
          <cell r="Z83" t="e">
            <v>#NUM!</v>
          </cell>
        </row>
        <row r="84">
          <cell r="O84" t="str">
            <v>TOTAL SQFT:</v>
          </cell>
          <cell r="P84">
            <v>20194</v>
          </cell>
          <cell r="Q84">
            <v>516</v>
          </cell>
          <cell r="R84">
            <v>10</v>
          </cell>
        </row>
        <row r="85">
          <cell r="Q85" t="str">
            <v>total panels</v>
          </cell>
          <cell r="R85" t="str">
            <v>total doors</v>
          </cell>
        </row>
        <row r="87">
          <cell r="F87" t="str">
            <v>JOB NUMBER</v>
          </cell>
          <cell r="G87" t="str">
            <v>CUSTOMER</v>
          </cell>
          <cell r="H87" t="str">
            <v>JOB NAME</v>
          </cell>
          <cell r="I87" t="str">
            <v>LOCATION</v>
          </cell>
          <cell r="J87" t="str">
            <v>PROD WEEK</v>
          </cell>
          <cell r="K87" t="str">
            <v>PRODDUEDATE</v>
          </cell>
          <cell r="L87" t="str">
            <v>GROUP_val</v>
          </cell>
          <cell r="M87" t="str">
            <v>SHIP DATE</v>
          </cell>
          <cell r="N87" t="str">
            <v>ENG STATUS</v>
          </cell>
          <cell r="O87" t="str">
            <v>PROD STATUS</v>
          </cell>
          <cell r="P87" t="str">
            <v>SQFT</v>
          </cell>
          <cell r="Q87" t="str">
            <v>PANELS</v>
          </cell>
          <cell r="R87" t="str">
            <v>DOORS</v>
          </cell>
          <cell r="S87" t="str">
            <v>BOX</v>
          </cell>
          <cell r="T87" t="str">
            <v>BUILT BY</v>
          </cell>
          <cell r="U87" t="str">
            <v>SO Code</v>
          </cell>
          <cell r="V87" t="str">
            <v>Job Total</v>
          </cell>
          <cell r="W87" t="str">
            <v>Confirmed</v>
          </cell>
          <cell r="X87" t="str">
            <v>Confm</v>
          </cell>
          <cell r="Y87" t="str">
            <v>FreightTyoe</v>
          </cell>
          <cell r="Z87" t="str">
            <v>CR</v>
          </cell>
        </row>
        <row r="88">
          <cell r="F88" t="str">
            <v>155-1098A</v>
          </cell>
          <cell r="G88" t="str">
            <v>Publix Super Markets Inc.</v>
          </cell>
          <cell r="H88" t="str">
            <v>Publix #1519   49.4</v>
          </cell>
          <cell r="I88" t="str">
            <v>Mooresville NC</v>
          </cell>
          <cell r="J88">
            <v>42387</v>
          </cell>
          <cell r="K88">
            <v>42382</v>
          </cell>
          <cell r="L88">
            <v>13</v>
          </cell>
          <cell r="M88">
            <v>42419</v>
          </cell>
          <cell r="N88" t="str">
            <v>PF</v>
          </cell>
          <cell r="O88" t="str">
            <v>F</v>
          </cell>
          <cell r="P88">
            <v>12382</v>
          </cell>
          <cell r="Q88">
            <v>296</v>
          </cell>
          <cell r="R88">
            <v>12</v>
          </cell>
          <cell r="S88">
            <v>82680.59</v>
          </cell>
          <cell r="T88" t="str">
            <v>GA</v>
          </cell>
          <cell r="U88" t="str">
            <v>4PD</v>
          </cell>
          <cell r="V88">
            <v>82680.591199999995</v>
          </cell>
          <cell r="W88" t="b">
            <v>1</v>
          </cell>
          <cell r="X88" t="str">
            <v>Yes</v>
          </cell>
          <cell r="Y88">
            <v>0</v>
          </cell>
          <cell r="Z88" t="str">
            <v>a</v>
          </cell>
        </row>
        <row r="89">
          <cell r="F89" t="str">
            <v>157-1877</v>
          </cell>
          <cell r="G89" t="str">
            <v>KPS, LLC Nashville #026</v>
          </cell>
          <cell r="H89" t="str">
            <v>Kroger U-605</v>
          </cell>
          <cell r="I89" t="str">
            <v>MADISON AL</v>
          </cell>
          <cell r="J89">
            <v>42394</v>
          </cell>
          <cell r="K89">
            <v>42395</v>
          </cell>
          <cell r="L89">
            <v>8</v>
          </cell>
          <cell r="M89">
            <v>42409</v>
          </cell>
          <cell r="N89" t="str">
            <v>PF</v>
          </cell>
          <cell r="O89" t="str">
            <v>F</v>
          </cell>
          <cell r="P89">
            <v>12783</v>
          </cell>
          <cell r="Q89">
            <v>391</v>
          </cell>
          <cell r="R89">
            <v>14</v>
          </cell>
          <cell r="S89">
            <v>91066.68</v>
          </cell>
          <cell r="T89" t="str">
            <v>GA</v>
          </cell>
          <cell r="U89" t="str">
            <v>4PD</v>
          </cell>
          <cell r="V89">
            <v>91066.677599999995</v>
          </cell>
          <cell r="W89" t="b">
            <v>1</v>
          </cell>
          <cell r="X89" t="str">
            <v>Yes</v>
          </cell>
          <cell r="Y89" t="str">
            <v>FBed</v>
          </cell>
          <cell r="Z89" t="str">
            <v>A</v>
          </cell>
        </row>
        <row r="90">
          <cell r="F90" t="str">
            <v>157-2065</v>
          </cell>
          <cell r="G90" t="str">
            <v>Walmart Canada Corp.</v>
          </cell>
          <cell r="H90" t="str">
            <v>Walmart 3054-FS-IPAC-D22-GC14GF3I-M-PPB</v>
          </cell>
          <cell r="I90" t="str">
            <v>Mississauga (Meadowvale), ON</v>
          </cell>
          <cell r="J90">
            <v>42394</v>
          </cell>
          <cell r="K90">
            <v>42397</v>
          </cell>
          <cell r="L90">
            <v>11</v>
          </cell>
          <cell r="M90">
            <v>42404</v>
          </cell>
          <cell r="N90" t="str">
            <v>PF</v>
          </cell>
          <cell r="O90" t="str">
            <v>F</v>
          </cell>
          <cell r="P90">
            <v>9360</v>
          </cell>
          <cell r="Q90">
            <v>235</v>
          </cell>
          <cell r="R90">
            <v>2</v>
          </cell>
          <cell r="S90">
            <v>77021.89</v>
          </cell>
          <cell r="T90" t="str">
            <v>GA</v>
          </cell>
          <cell r="U90" t="str">
            <v>4PD</v>
          </cell>
          <cell r="V90">
            <v>160358.80319999999</v>
          </cell>
          <cell r="W90" t="b">
            <v>1</v>
          </cell>
          <cell r="X90" t="str">
            <v>Yes</v>
          </cell>
          <cell r="Y90" t="str">
            <v>FBed</v>
          </cell>
          <cell r="Z90" t="str">
            <v>A</v>
          </cell>
        </row>
        <row r="91">
          <cell r="F91" t="str">
            <v>155-0991C</v>
          </cell>
          <cell r="G91" t="str">
            <v>Publix Super Markets Inc.</v>
          </cell>
          <cell r="H91" t="str">
            <v>Publix 1342 - Manatee, FL</v>
          </cell>
          <cell r="I91" t="str">
            <v>Manatee, FL</v>
          </cell>
          <cell r="J91">
            <v>42401</v>
          </cell>
          <cell r="K91">
            <v>42398</v>
          </cell>
          <cell r="L91">
            <v>19</v>
          </cell>
          <cell r="M91">
            <v>42409</v>
          </cell>
          <cell r="N91" t="str">
            <v>PF</v>
          </cell>
          <cell r="O91" t="str">
            <v>F</v>
          </cell>
          <cell r="P91">
            <v>1657</v>
          </cell>
          <cell r="Q91">
            <v>35</v>
          </cell>
          <cell r="R91">
            <v>3</v>
          </cell>
          <cell r="S91">
            <v>14315.38</v>
          </cell>
          <cell r="T91" t="str">
            <v>GA</v>
          </cell>
          <cell r="U91" t="str">
            <v>4PD</v>
          </cell>
          <cell r="V91">
            <v>15301.147999999999</v>
          </cell>
          <cell r="W91" t="b">
            <v>1</v>
          </cell>
          <cell r="X91" t="str">
            <v>Yes</v>
          </cell>
          <cell r="Y91">
            <v>0</v>
          </cell>
          <cell r="Z91" t="str">
            <v>A</v>
          </cell>
        </row>
        <row r="92">
          <cell r="F92" t="e">
            <v>#NUM!</v>
          </cell>
          <cell r="G92" t="e">
            <v>#NUM!</v>
          </cell>
          <cell r="H92" t="e">
            <v>#NUM!</v>
          </cell>
          <cell r="I92" t="e">
            <v>#NUM!</v>
          </cell>
          <cell r="J92" t="e">
            <v>#NUM!</v>
          </cell>
          <cell r="K92" t="e">
            <v>#NUM!</v>
          </cell>
          <cell r="L92" t="e">
            <v>#NUM!</v>
          </cell>
          <cell r="M92" t="e">
            <v>#NUM!</v>
          </cell>
          <cell r="N92" t="e">
            <v>#NUM!</v>
          </cell>
          <cell r="O92" t="e">
            <v>#NUM!</v>
          </cell>
          <cell r="P92" t="e">
            <v>#NUM!</v>
          </cell>
          <cell r="Q92" t="e">
            <v>#NUM!</v>
          </cell>
          <cell r="R92" t="e">
            <v>#NUM!</v>
          </cell>
          <cell r="S92" t="e">
            <v>#NUM!</v>
          </cell>
          <cell r="T92" t="e">
            <v>#NUM!</v>
          </cell>
          <cell r="U92" t="e">
            <v>#NUM!</v>
          </cell>
          <cell r="V92" t="e">
            <v>#NUM!</v>
          </cell>
          <cell r="W92" t="e">
            <v>#NUM!</v>
          </cell>
          <cell r="X92" t="e">
            <v>#NUM!</v>
          </cell>
          <cell r="Y92" t="e">
            <v>#NUM!</v>
          </cell>
          <cell r="Z92" t="e">
            <v>#NUM!</v>
          </cell>
        </row>
        <row r="93">
          <cell r="F93" t="e">
            <v>#NUM!</v>
          </cell>
          <cell r="G93" t="e">
            <v>#NUM!</v>
          </cell>
          <cell r="H93" t="e">
            <v>#NUM!</v>
          </cell>
          <cell r="I93" t="e">
            <v>#NUM!</v>
          </cell>
          <cell r="J93" t="e">
            <v>#NUM!</v>
          </cell>
          <cell r="K93" t="e">
            <v>#NUM!</v>
          </cell>
          <cell r="L93" t="e">
            <v>#NUM!</v>
          </cell>
          <cell r="M93" t="e">
            <v>#NUM!</v>
          </cell>
          <cell r="N93" t="e">
            <v>#NUM!</v>
          </cell>
          <cell r="O93" t="e">
            <v>#NUM!</v>
          </cell>
          <cell r="P93" t="e">
            <v>#NUM!</v>
          </cell>
          <cell r="Q93" t="e">
            <v>#NUM!</v>
          </cell>
          <cell r="R93" t="e">
            <v>#NUM!</v>
          </cell>
          <cell r="S93" t="e">
            <v>#NUM!</v>
          </cell>
          <cell r="T93" t="e">
            <v>#NUM!</v>
          </cell>
          <cell r="U93" t="e">
            <v>#NUM!</v>
          </cell>
          <cell r="V93" t="e">
            <v>#NUM!</v>
          </cell>
          <cell r="W93" t="e">
            <v>#NUM!</v>
          </cell>
          <cell r="X93" t="e">
            <v>#NUM!</v>
          </cell>
          <cell r="Y93" t="e">
            <v>#NUM!</v>
          </cell>
          <cell r="Z93" t="e">
            <v>#NUM!</v>
          </cell>
        </row>
        <row r="94">
          <cell r="F94" t="e">
            <v>#NUM!</v>
          </cell>
          <cell r="G94" t="e">
            <v>#NUM!</v>
          </cell>
          <cell r="H94" t="e">
            <v>#NUM!</v>
          </cell>
          <cell r="I94" t="e">
            <v>#NUM!</v>
          </cell>
          <cell r="J94" t="e">
            <v>#NUM!</v>
          </cell>
          <cell r="K94" t="e">
            <v>#NUM!</v>
          </cell>
          <cell r="L94" t="e">
            <v>#NUM!</v>
          </cell>
          <cell r="M94" t="e">
            <v>#NUM!</v>
          </cell>
          <cell r="N94" t="e">
            <v>#NUM!</v>
          </cell>
          <cell r="O94" t="e">
            <v>#NUM!</v>
          </cell>
          <cell r="P94" t="e">
            <v>#NUM!</v>
          </cell>
          <cell r="Q94" t="e">
            <v>#NUM!</v>
          </cell>
          <cell r="R94" t="e">
            <v>#NUM!</v>
          </cell>
          <cell r="S94" t="e">
            <v>#NUM!</v>
          </cell>
          <cell r="T94" t="e">
            <v>#NUM!</v>
          </cell>
          <cell r="U94" t="e">
            <v>#NUM!</v>
          </cell>
          <cell r="V94" t="e">
            <v>#NUM!</v>
          </cell>
          <cell r="W94" t="e">
            <v>#NUM!</v>
          </cell>
          <cell r="X94" t="e">
            <v>#NUM!</v>
          </cell>
          <cell r="Y94" t="e">
            <v>#NUM!</v>
          </cell>
          <cell r="Z94" t="e">
            <v>#NUM!</v>
          </cell>
        </row>
        <row r="95">
          <cell r="F95" t="e">
            <v>#NUM!</v>
          </cell>
          <cell r="G95" t="e">
            <v>#NUM!</v>
          </cell>
          <cell r="H95" t="e">
            <v>#NUM!</v>
          </cell>
          <cell r="I95" t="e">
            <v>#NUM!</v>
          </cell>
          <cell r="J95" t="e">
            <v>#NUM!</v>
          </cell>
          <cell r="K95" t="e">
            <v>#NUM!</v>
          </cell>
          <cell r="L95" t="e">
            <v>#NUM!</v>
          </cell>
          <cell r="M95" t="e">
            <v>#NUM!</v>
          </cell>
          <cell r="N95" t="e">
            <v>#NUM!</v>
          </cell>
          <cell r="O95" t="e">
            <v>#NUM!</v>
          </cell>
          <cell r="P95" t="e">
            <v>#NUM!</v>
          </cell>
          <cell r="Q95" t="e">
            <v>#NUM!</v>
          </cell>
          <cell r="R95" t="e">
            <v>#NUM!</v>
          </cell>
          <cell r="S95" t="e">
            <v>#NUM!</v>
          </cell>
          <cell r="T95" t="e">
            <v>#NUM!</v>
          </cell>
          <cell r="U95" t="e">
            <v>#NUM!</v>
          </cell>
          <cell r="V95" t="e">
            <v>#NUM!</v>
          </cell>
          <cell r="W95" t="e">
            <v>#NUM!</v>
          </cell>
          <cell r="X95" t="e">
            <v>#NUM!</v>
          </cell>
          <cell r="Y95" t="e">
            <v>#NUM!</v>
          </cell>
          <cell r="Z95" t="e">
            <v>#NUM!</v>
          </cell>
        </row>
        <row r="96">
          <cell r="F96" t="e">
            <v>#NUM!</v>
          </cell>
          <cell r="G96" t="e">
            <v>#NUM!</v>
          </cell>
          <cell r="H96" t="e">
            <v>#NUM!</v>
          </cell>
          <cell r="I96" t="e">
            <v>#NUM!</v>
          </cell>
          <cell r="J96" t="e">
            <v>#NUM!</v>
          </cell>
          <cell r="K96" t="e">
            <v>#NUM!</v>
          </cell>
          <cell r="L96" t="e">
            <v>#NUM!</v>
          </cell>
          <cell r="M96" t="e">
            <v>#NUM!</v>
          </cell>
          <cell r="N96" t="e">
            <v>#NUM!</v>
          </cell>
          <cell r="O96" t="e">
            <v>#NUM!</v>
          </cell>
          <cell r="P96" t="e">
            <v>#NUM!</v>
          </cell>
          <cell r="Q96" t="e">
            <v>#NUM!</v>
          </cell>
          <cell r="R96" t="e">
            <v>#NUM!</v>
          </cell>
          <cell r="S96" t="e">
            <v>#NUM!</v>
          </cell>
          <cell r="T96" t="e">
            <v>#NUM!</v>
          </cell>
          <cell r="U96" t="e">
            <v>#NUM!</v>
          </cell>
          <cell r="V96" t="e">
            <v>#NUM!</v>
          </cell>
          <cell r="W96" t="e">
            <v>#NUM!</v>
          </cell>
          <cell r="X96" t="e">
            <v>#NUM!</v>
          </cell>
          <cell r="Y96" t="e">
            <v>#NUM!</v>
          </cell>
          <cell r="Z96" t="e">
            <v>#NUM!</v>
          </cell>
        </row>
        <row r="97">
          <cell r="F97" t="e">
            <v>#NUM!</v>
          </cell>
          <cell r="G97" t="e">
            <v>#NUM!</v>
          </cell>
          <cell r="H97" t="e">
            <v>#NUM!</v>
          </cell>
          <cell r="I97" t="e">
            <v>#NUM!</v>
          </cell>
          <cell r="J97" t="e">
            <v>#NUM!</v>
          </cell>
          <cell r="K97" t="e">
            <v>#NUM!</v>
          </cell>
          <cell r="L97" t="e">
            <v>#NUM!</v>
          </cell>
          <cell r="M97" t="e">
            <v>#NUM!</v>
          </cell>
          <cell r="N97" t="e">
            <v>#NUM!</v>
          </cell>
          <cell r="O97" t="e">
            <v>#NUM!</v>
          </cell>
          <cell r="P97" t="e">
            <v>#NUM!</v>
          </cell>
          <cell r="Q97" t="e">
            <v>#NUM!</v>
          </cell>
          <cell r="R97" t="e">
            <v>#NUM!</v>
          </cell>
          <cell r="S97" t="e">
            <v>#NUM!</v>
          </cell>
          <cell r="T97" t="e">
            <v>#NUM!</v>
          </cell>
          <cell r="U97" t="e">
            <v>#NUM!</v>
          </cell>
          <cell r="V97" t="e">
            <v>#NUM!</v>
          </cell>
          <cell r="W97" t="e">
            <v>#NUM!</v>
          </cell>
          <cell r="X97" t="e">
            <v>#NUM!</v>
          </cell>
          <cell r="Y97" t="e">
            <v>#NUM!</v>
          </cell>
          <cell r="Z97" t="e">
            <v>#NUM!</v>
          </cell>
        </row>
        <row r="98">
          <cell r="F98" t="e">
            <v>#NUM!</v>
          </cell>
          <cell r="G98" t="e">
            <v>#NUM!</v>
          </cell>
          <cell r="H98" t="e">
            <v>#NUM!</v>
          </cell>
          <cell r="I98" t="e">
            <v>#NUM!</v>
          </cell>
          <cell r="J98" t="e">
            <v>#NUM!</v>
          </cell>
          <cell r="K98" t="e">
            <v>#NUM!</v>
          </cell>
          <cell r="L98" t="e">
            <v>#NUM!</v>
          </cell>
          <cell r="M98" t="e">
            <v>#NUM!</v>
          </cell>
          <cell r="N98" t="e">
            <v>#NUM!</v>
          </cell>
          <cell r="O98" t="e">
            <v>#NUM!</v>
          </cell>
          <cell r="P98" t="e">
            <v>#NUM!</v>
          </cell>
          <cell r="Q98" t="e">
            <v>#NUM!</v>
          </cell>
          <cell r="R98" t="e">
            <v>#NUM!</v>
          </cell>
          <cell r="S98" t="e">
            <v>#NUM!</v>
          </cell>
          <cell r="T98" t="e">
            <v>#NUM!</v>
          </cell>
          <cell r="U98" t="e">
            <v>#NUM!</v>
          </cell>
          <cell r="V98" t="e">
            <v>#NUM!</v>
          </cell>
          <cell r="W98" t="e">
            <v>#NUM!</v>
          </cell>
          <cell r="X98" t="e">
            <v>#NUM!</v>
          </cell>
          <cell r="Y98" t="e">
            <v>#NUM!</v>
          </cell>
          <cell r="Z98" t="e">
            <v>#NUM!</v>
          </cell>
        </row>
        <row r="99">
          <cell r="F99" t="e">
            <v>#NUM!</v>
          </cell>
          <cell r="G99" t="e">
            <v>#NUM!</v>
          </cell>
          <cell r="H99" t="e">
            <v>#NUM!</v>
          </cell>
          <cell r="I99" t="e">
            <v>#NUM!</v>
          </cell>
          <cell r="J99" t="e">
            <v>#NUM!</v>
          </cell>
          <cell r="K99" t="e">
            <v>#NUM!</v>
          </cell>
          <cell r="L99" t="e">
            <v>#NUM!</v>
          </cell>
          <cell r="M99" t="e">
            <v>#NUM!</v>
          </cell>
          <cell r="N99" t="e">
            <v>#NUM!</v>
          </cell>
          <cell r="O99" t="e">
            <v>#NUM!</v>
          </cell>
          <cell r="P99" t="e">
            <v>#NUM!</v>
          </cell>
          <cell r="Q99" t="e">
            <v>#NUM!</v>
          </cell>
          <cell r="R99" t="e">
            <v>#NUM!</v>
          </cell>
          <cell r="S99" t="e">
            <v>#NUM!</v>
          </cell>
          <cell r="T99" t="e">
            <v>#NUM!</v>
          </cell>
          <cell r="U99" t="e">
            <v>#NUM!</v>
          </cell>
          <cell r="V99" t="e">
            <v>#NUM!</v>
          </cell>
          <cell r="W99" t="e">
            <v>#NUM!</v>
          </cell>
          <cell r="X99" t="e">
            <v>#NUM!</v>
          </cell>
          <cell r="Y99" t="e">
            <v>#NUM!</v>
          </cell>
          <cell r="Z99" t="e">
            <v>#NUM!</v>
          </cell>
        </row>
        <row r="100">
          <cell r="F100" t="e">
            <v>#NUM!</v>
          </cell>
          <cell r="G100" t="e">
            <v>#NUM!</v>
          </cell>
          <cell r="H100" t="e">
            <v>#NUM!</v>
          </cell>
          <cell r="I100" t="e">
            <v>#NUM!</v>
          </cell>
          <cell r="J100" t="e">
            <v>#NUM!</v>
          </cell>
          <cell r="K100" t="e">
            <v>#NUM!</v>
          </cell>
          <cell r="L100" t="e">
            <v>#NUM!</v>
          </cell>
          <cell r="M100" t="e">
            <v>#NUM!</v>
          </cell>
          <cell r="N100" t="e">
            <v>#NUM!</v>
          </cell>
          <cell r="O100" t="e">
            <v>#NUM!</v>
          </cell>
          <cell r="P100" t="e">
            <v>#NUM!</v>
          </cell>
          <cell r="Q100" t="e">
            <v>#NUM!</v>
          </cell>
          <cell r="R100" t="e">
            <v>#NUM!</v>
          </cell>
          <cell r="S100" t="e">
            <v>#NUM!</v>
          </cell>
          <cell r="T100" t="e">
            <v>#NUM!</v>
          </cell>
          <cell r="U100" t="e">
            <v>#NUM!</v>
          </cell>
          <cell r="V100" t="e">
            <v>#NUM!</v>
          </cell>
          <cell r="W100" t="e">
            <v>#NUM!</v>
          </cell>
          <cell r="X100" t="e">
            <v>#NUM!</v>
          </cell>
          <cell r="Y100" t="e">
            <v>#NUM!</v>
          </cell>
          <cell r="Z100" t="e">
            <v>#NUM!</v>
          </cell>
        </row>
        <row r="101">
          <cell r="F101" t="e">
            <v>#NUM!</v>
          </cell>
          <cell r="G101" t="e">
            <v>#NUM!</v>
          </cell>
          <cell r="H101" t="e">
            <v>#NUM!</v>
          </cell>
          <cell r="I101" t="e">
            <v>#NUM!</v>
          </cell>
          <cell r="J101" t="e">
            <v>#NUM!</v>
          </cell>
          <cell r="K101" t="e">
            <v>#NUM!</v>
          </cell>
          <cell r="L101" t="e">
            <v>#NUM!</v>
          </cell>
          <cell r="M101" t="e">
            <v>#NUM!</v>
          </cell>
          <cell r="N101" t="e">
            <v>#NUM!</v>
          </cell>
          <cell r="O101" t="e">
            <v>#NUM!</v>
          </cell>
          <cell r="P101" t="e">
            <v>#NUM!</v>
          </cell>
          <cell r="Q101" t="e">
            <v>#NUM!</v>
          </cell>
          <cell r="R101" t="e">
            <v>#NUM!</v>
          </cell>
          <cell r="S101" t="e">
            <v>#NUM!</v>
          </cell>
          <cell r="T101" t="e">
            <v>#NUM!</v>
          </cell>
          <cell r="U101" t="e">
            <v>#NUM!</v>
          </cell>
          <cell r="V101" t="e">
            <v>#NUM!</v>
          </cell>
          <cell r="W101" t="e">
            <v>#NUM!</v>
          </cell>
          <cell r="X101" t="e">
            <v>#NUM!</v>
          </cell>
          <cell r="Y101" t="e">
            <v>#NUM!</v>
          </cell>
          <cell r="Z101" t="e">
            <v>#NUM!</v>
          </cell>
        </row>
        <row r="102">
          <cell r="F102" t="e">
            <v>#NUM!</v>
          </cell>
          <cell r="G102" t="e">
            <v>#NUM!</v>
          </cell>
          <cell r="H102" t="e">
            <v>#NUM!</v>
          </cell>
          <cell r="I102" t="e">
            <v>#NUM!</v>
          </cell>
          <cell r="J102" t="e">
            <v>#NUM!</v>
          </cell>
          <cell r="K102" t="e">
            <v>#NUM!</v>
          </cell>
          <cell r="L102" t="e">
            <v>#NUM!</v>
          </cell>
          <cell r="M102" t="e">
            <v>#NUM!</v>
          </cell>
          <cell r="N102" t="e">
            <v>#NUM!</v>
          </cell>
          <cell r="O102" t="e">
            <v>#NUM!</v>
          </cell>
          <cell r="P102" t="e">
            <v>#NUM!</v>
          </cell>
          <cell r="Q102" t="e">
            <v>#NUM!</v>
          </cell>
          <cell r="R102" t="e">
            <v>#NUM!</v>
          </cell>
          <cell r="S102" t="e">
            <v>#NUM!</v>
          </cell>
          <cell r="T102" t="e">
            <v>#NUM!</v>
          </cell>
          <cell r="U102" t="e">
            <v>#NUM!</v>
          </cell>
          <cell r="V102" t="e">
            <v>#NUM!</v>
          </cell>
          <cell r="W102" t="e">
            <v>#NUM!</v>
          </cell>
          <cell r="X102" t="e">
            <v>#NUM!</v>
          </cell>
          <cell r="Y102" t="e">
            <v>#NUM!</v>
          </cell>
          <cell r="Z102" t="e">
            <v>#NUM!</v>
          </cell>
        </row>
        <row r="103">
          <cell r="F103" t="e">
            <v>#NUM!</v>
          </cell>
          <cell r="G103" t="e">
            <v>#NUM!</v>
          </cell>
          <cell r="H103" t="e">
            <v>#NUM!</v>
          </cell>
          <cell r="I103" t="e">
            <v>#NUM!</v>
          </cell>
          <cell r="J103" t="e">
            <v>#NUM!</v>
          </cell>
          <cell r="K103" t="e">
            <v>#NUM!</v>
          </cell>
          <cell r="L103" t="e">
            <v>#NUM!</v>
          </cell>
          <cell r="M103" t="e">
            <v>#NUM!</v>
          </cell>
          <cell r="N103" t="e">
            <v>#NUM!</v>
          </cell>
          <cell r="O103" t="e">
            <v>#NUM!</v>
          </cell>
          <cell r="P103" t="e">
            <v>#NUM!</v>
          </cell>
          <cell r="Q103" t="e">
            <v>#NUM!</v>
          </cell>
          <cell r="R103" t="e">
            <v>#NUM!</v>
          </cell>
          <cell r="S103" t="e">
            <v>#NUM!</v>
          </cell>
          <cell r="T103" t="e">
            <v>#NUM!</v>
          </cell>
          <cell r="U103" t="e">
            <v>#NUM!</v>
          </cell>
          <cell r="V103" t="e">
            <v>#NUM!</v>
          </cell>
          <cell r="W103" t="e">
            <v>#NUM!</v>
          </cell>
          <cell r="X103" t="e">
            <v>#NUM!</v>
          </cell>
          <cell r="Y103" t="e">
            <v>#NUM!</v>
          </cell>
          <cell r="Z103" t="e">
            <v>#NUM!</v>
          </cell>
        </row>
        <row r="104">
          <cell r="F104" t="e">
            <v>#NUM!</v>
          </cell>
          <cell r="G104" t="e">
            <v>#NUM!</v>
          </cell>
          <cell r="H104" t="e">
            <v>#NUM!</v>
          </cell>
          <cell r="I104" t="e">
            <v>#NUM!</v>
          </cell>
          <cell r="J104" t="e">
            <v>#NUM!</v>
          </cell>
          <cell r="K104" t="e">
            <v>#NUM!</v>
          </cell>
          <cell r="L104" t="e">
            <v>#NUM!</v>
          </cell>
          <cell r="M104" t="e">
            <v>#NUM!</v>
          </cell>
          <cell r="N104" t="e">
            <v>#NUM!</v>
          </cell>
          <cell r="O104" t="e">
            <v>#NUM!</v>
          </cell>
          <cell r="P104" t="e">
            <v>#NUM!</v>
          </cell>
          <cell r="Q104" t="e">
            <v>#NUM!</v>
          </cell>
          <cell r="R104" t="e">
            <v>#NUM!</v>
          </cell>
          <cell r="S104" t="e">
            <v>#NUM!</v>
          </cell>
          <cell r="T104" t="e">
            <v>#NUM!</v>
          </cell>
          <cell r="U104" t="e">
            <v>#NUM!</v>
          </cell>
          <cell r="V104" t="e">
            <v>#NUM!</v>
          </cell>
          <cell r="W104" t="e">
            <v>#NUM!</v>
          </cell>
          <cell r="X104" t="e">
            <v>#NUM!</v>
          </cell>
          <cell r="Y104" t="e">
            <v>#NUM!</v>
          </cell>
          <cell r="Z104" t="e">
            <v>#NUM!</v>
          </cell>
        </row>
        <row r="105">
          <cell r="F105" t="e">
            <v>#NUM!</v>
          </cell>
          <cell r="G105" t="e">
            <v>#NUM!</v>
          </cell>
          <cell r="H105" t="e">
            <v>#NUM!</v>
          </cell>
          <cell r="I105" t="e">
            <v>#NUM!</v>
          </cell>
          <cell r="J105" t="e">
            <v>#NUM!</v>
          </cell>
          <cell r="K105" t="e">
            <v>#NUM!</v>
          </cell>
          <cell r="L105" t="e">
            <v>#NUM!</v>
          </cell>
          <cell r="M105" t="e">
            <v>#NUM!</v>
          </cell>
          <cell r="N105" t="e">
            <v>#NUM!</v>
          </cell>
          <cell r="O105" t="e">
            <v>#NUM!</v>
          </cell>
          <cell r="P105" t="e">
            <v>#NUM!</v>
          </cell>
          <cell r="Q105" t="e">
            <v>#NUM!</v>
          </cell>
          <cell r="R105" t="e">
            <v>#NUM!</v>
          </cell>
          <cell r="S105" t="e">
            <v>#NUM!</v>
          </cell>
          <cell r="T105" t="e">
            <v>#NUM!</v>
          </cell>
          <cell r="U105" t="e">
            <v>#NUM!</v>
          </cell>
          <cell r="V105" t="e">
            <v>#NUM!</v>
          </cell>
          <cell r="W105" t="e">
            <v>#NUM!</v>
          </cell>
          <cell r="X105" t="e">
            <v>#NUM!</v>
          </cell>
          <cell r="Y105" t="e">
            <v>#NUM!</v>
          </cell>
          <cell r="Z105" t="e">
            <v>#NUM!</v>
          </cell>
        </row>
        <row r="106">
          <cell r="F106" t="e">
            <v>#NUM!</v>
          </cell>
          <cell r="G106" t="e">
            <v>#NUM!</v>
          </cell>
          <cell r="H106" t="e">
            <v>#NUM!</v>
          </cell>
          <cell r="I106" t="e">
            <v>#NUM!</v>
          </cell>
          <cell r="J106" t="e">
            <v>#NUM!</v>
          </cell>
          <cell r="K106" t="e">
            <v>#NUM!</v>
          </cell>
          <cell r="L106" t="e">
            <v>#NUM!</v>
          </cell>
          <cell r="M106" t="e">
            <v>#NUM!</v>
          </cell>
          <cell r="N106" t="e">
            <v>#NUM!</v>
          </cell>
          <cell r="O106" t="e">
            <v>#NUM!</v>
          </cell>
          <cell r="P106" t="e">
            <v>#NUM!</v>
          </cell>
          <cell r="Q106" t="e">
            <v>#NUM!</v>
          </cell>
          <cell r="R106" t="e">
            <v>#NUM!</v>
          </cell>
          <cell r="S106" t="e">
            <v>#NUM!</v>
          </cell>
          <cell r="T106" t="e">
            <v>#NUM!</v>
          </cell>
          <cell r="U106" t="e">
            <v>#NUM!</v>
          </cell>
          <cell r="V106" t="e">
            <v>#NUM!</v>
          </cell>
          <cell r="W106" t="e">
            <v>#NUM!</v>
          </cell>
          <cell r="X106" t="e">
            <v>#NUM!</v>
          </cell>
          <cell r="Y106" t="e">
            <v>#NUM!</v>
          </cell>
          <cell r="Z106" t="e">
            <v>#NUM!</v>
          </cell>
        </row>
        <row r="107">
          <cell r="F107" t="e">
            <v>#NUM!</v>
          </cell>
          <cell r="G107" t="e">
            <v>#NUM!</v>
          </cell>
          <cell r="H107" t="e">
            <v>#NUM!</v>
          </cell>
          <cell r="I107" t="e">
            <v>#NUM!</v>
          </cell>
          <cell r="J107" t="e">
            <v>#NUM!</v>
          </cell>
          <cell r="K107" t="e">
            <v>#NUM!</v>
          </cell>
          <cell r="L107" t="e">
            <v>#NUM!</v>
          </cell>
          <cell r="M107" t="e">
            <v>#NUM!</v>
          </cell>
          <cell r="N107" t="e">
            <v>#NUM!</v>
          </cell>
          <cell r="O107" t="e">
            <v>#NUM!</v>
          </cell>
          <cell r="P107" t="e">
            <v>#NUM!</v>
          </cell>
          <cell r="Q107" t="e">
            <v>#NUM!</v>
          </cell>
          <cell r="R107" t="e">
            <v>#NUM!</v>
          </cell>
          <cell r="S107" t="e">
            <v>#NUM!</v>
          </cell>
          <cell r="T107" t="e">
            <v>#NUM!</v>
          </cell>
          <cell r="U107" t="e">
            <v>#NUM!</v>
          </cell>
          <cell r="V107" t="e">
            <v>#NUM!</v>
          </cell>
          <cell r="W107" t="e">
            <v>#NUM!</v>
          </cell>
          <cell r="X107" t="e">
            <v>#NUM!</v>
          </cell>
          <cell r="Y107" t="e">
            <v>#NUM!</v>
          </cell>
          <cell r="Z107" t="e">
            <v>#NUM!</v>
          </cell>
        </row>
        <row r="108">
          <cell r="F108" t="e">
            <v>#NUM!</v>
          </cell>
          <cell r="G108" t="e">
            <v>#NUM!</v>
          </cell>
          <cell r="H108" t="e">
            <v>#NUM!</v>
          </cell>
          <cell r="I108" t="e">
            <v>#NUM!</v>
          </cell>
          <cell r="J108" t="e">
            <v>#NUM!</v>
          </cell>
          <cell r="K108" t="e">
            <v>#NUM!</v>
          </cell>
          <cell r="L108" t="e">
            <v>#NUM!</v>
          </cell>
          <cell r="M108" t="e">
            <v>#NUM!</v>
          </cell>
          <cell r="N108" t="e">
            <v>#NUM!</v>
          </cell>
          <cell r="O108" t="e">
            <v>#NUM!</v>
          </cell>
          <cell r="P108" t="e">
            <v>#NUM!</v>
          </cell>
          <cell r="Q108" t="e">
            <v>#NUM!</v>
          </cell>
          <cell r="R108" t="e">
            <v>#NUM!</v>
          </cell>
          <cell r="S108" t="e">
            <v>#NUM!</v>
          </cell>
          <cell r="T108" t="e">
            <v>#NUM!</v>
          </cell>
          <cell r="U108" t="e">
            <v>#NUM!</v>
          </cell>
          <cell r="V108" t="e">
            <v>#NUM!</v>
          </cell>
          <cell r="W108" t="e">
            <v>#NUM!</v>
          </cell>
          <cell r="X108" t="e">
            <v>#NUM!</v>
          </cell>
          <cell r="Y108" t="e">
            <v>#NUM!</v>
          </cell>
          <cell r="Z108" t="e">
            <v>#NUM!</v>
          </cell>
        </row>
        <row r="109">
          <cell r="F109" t="e">
            <v>#NUM!</v>
          </cell>
          <cell r="G109" t="e">
            <v>#NUM!</v>
          </cell>
          <cell r="H109" t="e">
            <v>#NUM!</v>
          </cell>
          <cell r="I109" t="e">
            <v>#NUM!</v>
          </cell>
          <cell r="J109" t="e">
            <v>#NUM!</v>
          </cell>
          <cell r="K109" t="e">
            <v>#NUM!</v>
          </cell>
          <cell r="L109" t="e">
            <v>#NUM!</v>
          </cell>
          <cell r="M109" t="e">
            <v>#NUM!</v>
          </cell>
          <cell r="N109" t="e">
            <v>#NUM!</v>
          </cell>
          <cell r="O109" t="e">
            <v>#NUM!</v>
          </cell>
          <cell r="P109" t="e">
            <v>#NUM!</v>
          </cell>
          <cell r="Q109" t="e">
            <v>#NUM!</v>
          </cell>
          <cell r="R109" t="e">
            <v>#NUM!</v>
          </cell>
          <cell r="S109" t="e">
            <v>#NUM!</v>
          </cell>
          <cell r="T109" t="e">
            <v>#NUM!</v>
          </cell>
          <cell r="U109" t="e">
            <v>#NUM!</v>
          </cell>
          <cell r="V109" t="e">
            <v>#NUM!</v>
          </cell>
          <cell r="W109" t="e">
            <v>#NUM!</v>
          </cell>
          <cell r="X109" t="e">
            <v>#NUM!</v>
          </cell>
          <cell r="Y109" t="e">
            <v>#NUM!</v>
          </cell>
          <cell r="Z109" t="e">
            <v>#NUM!</v>
          </cell>
        </row>
        <row r="110">
          <cell r="F110" t="e">
            <v>#NUM!</v>
          </cell>
          <cell r="G110" t="e">
            <v>#NUM!</v>
          </cell>
          <cell r="H110" t="e">
            <v>#NUM!</v>
          </cell>
          <cell r="I110" t="e">
            <v>#NUM!</v>
          </cell>
          <cell r="J110" t="e">
            <v>#NUM!</v>
          </cell>
          <cell r="K110" t="e">
            <v>#NUM!</v>
          </cell>
          <cell r="L110" t="e">
            <v>#NUM!</v>
          </cell>
          <cell r="M110" t="e">
            <v>#NUM!</v>
          </cell>
          <cell r="N110" t="e">
            <v>#NUM!</v>
          </cell>
          <cell r="O110" t="e">
            <v>#NUM!</v>
          </cell>
          <cell r="P110" t="e">
            <v>#NUM!</v>
          </cell>
          <cell r="Q110" t="e">
            <v>#NUM!</v>
          </cell>
          <cell r="R110" t="e">
            <v>#NUM!</v>
          </cell>
          <cell r="S110" t="e">
            <v>#NUM!</v>
          </cell>
          <cell r="T110" t="e">
            <v>#NUM!</v>
          </cell>
          <cell r="U110" t="e">
            <v>#NUM!</v>
          </cell>
          <cell r="V110" t="e">
            <v>#NUM!</v>
          </cell>
          <cell r="W110" t="e">
            <v>#NUM!</v>
          </cell>
          <cell r="X110" t="e">
            <v>#NUM!</v>
          </cell>
          <cell r="Y110" t="e">
            <v>#NUM!</v>
          </cell>
          <cell r="Z110" t="e">
            <v>#NUM!</v>
          </cell>
        </row>
        <row r="111">
          <cell r="F111" t="e">
            <v>#NUM!</v>
          </cell>
          <cell r="G111" t="e">
            <v>#NUM!</v>
          </cell>
          <cell r="H111" t="e">
            <v>#NUM!</v>
          </cell>
          <cell r="I111" t="e">
            <v>#NUM!</v>
          </cell>
          <cell r="J111" t="e">
            <v>#NUM!</v>
          </cell>
          <cell r="K111" t="e">
            <v>#NUM!</v>
          </cell>
          <cell r="L111" t="e">
            <v>#NUM!</v>
          </cell>
          <cell r="M111" t="e">
            <v>#NUM!</v>
          </cell>
          <cell r="N111" t="e">
            <v>#NUM!</v>
          </cell>
          <cell r="O111" t="e">
            <v>#NUM!</v>
          </cell>
          <cell r="P111" t="e">
            <v>#NUM!</v>
          </cell>
          <cell r="Q111" t="e">
            <v>#NUM!</v>
          </cell>
          <cell r="R111" t="e">
            <v>#NUM!</v>
          </cell>
          <cell r="S111" t="e">
            <v>#NUM!</v>
          </cell>
          <cell r="T111" t="e">
            <v>#NUM!</v>
          </cell>
          <cell r="U111" t="e">
            <v>#NUM!</v>
          </cell>
          <cell r="V111" t="e">
            <v>#NUM!</v>
          </cell>
          <cell r="W111" t="e">
            <v>#NUM!</v>
          </cell>
          <cell r="X111" t="e">
            <v>#NUM!</v>
          </cell>
          <cell r="Y111" t="e">
            <v>#NUM!</v>
          </cell>
          <cell r="Z111" t="e">
            <v>#NUM!</v>
          </cell>
        </row>
        <row r="112">
          <cell r="F112" t="e">
            <v>#NUM!</v>
          </cell>
          <cell r="G112" t="e">
            <v>#NUM!</v>
          </cell>
          <cell r="H112" t="e">
            <v>#NUM!</v>
          </cell>
          <cell r="I112" t="e">
            <v>#NUM!</v>
          </cell>
          <cell r="J112" t="e">
            <v>#NUM!</v>
          </cell>
          <cell r="K112" t="e">
            <v>#NUM!</v>
          </cell>
          <cell r="L112" t="e">
            <v>#NUM!</v>
          </cell>
          <cell r="M112" t="e">
            <v>#NUM!</v>
          </cell>
          <cell r="N112" t="e">
            <v>#NUM!</v>
          </cell>
          <cell r="O112" t="e">
            <v>#NUM!</v>
          </cell>
          <cell r="P112" t="e">
            <v>#NUM!</v>
          </cell>
          <cell r="Q112" t="e">
            <v>#NUM!</v>
          </cell>
          <cell r="R112" t="e">
            <v>#NUM!</v>
          </cell>
          <cell r="S112" t="e">
            <v>#NUM!</v>
          </cell>
          <cell r="T112" t="e">
            <v>#NUM!</v>
          </cell>
          <cell r="U112" t="e">
            <v>#NUM!</v>
          </cell>
          <cell r="V112" t="e">
            <v>#NUM!</v>
          </cell>
          <cell r="W112" t="e">
            <v>#NUM!</v>
          </cell>
          <cell r="X112" t="e">
            <v>#NUM!</v>
          </cell>
          <cell r="Y112" t="e">
            <v>#NUM!</v>
          </cell>
          <cell r="Z112" t="e">
            <v>#NUM!</v>
          </cell>
        </row>
        <row r="113">
          <cell r="F113" t="e">
            <v>#NUM!</v>
          </cell>
          <cell r="G113" t="e">
            <v>#NUM!</v>
          </cell>
          <cell r="H113" t="e">
            <v>#NUM!</v>
          </cell>
          <cell r="I113" t="e">
            <v>#NUM!</v>
          </cell>
          <cell r="J113" t="e">
            <v>#NUM!</v>
          </cell>
          <cell r="K113" t="e">
            <v>#NUM!</v>
          </cell>
          <cell r="L113" t="e">
            <v>#NUM!</v>
          </cell>
          <cell r="M113" t="e">
            <v>#NUM!</v>
          </cell>
          <cell r="N113" t="e">
            <v>#NUM!</v>
          </cell>
          <cell r="O113" t="e">
            <v>#NUM!</v>
          </cell>
          <cell r="P113" t="e">
            <v>#NUM!</v>
          </cell>
          <cell r="Q113" t="e">
            <v>#NUM!</v>
          </cell>
          <cell r="R113" t="e">
            <v>#NUM!</v>
          </cell>
          <cell r="S113" t="e">
            <v>#NUM!</v>
          </cell>
          <cell r="T113" t="e">
            <v>#NUM!</v>
          </cell>
          <cell r="U113" t="e">
            <v>#NUM!</v>
          </cell>
          <cell r="V113" t="e">
            <v>#NUM!</v>
          </cell>
          <cell r="W113" t="e">
            <v>#NUM!</v>
          </cell>
          <cell r="X113" t="e">
            <v>#NUM!</v>
          </cell>
          <cell r="Y113" t="e">
            <v>#NUM!</v>
          </cell>
          <cell r="Z113" t="e">
            <v>#NUM!</v>
          </cell>
        </row>
        <row r="114">
          <cell r="F114" t="e">
            <v>#NUM!</v>
          </cell>
          <cell r="G114" t="e">
            <v>#NUM!</v>
          </cell>
          <cell r="H114" t="e">
            <v>#NUM!</v>
          </cell>
          <cell r="I114" t="e">
            <v>#NUM!</v>
          </cell>
          <cell r="J114" t="e">
            <v>#NUM!</v>
          </cell>
          <cell r="K114" t="e">
            <v>#NUM!</v>
          </cell>
          <cell r="L114" t="e">
            <v>#NUM!</v>
          </cell>
          <cell r="M114" t="e">
            <v>#NUM!</v>
          </cell>
          <cell r="N114" t="e">
            <v>#NUM!</v>
          </cell>
          <cell r="O114" t="e">
            <v>#NUM!</v>
          </cell>
          <cell r="P114" t="e">
            <v>#NUM!</v>
          </cell>
          <cell r="Q114" t="e">
            <v>#NUM!</v>
          </cell>
          <cell r="R114" t="e">
            <v>#NUM!</v>
          </cell>
          <cell r="S114" t="e">
            <v>#NUM!</v>
          </cell>
          <cell r="T114" t="e">
            <v>#NUM!</v>
          </cell>
          <cell r="U114" t="e">
            <v>#NUM!</v>
          </cell>
          <cell r="V114" t="e">
            <v>#NUM!</v>
          </cell>
          <cell r="W114" t="e">
            <v>#NUM!</v>
          </cell>
          <cell r="X114" t="e">
            <v>#NUM!</v>
          </cell>
          <cell r="Y114" t="e">
            <v>#NUM!</v>
          </cell>
          <cell r="Z114" t="e">
            <v>#NUM!</v>
          </cell>
        </row>
        <row r="115">
          <cell r="F115" t="e">
            <v>#NUM!</v>
          </cell>
          <cell r="G115" t="e">
            <v>#NUM!</v>
          </cell>
          <cell r="H115" t="e">
            <v>#NUM!</v>
          </cell>
          <cell r="I115" t="e">
            <v>#NUM!</v>
          </cell>
          <cell r="J115" t="e">
            <v>#NUM!</v>
          </cell>
          <cell r="K115" t="e">
            <v>#NUM!</v>
          </cell>
          <cell r="L115" t="e">
            <v>#NUM!</v>
          </cell>
          <cell r="M115" t="e">
            <v>#NUM!</v>
          </cell>
          <cell r="N115" t="e">
            <v>#NUM!</v>
          </cell>
          <cell r="O115" t="e">
            <v>#NUM!</v>
          </cell>
          <cell r="P115" t="e">
            <v>#NUM!</v>
          </cell>
          <cell r="Q115" t="e">
            <v>#NUM!</v>
          </cell>
          <cell r="R115" t="e">
            <v>#NUM!</v>
          </cell>
          <cell r="S115" t="e">
            <v>#NUM!</v>
          </cell>
          <cell r="T115" t="e">
            <v>#NUM!</v>
          </cell>
          <cell r="U115" t="e">
            <v>#NUM!</v>
          </cell>
          <cell r="V115" t="e">
            <v>#NUM!</v>
          </cell>
          <cell r="W115" t="e">
            <v>#NUM!</v>
          </cell>
          <cell r="X115" t="e">
            <v>#NUM!</v>
          </cell>
          <cell r="Y115" t="e">
            <v>#NUM!</v>
          </cell>
          <cell r="Z115" t="e">
            <v>#NUM!</v>
          </cell>
        </row>
        <row r="116">
          <cell r="F116" t="e">
            <v>#NUM!</v>
          </cell>
          <cell r="G116" t="e">
            <v>#NUM!</v>
          </cell>
          <cell r="H116" t="e">
            <v>#NUM!</v>
          </cell>
          <cell r="I116" t="e">
            <v>#NUM!</v>
          </cell>
          <cell r="J116" t="e">
            <v>#NUM!</v>
          </cell>
          <cell r="K116" t="e">
            <v>#NUM!</v>
          </cell>
          <cell r="L116" t="e">
            <v>#NUM!</v>
          </cell>
          <cell r="M116" t="e">
            <v>#NUM!</v>
          </cell>
          <cell r="N116" t="e">
            <v>#NUM!</v>
          </cell>
          <cell r="O116" t="e">
            <v>#NUM!</v>
          </cell>
          <cell r="P116" t="e">
            <v>#NUM!</v>
          </cell>
          <cell r="Q116" t="e">
            <v>#NUM!</v>
          </cell>
          <cell r="R116" t="e">
            <v>#NUM!</v>
          </cell>
          <cell r="S116" t="e">
            <v>#NUM!</v>
          </cell>
          <cell r="T116" t="e">
            <v>#NUM!</v>
          </cell>
          <cell r="U116" t="e">
            <v>#NUM!</v>
          </cell>
          <cell r="V116" t="e">
            <v>#NUM!</v>
          </cell>
          <cell r="W116" t="e">
            <v>#NUM!</v>
          </cell>
          <cell r="X116" t="e">
            <v>#NUM!</v>
          </cell>
          <cell r="Y116" t="e">
            <v>#NUM!</v>
          </cell>
          <cell r="Z116" t="e">
            <v>#NUM!</v>
          </cell>
        </row>
        <row r="117">
          <cell r="N117" t="str">
            <v>TOTAL SQFT:</v>
          </cell>
          <cell r="P117">
            <v>36182</v>
          </cell>
          <cell r="Q117">
            <v>957</v>
          </cell>
          <cell r="R117">
            <v>31</v>
          </cell>
        </row>
        <row r="118">
          <cell r="F118" t="str">
            <v>JOB NUMBER</v>
          </cell>
          <cell r="G118" t="str">
            <v>CUSTOMER</v>
          </cell>
          <cell r="H118" t="str">
            <v>JOB NAME</v>
          </cell>
          <cell r="I118" t="str">
            <v>LOCATION</v>
          </cell>
          <cell r="J118" t="str">
            <v>PROD WEEK</v>
          </cell>
          <cell r="K118" t="str">
            <v>PRODDUEDATE</v>
          </cell>
          <cell r="L118" t="str">
            <v>GROUP_val</v>
          </cell>
          <cell r="M118" t="str">
            <v>SHIP DATE</v>
          </cell>
          <cell r="N118" t="str">
            <v>ENG STATUS</v>
          </cell>
          <cell r="O118" t="str">
            <v>PROD STATUS</v>
          </cell>
          <cell r="P118" t="str">
            <v>SQFT</v>
          </cell>
          <cell r="Q118" t="str">
            <v>PANELS</v>
          </cell>
          <cell r="R118" t="str">
            <v>DOORS</v>
          </cell>
          <cell r="S118" t="str">
            <v>BOX</v>
          </cell>
          <cell r="T118" t="str">
            <v>BUILT BY</v>
          </cell>
          <cell r="U118" t="str">
            <v>SO Code</v>
          </cell>
          <cell r="V118" t="str">
            <v>Job Total</v>
          </cell>
          <cell r="W118" t="str">
            <v>Confirmed</v>
          </cell>
          <cell r="X118" t="str">
            <v>Confm</v>
          </cell>
          <cell r="Y118" t="str">
            <v>FreightTyoe</v>
          </cell>
          <cell r="Z118" t="str">
            <v>CR</v>
          </cell>
        </row>
        <row r="120">
          <cell r="F120" t="str">
            <v>155-0629</v>
          </cell>
          <cell r="G120" t="str">
            <v>Dollar Tree Sourcing Comp. LLC</v>
          </cell>
          <cell r="H120" t="str">
            <v>DT STOCK   WM FRDRCLDL  Rem/No Rack</v>
          </cell>
          <cell r="I120">
            <v>0</v>
          </cell>
          <cell r="J120">
            <v>42254</v>
          </cell>
          <cell r="K120">
            <v>42257</v>
          </cell>
          <cell r="L120">
            <v>21.2</v>
          </cell>
          <cell r="M120">
            <v>0</v>
          </cell>
          <cell r="N120" t="str">
            <v>PF</v>
          </cell>
          <cell r="O120" t="str">
            <v>D</v>
          </cell>
          <cell r="P120">
            <v>551</v>
          </cell>
          <cell r="Q120">
            <v>19</v>
          </cell>
          <cell r="R120">
            <v>2</v>
          </cell>
          <cell r="S120">
            <v>5398.44</v>
          </cell>
          <cell r="T120" t="str">
            <v>GA</v>
          </cell>
          <cell r="U120" t="str">
            <v>4PD</v>
          </cell>
          <cell r="V120">
            <v>9561.8916000000008</v>
          </cell>
          <cell r="W120" t="b">
            <v>1</v>
          </cell>
          <cell r="X120" t="str">
            <v>Yes</v>
          </cell>
          <cell r="Y120">
            <v>0</v>
          </cell>
          <cell r="Z120" t="str">
            <v>A</v>
          </cell>
        </row>
        <row r="121">
          <cell r="F121" t="str">
            <v>155-0929A</v>
          </cell>
          <cell r="G121" t="str">
            <v>Harris Teeter</v>
          </cell>
          <cell r="H121" t="str">
            <v>HT-404</v>
          </cell>
          <cell r="I121" t="str">
            <v>Bethesda, MD</v>
          </cell>
          <cell r="J121">
            <v>42394</v>
          </cell>
          <cell r="K121">
            <v>42395</v>
          </cell>
          <cell r="L121">
            <v>6</v>
          </cell>
          <cell r="M121">
            <v>42405</v>
          </cell>
          <cell r="N121" t="str">
            <v>PF</v>
          </cell>
          <cell r="O121" t="str">
            <v>D</v>
          </cell>
          <cell r="P121">
            <v>5414</v>
          </cell>
          <cell r="Q121">
            <v>210</v>
          </cell>
          <cell r="R121">
            <v>1</v>
          </cell>
          <cell r="S121">
            <v>38383.120000000003</v>
          </cell>
          <cell r="T121" t="str">
            <v>GA</v>
          </cell>
          <cell r="U121" t="str">
            <v>4PD</v>
          </cell>
          <cell r="V121">
            <v>71027.535799999998</v>
          </cell>
          <cell r="W121" t="b">
            <v>1</v>
          </cell>
          <cell r="X121" t="str">
            <v>Yes</v>
          </cell>
          <cell r="Y121">
            <v>0</v>
          </cell>
          <cell r="Z121" t="str">
            <v>A</v>
          </cell>
        </row>
        <row r="122">
          <cell r="F122" t="e">
            <v>#NUM!</v>
          </cell>
          <cell r="G122" t="e">
            <v>#NUM!</v>
          </cell>
          <cell r="H122" t="e">
            <v>#NUM!</v>
          </cell>
          <cell r="I122" t="e">
            <v>#NUM!</v>
          </cell>
          <cell r="J122" t="e">
            <v>#NUM!</v>
          </cell>
          <cell r="K122" t="e">
            <v>#NUM!</v>
          </cell>
          <cell r="L122" t="e">
            <v>#NUM!</v>
          </cell>
          <cell r="M122" t="e">
            <v>#NUM!</v>
          </cell>
          <cell r="N122" t="e">
            <v>#NUM!</v>
          </cell>
          <cell r="O122" t="e">
            <v>#NUM!</v>
          </cell>
          <cell r="P122" t="e">
            <v>#NUM!</v>
          </cell>
          <cell r="Q122" t="e">
            <v>#NUM!</v>
          </cell>
          <cell r="R122" t="e">
            <v>#NUM!</v>
          </cell>
          <cell r="S122" t="e">
            <v>#NUM!</v>
          </cell>
          <cell r="T122" t="e">
            <v>#NUM!</v>
          </cell>
          <cell r="U122" t="e">
            <v>#NUM!</v>
          </cell>
          <cell r="V122" t="e">
            <v>#NUM!</v>
          </cell>
          <cell r="W122" t="e">
            <v>#NUM!</v>
          </cell>
          <cell r="X122" t="e">
            <v>#NUM!</v>
          </cell>
          <cell r="Y122" t="e">
            <v>#NUM!</v>
          </cell>
          <cell r="Z122" t="e">
            <v>#NUM!</v>
          </cell>
        </row>
        <row r="123">
          <cell r="F123" t="e">
            <v>#NUM!</v>
          </cell>
          <cell r="G123" t="e">
            <v>#NUM!</v>
          </cell>
          <cell r="H123" t="e">
            <v>#NUM!</v>
          </cell>
          <cell r="I123" t="e">
            <v>#NUM!</v>
          </cell>
          <cell r="J123" t="e">
            <v>#NUM!</v>
          </cell>
          <cell r="K123" t="e">
            <v>#NUM!</v>
          </cell>
          <cell r="L123" t="e">
            <v>#NUM!</v>
          </cell>
          <cell r="M123" t="e">
            <v>#NUM!</v>
          </cell>
          <cell r="N123" t="e">
            <v>#NUM!</v>
          </cell>
          <cell r="O123" t="e">
            <v>#NUM!</v>
          </cell>
          <cell r="P123" t="e">
            <v>#NUM!</v>
          </cell>
          <cell r="Q123" t="e">
            <v>#NUM!</v>
          </cell>
          <cell r="R123" t="e">
            <v>#NUM!</v>
          </cell>
          <cell r="S123" t="e">
            <v>#NUM!</v>
          </cell>
          <cell r="T123" t="e">
            <v>#NUM!</v>
          </cell>
          <cell r="U123" t="e">
            <v>#NUM!</v>
          </cell>
          <cell r="V123" t="e">
            <v>#NUM!</v>
          </cell>
          <cell r="W123" t="e">
            <v>#NUM!</v>
          </cell>
          <cell r="X123" t="e">
            <v>#NUM!</v>
          </cell>
          <cell r="Y123" t="e">
            <v>#NUM!</v>
          </cell>
          <cell r="Z123" t="e">
            <v>#NUM!</v>
          </cell>
        </row>
        <row r="124">
          <cell r="F124" t="e">
            <v>#NUM!</v>
          </cell>
          <cell r="G124" t="e">
            <v>#NUM!</v>
          </cell>
          <cell r="H124" t="e">
            <v>#NUM!</v>
          </cell>
          <cell r="I124" t="e">
            <v>#NUM!</v>
          </cell>
          <cell r="J124" t="e">
            <v>#NUM!</v>
          </cell>
          <cell r="K124" t="e">
            <v>#NUM!</v>
          </cell>
          <cell r="L124" t="e">
            <v>#NUM!</v>
          </cell>
          <cell r="M124" t="e">
            <v>#NUM!</v>
          </cell>
          <cell r="N124" t="e">
            <v>#NUM!</v>
          </cell>
          <cell r="O124" t="e">
            <v>#NUM!</v>
          </cell>
          <cell r="P124" t="e">
            <v>#NUM!</v>
          </cell>
          <cell r="Q124" t="e">
            <v>#NUM!</v>
          </cell>
          <cell r="R124" t="e">
            <v>#NUM!</v>
          </cell>
          <cell r="S124" t="e">
            <v>#NUM!</v>
          </cell>
          <cell r="T124" t="e">
            <v>#NUM!</v>
          </cell>
          <cell r="U124" t="e">
            <v>#NUM!</v>
          </cell>
          <cell r="V124" t="e">
            <v>#NUM!</v>
          </cell>
          <cell r="W124" t="e">
            <v>#NUM!</v>
          </cell>
          <cell r="X124" t="e">
            <v>#NUM!</v>
          </cell>
          <cell r="Y124" t="e">
            <v>#NUM!</v>
          </cell>
          <cell r="Z124" t="e">
            <v>#NUM!</v>
          </cell>
        </row>
        <row r="125">
          <cell r="F125" t="e">
            <v>#NUM!</v>
          </cell>
          <cell r="G125" t="e">
            <v>#NUM!</v>
          </cell>
          <cell r="H125" t="e">
            <v>#NUM!</v>
          </cell>
          <cell r="I125" t="e">
            <v>#NUM!</v>
          </cell>
          <cell r="J125" t="e">
            <v>#NUM!</v>
          </cell>
          <cell r="K125" t="e">
            <v>#NUM!</v>
          </cell>
          <cell r="L125" t="e">
            <v>#NUM!</v>
          </cell>
          <cell r="M125" t="e">
            <v>#NUM!</v>
          </cell>
          <cell r="N125" t="e">
            <v>#NUM!</v>
          </cell>
          <cell r="O125" t="e">
            <v>#NUM!</v>
          </cell>
          <cell r="P125" t="e">
            <v>#NUM!</v>
          </cell>
          <cell r="Q125" t="e">
            <v>#NUM!</v>
          </cell>
          <cell r="R125" t="e">
            <v>#NUM!</v>
          </cell>
          <cell r="S125" t="e">
            <v>#NUM!</v>
          </cell>
          <cell r="T125" t="e">
            <v>#NUM!</v>
          </cell>
          <cell r="U125" t="e">
            <v>#NUM!</v>
          </cell>
          <cell r="V125" t="e">
            <v>#NUM!</v>
          </cell>
          <cell r="W125" t="e">
            <v>#NUM!</v>
          </cell>
          <cell r="X125" t="e">
            <v>#NUM!</v>
          </cell>
          <cell r="Y125" t="e">
            <v>#NUM!</v>
          </cell>
          <cell r="Z125" t="e">
            <v>#NUM!</v>
          </cell>
        </row>
        <row r="126">
          <cell r="F126" t="e">
            <v>#NUM!</v>
          </cell>
          <cell r="G126" t="e">
            <v>#NUM!</v>
          </cell>
          <cell r="H126" t="e">
            <v>#NUM!</v>
          </cell>
          <cell r="I126" t="e">
            <v>#NUM!</v>
          </cell>
          <cell r="J126" t="e">
            <v>#NUM!</v>
          </cell>
          <cell r="K126" t="e">
            <v>#NUM!</v>
          </cell>
          <cell r="L126" t="e">
            <v>#NUM!</v>
          </cell>
          <cell r="M126" t="e">
            <v>#NUM!</v>
          </cell>
          <cell r="N126" t="e">
            <v>#NUM!</v>
          </cell>
          <cell r="O126" t="e">
            <v>#NUM!</v>
          </cell>
          <cell r="P126" t="e">
            <v>#NUM!</v>
          </cell>
          <cell r="Q126" t="e">
            <v>#NUM!</v>
          </cell>
          <cell r="R126" t="e">
            <v>#NUM!</v>
          </cell>
          <cell r="S126" t="e">
            <v>#NUM!</v>
          </cell>
          <cell r="T126" t="e">
            <v>#NUM!</v>
          </cell>
          <cell r="U126" t="e">
            <v>#NUM!</v>
          </cell>
          <cell r="V126" t="e">
            <v>#NUM!</v>
          </cell>
          <cell r="W126" t="e">
            <v>#NUM!</v>
          </cell>
          <cell r="X126" t="e">
            <v>#NUM!</v>
          </cell>
          <cell r="Y126" t="e">
            <v>#NUM!</v>
          </cell>
          <cell r="Z126" t="e">
            <v>#NUM!</v>
          </cell>
        </row>
        <row r="127">
          <cell r="F127" t="e">
            <v>#NUM!</v>
          </cell>
          <cell r="G127" t="e">
            <v>#NUM!</v>
          </cell>
          <cell r="H127" t="e">
            <v>#NUM!</v>
          </cell>
          <cell r="I127" t="e">
            <v>#NUM!</v>
          </cell>
          <cell r="J127" t="e">
            <v>#NUM!</v>
          </cell>
          <cell r="K127" t="e">
            <v>#NUM!</v>
          </cell>
          <cell r="L127" t="e">
            <v>#NUM!</v>
          </cell>
          <cell r="M127" t="e">
            <v>#NUM!</v>
          </cell>
          <cell r="N127" t="e">
            <v>#NUM!</v>
          </cell>
          <cell r="O127" t="e">
            <v>#NUM!</v>
          </cell>
          <cell r="P127" t="e">
            <v>#NUM!</v>
          </cell>
          <cell r="Q127" t="e">
            <v>#NUM!</v>
          </cell>
          <cell r="R127" t="e">
            <v>#NUM!</v>
          </cell>
          <cell r="S127" t="e">
            <v>#NUM!</v>
          </cell>
          <cell r="T127" t="e">
            <v>#NUM!</v>
          </cell>
          <cell r="U127" t="e">
            <v>#NUM!</v>
          </cell>
          <cell r="V127" t="e">
            <v>#NUM!</v>
          </cell>
          <cell r="W127" t="e">
            <v>#NUM!</v>
          </cell>
          <cell r="X127" t="e">
            <v>#NUM!</v>
          </cell>
          <cell r="Y127" t="e">
            <v>#NUM!</v>
          </cell>
          <cell r="Z127" t="e">
            <v>#NUM!</v>
          </cell>
        </row>
        <row r="128">
          <cell r="F128" t="e">
            <v>#NUM!</v>
          </cell>
          <cell r="G128" t="e">
            <v>#NUM!</v>
          </cell>
          <cell r="H128" t="e">
            <v>#NUM!</v>
          </cell>
          <cell r="I128" t="e">
            <v>#NUM!</v>
          </cell>
          <cell r="J128" t="e">
            <v>#NUM!</v>
          </cell>
          <cell r="K128" t="e">
            <v>#NUM!</v>
          </cell>
          <cell r="L128" t="e">
            <v>#NUM!</v>
          </cell>
          <cell r="M128" t="e">
            <v>#NUM!</v>
          </cell>
          <cell r="N128" t="e">
            <v>#NUM!</v>
          </cell>
          <cell r="O128" t="e">
            <v>#NUM!</v>
          </cell>
          <cell r="P128" t="e">
            <v>#NUM!</v>
          </cell>
          <cell r="Q128" t="e">
            <v>#NUM!</v>
          </cell>
          <cell r="R128" t="e">
            <v>#NUM!</v>
          </cell>
          <cell r="S128" t="e">
            <v>#NUM!</v>
          </cell>
          <cell r="T128" t="e">
            <v>#NUM!</v>
          </cell>
          <cell r="U128" t="e">
            <v>#NUM!</v>
          </cell>
          <cell r="V128" t="e">
            <v>#NUM!</v>
          </cell>
          <cell r="W128" t="e">
            <v>#NUM!</v>
          </cell>
          <cell r="X128" t="e">
            <v>#NUM!</v>
          </cell>
          <cell r="Y128" t="e">
            <v>#NUM!</v>
          </cell>
          <cell r="Z128" t="e">
            <v>#NUM!</v>
          </cell>
        </row>
        <row r="129">
          <cell r="F129" t="e">
            <v>#NUM!</v>
          </cell>
          <cell r="G129" t="e">
            <v>#NUM!</v>
          </cell>
          <cell r="H129" t="e">
            <v>#NUM!</v>
          </cell>
          <cell r="I129" t="e">
            <v>#NUM!</v>
          </cell>
          <cell r="J129" t="e">
            <v>#NUM!</v>
          </cell>
          <cell r="K129" t="e">
            <v>#NUM!</v>
          </cell>
          <cell r="L129" t="e">
            <v>#NUM!</v>
          </cell>
          <cell r="M129" t="e">
            <v>#NUM!</v>
          </cell>
          <cell r="N129" t="e">
            <v>#NUM!</v>
          </cell>
          <cell r="O129" t="e">
            <v>#NUM!</v>
          </cell>
          <cell r="P129" t="e">
            <v>#NUM!</v>
          </cell>
          <cell r="Q129" t="e">
            <v>#NUM!</v>
          </cell>
          <cell r="R129" t="e">
            <v>#NUM!</v>
          </cell>
          <cell r="S129" t="e">
            <v>#NUM!</v>
          </cell>
          <cell r="T129" t="e">
            <v>#NUM!</v>
          </cell>
          <cell r="U129" t="e">
            <v>#NUM!</v>
          </cell>
          <cell r="V129" t="e">
            <v>#NUM!</v>
          </cell>
          <cell r="W129" t="e">
            <v>#NUM!</v>
          </cell>
          <cell r="X129" t="e">
            <v>#NUM!</v>
          </cell>
          <cell r="Y129" t="e">
            <v>#NUM!</v>
          </cell>
          <cell r="Z129" t="e">
            <v>#NUM!</v>
          </cell>
        </row>
        <row r="130">
          <cell r="F130" t="e">
            <v>#NUM!</v>
          </cell>
          <cell r="G130" t="e">
            <v>#NUM!</v>
          </cell>
          <cell r="H130" t="e">
            <v>#NUM!</v>
          </cell>
          <cell r="I130" t="e">
            <v>#NUM!</v>
          </cell>
          <cell r="J130" t="e">
            <v>#NUM!</v>
          </cell>
          <cell r="K130" t="e">
            <v>#NUM!</v>
          </cell>
          <cell r="L130" t="e">
            <v>#NUM!</v>
          </cell>
          <cell r="M130" t="e">
            <v>#NUM!</v>
          </cell>
          <cell r="N130" t="e">
            <v>#NUM!</v>
          </cell>
          <cell r="O130" t="e">
            <v>#NUM!</v>
          </cell>
          <cell r="P130" t="e">
            <v>#NUM!</v>
          </cell>
          <cell r="Q130" t="e">
            <v>#NUM!</v>
          </cell>
          <cell r="R130" t="e">
            <v>#NUM!</v>
          </cell>
          <cell r="S130" t="e">
            <v>#NUM!</v>
          </cell>
          <cell r="T130" t="e">
            <v>#NUM!</v>
          </cell>
          <cell r="U130" t="e">
            <v>#NUM!</v>
          </cell>
          <cell r="V130" t="e">
            <v>#NUM!</v>
          </cell>
          <cell r="W130" t="e">
            <v>#NUM!</v>
          </cell>
          <cell r="X130" t="e">
            <v>#NUM!</v>
          </cell>
          <cell r="Y130" t="e">
            <v>#NUM!</v>
          </cell>
          <cell r="Z130" t="e">
            <v>#NUM!</v>
          </cell>
        </row>
        <row r="131">
          <cell r="F131" t="e">
            <v>#NUM!</v>
          </cell>
          <cell r="G131" t="e">
            <v>#NUM!</v>
          </cell>
          <cell r="H131" t="e">
            <v>#NUM!</v>
          </cell>
          <cell r="I131" t="e">
            <v>#NUM!</v>
          </cell>
          <cell r="J131" t="e">
            <v>#NUM!</v>
          </cell>
          <cell r="K131" t="e">
            <v>#NUM!</v>
          </cell>
          <cell r="L131" t="e">
            <v>#NUM!</v>
          </cell>
          <cell r="M131" t="e">
            <v>#NUM!</v>
          </cell>
          <cell r="N131" t="e">
            <v>#NUM!</v>
          </cell>
          <cell r="O131" t="e">
            <v>#NUM!</v>
          </cell>
          <cell r="P131" t="e">
            <v>#NUM!</v>
          </cell>
          <cell r="Q131" t="e">
            <v>#NUM!</v>
          </cell>
          <cell r="R131" t="e">
            <v>#NUM!</v>
          </cell>
          <cell r="S131" t="e">
            <v>#NUM!</v>
          </cell>
          <cell r="T131" t="e">
            <v>#NUM!</v>
          </cell>
          <cell r="U131" t="e">
            <v>#NUM!</v>
          </cell>
          <cell r="V131" t="e">
            <v>#NUM!</v>
          </cell>
          <cell r="W131" t="e">
            <v>#NUM!</v>
          </cell>
          <cell r="X131" t="e">
            <v>#NUM!</v>
          </cell>
          <cell r="Y131" t="e">
            <v>#NUM!</v>
          </cell>
          <cell r="Z131" t="e">
            <v>#NUM!</v>
          </cell>
        </row>
        <row r="132">
          <cell r="F132" t="e">
            <v>#NUM!</v>
          </cell>
          <cell r="G132" t="e">
            <v>#NUM!</v>
          </cell>
          <cell r="H132" t="e">
            <v>#NUM!</v>
          </cell>
          <cell r="I132" t="e">
            <v>#NUM!</v>
          </cell>
          <cell r="J132" t="e">
            <v>#NUM!</v>
          </cell>
          <cell r="K132" t="e">
            <v>#NUM!</v>
          </cell>
          <cell r="L132" t="e">
            <v>#NUM!</v>
          </cell>
          <cell r="M132" t="e">
            <v>#NUM!</v>
          </cell>
          <cell r="N132" t="e">
            <v>#NUM!</v>
          </cell>
          <cell r="O132" t="e">
            <v>#NUM!</v>
          </cell>
          <cell r="P132" t="e">
            <v>#NUM!</v>
          </cell>
          <cell r="Q132" t="e">
            <v>#NUM!</v>
          </cell>
          <cell r="R132" t="e">
            <v>#NUM!</v>
          </cell>
          <cell r="S132" t="e">
            <v>#NUM!</v>
          </cell>
          <cell r="T132" t="e">
            <v>#NUM!</v>
          </cell>
          <cell r="U132" t="e">
            <v>#NUM!</v>
          </cell>
          <cell r="V132" t="e">
            <v>#NUM!</v>
          </cell>
          <cell r="W132" t="e">
            <v>#NUM!</v>
          </cell>
          <cell r="X132" t="e">
            <v>#NUM!</v>
          </cell>
          <cell r="Y132" t="e">
            <v>#NUM!</v>
          </cell>
          <cell r="Z132" t="e">
            <v>#NUM!</v>
          </cell>
        </row>
        <row r="133">
          <cell r="F133" t="e">
            <v>#NUM!</v>
          </cell>
          <cell r="G133" t="e">
            <v>#NUM!</v>
          </cell>
          <cell r="H133" t="e">
            <v>#NUM!</v>
          </cell>
          <cell r="I133" t="e">
            <v>#NUM!</v>
          </cell>
          <cell r="J133" t="e">
            <v>#NUM!</v>
          </cell>
          <cell r="K133" t="e">
            <v>#NUM!</v>
          </cell>
          <cell r="L133" t="e">
            <v>#NUM!</v>
          </cell>
          <cell r="M133" t="e">
            <v>#NUM!</v>
          </cell>
          <cell r="N133" t="e">
            <v>#NUM!</v>
          </cell>
          <cell r="O133" t="e">
            <v>#NUM!</v>
          </cell>
          <cell r="P133" t="e">
            <v>#NUM!</v>
          </cell>
          <cell r="Q133" t="e">
            <v>#NUM!</v>
          </cell>
          <cell r="R133" t="e">
            <v>#NUM!</v>
          </cell>
          <cell r="S133" t="e">
            <v>#NUM!</v>
          </cell>
          <cell r="T133" t="e">
            <v>#NUM!</v>
          </cell>
          <cell r="U133" t="e">
            <v>#NUM!</v>
          </cell>
          <cell r="V133" t="e">
            <v>#NUM!</v>
          </cell>
          <cell r="W133" t="e">
            <v>#NUM!</v>
          </cell>
          <cell r="X133" t="e">
            <v>#NUM!</v>
          </cell>
          <cell r="Y133" t="e">
            <v>#NUM!</v>
          </cell>
          <cell r="Z133" t="e">
            <v>#NUM!</v>
          </cell>
        </row>
        <row r="134">
          <cell r="F134" t="e">
            <v>#NUM!</v>
          </cell>
          <cell r="G134" t="e">
            <v>#NUM!</v>
          </cell>
          <cell r="H134" t="e">
            <v>#NUM!</v>
          </cell>
          <cell r="I134" t="e">
            <v>#NUM!</v>
          </cell>
          <cell r="J134" t="e">
            <v>#NUM!</v>
          </cell>
          <cell r="K134" t="e">
            <v>#NUM!</v>
          </cell>
          <cell r="L134" t="e">
            <v>#NUM!</v>
          </cell>
          <cell r="M134" t="e">
            <v>#NUM!</v>
          </cell>
          <cell r="N134" t="e">
            <v>#NUM!</v>
          </cell>
          <cell r="O134" t="e">
            <v>#NUM!</v>
          </cell>
          <cell r="P134" t="e">
            <v>#NUM!</v>
          </cell>
          <cell r="Q134" t="e">
            <v>#NUM!</v>
          </cell>
          <cell r="R134" t="e">
            <v>#NUM!</v>
          </cell>
          <cell r="S134" t="e">
            <v>#NUM!</v>
          </cell>
          <cell r="T134" t="e">
            <v>#NUM!</v>
          </cell>
          <cell r="U134" t="e">
            <v>#NUM!</v>
          </cell>
          <cell r="V134" t="e">
            <v>#NUM!</v>
          </cell>
          <cell r="W134" t="e">
            <v>#NUM!</v>
          </cell>
          <cell r="X134" t="e">
            <v>#NUM!</v>
          </cell>
          <cell r="Y134" t="e">
            <v>#NUM!</v>
          </cell>
          <cell r="Z134" t="e">
            <v>#NUM!</v>
          </cell>
        </row>
        <row r="135">
          <cell r="F135" t="e">
            <v>#NUM!</v>
          </cell>
          <cell r="G135" t="e">
            <v>#NUM!</v>
          </cell>
          <cell r="H135" t="e">
            <v>#NUM!</v>
          </cell>
          <cell r="I135" t="e">
            <v>#NUM!</v>
          </cell>
          <cell r="J135" t="e">
            <v>#NUM!</v>
          </cell>
          <cell r="K135" t="e">
            <v>#NUM!</v>
          </cell>
          <cell r="L135" t="e">
            <v>#NUM!</v>
          </cell>
          <cell r="M135" t="e">
            <v>#NUM!</v>
          </cell>
          <cell r="N135" t="e">
            <v>#NUM!</v>
          </cell>
          <cell r="O135" t="e">
            <v>#NUM!</v>
          </cell>
          <cell r="P135" t="e">
            <v>#NUM!</v>
          </cell>
          <cell r="Q135" t="e">
            <v>#NUM!</v>
          </cell>
          <cell r="R135" t="e">
            <v>#NUM!</v>
          </cell>
          <cell r="S135" t="e">
            <v>#NUM!</v>
          </cell>
          <cell r="T135" t="e">
            <v>#NUM!</v>
          </cell>
          <cell r="U135" t="e">
            <v>#NUM!</v>
          </cell>
          <cell r="V135" t="e">
            <v>#NUM!</v>
          </cell>
          <cell r="W135" t="e">
            <v>#NUM!</v>
          </cell>
          <cell r="X135" t="e">
            <v>#NUM!</v>
          </cell>
          <cell r="Y135" t="e">
            <v>#NUM!</v>
          </cell>
          <cell r="Z135" t="e">
            <v>#NUM!</v>
          </cell>
        </row>
        <row r="136">
          <cell r="F136" t="e">
            <v>#NUM!</v>
          </cell>
          <cell r="G136" t="e">
            <v>#NUM!</v>
          </cell>
          <cell r="H136" t="e">
            <v>#NUM!</v>
          </cell>
          <cell r="I136" t="e">
            <v>#NUM!</v>
          </cell>
          <cell r="J136" t="e">
            <v>#NUM!</v>
          </cell>
          <cell r="K136" t="e">
            <v>#NUM!</v>
          </cell>
          <cell r="L136" t="e">
            <v>#NUM!</v>
          </cell>
          <cell r="M136" t="e">
            <v>#NUM!</v>
          </cell>
          <cell r="N136" t="e">
            <v>#NUM!</v>
          </cell>
          <cell r="O136" t="e">
            <v>#NUM!</v>
          </cell>
          <cell r="P136" t="e">
            <v>#NUM!</v>
          </cell>
          <cell r="Q136" t="e">
            <v>#NUM!</v>
          </cell>
          <cell r="R136" t="e">
            <v>#NUM!</v>
          </cell>
          <cell r="S136" t="e">
            <v>#NUM!</v>
          </cell>
          <cell r="T136" t="e">
            <v>#NUM!</v>
          </cell>
          <cell r="U136" t="e">
            <v>#NUM!</v>
          </cell>
          <cell r="V136" t="e">
            <v>#NUM!</v>
          </cell>
          <cell r="W136" t="e">
            <v>#NUM!</v>
          </cell>
          <cell r="X136" t="e">
            <v>#NUM!</v>
          </cell>
          <cell r="Y136" t="e">
            <v>#NUM!</v>
          </cell>
          <cell r="Z136" t="e">
            <v>#NUM!</v>
          </cell>
        </row>
        <row r="137">
          <cell r="F137" t="e">
            <v>#NUM!</v>
          </cell>
          <cell r="G137" t="e">
            <v>#NUM!</v>
          </cell>
          <cell r="H137" t="e">
            <v>#NUM!</v>
          </cell>
          <cell r="I137" t="e">
            <v>#NUM!</v>
          </cell>
          <cell r="J137" t="e">
            <v>#NUM!</v>
          </cell>
          <cell r="K137" t="e">
            <v>#NUM!</v>
          </cell>
          <cell r="L137" t="e">
            <v>#NUM!</v>
          </cell>
          <cell r="M137" t="e">
            <v>#NUM!</v>
          </cell>
          <cell r="N137" t="e">
            <v>#NUM!</v>
          </cell>
          <cell r="O137" t="e">
            <v>#NUM!</v>
          </cell>
          <cell r="P137" t="e">
            <v>#NUM!</v>
          </cell>
          <cell r="Q137" t="e">
            <v>#NUM!</v>
          </cell>
          <cell r="R137" t="e">
            <v>#NUM!</v>
          </cell>
          <cell r="S137" t="e">
            <v>#NUM!</v>
          </cell>
          <cell r="T137" t="e">
            <v>#NUM!</v>
          </cell>
          <cell r="U137" t="e">
            <v>#NUM!</v>
          </cell>
          <cell r="V137" t="e">
            <v>#NUM!</v>
          </cell>
          <cell r="W137" t="e">
            <v>#NUM!</v>
          </cell>
          <cell r="X137" t="e">
            <v>#NUM!</v>
          </cell>
          <cell r="Y137" t="e">
            <v>#NUM!</v>
          </cell>
          <cell r="Z137" t="e">
            <v>#NUM!</v>
          </cell>
        </row>
        <row r="138">
          <cell r="F138" t="e">
            <v>#NUM!</v>
          </cell>
          <cell r="G138" t="e">
            <v>#NUM!</v>
          </cell>
          <cell r="H138" t="e">
            <v>#NUM!</v>
          </cell>
          <cell r="I138" t="e">
            <v>#NUM!</v>
          </cell>
          <cell r="J138" t="e">
            <v>#NUM!</v>
          </cell>
          <cell r="K138" t="e">
            <v>#NUM!</v>
          </cell>
          <cell r="L138" t="e">
            <v>#NUM!</v>
          </cell>
          <cell r="M138" t="e">
            <v>#NUM!</v>
          </cell>
          <cell r="N138" t="e">
            <v>#NUM!</v>
          </cell>
          <cell r="O138" t="e">
            <v>#NUM!</v>
          </cell>
          <cell r="P138" t="e">
            <v>#NUM!</v>
          </cell>
          <cell r="Q138" t="e">
            <v>#NUM!</v>
          </cell>
          <cell r="R138" t="e">
            <v>#NUM!</v>
          </cell>
          <cell r="S138" t="e">
            <v>#NUM!</v>
          </cell>
          <cell r="T138" t="e">
            <v>#NUM!</v>
          </cell>
          <cell r="U138" t="e">
            <v>#NUM!</v>
          </cell>
          <cell r="V138" t="e">
            <v>#NUM!</v>
          </cell>
          <cell r="W138" t="e">
            <v>#NUM!</v>
          </cell>
          <cell r="X138" t="e">
            <v>#NUM!</v>
          </cell>
          <cell r="Y138" t="e">
            <v>#NUM!</v>
          </cell>
          <cell r="Z138" t="e">
            <v>#NUM!</v>
          </cell>
        </row>
        <row r="139">
          <cell r="F139" t="e">
            <v>#NUM!</v>
          </cell>
          <cell r="G139" t="e">
            <v>#NUM!</v>
          </cell>
          <cell r="H139" t="e">
            <v>#NUM!</v>
          </cell>
          <cell r="I139" t="e">
            <v>#NUM!</v>
          </cell>
          <cell r="J139" t="e">
            <v>#NUM!</v>
          </cell>
          <cell r="K139" t="e">
            <v>#NUM!</v>
          </cell>
          <cell r="L139" t="e">
            <v>#NUM!</v>
          </cell>
          <cell r="M139" t="e">
            <v>#NUM!</v>
          </cell>
          <cell r="N139" t="e">
            <v>#NUM!</v>
          </cell>
          <cell r="O139" t="e">
            <v>#NUM!</v>
          </cell>
          <cell r="P139" t="e">
            <v>#NUM!</v>
          </cell>
          <cell r="Q139" t="e">
            <v>#NUM!</v>
          </cell>
          <cell r="R139" t="e">
            <v>#NUM!</v>
          </cell>
          <cell r="S139" t="e">
            <v>#NUM!</v>
          </cell>
          <cell r="T139" t="e">
            <v>#NUM!</v>
          </cell>
          <cell r="U139" t="e">
            <v>#NUM!</v>
          </cell>
          <cell r="V139" t="e">
            <v>#NUM!</v>
          </cell>
          <cell r="W139" t="e">
            <v>#NUM!</v>
          </cell>
          <cell r="X139" t="e">
            <v>#NUM!</v>
          </cell>
          <cell r="Y139" t="e">
            <v>#NUM!</v>
          </cell>
          <cell r="Z139" t="e">
            <v>#NUM!</v>
          </cell>
        </row>
        <row r="140">
          <cell r="F140" t="e">
            <v>#NUM!</v>
          </cell>
          <cell r="G140" t="e">
            <v>#NUM!</v>
          </cell>
          <cell r="H140" t="e">
            <v>#NUM!</v>
          </cell>
          <cell r="I140" t="e">
            <v>#NUM!</v>
          </cell>
          <cell r="J140" t="e">
            <v>#NUM!</v>
          </cell>
          <cell r="K140" t="e">
            <v>#NUM!</v>
          </cell>
          <cell r="L140" t="e">
            <v>#NUM!</v>
          </cell>
          <cell r="M140" t="e">
            <v>#NUM!</v>
          </cell>
          <cell r="N140" t="e">
            <v>#NUM!</v>
          </cell>
          <cell r="O140" t="e">
            <v>#NUM!</v>
          </cell>
          <cell r="P140" t="e">
            <v>#NUM!</v>
          </cell>
          <cell r="Q140" t="e">
            <v>#NUM!</v>
          </cell>
          <cell r="R140" t="e">
            <v>#NUM!</v>
          </cell>
          <cell r="S140" t="e">
            <v>#NUM!</v>
          </cell>
          <cell r="T140" t="e">
            <v>#NUM!</v>
          </cell>
          <cell r="U140" t="e">
            <v>#NUM!</v>
          </cell>
          <cell r="V140" t="e">
            <v>#NUM!</v>
          </cell>
          <cell r="W140" t="e">
            <v>#NUM!</v>
          </cell>
          <cell r="X140" t="e">
            <v>#NUM!</v>
          </cell>
          <cell r="Y140" t="e">
            <v>#NUM!</v>
          </cell>
          <cell r="Z140" t="e">
            <v>#NUM!</v>
          </cell>
        </row>
        <row r="141">
          <cell r="F141" t="e">
            <v>#NUM!</v>
          </cell>
          <cell r="G141" t="e">
            <v>#NUM!</v>
          </cell>
          <cell r="H141" t="e">
            <v>#NUM!</v>
          </cell>
          <cell r="I141" t="e">
            <v>#NUM!</v>
          </cell>
          <cell r="J141" t="e">
            <v>#NUM!</v>
          </cell>
          <cell r="K141" t="e">
            <v>#NUM!</v>
          </cell>
          <cell r="L141" t="e">
            <v>#NUM!</v>
          </cell>
          <cell r="M141" t="e">
            <v>#NUM!</v>
          </cell>
          <cell r="N141" t="e">
            <v>#NUM!</v>
          </cell>
          <cell r="O141" t="e">
            <v>#NUM!</v>
          </cell>
          <cell r="P141" t="e">
            <v>#NUM!</v>
          </cell>
          <cell r="Q141" t="e">
            <v>#NUM!</v>
          </cell>
          <cell r="R141" t="e">
            <v>#NUM!</v>
          </cell>
          <cell r="S141" t="e">
            <v>#NUM!</v>
          </cell>
          <cell r="T141" t="e">
            <v>#NUM!</v>
          </cell>
          <cell r="U141" t="e">
            <v>#NUM!</v>
          </cell>
          <cell r="V141" t="e">
            <v>#NUM!</v>
          </cell>
          <cell r="W141" t="e">
            <v>#NUM!</v>
          </cell>
          <cell r="X141" t="e">
            <v>#NUM!</v>
          </cell>
          <cell r="Y141" t="e">
            <v>#NUM!</v>
          </cell>
          <cell r="Z141" t="e">
            <v>#NUM!</v>
          </cell>
        </row>
        <row r="142">
          <cell r="F142" t="e">
            <v>#NUM!</v>
          </cell>
          <cell r="G142" t="e">
            <v>#NUM!</v>
          </cell>
          <cell r="H142" t="e">
            <v>#NUM!</v>
          </cell>
          <cell r="I142" t="e">
            <v>#NUM!</v>
          </cell>
          <cell r="J142" t="e">
            <v>#NUM!</v>
          </cell>
          <cell r="K142" t="e">
            <v>#NUM!</v>
          </cell>
          <cell r="L142" t="e">
            <v>#NUM!</v>
          </cell>
          <cell r="M142" t="e">
            <v>#NUM!</v>
          </cell>
          <cell r="N142" t="e">
            <v>#NUM!</v>
          </cell>
          <cell r="O142" t="e">
            <v>#NUM!</v>
          </cell>
          <cell r="P142" t="e">
            <v>#NUM!</v>
          </cell>
          <cell r="Q142" t="e">
            <v>#NUM!</v>
          </cell>
          <cell r="R142" t="e">
            <v>#NUM!</v>
          </cell>
          <cell r="S142" t="e">
            <v>#NUM!</v>
          </cell>
          <cell r="T142" t="e">
            <v>#NUM!</v>
          </cell>
          <cell r="U142" t="e">
            <v>#NUM!</v>
          </cell>
          <cell r="V142" t="e">
            <v>#NUM!</v>
          </cell>
          <cell r="W142" t="e">
            <v>#NUM!</v>
          </cell>
          <cell r="X142" t="e">
            <v>#NUM!</v>
          </cell>
          <cell r="Y142" t="e">
            <v>#NUM!</v>
          </cell>
          <cell r="Z142" t="e">
            <v>#NUM!</v>
          </cell>
        </row>
        <row r="143">
          <cell r="F143" t="e">
            <v>#NUM!</v>
          </cell>
          <cell r="G143" t="e">
            <v>#NUM!</v>
          </cell>
          <cell r="H143" t="e">
            <v>#NUM!</v>
          </cell>
          <cell r="I143" t="e">
            <v>#NUM!</v>
          </cell>
          <cell r="J143" t="e">
            <v>#NUM!</v>
          </cell>
          <cell r="K143" t="e">
            <v>#NUM!</v>
          </cell>
          <cell r="L143" t="e">
            <v>#NUM!</v>
          </cell>
          <cell r="M143" t="e">
            <v>#NUM!</v>
          </cell>
          <cell r="N143" t="e">
            <v>#NUM!</v>
          </cell>
          <cell r="O143" t="e">
            <v>#NUM!</v>
          </cell>
          <cell r="P143" t="e">
            <v>#NUM!</v>
          </cell>
          <cell r="Q143" t="e">
            <v>#NUM!</v>
          </cell>
          <cell r="R143" t="e">
            <v>#NUM!</v>
          </cell>
          <cell r="S143" t="e">
            <v>#NUM!</v>
          </cell>
          <cell r="T143" t="e">
            <v>#NUM!</v>
          </cell>
          <cell r="U143" t="e">
            <v>#NUM!</v>
          </cell>
          <cell r="V143" t="e">
            <v>#NUM!</v>
          </cell>
          <cell r="W143" t="e">
            <v>#NUM!</v>
          </cell>
          <cell r="X143" t="e">
            <v>#NUM!</v>
          </cell>
          <cell r="Y143" t="e">
            <v>#NUM!</v>
          </cell>
          <cell r="Z143" t="e">
            <v>#NUM!</v>
          </cell>
        </row>
        <row r="144">
          <cell r="F144" t="e">
            <v>#NUM!</v>
          </cell>
          <cell r="G144" t="e">
            <v>#NUM!</v>
          </cell>
          <cell r="H144" t="e">
            <v>#NUM!</v>
          </cell>
          <cell r="I144" t="e">
            <v>#NUM!</v>
          </cell>
          <cell r="J144" t="e">
            <v>#NUM!</v>
          </cell>
          <cell r="K144" t="e">
            <v>#NUM!</v>
          </cell>
          <cell r="L144" t="e">
            <v>#NUM!</v>
          </cell>
          <cell r="M144" t="e">
            <v>#NUM!</v>
          </cell>
          <cell r="N144" t="e">
            <v>#NUM!</v>
          </cell>
          <cell r="O144" t="e">
            <v>#NUM!</v>
          </cell>
          <cell r="P144" t="e">
            <v>#NUM!</v>
          </cell>
          <cell r="Q144" t="e">
            <v>#NUM!</v>
          </cell>
          <cell r="R144" t="e">
            <v>#NUM!</v>
          </cell>
          <cell r="S144" t="e">
            <v>#NUM!</v>
          </cell>
          <cell r="T144" t="e">
            <v>#NUM!</v>
          </cell>
          <cell r="U144" t="e">
            <v>#NUM!</v>
          </cell>
          <cell r="V144" t="e">
            <v>#NUM!</v>
          </cell>
          <cell r="W144" t="e">
            <v>#NUM!</v>
          </cell>
          <cell r="X144" t="e">
            <v>#NUM!</v>
          </cell>
          <cell r="Y144" t="e">
            <v>#NUM!</v>
          </cell>
          <cell r="Z144" t="e">
            <v>#NUM!</v>
          </cell>
        </row>
        <row r="145">
          <cell r="F145" t="e">
            <v>#NUM!</v>
          </cell>
          <cell r="G145" t="e">
            <v>#NUM!</v>
          </cell>
          <cell r="H145" t="e">
            <v>#NUM!</v>
          </cell>
          <cell r="I145" t="e">
            <v>#NUM!</v>
          </cell>
          <cell r="J145" t="e">
            <v>#NUM!</v>
          </cell>
          <cell r="K145" t="e">
            <v>#NUM!</v>
          </cell>
          <cell r="L145" t="e">
            <v>#NUM!</v>
          </cell>
          <cell r="M145" t="e">
            <v>#NUM!</v>
          </cell>
          <cell r="N145" t="e">
            <v>#NUM!</v>
          </cell>
          <cell r="O145" t="e">
            <v>#NUM!</v>
          </cell>
          <cell r="P145" t="e">
            <v>#NUM!</v>
          </cell>
          <cell r="Q145" t="e">
            <v>#NUM!</v>
          </cell>
          <cell r="R145" t="e">
            <v>#NUM!</v>
          </cell>
          <cell r="S145" t="e">
            <v>#NUM!</v>
          </cell>
          <cell r="T145" t="e">
            <v>#NUM!</v>
          </cell>
          <cell r="U145" t="e">
            <v>#NUM!</v>
          </cell>
          <cell r="V145" t="e">
            <v>#NUM!</v>
          </cell>
          <cell r="W145" t="e">
            <v>#NUM!</v>
          </cell>
          <cell r="X145" t="e">
            <v>#NUM!</v>
          </cell>
          <cell r="Y145" t="e">
            <v>#NUM!</v>
          </cell>
          <cell r="Z145" t="e">
            <v>#NUM!</v>
          </cell>
        </row>
        <row r="146">
          <cell r="F146" t="e">
            <v>#NUM!</v>
          </cell>
          <cell r="G146" t="e">
            <v>#NUM!</v>
          </cell>
          <cell r="H146" t="e">
            <v>#NUM!</v>
          </cell>
          <cell r="I146" t="e">
            <v>#NUM!</v>
          </cell>
          <cell r="J146" t="e">
            <v>#NUM!</v>
          </cell>
          <cell r="K146" t="e">
            <v>#NUM!</v>
          </cell>
          <cell r="L146" t="e">
            <v>#NUM!</v>
          </cell>
          <cell r="M146" t="e">
            <v>#NUM!</v>
          </cell>
          <cell r="N146" t="e">
            <v>#NUM!</v>
          </cell>
          <cell r="O146" t="e">
            <v>#NUM!</v>
          </cell>
          <cell r="P146" t="e">
            <v>#NUM!</v>
          </cell>
          <cell r="Q146" t="e">
            <v>#NUM!</v>
          </cell>
          <cell r="R146" t="e">
            <v>#NUM!</v>
          </cell>
          <cell r="S146" t="e">
            <v>#NUM!</v>
          </cell>
          <cell r="T146" t="e">
            <v>#NUM!</v>
          </cell>
          <cell r="U146" t="e">
            <v>#NUM!</v>
          </cell>
          <cell r="V146" t="e">
            <v>#NUM!</v>
          </cell>
          <cell r="W146" t="e">
            <v>#NUM!</v>
          </cell>
          <cell r="X146" t="e">
            <v>#NUM!</v>
          </cell>
          <cell r="Y146" t="e">
            <v>#NUM!</v>
          </cell>
          <cell r="Z146" t="e">
            <v>#NUM!</v>
          </cell>
        </row>
        <row r="147">
          <cell r="F147" t="e">
            <v>#NUM!</v>
          </cell>
          <cell r="G147" t="e">
            <v>#NUM!</v>
          </cell>
          <cell r="H147" t="e">
            <v>#NUM!</v>
          </cell>
          <cell r="I147" t="e">
            <v>#NUM!</v>
          </cell>
          <cell r="J147" t="e">
            <v>#NUM!</v>
          </cell>
          <cell r="K147" t="e">
            <v>#NUM!</v>
          </cell>
          <cell r="L147" t="e">
            <v>#NUM!</v>
          </cell>
          <cell r="M147" t="e">
            <v>#NUM!</v>
          </cell>
          <cell r="N147" t="e">
            <v>#NUM!</v>
          </cell>
          <cell r="O147" t="e">
            <v>#NUM!</v>
          </cell>
          <cell r="P147" t="e">
            <v>#NUM!</v>
          </cell>
          <cell r="Q147" t="e">
            <v>#NUM!</v>
          </cell>
          <cell r="R147" t="e">
            <v>#NUM!</v>
          </cell>
          <cell r="S147" t="e">
            <v>#NUM!</v>
          </cell>
          <cell r="T147" t="e">
            <v>#NUM!</v>
          </cell>
          <cell r="U147" t="e">
            <v>#NUM!</v>
          </cell>
          <cell r="V147" t="e">
            <v>#NUM!</v>
          </cell>
          <cell r="W147" t="e">
            <v>#NUM!</v>
          </cell>
          <cell r="X147" t="e">
            <v>#NUM!</v>
          </cell>
          <cell r="Y147" t="e">
            <v>#NUM!</v>
          </cell>
          <cell r="Z147" t="e">
            <v>#NUM!</v>
          </cell>
        </row>
        <row r="148">
          <cell r="F148" t="e">
            <v>#NUM!</v>
          </cell>
          <cell r="G148" t="e">
            <v>#NUM!</v>
          </cell>
          <cell r="H148" t="e">
            <v>#NUM!</v>
          </cell>
          <cell r="I148" t="e">
            <v>#NUM!</v>
          </cell>
          <cell r="J148" t="e">
            <v>#NUM!</v>
          </cell>
          <cell r="K148" t="e">
            <v>#NUM!</v>
          </cell>
          <cell r="L148" t="e">
            <v>#NUM!</v>
          </cell>
          <cell r="M148" t="e">
            <v>#NUM!</v>
          </cell>
          <cell r="N148" t="e">
            <v>#NUM!</v>
          </cell>
          <cell r="O148" t="e">
            <v>#NUM!</v>
          </cell>
          <cell r="P148" t="e">
            <v>#NUM!</v>
          </cell>
          <cell r="Q148" t="e">
            <v>#NUM!</v>
          </cell>
          <cell r="R148" t="e">
            <v>#NUM!</v>
          </cell>
          <cell r="S148" t="e">
            <v>#NUM!</v>
          </cell>
          <cell r="T148" t="e">
            <v>#NUM!</v>
          </cell>
          <cell r="U148" t="e">
            <v>#NUM!</v>
          </cell>
          <cell r="V148" t="e">
            <v>#NUM!</v>
          </cell>
          <cell r="W148" t="e">
            <v>#NUM!</v>
          </cell>
          <cell r="X148" t="e">
            <v>#NUM!</v>
          </cell>
          <cell r="Y148" t="e">
            <v>#NUM!</v>
          </cell>
          <cell r="Z148" t="e">
            <v>#NUM!</v>
          </cell>
        </row>
      </sheetData>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v42-Gantt">
      <a:dk1>
        <a:sysClr val="windowText" lastClr="000000"/>
      </a:dk1>
      <a:lt1>
        <a:sysClr val="window" lastClr="FFFFFF"/>
      </a:lt1>
      <a:dk2>
        <a:srgbClr val="3B8741"/>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C2:P43"/>
  <sheetViews>
    <sheetView tabSelected="1" workbookViewId="0">
      <selection activeCell="J27" sqref="J27"/>
    </sheetView>
  </sheetViews>
  <sheetFormatPr defaultRowHeight="12.75"/>
  <cols>
    <col min="4" max="4" width="14.42578125" customWidth="1"/>
  </cols>
  <sheetData>
    <row r="2" spans="3:16" ht="25.5">
      <c r="C2" s="539" t="s">
        <v>171</v>
      </c>
    </row>
    <row r="4" spans="3:16" ht="20.25" thickBot="1">
      <c r="C4" s="538" t="s">
        <v>172</v>
      </c>
      <c r="D4" s="538"/>
      <c r="E4" s="541" t="s">
        <v>178</v>
      </c>
      <c r="F4" s="541"/>
      <c r="G4" s="541"/>
      <c r="H4" s="541"/>
      <c r="I4" s="541"/>
      <c r="J4" s="541"/>
      <c r="K4" s="541"/>
      <c r="L4" s="541"/>
      <c r="M4" s="541"/>
      <c r="N4" s="540"/>
      <c r="O4" s="540"/>
      <c r="P4" s="540"/>
    </row>
    <row r="5" spans="3:16" ht="19.5" thickTop="1">
      <c r="D5" s="543" t="s">
        <v>185</v>
      </c>
      <c r="E5" s="541" t="s">
        <v>182</v>
      </c>
      <c r="F5" s="541"/>
      <c r="G5" s="541"/>
      <c r="H5" s="541"/>
      <c r="I5" s="541"/>
      <c r="J5" s="541"/>
      <c r="K5" s="541"/>
      <c r="L5" s="541"/>
      <c r="M5" s="541"/>
      <c r="N5" s="540"/>
      <c r="O5" s="540"/>
      <c r="P5" s="540"/>
    </row>
    <row r="6" spans="3:16" ht="18.75">
      <c r="E6" s="541" t="s">
        <v>186</v>
      </c>
      <c r="F6" s="541"/>
      <c r="G6" s="541"/>
      <c r="H6" s="541"/>
      <c r="I6" s="541"/>
      <c r="J6" s="541"/>
      <c r="K6" s="541"/>
      <c r="L6" s="541"/>
      <c r="M6" s="541"/>
      <c r="N6" s="540"/>
      <c r="O6" s="540"/>
      <c r="P6" s="540"/>
    </row>
    <row r="7" spans="3:16" s="2" customFormat="1" ht="18.75">
      <c r="E7" s="541"/>
      <c r="F7" s="541"/>
      <c r="G7" s="541"/>
      <c r="H7" s="541"/>
      <c r="I7" s="541"/>
      <c r="J7" s="541"/>
      <c r="K7" s="541"/>
      <c r="L7" s="541"/>
      <c r="M7" s="541"/>
      <c r="N7" s="540"/>
      <c r="O7" s="540"/>
      <c r="P7" s="540"/>
    </row>
    <row r="8" spans="3:16" ht="18.75">
      <c r="E8" s="541"/>
      <c r="F8" s="541"/>
      <c r="G8" s="541"/>
      <c r="H8" s="541"/>
      <c r="I8" s="541"/>
      <c r="J8" s="541"/>
      <c r="K8" s="541"/>
      <c r="L8" s="541"/>
      <c r="M8" s="541"/>
      <c r="N8" s="540"/>
      <c r="O8" s="540"/>
      <c r="P8" s="540"/>
    </row>
    <row r="9" spans="3:16" ht="21" thickBot="1">
      <c r="C9" s="538" t="s">
        <v>173</v>
      </c>
      <c r="D9" s="538"/>
      <c r="E9" s="542" t="s">
        <v>208</v>
      </c>
      <c r="F9" s="541"/>
      <c r="G9" s="541"/>
      <c r="H9" s="541"/>
      <c r="I9" s="541"/>
      <c r="J9" s="541"/>
      <c r="K9" s="541"/>
      <c r="L9" s="541"/>
      <c r="M9" s="541"/>
      <c r="N9" s="540"/>
      <c r="O9" s="540"/>
      <c r="P9" s="540"/>
    </row>
    <row r="10" spans="3:16" ht="19.5" thickTop="1">
      <c r="E10" s="541"/>
      <c r="F10" s="541"/>
      <c r="G10" s="541"/>
      <c r="H10" s="541"/>
      <c r="I10" s="541"/>
      <c r="J10" s="541"/>
      <c r="K10" s="541"/>
      <c r="L10" s="541"/>
      <c r="M10" s="541"/>
      <c r="N10" s="540"/>
      <c r="O10" s="540"/>
      <c r="P10" s="540"/>
    </row>
    <row r="11" spans="3:16" ht="18.75">
      <c r="E11" s="541"/>
      <c r="F11" s="541"/>
      <c r="G11" s="541"/>
      <c r="H11" s="541"/>
      <c r="I11" s="541"/>
      <c r="J11" s="541"/>
      <c r="K11" s="541"/>
      <c r="L11" s="541"/>
      <c r="M11" s="541"/>
      <c r="N11" s="540"/>
      <c r="O11" s="540"/>
      <c r="P11" s="540"/>
    </row>
    <row r="12" spans="3:16" ht="20.25" thickBot="1">
      <c r="C12" s="538" t="s">
        <v>174</v>
      </c>
      <c r="D12" s="538"/>
      <c r="E12" s="541" t="s">
        <v>179</v>
      </c>
      <c r="F12" s="541"/>
      <c r="G12" s="541"/>
      <c r="H12" s="541"/>
      <c r="I12" s="541"/>
      <c r="J12" s="541"/>
      <c r="K12" s="541"/>
      <c r="L12" s="541"/>
      <c r="M12" s="541"/>
      <c r="N12" s="540"/>
      <c r="O12" s="540"/>
      <c r="P12" s="540"/>
    </row>
    <row r="13" spans="3:16" ht="19.5" thickTop="1">
      <c r="D13" s="543" t="s">
        <v>191</v>
      </c>
      <c r="E13" s="541" t="s">
        <v>187</v>
      </c>
      <c r="F13" s="541"/>
      <c r="G13" s="541"/>
      <c r="H13" s="541"/>
      <c r="I13" s="541"/>
      <c r="J13" s="541"/>
      <c r="K13" s="541"/>
      <c r="L13" s="541"/>
      <c r="M13" s="541"/>
      <c r="N13" s="540"/>
      <c r="O13" s="540"/>
      <c r="P13" s="540"/>
    </row>
    <row r="14" spans="3:16" ht="18.75">
      <c r="E14" s="541" t="s">
        <v>188</v>
      </c>
      <c r="F14" s="541"/>
      <c r="G14" s="541"/>
      <c r="H14" s="541"/>
      <c r="I14" s="541"/>
      <c r="J14" s="541"/>
      <c r="K14" s="541"/>
      <c r="L14" s="541"/>
      <c r="M14" s="541"/>
      <c r="N14" s="540"/>
      <c r="O14" s="540"/>
      <c r="P14" s="540"/>
    </row>
    <row r="15" spans="3:16" s="2" customFormat="1" ht="18.75">
      <c r="E15" s="541" t="s">
        <v>189</v>
      </c>
      <c r="F15" s="541"/>
      <c r="G15" s="541"/>
      <c r="H15" s="541"/>
      <c r="I15" s="541"/>
      <c r="J15" s="541"/>
      <c r="K15" s="541"/>
      <c r="L15" s="541"/>
      <c r="M15" s="541"/>
      <c r="N15" s="540"/>
      <c r="O15" s="540"/>
      <c r="P15" s="540"/>
    </row>
    <row r="16" spans="3:16" s="2" customFormat="1" ht="18.75">
      <c r="E16" s="541" t="s">
        <v>190</v>
      </c>
      <c r="F16" s="541"/>
      <c r="G16" s="541"/>
      <c r="H16" s="541"/>
      <c r="I16" s="541"/>
      <c r="J16" s="541"/>
      <c r="K16" s="541"/>
      <c r="L16" s="541"/>
      <c r="M16" s="541"/>
      <c r="N16" s="540"/>
      <c r="O16" s="540"/>
      <c r="P16" s="540"/>
    </row>
    <row r="17" spans="3:16" s="2" customFormat="1" ht="18.75">
      <c r="E17" s="541"/>
      <c r="F17" s="541"/>
      <c r="G17" s="541"/>
      <c r="H17" s="541"/>
      <c r="I17" s="541"/>
      <c r="J17" s="541"/>
      <c r="K17" s="541"/>
      <c r="L17" s="541"/>
      <c r="M17" s="541"/>
      <c r="N17" s="540"/>
      <c r="O17" s="540"/>
      <c r="P17" s="540"/>
    </row>
    <row r="18" spans="3:16" s="2" customFormat="1" ht="18.75">
      <c r="E18" s="541"/>
      <c r="F18" s="541"/>
      <c r="G18" s="541"/>
      <c r="H18" s="541"/>
      <c r="I18" s="541"/>
      <c r="J18" s="541"/>
      <c r="K18" s="541"/>
      <c r="L18" s="541"/>
      <c r="M18" s="541"/>
      <c r="N18" s="540"/>
      <c r="O18" s="540"/>
      <c r="P18" s="540"/>
    </row>
    <row r="19" spans="3:16" ht="20.25" thickBot="1">
      <c r="C19" s="538" t="s">
        <v>175</v>
      </c>
      <c r="D19" s="538"/>
      <c r="E19" s="541" t="s">
        <v>180</v>
      </c>
      <c r="F19" s="541"/>
      <c r="G19" s="541"/>
      <c r="H19" s="541"/>
      <c r="I19" s="541"/>
      <c r="J19" s="541"/>
      <c r="K19" s="541"/>
      <c r="L19" s="541"/>
      <c r="M19" s="541"/>
      <c r="N19" s="540"/>
      <c r="O19" s="540"/>
      <c r="P19" s="540"/>
    </row>
    <row r="20" spans="3:16" ht="19.5" thickTop="1">
      <c r="D20" s="543" t="s">
        <v>192</v>
      </c>
      <c r="E20" s="541" t="s">
        <v>193</v>
      </c>
      <c r="F20" s="541"/>
      <c r="G20" s="541"/>
      <c r="H20" s="541"/>
      <c r="I20" s="541"/>
      <c r="J20" s="541"/>
      <c r="K20" s="541"/>
      <c r="L20" s="541"/>
      <c r="M20" s="541"/>
      <c r="N20" s="540"/>
      <c r="O20" s="540"/>
      <c r="P20" s="540"/>
    </row>
    <row r="21" spans="3:16" s="2" customFormat="1" ht="18.75">
      <c r="E21" s="541" t="s">
        <v>201</v>
      </c>
      <c r="F21" s="541"/>
      <c r="G21" s="541"/>
      <c r="H21" s="541"/>
      <c r="I21" s="541"/>
      <c r="J21" s="541"/>
      <c r="K21" s="541"/>
      <c r="L21" s="541"/>
      <c r="M21" s="541"/>
      <c r="N21" s="540"/>
      <c r="O21" s="540"/>
      <c r="P21" s="540"/>
    </row>
    <row r="22" spans="3:16" s="2" customFormat="1" ht="18.75">
      <c r="E22" s="541"/>
      <c r="F22" s="541"/>
      <c r="G22" s="541"/>
      <c r="H22" s="541"/>
      <c r="I22" s="541"/>
      <c r="J22" s="541"/>
      <c r="K22" s="541"/>
      <c r="L22" s="541"/>
      <c r="M22" s="541"/>
      <c r="N22" s="540"/>
      <c r="O22" s="540"/>
      <c r="P22" s="540"/>
    </row>
    <row r="23" spans="3:16" s="2" customFormat="1" ht="18.75">
      <c r="E23" s="541"/>
      <c r="F23" s="541"/>
      <c r="G23" s="541"/>
      <c r="H23" s="541"/>
      <c r="I23" s="541"/>
      <c r="J23" s="541"/>
      <c r="K23" s="541"/>
      <c r="L23" s="541"/>
      <c r="M23" s="541"/>
      <c r="N23" s="540"/>
      <c r="O23" s="540"/>
      <c r="P23" s="540"/>
    </row>
    <row r="24" spans="3:16" ht="20.25" thickBot="1">
      <c r="C24" s="538" t="s">
        <v>176</v>
      </c>
      <c r="D24" s="538"/>
      <c r="E24" s="541" t="s">
        <v>196</v>
      </c>
      <c r="F24" s="541"/>
      <c r="G24" s="541"/>
      <c r="H24" s="541"/>
      <c r="I24" s="541"/>
      <c r="J24" s="541"/>
      <c r="K24" s="541"/>
      <c r="L24" s="541"/>
      <c r="M24" s="541"/>
      <c r="N24" s="540"/>
      <c r="O24" s="540"/>
      <c r="P24" s="540"/>
    </row>
    <row r="25" spans="3:16" ht="19.5" thickTop="1">
      <c r="D25" s="543" t="s">
        <v>194</v>
      </c>
      <c r="E25" s="541" t="s">
        <v>195</v>
      </c>
      <c r="F25" s="541"/>
      <c r="G25" s="541"/>
      <c r="H25" s="541"/>
      <c r="I25" s="541"/>
      <c r="J25" s="541"/>
      <c r="K25" s="541"/>
      <c r="L25" s="541"/>
      <c r="M25" s="541"/>
      <c r="N25" s="540"/>
      <c r="O25" s="540"/>
      <c r="P25" s="540"/>
    </row>
    <row r="26" spans="3:16" ht="18.75">
      <c r="D26" s="2"/>
      <c r="E26" s="541" t="s">
        <v>183</v>
      </c>
      <c r="F26" s="541"/>
      <c r="G26" s="541"/>
      <c r="H26" s="541"/>
      <c r="I26" s="541"/>
      <c r="J26" s="541"/>
      <c r="K26" s="541"/>
      <c r="L26" s="541"/>
      <c r="M26" s="541"/>
      <c r="N26" s="540"/>
      <c r="O26" s="540"/>
      <c r="P26" s="540"/>
    </row>
    <row r="27" spans="3:16" s="2" customFormat="1" ht="18.75">
      <c r="E27" s="541"/>
      <c r="F27" s="541"/>
      <c r="G27" s="541"/>
      <c r="H27" s="541"/>
      <c r="I27" s="541"/>
      <c r="J27" s="541"/>
      <c r="K27" s="541"/>
      <c r="L27" s="541"/>
      <c r="M27" s="541"/>
      <c r="N27" s="540"/>
      <c r="O27" s="540"/>
      <c r="P27" s="540"/>
    </row>
    <row r="28" spans="3:16" s="2" customFormat="1" ht="18.75">
      <c r="E28" s="541"/>
      <c r="F28" s="541"/>
      <c r="G28" s="541"/>
      <c r="H28" s="541"/>
      <c r="I28" s="541"/>
      <c r="J28" s="541"/>
      <c r="K28" s="541"/>
      <c r="L28" s="541"/>
      <c r="M28" s="541"/>
      <c r="N28" s="540"/>
      <c r="O28" s="540"/>
      <c r="P28" s="540"/>
    </row>
    <row r="29" spans="3:16" ht="20.25" thickBot="1">
      <c r="C29" s="538" t="s">
        <v>139</v>
      </c>
      <c r="D29" s="538"/>
      <c r="E29" s="541" t="s">
        <v>184</v>
      </c>
      <c r="F29" s="541"/>
      <c r="G29" s="541"/>
      <c r="H29" s="541"/>
      <c r="I29" s="541"/>
      <c r="J29" s="541"/>
      <c r="K29" s="541"/>
      <c r="L29" s="541"/>
      <c r="M29" s="541"/>
      <c r="N29" s="540"/>
      <c r="O29" s="540"/>
      <c r="P29" s="540"/>
    </row>
    <row r="30" spans="3:16" ht="19.5" thickTop="1">
      <c r="D30" s="543" t="s">
        <v>197</v>
      </c>
      <c r="E30" s="541" t="s">
        <v>198</v>
      </c>
      <c r="F30" s="541"/>
      <c r="G30" s="541"/>
      <c r="H30" s="541"/>
      <c r="I30" s="541"/>
      <c r="J30" s="541"/>
      <c r="K30" s="541"/>
      <c r="L30" s="541"/>
      <c r="M30" s="541"/>
      <c r="N30" s="540"/>
      <c r="O30" s="540"/>
      <c r="P30" s="540"/>
    </row>
    <row r="31" spans="3:16" s="2" customFormat="1" ht="18.75">
      <c r="C31" s="3"/>
      <c r="E31" s="541" t="s">
        <v>199</v>
      </c>
      <c r="F31" s="541"/>
      <c r="G31" s="541"/>
      <c r="H31" s="541"/>
      <c r="I31" s="541"/>
      <c r="J31" s="541"/>
      <c r="K31" s="541"/>
      <c r="L31" s="541"/>
      <c r="M31" s="541"/>
      <c r="N31" s="540"/>
      <c r="O31" s="540"/>
      <c r="P31" s="540"/>
    </row>
    <row r="32" spans="3:16" s="2" customFormat="1" ht="18.75">
      <c r="C32" s="3"/>
      <c r="E32" s="541" t="s">
        <v>200</v>
      </c>
      <c r="F32" s="541"/>
      <c r="G32" s="541"/>
      <c r="H32" s="541"/>
      <c r="I32" s="541"/>
      <c r="J32" s="541"/>
      <c r="K32" s="541"/>
      <c r="L32" s="541"/>
      <c r="M32" s="541"/>
      <c r="N32" s="540"/>
      <c r="O32" s="540"/>
      <c r="P32" s="540"/>
    </row>
    <row r="33" spans="3:16" ht="18.75">
      <c r="E33" s="541" t="s">
        <v>202</v>
      </c>
      <c r="F33" s="541"/>
      <c r="G33" s="541"/>
      <c r="H33" s="541"/>
      <c r="I33" s="541"/>
      <c r="J33" s="541"/>
      <c r="K33" s="541"/>
      <c r="L33" s="541"/>
      <c r="M33" s="541"/>
      <c r="N33" s="540"/>
      <c r="O33" s="540"/>
      <c r="P33" s="540"/>
    </row>
    <row r="34" spans="3:16" ht="15.75">
      <c r="E34" s="540"/>
      <c r="F34" s="540"/>
      <c r="G34" s="540"/>
      <c r="H34" s="540"/>
      <c r="I34" s="540"/>
      <c r="J34" s="540"/>
      <c r="K34" s="540"/>
      <c r="L34" s="540"/>
      <c r="M34" s="540"/>
      <c r="N34" s="540"/>
      <c r="O34" s="540"/>
      <c r="P34" s="540"/>
    </row>
    <row r="35" spans="3:16" s="2" customFormat="1" ht="15.75">
      <c r="E35" s="540"/>
      <c r="F35" s="540"/>
      <c r="G35" s="540"/>
      <c r="H35" s="540"/>
      <c r="I35" s="540"/>
      <c r="J35" s="540"/>
      <c r="K35" s="540"/>
      <c r="L35" s="540"/>
      <c r="M35" s="540"/>
      <c r="N35" s="540"/>
      <c r="O35" s="540"/>
      <c r="P35" s="540"/>
    </row>
    <row r="36" spans="3:16" ht="20.25" thickBot="1">
      <c r="C36" s="538" t="s">
        <v>177</v>
      </c>
      <c r="D36" s="538"/>
      <c r="E36" s="540" t="s">
        <v>181</v>
      </c>
      <c r="F36" s="540"/>
      <c r="G36" s="540"/>
      <c r="H36" s="540"/>
      <c r="I36" s="540"/>
      <c r="J36" s="540"/>
      <c r="K36" s="540"/>
      <c r="L36" s="540"/>
      <c r="M36" s="540"/>
      <c r="N36" s="540"/>
      <c r="O36" s="540"/>
      <c r="P36" s="540"/>
    </row>
    <row r="37" spans="3:16" ht="19.5" thickTop="1">
      <c r="D37" s="543" t="s">
        <v>203</v>
      </c>
      <c r="E37" s="540" t="s">
        <v>204</v>
      </c>
      <c r="F37" s="540"/>
      <c r="G37" s="540"/>
      <c r="H37" s="540"/>
      <c r="I37" s="540"/>
      <c r="J37" s="540"/>
      <c r="K37" s="540"/>
      <c r="L37" s="540"/>
      <c r="M37" s="540"/>
      <c r="N37" s="540"/>
      <c r="O37" s="540"/>
      <c r="P37" s="540"/>
    </row>
    <row r="38" spans="3:16" ht="15.75">
      <c r="E38" s="540" t="s">
        <v>205</v>
      </c>
      <c r="F38" s="540"/>
      <c r="G38" s="540"/>
      <c r="H38" s="540"/>
      <c r="I38" s="540"/>
      <c r="J38" s="540"/>
      <c r="K38" s="540"/>
      <c r="L38" s="540"/>
      <c r="M38" s="540"/>
      <c r="N38" s="540"/>
      <c r="O38" s="540"/>
      <c r="P38" s="540"/>
    </row>
    <row r="39" spans="3:16" ht="15.75">
      <c r="E39" s="540" t="s">
        <v>206</v>
      </c>
      <c r="F39" s="540"/>
      <c r="G39" s="540"/>
      <c r="H39" s="540"/>
      <c r="I39" s="540"/>
      <c r="J39" s="540"/>
      <c r="K39" s="540"/>
      <c r="L39" s="540"/>
      <c r="M39" s="540"/>
      <c r="N39" s="540"/>
      <c r="O39" s="540"/>
      <c r="P39" s="540"/>
    </row>
    <row r="40" spans="3:16" ht="15.75">
      <c r="E40" s="540" t="s">
        <v>207</v>
      </c>
      <c r="F40" s="540"/>
      <c r="G40" s="540"/>
      <c r="H40" s="540"/>
      <c r="I40" s="540"/>
      <c r="J40" s="540"/>
      <c r="K40" s="540"/>
      <c r="L40" s="540"/>
      <c r="M40" s="540"/>
      <c r="N40" s="540"/>
      <c r="O40" s="540"/>
      <c r="P40" s="540"/>
    </row>
    <row r="41" spans="3:16" ht="15.75">
      <c r="E41" s="540"/>
      <c r="F41" s="540"/>
      <c r="G41" s="540"/>
      <c r="H41" s="540"/>
      <c r="I41" s="540"/>
      <c r="J41" s="540"/>
      <c r="K41" s="540"/>
      <c r="L41" s="540"/>
      <c r="M41" s="540"/>
      <c r="N41" s="540"/>
      <c r="O41" s="540"/>
      <c r="P41" s="540"/>
    </row>
    <row r="42" spans="3:16" ht="15.75">
      <c r="E42" s="540"/>
      <c r="F42" s="540"/>
      <c r="G42" s="540"/>
      <c r="H42" s="540"/>
      <c r="I42" s="540"/>
      <c r="J42" s="540"/>
      <c r="K42" s="540"/>
      <c r="L42" s="540"/>
      <c r="M42" s="540"/>
      <c r="N42" s="540"/>
      <c r="O42" s="540"/>
      <c r="P42" s="540"/>
    </row>
    <row r="43" spans="3:16" ht="15.75">
      <c r="E43" s="540"/>
      <c r="F43" s="540"/>
      <c r="G43" s="540"/>
      <c r="H43" s="540"/>
      <c r="I43" s="540"/>
      <c r="J43" s="540"/>
      <c r="K43" s="540"/>
      <c r="L43" s="540"/>
      <c r="M43" s="540"/>
      <c r="N43" s="540"/>
      <c r="O43" s="540"/>
      <c r="P43" s="5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520"/>
  <sheetViews>
    <sheetView topLeftCell="B1" workbookViewId="0">
      <selection activeCell="B2" sqref="B2"/>
    </sheetView>
  </sheetViews>
  <sheetFormatPr defaultRowHeight="15"/>
  <cols>
    <col min="1" max="1" width="9.140625" style="20" hidden="1" customWidth="1"/>
    <col min="2" max="2" width="12.85546875" style="20" customWidth="1"/>
    <col min="3" max="3" width="35" style="20" customWidth="1"/>
    <col min="4" max="4" width="28.7109375" style="20" customWidth="1"/>
    <col min="5" max="5" width="24" style="20" customWidth="1"/>
    <col min="6" max="6" width="12" style="20" customWidth="1"/>
    <col min="7" max="7" width="14.7109375" style="20" customWidth="1"/>
    <col min="8" max="8" width="12.5703125" style="20" customWidth="1"/>
    <col min="9" max="9" width="11.85546875" style="20" customWidth="1"/>
    <col min="10" max="10" width="9.140625" style="559"/>
    <col min="11" max="11" width="8.5703125" style="20" customWidth="1"/>
    <col min="12" max="14" width="9.140625" style="20"/>
    <col min="15" max="15" width="12.85546875" style="20" hidden="1" customWidth="1"/>
    <col min="16" max="18" width="0" style="20" hidden="1" customWidth="1"/>
    <col min="19" max="19" width="11.140625" style="20" hidden="1" customWidth="1"/>
    <col min="20" max="20" width="9.140625" style="20"/>
    <col min="21" max="21" width="12.28515625" style="20" hidden="1" customWidth="1"/>
    <col min="22" max="22" width="9.140625" style="20"/>
    <col min="23" max="24" width="0" style="54" hidden="1" customWidth="1"/>
    <col min="25" max="26" width="4.28515625" style="138" customWidth="1"/>
    <col min="27" max="31" width="11.140625" style="54" customWidth="1"/>
    <col min="32" max="34" width="9.140625" style="54"/>
    <col min="35" max="35" width="9.140625" style="20"/>
    <col min="36" max="47" width="15" style="20" hidden="1" customWidth="1"/>
    <col min="48" max="16384" width="9.140625" style="20"/>
  </cols>
  <sheetData>
    <row r="1" spans="1:47" ht="31.5" customHeight="1">
      <c r="A1" s="20">
        <v>1</v>
      </c>
      <c r="B1" s="563" t="s">
        <v>0</v>
      </c>
      <c r="C1" s="563" t="s">
        <v>1</v>
      </c>
      <c r="D1" s="563" t="s">
        <v>21</v>
      </c>
      <c r="E1" s="563" t="s">
        <v>22</v>
      </c>
      <c r="F1" s="563" t="s">
        <v>23</v>
      </c>
      <c r="G1" s="563" t="s">
        <v>24</v>
      </c>
      <c r="H1" s="563" t="s">
        <v>25</v>
      </c>
      <c r="I1" s="563" t="s">
        <v>2</v>
      </c>
      <c r="J1" s="565" t="s">
        <v>3</v>
      </c>
      <c r="K1" s="566" t="s">
        <v>10</v>
      </c>
      <c r="L1" s="566" t="s">
        <v>4</v>
      </c>
      <c r="M1" s="566" t="s">
        <v>5</v>
      </c>
      <c r="N1" s="566" t="s">
        <v>6</v>
      </c>
      <c r="O1" s="567" t="s">
        <v>26</v>
      </c>
      <c r="P1" s="567" t="s">
        <v>27</v>
      </c>
      <c r="Q1" s="567" t="s">
        <v>28</v>
      </c>
      <c r="R1" s="567" t="s">
        <v>29</v>
      </c>
      <c r="S1" s="567" t="s">
        <v>30</v>
      </c>
      <c r="T1" s="566" t="s">
        <v>31</v>
      </c>
      <c r="U1" s="567" t="s">
        <v>14</v>
      </c>
      <c r="V1" s="563" t="s">
        <v>32</v>
      </c>
      <c r="W1" s="53" t="s">
        <v>33</v>
      </c>
      <c r="X1" s="53" t="s">
        <v>34</v>
      </c>
      <c r="Y1" s="137"/>
      <c r="Z1" s="137"/>
      <c r="AA1" s="135"/>
      <c r="AB1" s="135"/>
      <c r="AC1" s="135"/>
      <c r="AD1" s="135"/>
      <c r="AE1" s="135"/>
      <c r="AF1" s="135"/>
      <c r="AG1" s="135"/>
      <c r="AH1" s="135"/>
      <c r="AJ1" s="120" t="s">
        <v>84</v>
      </c>
      <c r="AK1" s="24" t="s">
        <v>35</v>
      </c>
      <c r="AL1" s="24" t="s">
        <v>36</v>
      </c>
      <c r="AM1" s="24" t="s">
        <v>37</v>
      </c>
      <c r="AN1" s="24" t="s">
        <v>38</v>
      </c>
      <c r="AO1" s="24" t="s">
        <v>39</v>
      </c>
      <c r="AP1" s="24" t="s">
        <v>40</v>
      </c>
      <c r="AQ1" s="24" t="s">
        <v>41</v>
      </c>
      <c r="AR1" s="24" t="s">
        <v>42</v>
      </c>
      <c r="AS1" s="24" t="s">
        <v>43</v>
      </c>
      <c r="AT1" s="24" t="s">
        <v>44</v>
      </c>
      <c r="AU1" s="24" t="s">
        <v>45</v>
      </c>
    </row>
    <row r="2" spans="1:47">
      <c r="A2" s="20">
        <f>IF(F2=F1,A1,A1+1)</f>
        <v>2</v>
      </c>
      <c r="B2" s="564"/>
      <c r="C2" s="564"/>
      <c r="D2" s="564"/>
      <c r="E2" s="564"/>
      <c r="F2" s="568"/>
      <c r="G2" s="568"/>
      <c r="H2" s="564"/>
      <c r="I2" s="568"/>
      <c r="J2" s="564"/>
      <c r="K2" s="564"/>
      <c r="L2" s="569"/>
      <c r="M2" s="569"/>
      <c r="N2" s="569"/>
      <c r="O2" s="570"/>
      <c r="P2" s="564"/>
      <c r="Q2" s="564"/>
      <c r="R2" s="569"/>
      <c r="S2" s="569"/>
      <c r="T2" s="564"/>
      <c r="U2" s="564"/>
      <c r="V2" s="564"/>
      <c r="W2" s="54">
        <f>IF(J2="pf", L2, 0)</f>
        <v>0</v>
      </c>
      <c r="X2" s="54">
        <f>IF(J2&lt;&gt;"PF", L2, 0)</f>
        <v>0</v>
      </c>
      <c r="AA2" s="572" t="s">
        <v>92</v>
      </c>
      <c r="AB2" s="573"/>
      <c r="AC2" s="573"/>
      <c r="AD2" s="573"/>
      <c r="AE2" s="574"/>
      <c r="AJ2" s="20" t="b">
        <f t="shared" ref="AJ2:AJ65" si="0">IF(AND(A2=2, J2="PF", T2="YES", V2="A"), L2)</f>
        <v>0</v>
      </c>
      <c r="AK2" s="20" t="b">
        <f t="shared" ref="AK2:AK65" si="1">IF(AND(A2=3, J2="PF", T2="YES", V2="A"), L2)</f>
        <v>0</v>
      </c>
      <c r="AL2" s="20" t="b">
        <f t="shared" ref="AL2:AL65" si="2">IF(AND(A2=4, J2="PF", T2="YES", V2="A"), L2)</f>
        <v>0</v>
      </c>
      <c r="AM2" s="20" t="b">
        <f t="shared" ref="AM2:AM65" si="3">IF(AND(A2=5, J2="PF", T2="YES", V2="A"), L2)</f>
        <v>0</v>
      </c>
      <c r="AN2" s="20" t="b">
        <f t="shared" ref="AN2:AN65" si="4">IF(AND(A2=6, J2="PF", T2="YES", V2="A"), L2)</f>
        <v>0</v>
      </c>
      <c r="AO2" s="20" t="b">
        <f t="shared" ref="AO2:AO65" si="5">IF(AND(A2=7, J2="PF", T2="YES", V2="A"), L2)</f>
        <v>0</v>
      </c>
      <c r="AP2" s="20" t="b">
        <f t="shared" ref="AP2:AP65" si="6">IF(AND(A2=8, J2="PF", T2="YES", V2="A"), L2)</f>
        <v>0</v>
      </c>
      <c r="AQ2" s="20" t="b">
        <f t="shared" ref="AQ2:AQ65" si="7">IF(AND(A2=9, J2="PF", T2="YES", V2="A"), L2)</f>
        <v>0</v>
      </c>
      <c r="AR2" s="20" t="b">
        <f t="shared" ref="AR2:AR65" si="8">IF(AND(A2=10, J2="PF", T2="YES", V2="A"), L2)</f>
        <v>0</v>
      </c>
      <c r="AS2" s="20" t="b">
        <f t="shared" ref="AS2:AS65" si="9">IF(AND(A2=11, J2="PF", T2="YES", V2="A"), L2)</f>
        <v>0</v>
      </c>
      <c r="AT2" s="20" t="b">
        <f t="shared" ref="AT2:AT65" si="10">IF(AND(A2=12, J2="PF", T2="YES", V2="A"), L2)</f>
        <v>0</v>
      </c>
      <c r="AU2" s="20" t="b">
        <f t="shared" ref="AU2:AU65" si="11">IF(AND(A2=13, J2="PF", T2="YES", V2="A"), L2)</f>
        <v>0</v>
      </c>
    </row>
    <row r="3" spans="1:47">
      <c r="A3" s="20">
        <f t="shared" ref="A3:A66" si="12">IF(F3=F2,A2,A2+1)</f>
        <v>2</v>
      </c>
      <c r="B3" s="564"/>
      <c r="C3" s="564"/>
      <c r="D3" s="564"/>
      <c r="E3" s="564"/>
      <c r="F3" s="568"/>
      <c r="G3" s="571"/>
      <c r="H3" s="564"/>
      <c r="I3" s="568"/>
      <c r="J3" s="564"/>
      <c r="K3" s="564"/>
      <c r="L3" s="569"/>
      <c r="M3" s="569"/>
      <c r="N3" s="569"/>
      <c r="O3" s="570"/>
      <c r="P3" s="564"/>
      <c r="Q3" s="564"/>
      <c r="R3" s="569"/>
      <c r="S3" s="569"/>
      <c r="T3" s="564"/>
      <c r="U3" s="564"/>
      <c r="V3" s="564"/>
      <c r="W3" s="54">
        <f t="shared" ref="W3:W66" si="13">IF(J3="pf", L3, 0)</f>
        <v>0</v>
      </c>
      <c r="X3" s="54">
        <f t="shared" ref="X3:X66" si="14">IF(J3&lt;&gt;"PF", L3, 0)</f>
        <v>0</v>
      </c>
      <c r="AA3" s="139">
        <f>VLOOKUP(2,'Prod. SCHED'!$A$2:$F$505,6,FALSE)</f>
        <v>0</v>
      </c>
      <c r="AB3" s="140">
        <f>VLOOKUP(3,'Prod. SCHED'!$A$2:$F$505,6,FALSE)</f>
        <v>42443</v>
      </c>
      <c r="AC3" s="141">
        <f>VLOOKUP(4,'Prod. SCHED'!$A$2:$F$505,6,FALSE)</f>
        <v>42450</v>
      </c>
      <c r="AD3" s="142">
        <f>VLOOKUP(5,'Prod. SCHED'!$A$2:$F$505,6,FALSE)</f>
        <v>42457</v>
      </c>
      <c r="AE3" s="143">
        <f>VLOOKUP(6,'Prod. SCHED'!$A$2:$F$505,6,FALSE)</f>
        <v>42464</v>
      </c>
      <c r="AJ3" s="20" t="b">
        <f t="shared" si="0"/>
        <v>0</v>
      </c>
      <c r="AK3" s="20" t="b">
        <f t="shared" si="1"/>
        <v>0</v>
      </c>
      <c r="AL3" s="20" t="b">
        <f t="shared" si="2"/>
        <v>0</v>
      </c>
      <c r="AM3" s="20" t="b">
        <f t="shared" si="3"/>
        <v>0</v>
      </c>
      <c r="AN3" s="20" t="b">
        <f t="shared" si="4"/>
        <v>0</v>
      </c>
      <c r="AO3" s="20" t="b">
        <f t="shared" si="5"/>
        <v>0</v>
      </c>
      <c r="AP3" s="20" t="b">
        <f t="shared" si="6"/>
        <v>0</v>
      </c>
      <c r="AQ3" s="20" t="b">
        <f t="shared" si="7"/>
        <v>0</v>
      </c>
      <c r="AR3" s="20" t="b">
        <f t="shared" si="8"/>
        <v>0</v>
      </c>
      <c r="AS3" s="20" t="b">
        <f t="shared" si="9"/>
        <v>0</v>
      </c>
      <c r="AT3" s="20" t="b">
        <f t="shared" si="10"/>
        <v>0</v>
      </c>
      <c r="AU3" s="20" t="b">
        <f t="shared" si="11"/>
        <v>0</v>
      </c>
    </row>
    <row r="4" spans="1:47">
      <c r="A4" s="20">
        <f t="shared" si="12"/>
        <v>2</v>
      </c>
      <c r="B4" s="564"/>
      <c r="C4" s="564"/>
      <c r="D4" s="564"/>
      <c r="E4" s="564"/>
      <c r="F4" s="568"/>
      <c r="G4" s="568"/>
      <c r="H4" s="564"/>
      <c r="I4" s="568"/>
      <c r="J4" s="564"/>
      <c r="K4" s="564"/>
      <c r="L4" s="569"/>
      <c r="M4" s="569"/>
      <c r="N4" s="569"/>
      <c r="O4" s="570"/>
      <c r="P4" s="564"/>
      <c r="Q4" s="564"/>
      <c r="R4" s="569"/>
      <c r="S4" s="569"/>
      <c r="T4" s="564"/>
      <c r="U4" s="564"/>
      <c r="V4" s="564"/>
      <c r="W4" s="54">
        <f t="shared" si="13"/>
        <v>0</v>
      </c>
      <c r="X4" s="54">
        <f t="shared" si="14"/>
        <v>0</v>
      </c>
      <c r="AA4" s="145">
        <f>SUMIFS(L:L,A:A,2)-MOVEMENT!Z7</f>
        <v>0</v>
      </c>
      <c r="AB4" s="146">
        <f>SUMIFS(L:L,A:A,3)-MOVEMENT!AA7</f>
        <v>36834</v>
      </c>
      <c r="AC4" s="147">
        <f>SUMIFS(L:L,A:A,4)-MOVEMENT!AB7</f>
        <v>83410</v>
      </c>
      <c r="AD4" s="148">
        <f>SUMIFS(L:L,A:A,5)-MOVEMENT!AC7</f>
        <v>56115</v>
      </c>
      <c r="AE4" s="149">
        <f>SUMIFS(L:L,A:A,6)-MOVEMENT!AD7</f>
        <v>16365</v>
      </c>
      <c r="AF4" s="54" t="s">
        <v>89</v>
      </c>
      <c r="AJ4" s="20" t="b">
        <f t="shared" si="0"/>
        <v>0</v>
      </c>
      <c r="AK4" s="20" t="b">
        <f t="shared" si="1"/>
        <v>0</v>
      </c>
      <c r="AL4" s="20" t="b">
        <f t="shared" si="2"/>
        <v>0</v>
      </c>
      <c r="AM4" s="20" t="b">
        <f t="shared" si="3"/>
        <v>0</v>
      </c>
      <c r="AN4" s="20" t="b">
        <f t="shared" si="4"/>
        <v>0</v>
      </c>
      <c r="AO4" s="20" t="b">
        <f t="shared" si="5"/>
        <v>0</v>
      </c>
      <c r="AP4" s="20" t="b">
        <f t="shared" si="6"/>
        <v>0</v>
      </c>
      <c r="AQ4" s="20" t="b">
        <f t="shared" si="7"/>
        <v>0</v>
      </c>
      <c r="AR4" s="20" t="b">
        <f t="shared" si="8"/>
        <v>0</v>
      </c>
      <c r="AS4" s="20" t="b">
        <f t="shared" si="9"/>
        <v>0</v>
      </c>
      <c r="AT4" s="20" t="b">
        <f t="shared" si="10"/>
        <v>0</v>
      </c>
      <c r="AU4" s="20" t="b">
        <f t="shared" si="11"/>
        <v>0</v>
      </c>
    </row>
    <row r="5" spans="1:47">
      <c r="A5" s="20">
        <f>IF(F5=F4,A4,A4+1)</f>
        <v>2</v>
      </c>
      <c r="B5" s="564"/>
      <c r="C5" s="564"/>
      <c r="D5" s="564"/>
      <c r="E5" s="564"/>
      <c r="F5" s="568"/>
      <c r="G5" s="568"/>
      <c r="H5" s="564"/>
      <c r="I5" s="568"/>
      <c r="J5" s="564"/>
      <c r="K5" s="564"/>
      <c r="L5" s="569"/>
      <c r="M5" s="569"/>
      <c r="N5" s="569"/>
      <c r="O5" s="570"/>
      <c r="P5" s="564"/>
      <c r="Q5" s="564"/>
      <c r="R5" s="569"/>
      <c r="S5" s="569"/>
      <c r="T5" s="564"/>
      <c r="U5" s="564"/>
      <c r="V5" s="564"/>
      <c r="W5" s="54">
        <f t="shared" si="13"/>
        <v>0</v>
      </c>
      <c r="X5" s="54">
        <f t="shared" si="14"/>
        <v>0</v>
      </c>
      <c r="AA5" s="144"/>
      <c r="AB5" s="144"/>
      <c r="AC5" s="144"/>
      <c r="AD5" s="144"/>
      <c r="AE5" s="144"/>
      <c r="AJ5" s="20" t="b">
        <f t="shared" si="0"/>
        <v>0</v>
      </c>
      <c r="AK5" s="20" t="b">
        <f t="shared" si="1"/>
        <v>0</v>
      </c>
      <c r="AL5" s="20" t="b">
        <f t="shared" si="2"/>
        <v>0</v>
      </c>
      <c r="AM5" s="20" t="b">
        <f t="shared" si="3"/>
        <v>0</v>
      </c>
      <c r="AN5" s="20" t="b">
        <f t="shared" si="4"/>
        <v>0</v>
      </c>
      <c r="AO5" s="20" t="b">
        <f t="shared" si="5"/>
        <v>0</v>
      </c>
      <c r="AP5" s="20" t="b">
        <f t="shared" si="6"/>
        <v>0</v>
      </c>
      <c r="AQ5" s="20" t="b">
        <f t="shared" si="7"/>
        <v>0</v>
      </c>
      <c r="AR5" s="20" t="b">
        <f t="shared" si="8"/>
        <v>0</v>
      </c>
      <c r="AS5" s="20" t="b">
        <f t="shared" si="9"/>
        <v>0</v>
      </c>
      <c r="AT5" s="20" t="b">
        <f t="shared" si="10"/>
        <v>0</v>
      </c>
      <c r="AU5" s="20" t="b">
        <f t="shared" si="11"/>
        <v>0</v>
      </c>
    </row>
    <row r="6" spans="1:47">
      <c r="B6" s="564"/>
      <c r="C6" s="564"/>
      <c r="D6" s="564"/>
      <c r="E6" s="564"/>
      <c r="F6" s="568"/>
      <c r="G6" s="568"/>
      <c r="H6" s="564"/>
      <c r="I6" s="568"/>
      <c r="J6" s="564"/>
      <c r="K6" s="564"/>
      <c r="L6" s="569"/>
      <c r="M6" s="569"/>
      <c r="N6" s="569"/>
      <c r="O6" s="570"/>
      <c r="P6" s="564"/>
      <c r="Q6" s="564"/>
      <c r="R6" s="569"/>
      <c r="S6" s="569"/>
      <c r="T6" s="564"/>
      <c r="U6" s="564"/>
      <c r="V6" s="564"/>
      <c r="W6" s="54">
        <f t="shared" si="13"/>
        <v>0</v>
      </c>
      <c r="X6" s="54">
        <f t="shared" si="14"/>
        <v>0</v>
      </c>
      <c r="AA6" s="144"/>
      <c r="AB6" s="144"/>
      <c r="AC6" s="144"/>
      <c r="AD6" s="144"/>
      <c r="AE6" s="144"/>
      <c r="AJ6" s="20" t="b">
        <f t="shared" si="0"/>
        <v>0</v>
      </c>
      <c r="AK6" s="20" t="b">
        <f t="shared" si="1"/>
        <v>0</v>
      </c>
      <c r="AL6" s="20" t="b">
        <f t="shared" si="2"/>
        <v>0</v>
      </c>
      <c r="AM6" s="20" t="b">
        <f t="shared" si="3"/>
        <v>0</v>
      </c>
      <c r="AN6" s="20" t="b">
        <f t="shared" si="4"/>
        <v>0</v>
      </c>
      <c r="AO6" s="20" t="b">
        <f t="shared" si="5"/>
        <v>0</v>
      </c>
      <c r="AP6" s="20" t="b">
        <f t="shared" si="6"/>
        <v>0</v>
      </c>
      <c r="AQ6" s="20" t="b">
        <f t="shared" si="7"/>
        <v>0</v>
      </c>
      <c r="AR6" s="20" t="b">
        <f t="shared" si="8"/>
        <v>0</v>
      </c>
      <c r="AS6" s="20" t="b">
        <f t="shared" si="9"/>
        <v>0</v>
      </c>
      <c r="AT6" s="20" t="b">
        <f t="shared" si="10"/>
        <v>0</v>
      </c>
      <c r="AU6" s="20" t="b">
        <f t="shared" si="11"/>
        <v>0</v>
      </c>
    </row>
    <row r="7" spans="1:47">
      <c r="A7" s="20">
        <f>IF(F7=F5,A5,A5+1)</f>
        <v>2</v>
      </c>
      <c r="B7" s="564"/>
      <c r="C7" s="564"/>
      <c r="D7" s="564"/>
      <c r="E7" s="564"/>
      <c r="F7" s="568"/>
      <c r="G7" s="568"/>
      <c r="H7" s="564"/>
      <c r="I7" s="568"/>
      <c r="J7" s="564"/>
      <c r="K7" s="564"/>
      <c r="L7" s="569"/>
      <c r="M7" s="569"/>
      <c r="N7" s="569"/>
      <c r="O7" s="570"/>
      <c r="P7" s="564"/>
      <c r="Q7" s="564"/>
      <c r="R7" s="569"/>
      <c r="S7" s="569"/>
      <c r="T7" s="564"/>
      <c r="U7" s="564"/>
      <c r="V7" s="564"/>
      <c r="W7" s="54">
        <f t="shared" si="13"/>
        <v>0</v>
      </c>
      <c r="X7" s="54">
        <f t="shared" si="14"/>
        <v>0</v>
      </c>
      <c r="AA7" s="144"/>
      <c r="AB7" s="144"/>
      <c r="AC7" s="144"/>
      <c r="AD7" s="144"/>
      <c r="AE7" s="144"/>
      <c r="AJ7" s="20" t="b">
        <f t="shared" si="0"/>
        <v>0</v>
      </c>
      <c r="AK7" s="20" t="b">
        <f t="shared" si="1"/>
        <v>0</v>
      </c>
      <c r="AL7" s="20" t="b">
        <f t="shared" si="2"/>
        <v>0</v>
      </c>
      <c r="AM7" s="20" t="b">
        <f t="shared" si="3"/>
        <v>0</v>
      </c>
      <c r="AN7" s="20" t="b">
        <f t="shared" si="4"/>
        <v>0</v>
      </c>
      <c r="AO7" s="20" t="b">
        <f t="shared" si="5"/>
        <v>0</v>
      </c>
      <c r="AP7" s="20" t="b">
        <f t="shared" si="6"/>
        <v>0</v>
      </c>
      <c r="AQ7" s="20" t="b">
        <f t="shared" si="7"/>
        <v>0</v>
      </c>
      <c r="AR7" s="20" t="b">
        <f t="shared" si="8"/>
        <v>0</v>
      </c>
      <c r="AS7" s="20" t="b">
        <f t="shared" si="9"/>
        <v>0</v>
      </c>
      <c r="AT7" s="20" t="b">
        <f t="shared" si="10"/>
        <v>0</v>
      </c>
      <c r="AU7" s="20" t="b">
        <f t="shared" si="11"/>
        <v>0</v>
      </c>
    </row>
    <row r="8" spans="1:47">
      <c r="A8" s="20">
        <f t="shared" si="12"/>
        <v>2</v>
      </c>
      <c r="B8" s="564"/>
      <c r="C8" s="564"/>
      <c r="D8" s="564"/>
      <c r="E8" s="564"/>
      <c r="F8" s="568"/>
      <c r="G8" s="568"/>
      <c r="H8" s="564"/>
      <c r="I8" s="568"/>
      <c r="J8" s="564"/>
      <c r="K8" s="564"/>
      <c r="L8" s="569"/>
      <c r="M8" s="569"/>
      <c r="N8" s="569"/>
      <c r="O8" s="570"/>
      <c r="P8" s="564"/>
      <c r="Q8" s="564"/>
      <c r="R8" s="569"/>
      <c r="S8" s="569"/>
      <c r="T8" s="564"/>
      <c r="U8" s="564"/>
      <c r="V8" s="564"/>
      <c r="W8" s="54">
        <f t="shared" si="13"/>
        <v>0</v>
      </c>
      <c r="X8" s="54">
        <f t="shared" si="14"/>
        <v>0</v>
      </c>
      <c r="AA8" s="144"/>
      <c r="AB8" s="144"/>
      <c r="AC8" s="144"/>
      <c r="AD8" s="144"/>
      <c r="AE8" s="144"/>
      <c r="AJ8" s="20" t="b">
        <f t="shared" si="0"/>
        <v>0</v>
      </c>
      <c r="AK8" s="20" t="b">
        <f t="shared" si="1"/>
        <v>0</v>
      </c>
      <c r="AL8" s="20" t="b">
        <f t="shared" si="2"/>
        <v>0</v>
      </c>
      <c r="AM8" s="20" t="b">
        <f t="shared" si="3"/>
        <v>0</v>
      </c>
      <c r="AN8" s="20" t="b">
        <f t="shared" si="4"/>
        <v>0</v>
      </c>
      <c r="AO8" s="20" t="b">
        <f t="shared" si="5"/>
        <v>0</v>
      </c>
      <c r="AP8" s="20" t="b">
        <f t="shared" si="6"/>
        <v>0</v>
      </c>
      <c r="AQ8" s="20" t="b">
        <f t="shared" si="7"/>
        <v>0</v>
      </c>
      <c r="AR8" s="20" t="b">
        <f t="shared" si="8"/>
        <v>0</v>
      </c>
      <c r="AS8" s="20" t="b">
        <f t="shared" si="9"/>
        <v>0</v>
      </c>
      <c r="AT8" s="20" t="b">
        <f t="shared" si="10"/>
        <v>0</v>
      </c>
      <c r="AU8" s="20" t="b">
        <f t="shared" si="11"/>
        <v>0</v>
      </c>
    </row>
    <row r="9" spans="1:47">
      <c r="A9" s="20">
        <f t="shared" si="12"/>
        <v>2</v>
      </c>
      <c r="B9" s="564"/>
      <c r="C9" s="564"/>
      <c r="D9" s="564"/>
      <c r="E9" s="564"/>
      <c r="F9" s="568"/>
      <c r="G9" s="568"/>
      <c r="H9" s="564"/>
      <c r="I9" s="568"/>
      <c r="J9" s="564"/>
      <c r="K9" s="564"/>
      <c r="L9" s="569"/>
      <c r="M9" s="569"/>
      <c r="N9" s="569"/>
      <c r="O9" s="570"/>
      <c r="P9" s="564"/>
      <c r="Q9" s="564"/>
      <c r="R9" s="569"/>
      <c r="S9" s="569"/>
      <c r="T9" s="564"/>
      <c r="U9" s="564"/>
      <c r="V9" s="564"/>
      <c r="W9" s="54">
        <f t="shared" si="13"/>
        <v>0</v>
      </c>
      <c r="X9" s="54">
        <f t="shared" si="14"/>
        <v>0</v>
      </c>
      <c r="AA9" s="144"/>
      <c r="AB9" s="144"/>
      <c r="AC9" s="144"/>
      <c r="AD9" s="144"/>
      <c r="AE9" s="144"/>
      <c r="AJ9" s="20" t="b">
        <f t="shared" si="0"/>
        <v>0</v>
      </c>
      <c r="AK9" s="20" t="b">
        <f t="shared" si="1"/>
        <v>0</v>
      </c>
      <c r="AL9" s="20" t="b">
        <f t="shared" si="2"/>
        <v>0</v>
      </c>
      <c r="AM9" s="20" t="b">
        <f t="shared" si="3"/>
        <v>0</v>
      </c>
      <c r="AN9" s="20" t="b">
        <f t="shared" si="4"/>
        <v>0</v>
      </c>
      <c r="AO9" s="20" t="b">
        <f t="shared" si="5"/>
        <v>0</v>
      </c>
      <c r="AP9" s="20" t="b">
        <f t="shared" si="6"/>
        <v>0</v>
      </c>
      <c r="AQ9" s="20" t="b">
        <f t="shared" si="7"/>
        <v>0</v>
      </c>
      <c r="AR9" s="20" t="b">
        <f t="shared" si="8"/>
        <v>0</v>
      </c>
      <c r="AS9" s="20" t="b">
        <f t="shared" si="9"/>
        <v>0</v>
      </c>
      <c r="AT9" s="20" t="b">
        <f t="shared" si="10"/>
        <v>0</v>
      </c>
      <c r="AU9" s="20" t="b">
        <f t="shared" si="11"/>
        <v>0</v>
      </c>
    </row>
    <row r="10" spans="1:47">
      <c r="A10" s="20">
        <f t="shared" si="12"/>
        <v>2</v>
      </c>
      <c r="B10" s="564"/>
      <c r="C10" s="564"/>
      <c r="D10" s="564"/>
      <c r="E10" s="564"/>
      <c r="F10" s="568"/>
      <c r="G10" s="568"/>
      <c r="H10" s="564"/>
      <c r="I10" s="568"/>
      <c r="J10" s="564"/>
      <c r="K10" s="564"/>
      <c r="L10" s="569"/>
      <c r="M10" s="569"/>
      <c r="N10" s="569"/>
      <c r="O10" s="570"/>
      <c r="P10" s="564"/>
      <c r="Q10" s="564"/>
      <c r="R10" s="569"/>
      <c r="S10" s="569"/>
      <c r="T10" s="564"/>
      <c r="U10" s="564"/>
      <c r="V10" s="564"/>
      <c r="W10" s="54">
        <f t="shared" si="13"/>
        <v>0</v>
      </c>
      <c r="X10" s="54">
        <f t="shared" si="14"/>
        <v>0</v>
      </c>
      <c r="AA10" s="144"/>
      <c r="AB10" s="144"/>
      <c r="AC10" s="144"/>
      <c r="AD10" s="144"/>
      <c r="AE10" s="144"/>
      <c r="AJ10" s="20" t="b">
        <f t="shared" si="0"/>
        <v>0</v>
      </c>
      <c r="AK10" s="20" t="b">
        <f t="shared" si="1"/>
        <v>0</v>
      </c>
      <c r="AL10" s="20" t="b">
        <f t="shared" si="2"/>
        <v>0</v>
      </c>
      <c r="AM10" s="20" t="b">
        <f t="shared" si="3"/>
        <v>0</v>
      </c>
      <c r="AN10" s="20" t="b">
        <f t="shared" si="4"/>
        <v>0</v>
      </c>
      <c r="AO10" s="20" t="b">
        <f t="shared" si="5"/>
        <v>0</v>
      </c>
      <c r="AP10" s="20" t="b">
        <f t="shared" si="6"/>
        <v>0</v>
      </c>
      <c r="AQ10" s="20" t="b">
        <f t="shared" si="7"/>
        <v>0</v>
      </c>
      <c r="AR10" s="20" t="b">
        <f t="shared" si="8"/>
        <v>0</v>
      </c>
      <c r="AS10" s="20" t="b">
        <f t="shared" si="9"/>
        <v>0</v>
      </c>
      <c r="AT10" s="20" t="b">
        <f t="shared" si="10"/>
        <v>0</v>
      </c>
      <c r="AU10" s="20" t="b">
        <f t="shared" si="11"/>
        <v>0</v>
      </c>
    </row>
    <row r="11" spans="1:47">
      <c r="A11" s="20">
        <f t="shared" si="12"/>
        <v>2</v>
      </c>
      <c r="B11" s="564"/>
      <c r="C11" s="564"/>
      <c r="D11" s="564"/>
      <c r="E11" s="564"/>
      <c r="F11" s="568"/>
      <c r="G11" s="568"/>
      <c r="H11" s="564"/>
      <c r="I11" s="568"/>
      <c r="J11" s="564"/>
      <c r="K11" s="564"/>
      <c r="L11" s="569"/>
      <c r="M11" s="569"/>
      <c r="N11" s="569"/>
      <c r="O11" s="570"/>
      <c r="P11" s="564"/>
      <c r="Q11" s="564"/>
      <c r="R11" s="569"/>
      <c r="S11" s="569"/>
      <c r="T11" s="564"/>
      <c r="U11" s="564"/>
      <c r="V11" s="564"/>
      <c r="W11" s="54">
        <f t="shared" si="13"/>
        <v>0</v>
      </c>
      <c r="X11" s="54">
        <f t="shared" si="14"/>
        <v>0</v>
      </c>
      <c r="AA11" s="144"/>
      <c r="AB11" s="144"/>
      <c r="AC11" s="144"/>
      <c r="AD11" s="144"/>
      <c r="AE11" s="144"/>
      <c r="AJ11" s="20" t="b">
        <f t="shared" si="0"/>
        <v>0</v>
      </c>
      <c r="AK11" s="20" t="b">
        <f t="shared" si="1"/>
        <v>0</v>
      </c>
      <c r="AL11" s="20" t="b">
        <f t="shared" si="2"/>
        <v>0</v>
      </c>
      <c r="AM11" s="20" t="b">
        <f t="shared" si="3"/>
        <v>0</v>
      </c>
      <c r="AN11" s="20" t="b">
        <f t="shared" si="4"/>
        <v>0</v>
      </c>
      <c r="AO11" s="20" t="b">
        <f t="shared" si="5"/>
        <v>0</v>
      </c>
      <c r="AP11" s="20" t="b">
        <f t="shared" si="6"/>
        <v>0</v>
      </c>
      <c r="AQ11" s="20" t="b">
        <f t="shared" si="7"/>
        <v>0</v>
      </c>
      <c r="AR11" s="20" t="b">
        <f t="shared" si="8"/>
        <v>0</v>
      </c>
      <c r="AS11" s="20" t="b">
        <f t="shared" si="9"/>
        <v>0</v>
      </c>
      <c r="AT11" s="20" t="b">
        <f t="shared" si="10"/>
        <v>0</v>
      </c>
      <c r="AU11" s="20" t="b">
        <f t="shared" si="11"/>
        <v>0</v>
      </c>
    </row>
    <row r="12" spans="1:47">
      <c r="A12" s="20">
        <f t="shared" si="12"/>
        <v>2</v>
      </c>
      <c r="B12" s="564"/>
      <c r="C12" s="564"/>
      <c r="D12" s="564"/>
      <c r="E12" s="564"/>
      <c r="F12" s="568"/>
      <c r="G12" s="568"/>
      <c r="H12" s="564"/>
      <c r="I12" s="568"/>
      <c r="J12" s="564"/>
      <c r="K12" s="564"/>
      <c r="L12" s="569"/>
      <c r="M12" s="569"/>
      <c r="N12" s="569"/>
      <c r="O12" s="570"/>
      <c r="P12" s="564"/>
      <c r="Q12" s="564"/>
      <c r="R12" s="569"/>
      <c r="S12" s="569"/>
      <c r="T12" s="564"/>
      <c r="U12" s="564"/>
      <c r="V12" s="564"/>
      <c r="W12" s="54">
        <f t="shared" si="13"/>
        <v>0</v>
      </c>
      <c r="X12" s="54">
        <f t="shared" si="14"/>
        <v>0</v>
      </c>
      <c r="AA12" s="144"/>
      <c r="AB12" s="144"/>
      <c r="AC12" s="144"/>
      <c r="AD12" s="144"/>
      <c r="AE12" s="144"/>
      <c r="AJ12" s="20" t="b">
        <f t="shared" si="0"/>
        <v>0</v>
      </c>
      <c r="AK12" s="20" t="b">
        <f t="shared" si="1"/>
        <v>0</v>
      </c>
      <c r="AL12" s="20" t="b">
        <f t="shared" si="2"/>
        <v>0</v>
      </c>
      <c r="AM12" s="20" t="b">
        <f t="shared" si="3"/>
        <v>0</v>
      </c>
      <c r="AN12" s="20" t="b">
        <f t="shared" si="4"/>
        <v>0</v>
      </c>
      <c r="AO12" s="20" t="b">
        <f t="shared" si="5"/>
        <v>0</v>
      </c>
      <c r="AP12" s="20" t="b">
        <f t="shared" si="6"/>
        <v>0</v>
      </c>
      <c r="AQ12" s="20" t="b">
        <f t="shared" si="7"/>
        <v>0</v>
      </c>
      <c r="AR12" s="20" t="b">
        <f t="shared" si="8"/>
        <v>0</v>
      </c>
      <c r="AS12" s="20" t="b">
        <f t="shared" si="9"/>
        <v>0</v>
      </c>
      <c r="AT12" s="20" t="b">
        <f t="shared" si="10"/>
        <v>0</v>
      </c>
      <c r="AU12" s="20" t="b">
        <f t="shared" si="11"/>
        <v>0</v>
      </c>
    </row>
    <row r="13" spans="1:47">
      <c r="A13" s="20">
        <f t="shared" si="12"/>
        <v>2</v>
      </c>
      <c r="B13" s="564"/>
      <c r="C13" s="564"/>
      <c r="D13" s="564"/>
      <c r="E13" s="564"/>
      <c r="F13" s="568"/>
      <c r="G13" s="568"/>
      <c r="H13" s="564"/>
      <c r="I13" s="568"/>
      <c r="J13" s="564"/>
      <c r="K13" s="564"/>
      <c r="L13" s="569"/>
      <c r="M13" s="569"/>
      <c r="N13" s="569"/>
      <c r="O13" s="570"/>
      <c r="P13" s="564"/>
      <c r="Q13" s="564"/>
      <c r="R13" s="569"/>
      <c r="S13" s="569"/>
      <c r="T13" s="564"/>
      <c r="U13" s="564"/>
      <c r="V13" s="564"/>
      <c r="W13" s="54">
        <f t="shared" si="13"/>
        <v>0</v>
      </c>
      <c r="X13" s="54">
        <f t="shared" si="14"/>
        <v>0</v>
      </c>
      <c r="AA13" s="144"/>
      <c r="AB13" s="144"/>
      <c r="AC13" s="144"/>
      <c r="AD13" s="144"/>
      <c r="AE13" s="144"/>
      <c r="AJ13" s="20" t="b">
        <f t="shared" si="0"/>
        <v>0</v>
      </c>
      <c r="AK13" s="20" t="b">
        <f t="shared" si="1"/>
        <v>0</v>
      </c>
      <c r="AL13" s="20" t="b">
        <f t="shared" si="2"/>
        <v>0</v>
      </c>
      <c r="AM13" s="20" t="b">
        <f t="shared" si="3"/>
        <v>0</v>
      </c>
      <c r="AN13" s="20" t="b">
        <f t="shared" si="4"/>
        <v>0</v>
      </c>
      <c r="AO13" s="20" t="b">
        <f t="shared" si="5"/>
        <v>0</v>
      </c>
      <c r="AP13" s="20" t="b">
        <f t="shared" si="6"/>
        <v>0</v>
      </c>
      <c r="AQ13" s="20" t="b">
        <f t="shared" si="7"/>
        <v>0</v>
      </c>
      <c r="AR13" s="20" t="b">
        <f t="shared" si="8"/>
        <v>0</v>
      </c>
      <c r="AS13" s="20" t="b">
        <f t="shared" si="9"/>
        <v>0</v>
      </c>
      <c r="AT13" s="20" t="b">
        <f t="shared" si="10"/>
        <v>0</v>
      </c>
      <c r="AU13" s="20" t="b">
        <f t="shared" si="11"/>
        <v>0</v>
      </c>
    </row>
    <row r="14" spans="1:47">
      <c r="A14" s="20">
        <f t="shared" si="12"/>
        <v>2</v>
      </c>
      <c r="B14" s="564"/>
      <c r="C14" s="564"/>
      <c r="D14" s="564"/>
      <c r="E14" s="564"/>
      <c r="F14" s="568"/>
      <c r="G14" s="568"/>
      <c r="H14" s="564"/>
      <c r="I14" s="568"/>
      <c r="J14" s="564"/>
      <c r="K14" s="564"/>
      <c r="L14" s="569"/>
      <c r="M14" s="569"/>
      <c r="N14" s="569"/>
      <c r="O14" s="570"/>
      <c r="P14" s="564"/>
      <c r="Q14" s="564"/>
      <c r="R14" s="569"/>
      <c r="S14" s="569"/>
      <c r="T14" s="564"/>
      <c r="U14" s="564"/>
      <c r="V14" s="564"/>
      <c r="W14" s="54">
        <f t="shared" si="13"/>
        <v>0</v>
      </c>
      <c r="X14" s="54">
        <f t="shared" si="14"/>
        <v>0</v>
      </c>
      <c r="AA14" s="144"/>
      <c r="AB14" s="144"/>
      <c r="AC14" s="144"/>
      <c r="AD14" s="144"/>
      <c r="AE14" s="144"/>
      <c r="AJ14" s="20" t="b">
        <f t="shared" si="0"/>
        <v>0</v>
      </c>
      <c r="AK14" s="20" t="b">
        <f t="shared" si="1"/>
        <v>0</v>
      </c>
      <c r="AL14" s="20" t="b">
        <f t="shared" si="2"/>
        <v>0</v>
      </c>
      <c r="AM14" s="20" t="b">
        <f t="shared" si="3"/>
        <v>0</v>
      </c>
      <c r="AN14" s="20" t="b">
        <f t="shared" si="4"/>
        <v>0</v>
      </c>
      <c r="AO14" s="20" t="b">
        <f t="shared" si="5"/>
        <v>0</v>
      </c>
      <c r="AP14" s="20" t="b">
        <f t="shared" si="6"/>
        <v>0</v>
      </c>
      <c r="AQ14" s="20" t="b">
        <f t="shared" si="7"/>
        <v>0</v>
      </c>
      <c r="AR14" s="20" t="b">
        <f t="shared" si="8"/>
        <v>0</v>
      </c>
      <c r="AS14" s="20" t="b">
        <f t="shared" si="9"/>
        <v>0</v>
      </c>
      <c r="AT14" s="20" t="b">
        <f t="shared" si="10"/>
        <v>0</v>
      </c>
      <c r="AU14" s="20" t="b">
        <f t="shared" si="11"/>
        <v>0</v>
      </c>
    </row>
    <row r="15" spans="1:47">
      <c r="A15" s="20">
        <f t="shared" si="12"/>
        <v>2</v>
      </c>
      <c r="B15" s="564"/>
      <c r="C15" s="564"/>
      <c r="D15" s="564"/>
      <c r="E15" s="564"/>
      <c r="F15" s="568"/>
      <c r="G15" s="568"/>
      <c r="H15" s="564"/>
      <c r="I15" s="568"/>
      <c r="J15" s="564"/>
      <c r="K15" s="564"/>
      <c r="L15" s="569"/>
      <c r="M15" s="569"/>
      <c r="N15" s="569"/>
      <c r="O15" s="570"/>
      <c r="P15" s="564"/>
      <c r="Q15" s="564"/>
      <c r="R15" s="569"/>
      <c r="S15" s="569"/>
      <c r="T15" s="564"/>
      <c r="U15" s="564"/>
      <c r="V15" s="564"/>
      <c r="W15" s="54">
        <f t="shared" si="13"/>
        <v>0</v>
      </c>
      <c r="X15" s="54">
        <f t="shared" si="14"/>
        <v>0</v>
      </c>
      <c r="AA15" s="144"/>
      <c r="AB15" s="144"/>
      <c r="AC15" s="144"/>
      <c r="AD15" s="144"/>
      <c r="AE15" s="144"/>
      <c r="AJ15" s="20" t="b">
        <f t="shared" si="0"/>
        <v>0</v>
      </c>
      <c r="AK15" s="20" t="b">
        <f t="shared" si="1"/>
        <v>0</v>
      </c>
      <c r="AL15" s="20" t="b">
        <f t="shared" si="2"/>
        <v>0</v>
      </c>
      <c r="AM15" s="20" t="b">
        <f t="shared" si="3"/>
        <v>0</v>
      </c>
      <c r="AN15" s="20" t="b">
        <f t="shared" si="4"/>
        <v>0</v>
      </c>
      <c r="AO15" s="20" t="b">
        <f t="shared" si="5"/>
        <v>0</v>
      </c>
      <c r="AP15" s="20" t="b">
        <f t="shared" si="6"/>
        <v>0</v>
      </c>
      <c r="AQ15" s="20" t="b">
        <f t="shared" si="7"/>
        <v>0</v>
      </c>
      <c r="AR15" s="20" t="b">
        <f t="shared" si="8"/>
        <v>0</v>
      </c>
      <c r="AS15" s="20" t="b">
        <f t="shared" si="9"/>
        <v>0</v>
      </c>
      <c r="AT15" s="20" t="b">
        <f t="shared" si="10"/>
        <v>0</v>
      </c>
      <c r="AU15" s="20" t="b">
        <f t="shared" si="11"/>
        <v>0</v>
      </c>
    </row>
    <row r="16" spans="1:47">
      <c r="A16" s="20">
        <f t="shared" si="12"/>
        <v>2</v>
      </c>
      <c r="B16" s="564"/>
      <c r="C16" s="564"/>
      <c r="D16" s="564"/>
      <c r="E16" s="564"/>
      <c r="F16" s="568"/>
      <c r="G16" s="568"/>
      <c r="H16" s="564"/>
      <c r="I16" s="568"/>
      <c r="J16" s="564"/>
      <c r="K16" s="564"/>
      <c r="L16" s="569"/>
      <c r="M16" s="569"/>
      <c r="N16" s="569"/>
      <c r="O16" s="570"/>
      <c r="P16" s="564"/>
      <c r="Q16" s="564"/>
      <c r="R16" s="569"/>
      <c r="S16" s="569"/>
      <c r="T16" s="564"/>
      <c r="U16" s="564"/>
      <c r="V16" s="564"/>
      <c r="W16" s="54">
        <f t="shared" si="13"/>
        <v>0</v>
      </c>
      <c r="X16" s="54">
        <f t="shared" si="14"/>
        <v>0</v>
      </c>
      <c r="AA16" s="144"/>
      <c r="AB16" s="144"/>
      <c r="AC16" s="144"/>
      <c r="AD16" s="144"/>
      <c r="AE16" s="144"/>
      <c r="AJ16" s="20" t="b">
        <f t="shared" si="0"/>
        <v>0</v>
      </c>
      <c r="AK16" s="20" t="b">
        <f t="shared" si="1"/>
        <v>0</v>
      </c>
      <c r="AL16" s="20" t="b">
        <f t="shared" si="2"/>
        <v>0</v>
      </c>
      <c r="AM16" s="20" t="b">
        <f t="shared" si="3"/>
        <v>0</v>
      </c>
      <c r="AN16" s="20" t="b">
        <f t="shared" si="4"/>
        <v>0</v>
      </c>
      <c r="AO16" s="20" t="b">
        <f t="shared" si="5"/>
        <v>0</v>
      </c>
      <c r="AP16" s="20" t="b">
        <f t="shared" si="6"/>
        <v>0</v>
      </c>
      <c r="AQ16" s="20" t="b">
        <f t="shared" si="7"/>
        <v>0</v>
      </c>
      <c r="AR16" s="20" t="b">
        <f t="shared" si="8"/>
        <v>0</v>
      </c>
      <c r="AS16" s="20" t="b">
        <f t="shared" si="9"/>
        <v>0</v>
      </c>
      <c r="AT16" s="20" t="b">
        <f t="shared" si="10"/>
        <v>0</v>
      </c>
      <c r="AU16" s="20" t="b">
        <f t="shared" si="11"/>
        <v>0</v>
      </c>
    </row>
    <row r="17" spans="1:47">
      <c r="A17" s="20">
        <f t="shared" si="12"/>
        <v>2</v>
      </c>
      <c r="B17" s="564"/>
      <c r="C17" s="564"/>
      <c r="D17" s="564"/>
      <c r="E17" s="564"/>
      <c r="F17" s="568"/>
      <c r="G17" s="568"/>
      <c r="H17" s="564"/>
      <c r="I17" s="568"/>
      <c r="J17" s="564"/>
      <c r="K17" s="564"/>
      <c r="L17" s="569"/>
      <c r="M17" s="569"/>
      <c r="N17" s="569"/>
      <c r="O17" s="570"/>
      <c r="P17" s="564"/>
      <c r="Q17" s="564"/>
      <c r="R17" s="569"/>
      <c r="S17" s="569"/>
      <c r="T17" s="564"/>
      <c r="U17" s="564"/>
      <c r="V17" s="564"/>
      <c r="W17" s="54">
        <f t="shared" si="13"/>
        <v>0</v>
      </c>
      <c r="X17" s="54">
        <f t="shared" si="14"/>
        <v>0</v>
      </c>
      <c r="AJ17" s="20" t="b">
        <f t="shared" si="0"/>
        <v>0</v>
      </c>
      <c r="AK17" s="20" t="b">
        <f t="shared" si="1"/>
        <v>0</v>
      </c>
      <c r="AL17" s="20" t="b">
        <f t="shared" si="2"/>
        <v>0</v>
      </c>
      <c r="AM17" s="20" t="b">
        <f t="shared" si="3"/>
        <v>0</v>
      </c>
      <c r="AN17" s="20" t="b">
        <f t="shared" si="4"/>
        <v>0</v>
      </c>
      <c r="AO17" s="20" t="b">
        <f t="shared" si="5"/>
        <v>0</v>
      </c>
      <c r="AP17" s="20" t="b">
        <f t="shared" si="6"/>
        <v>0</v>
      </c>
      <c r="AQ17" s="20" t="b">
        <f t="shared" si="7"/>
        <v>0</v>
      </c>
      <c r="AR17" s="20" t="b">
        <f t="shared" si="8"/>
        <v>0</v>
      </c>
      <c r="AS17" s="20" t="b">
        <f t="shared" si="9"/>
        <v>0</v>
      </c>
      <c r="AT17" s="20" t="b">
        <f t="shared" si="10"/>
        <v>0</v>
      </c>
      <c r="AU17" s="20" t="b">
        <f t="shared" si="11"/>
        <v>0</v>
      </c>
    </row>
    <row r="18" spans="1:47">
      <c r="A18" s="20">
        <f t="shared" si="12"/>
        <v>2</v>
      </c>
      <c r="B18" s="564"/>
      <c r="C18" s="564"/>
      <c r="D18" s="564"/>
      <c r="E18" s="564"/>
      <c r="F18" s="568"/>
      <c r="G18" s="568"/>
      <c r="H18" s="564"/>
      <c r="I18" s="568"/>
      <c r="J18" s="564"/>
      <c r="K18" s="564"/>
      <c r="L18" s="569"/>
      <c r="M18" s="569"/>
      <c r="N18" s="569"/>
      <c r="O18" s="570"/>
      <c r="P18" s="564"/>
      <c r="Q18" s="564"/>
      <c r="R18" s="569"/>
      <c r="S18" s="569"/>
      <c r="T18" s="564"/>
      <c r="U18" s="564"/>
      <c r="V18" s="564"/>
      <c r="W18" s="54">
        <f t="shared" si="13"/>
        <v>0</v>
      </c>
      <c r="X18" s="54">
        <f t="shared" si="14"/>
        <v>0</v>
      </c>
      <c r="AJ18" s="20" t="b">
        <f t="shared" si="0"/>
        <v>0</v>
      </c>
      <c r="AK18" s="20" t="b">
        <f t="shared" si="1"/>
        <v>0</v>
      </c>
      <c r="AL18" s="20" t="b">
        <f t="shared" si="2"/>
        <v>0</v>
      </c>
      <c r="AM18" s="20" t="b">
        <f t="shared" si="3"/>
        <v>0</v>
      </c>
      <c r="AN18" s="20" t="b">
        <f t="shared" si="4"/>
        <v>0</v>
      </c>
      <c r="AO18" s="20" t="b">
        <f t="shared" si="5"/>
        <v>0</v>
      </c>
      <c r="AP18" s="20" t="b">
        <f t="shared" si="6"/>
        <v>0</v>
      </c>
      <c r="AQ18" s="20" t="b">
        <f t="shared" si="7"/>
        <v>0</v>
      </c>
      <c r="AR18" s="20" t="b">
        <f t="shared" si="8"/>
        <v>0</v>
      </c>
      <c r="AS18" s="20" t="b">
        <f t="shared" si="9"/>
        <v>0</v>
      </c>
      <c r="AT18" s="20" t="b">
        <f t="shared" si="10"/>
        <v>0</v>
      </c>
      <c r="AU18" s="20" t="b">
        <f t="shared" si="11"/>
        <v>0</v>
      </c>
    </row>
    <row r="19" spans="1:47">
      <c r="A19" s="20">
        <f t="shared" si="12"/>
        <v>2</v>
      </c>
      <c r="B19" s="564"/>
      <c r="C19" s="564"/>
      <c r="D19" s="564"/>
      <c r="E19" s="564"/>
      <c r="F19" s="568"/>
      <c r="G19" s="568"/>
      <c r="H19" s="564"/>
      <c r="I19" s="568"/>
      <c r="J19" s="564"/>
      <c r="K19" s="564"/>
      <c r="L19" s="569"/>
      <c r="M19" s="569"/>
      <c r="N19" s="569"/>
      <c r="O19" s="570"/>
      <c r="P19" s="564"/>
      <c r="Q19" s="564"/>
      <c r="R19" s="569"/>
      <c r="S19" s="569"/>
      <c r="T19" s="564"/>
      <c r="U19" s="564"/>
      <c r="V19" s="564"/>
      <c r="W19" s="54">
        <f t="shared" si="13"/>
        <v>0</v>
      </c>
      <c r="X19" s="54">
        <f t="shared" si="14"/>
        <v>0</v>
      </c>
      <c r="AJ19" s="20" t="b">
        <f t="shared" si="0"/>
        <v>0</v>
      </c>
      <c r="AK19" s="20" t="b">
        <f t="shared" si="1"/>
        <v>0</v>
      </c>
      <c r="AL19" s="20" t="b">
        <f t="shared" si="2"/>
        <v>0</v>
      </c>
      <c r="AM19" s="20" t="b">
        <f t="shared" si="3"/>
        <v>0</v>
      </c>
      <c r="AN19" s="20" t="b">
        <f t="shared" si="4"/>
        <v>0</v>
      </c>
      <c r="AO19" s="20" t="b">
        <f t="shared" si="5"/>
        <v>0</v>
      </c>
      <c r="AP19" s="20" t="b">
        <f t="shared" si="6"/>
        <v>0</v>
      </c>
      <c r="AQ19" s="20" t="b">
        <f t="shared" si="7"/>
        <v>0</v>
      </c>
      <c r="AR19" s="20" t="b">
        <f t="shared" si="8"/>
        <v>0</v>
      </c>
      <c r="AS19" s="20" t="b">
        <f t="shared" si="9"/>
        <v>0</v>
      </c>
      <c r="AT19" s="20" t="b">
        <f t="shared" si="10"/>
        <v>0</v>
      </c>
      <c r="AU19" s="20" t="b">
        <f t="shared" si="11"/>
        <v>0</v>
      </c>
    </row>
    <row r="20" spans="1:47">
      <c r="A20" s="20">
        <f t="shared" si="12"/>
        <v>2</v>
      </c>
      <c r="B20" s="564"/>
      <c r="C20" s="564"/>
      <c r="D20" s="564"/>
      <c r="E20" s="564"/>
      <c r="F20" s="568"/>
      <c r="G20" s="568"/>
      <c r="H20" s="564"/>
      <c r="I20" s="568"/>
      <c r="J20" s="564"/>
      <c r="K20" s="564"/>
      <c r="L20" s="569"/>
      <c r="M20" s="569"/>
      <c r="N20" s="569"/>
      <c r="O20" s="570"/>
      <c r="P20" s="564"/>
      <c r="Q20" s="564"/>
      <c r="R20" s="569"/>
      <c r="S20" s="569"/>
      <c r="T20" s="564"/>
      <c r="U20" s="564"/>
      <c r="V20" s="564"/>
      <c r="W20" s="54">
        <f t="shared" si="13"/>
        <v>0</v>
      </c>
      <c r="X20" s="54">
        <f t="shared" si="14"/>
        <v>0</v>
      </c>
      <c r="AJ20" s="20" t="b">
        <f t="shared" si="0"/>
        <v>0</v>
      </c>
      <c r="AK20" s="20" t="b">
        <f t="shared" si="1"/>
        <v>0</v>
      </c>
      <c r="AL20" s="20" t="b">
        <f t="shared" si="2"/>
        <v>0</v>
      </c>
      <c r="AM20" s="20" t="b">
        <f t="shared" si="3"/>
        <v>0</v>
      </c>
      <c r="AN20" s="20" t="b">
        <f t="shared" si="4"/>
        <v>0</v>
      </c>
      <c r="AO20" s="20" t="b">
        <f t="shared" si="5"/>
        <v>0</v>
      </c>
      <c r="AP20" s="20" t="b">
        <f t="shared" si="6"/>
        <v>0</v>
      </c>
      <c r="AQ20" s="20" t="b">
        <f t="shared" si="7"/>
        <v>0</v>
      </c>
      <c r="AR20" s="20" t="b">
        <f t="shared" si="8"/>
        <v>0</v>
      </c>
      <c r="AS20" s="20" t="b">
        <f t="shared" si="9"/>
        <v>0</v>
      </c>
      <c r="AT20" s="20" t="b">
        <f t="shared" si="10"/>
        <v>0</v>
      </c>
      <c r="AU20" s="20" t="b">
        <f t="shared" si="11"/>
        <v>0</v>
      </c>
    </row>
    <row r="21" spans="1:47">
      <c r="A21" s="20">
        <f t="shared" si="12"/>
        <v>2</v>
      </c>
      <c r="B21" s="564"/>
      <c r="C21" s="564"/>
      <c r="D21" s="564"/>
      <c r="E21" s="564"/>
      <c r="F21" s="568"/>
      <c r="G21" s="568"/>
      <c r="H21" s="564"/>
      <c r="I21" s="568"/>
      <c r="J21" s="564"/>
      <c r="K21" s="564"/>
      <c r="L21" s="569"/>
      <c r="M21" s="569"/>
      <c r="N21" s="569"/>
      <c r="O21" s="570"/>
      <c r="P21" s="564"/>
      <c r="Q21" s="564"/>
      <c r="R21" s="569"/>
      <c r="S21" s="569"/>
      <c r="T21" s="564"/>
      <c r="U21" s="564"/>
      <c r="V21" s="564"/>
      <c r="W21" s="54">
        <f t="shared" si="13"/>
        <v>0</v>
      </c>
      <c r="X21" s="54">
        <f t="shared" si="14"/>
        <v>0</v>
      </c>
      <c r="AJ21" s="20" t="b">
        <f t="shared" si="0"/>
        <v>0</v>
      </c>
      <c r="AK21" s="20" t="b">
        <f t="shared" si="1"/>
        <v>0</v>
      </c>
      <c r="AL21" s="20" t="b">
        <f t="shared" si="2"/>
        <v>0</v>
      </c>
      <c r="AM21" s="20" t="b">
        <f t="shared" si="3"/>
        <v>0</v>
      </c>
      <c r="AN21" s="20" t="b">
        <f t="shared" si="4"/>
        <v>0</v>
      </c>
      <c r="AO21" s="20" t="b">
        <f t="shared" si="5"/>
        <v>0</v>
      </c>
      <c r="AP21" s="20" t="b">
        <f t="shared" si="6"/>
        <v>0</v>
      </c>
      <c r="AQ21" s="20" t="b">
        <f t="shared" si="7"/>
        <v>0</v>
      </c>
      <c r="AR21" s="20" t="b">
        <f t="shared" si="8"/>
        <v>0</v>
      </c>
      <c r="AS21" s="20" t="b">
        <f t="shared" si="9"/>
        <v>0</v>
      </c>
      <c r="AT21" s="20" t="b">
        <f t="shared" si="10"/>
        <v>0</v>
      </c>
      <c r="AU21" s="20" t="b">
        <f t="shared" si="11"/>
        <v>0</v>
      </c>
    </row>
    <row r="22" spans="1:47">
      <c r="A22" s="20">
        <f t="shared" si="12"/>
        <v>2</v>
      </c>
      <c r="B22" s="564"/>
      <c r="C22" s="564"/>
      <c r="D22" s="564"/>
      <c r="E22" s="564"/>
      <c r="F22" s="568"/>
      <c r="G22" s="568"/>
      <c r="H22" s="564"/>
      <c r="I22" s="568"/>
      <c r="J22" s="564"/>
      <c r="K22" s="564"/>
      <c r="L22" s="569"/>
      <c r="M22" s="569"/>
      <c r="N22" s="569"/>
      <c r="O22" s="570"/>
      <c r="P22" s="564"/>
      <c r="Q22" s="564"/>
      <c r="R22" s="569"/>
      <c r="S22" s="569"/>
      <c r="T22" s="564"/>
      <c r="U22" s="564"/>
      <c r="V22" s="564"/>
      <c r="W22" s="54">
        <f t="shared" si="13"/>
        <v>0</v>
      </c>
      <c r="X22" s="54">
        <f t="shared" si="14"/>
        <v>0</v>
      </c>
      <c r="AJ22" s="20" t="b">
        <f t="shared" si="0"/>
        <v>0</v>
      </c>
      <c r="AK22" s="20" t="b">
        <f t="shared" si="1"/>
        <v>0</v>
      </c>
      <c r="AL22" s="20" t="b">
        <f t="shared" si="2"/>
        <v>0</v>
      </c>
      <c r="AM22" s="20" t="b">
        <f t="shared" si="3"/>
        <v>0</v>
      </c>
      <c r="AN22" s="20" t="b">
        <f t="shared" si="4"/>
        <v>0</v>
      </c>
      <c r="AO22" s="20" t="b">
        <f t="shared" si="5"/>
        <v>0</v>
      </c>
      <c r="AP22" s="20" t="b">
        <f t="shared" si="6"/>
        <v>0</v>
      </c>
      <c r="AQ22" s="20" t="b">
        <f t="shared" si="7"/>
        <v>0</v>
      </c>
      <c r="AR22" s="20" t="b">
        <f t="shared" si="8"/>
        <v>0</v>
      </c>
      <c r="AS22" s="20" t="b">
        <f t="shared" si="9"/>
        <v>0</v>
      </c>
      <c r="AT22" s="20" t="b">
        <f t="shared" si="10"/>
        <v>0</v>
      </c>
      <c r="AU22" s="20" t="b">
        <f t="shared" si="11"/>
        <v>0</v>
      </c>
    </row>
    <row r="23" spans="1:47">
      <c r="A23" s="20">
        <f t="shared" si="12"/>
        <v>2</v>
      </c>
      <c r="B23" s="564"/>
      <c r="C23" s="564"/>
      <c r="D23" s="564"/>
      <c r="E23" s="564"/>
      <c r="F23" s="568"/>
      <c r="G23" s="568"/>
      <c r="H23" s="564"/>
      <c r="I23" s="568"/>
      <c r="J23" s="564"/>
      <c r="K23" s="564"/>
      <c r="L23" s="569"/>
      <c r="M23" s="569"/>
      <c r="N23" s="569"/>
      <c r="O23" s="570"/>
      <c r="P23" s="564"/>
      <c r="Q23" s="564"/>
      <c r="R23" s="569"/>
      <c r="S23" s="569"/>
      <c r="T23" s="564"/>
      <c r="U23" s="564"/>
      <c r="V23" s="564"/>
      <c r="W23" s="54">
        <f t="shared" si="13"/>
        <v>0</v>
      </c>
      <c r="X23" s="54">
        <f t="shared" si="14"/>
        <v>0</v>
      </c>
      <c r="AJ23" s="20" t="b">
        <f t="shared" si="0"/>
        <v>0</v>
      </c>
      <c r="AK23" s="20" t="b">
        <f t="shared" si="1"/>
        <v>0</v>
      </c>
      <c r="AL23" s="20" t="b">
        <f t="shared" si="2"/>
        <v>0</v>
      </c>
      <c r="AM23" s="20" t="b">
        <f t="shared" si="3"/>
        <v>0</v>
      </c>
      <c r="AN23" s="20" t="b">
        <f t="shared" si="4"/>
        <v>0</v>
      </c>
      <c r="AO23" s="20" t="b">
        <f t="shared" si="5"/>
        <v>0</v>
      </c>
      <c r="AP23" s="20" t="b">
        <f t="shared" si="6"/>
        <v>0</v>
      </c>
      <c r="AQ23" s="20" t="b">
        <f t="shared" si="7"/>
        <v>0</v>
      </c>
      <c r="AR23" s="20" t="b">
        <f t="shared" si="8"/>
        <v>0</v>
      </c>
      <c r="AS23" s="20" t="b">
        <f t="shared" si="9"/>
        <v>0</v>
      </c>
      <c r="AT23" s="20" t="b">
        <f t="shared" si="10"/>
        <v>0</v>
      </c>
      <c r="AU23" s="20" t="b">
        <f t="shared" si="11"/>
        <v>0</v>
      </c>
    </row>
    <row r="24" spans="1:47">
      <c r="A24" s="20">
        <f t="shared" si="12"/>
        <v>2</v>
      </c>
      <c r="B24" s="564"/>
      <c r="C24" s="564"/>
      <c r="D24" s="564"/>
      <c r="E24" s="564"/>
      <c r="F24" s="568"/>
      <c r="G24" s="568"/>
      <c r="H24" s="564"/>
      <c r="I24" s="568"/>
      <c r="J24" s="564"/>
      <c r="K24" s="564"/>
      <c r="L24" s="569"/>
      <c r="M24" s="569"/>
      <c r="N24" s="569"/>
      <c r="O24" s="570"/>
      <c r="P24" s="564"/>
      <c r="Q24" s="564"/>
      <c r="R24" s="569"/>
      <c r="S24" s="569"/>
      <c r="T24" s="564"/>
      <c r="U24" s="564"/>
      <c r="V24" s="564"/>
      <c r="W24" s="54">
        <f t="shared" si="13"/>
        <v>0</v>
      </c>
      <c r="X24" s="54">
        <f t="shared" si="14"/>
        <v>0</v>
      </c>
      <c r="AJ24" s="20" t="b">
        <f t="shared" si="0"/>
        <v>0</v>
      </c>
      <c r="AK24" s="20" t="b">
        <f t="shared" si="1"/>
        <v>0</v>
      </c>
      <c r="AL24" s="20" t="b">
        <f t="shared" si="2"/>
        <v>0</v>
      </c>
      <c r="AM24" s="20" t="b">
        <f t="shared" si="3"/>
        <v>0</v>
      </c>
      <c r="AN24" s="20" t="b">
        <f t="shared" si="4"/>
        <v>0</v>
      </c>
      <c r="AO24" s="20" t="b">
        <f t="shared" si="5"/>
        <v>0</v>
      </c>
      <c r="AP24" s="20" t="b">
        <f t="shared" si="6"/>
        <v>0</v>
      </c>
      <c r="AQ24" s="20" t="b">
        <f t="shared" si="7"/>
        <v>0</v>
      </c>
      <c r="AR24" s="20" t="b">
        <f t="shared" si="8"/>
        <v>0</v>
      </c>
      <c r="AS24" s="20" t="b">
        <f t="shared" si="9"/>
        <v>0</v>
      </c>
      <c r="AT24" s="20" t="b">
        <f t="shared" si="10"/>
        <v>0</v>
      </c>
      <c r="AU24" s="20" t="b">
        <f t="shared" si="11"/>
        <v>0</v>
      </c>
    </row>
    <row r="25" spans="1:47">
      <c r="A25" s="20">
        <f t="shared" si="12"/>
        <v>2</v>
      </c>
      <c r="B25" s="564"/>
      <c r="C25" s="564"/>
      <c r="D25" s="564"/>
      <c r="E25" s="564"/>
      <c r="F25" s="568"/>
      <c r="G25" s="568"/>
      <c r="H25" s="564"/>
      <c r="I25" s="568"/>
      <c r="J25" s="564"/>
      <c r="K25" s="564"/>
      <c r="L25" s="569"/>
      <c r="M25" s="569"/>
      <c r="N25" s="569"/>
      <c r="O25" s="570"/>
      <c r="P25" s="564"/>
      <c r="Q25" s="564"/>
      <c r="R25" s="569"/>
      <c r="S25" s="569"/>
      <c r="T25" s="564"/>
      <c r="U25" s="564"/>
      <c r="V25" s="564"/>
      <c r="W25" s="54">
        <f t="shared" si="13"/>
        <v>0</v>
      </c>
      <c r="X25" s="54">
        <f t="shared" si="14"/>
        <v>0</v>
      </c>
      <c r="AJ25" s="20" t="b">
        <f t="shared" si="0"/>
        <v>0</v>
      </c>
      <c r="AK25" s="20" t="b">
        <f t="shared" si="1"/>
        <v>0</v>
      </c>
      <c r="AL25" s="20" t="b">
        <f t="shared" si="2"/>
        <v>0</v>
      </c>
      <c r="AM25" s="20" t="b">
        <f t="shared" si="3"/>
        <v>0</v>
      </c>
      <c r="AN25" s="20" t="b">
        <f t="shared" si="4"/>
        <v>0</v>
      </c>
      <c r="AO25" s="20" t="b">
        <f t="shared" si="5"/>
        <v>0</v>
      </c>
      <c r="AP25" s="20" t="b">
        <f t="shared" si="6"/>
        <v>0</v>
      </c>
      <c r="AQ25" s="20" t="b">
        <f t="shared" si="7"/>
        <v>0</v>
      </c>
      <c r="AR25" s="20" t="b">
        <f t="shared" si="8"/>
        <v>0</v>
      </c>
      <c r="AS25" s="20" t="b">
        <f t="shared" si="9"/>
        <v>0</v>
      </c>
      <c r="AT25" s="20" t="b">
        <f t="shared" si="10"/>
        <v>0</v>
      </c>
      <c r="AU25" s="20" t="b">
        <f t="shared" si="11"/>
        <v>0</v>
      </c>
    </row>
    <row r="26" spans="1:47">
      <c r="A26" s="20">
        <f t="shared" si="12"/>
        <v>2</v>
      </c>
      <c r="B26" s="564"/>
      <c r="C26" s="564"/>
      <c r="D26" s="564"/>
      <c r="E26" s="564"/>
      <c r="F26" s="568"/>
      <c r="G26" s="568"/>
      <c r="H26" s="564"/>
      <c r="I26" s="568"/>
      <c r="J26" s="564"/>
      <c r="K26" s="564"/>
      <c r="L26" s="569"/>
      <c r="M26" s="569"/>
      <c r="N26" s="569"/>
      <c r="O26" s="570"/>
      <c r="P26" s="564"/>
      <c r="Q26" s="564"/>
      <c r="R26" s="569"/>
      <c r="S26" s="569"/>
      <c r="T26" s="564"/>
      <c r="U26" s="564"/>
      <c r="V26" s="564"/>
      <c r="W26" s="54">
        <f t="shared" si="13"/>
        <v>0</v>
      </c>
      <c r="X26" s="54">
        <f t="shared" si="14"/>
        <v>0</v>
      </c>
      <c r="AJ26" s="20" t="b">
        <f t="shared" si="0"/>
        <v>0</v>
      </c>
      <c r="AK26" s="20" t="b">
        <f t="shared" si="1"/>
        <v>0</v>
      </c>
      <c r="AL26" s="20" t="b">
        <f t="shared" si="2"/>
        <v>0</v>
      </c>
      <c r="AM26" s="20" t="b">
        <f t="shared" si="3"/>
        <v>0</v>
      </c>
      <c r="AN26" s="20" t="b">
        <f t="shared" si="4"/>
        <v>0</v>
      </c>
      <c r="AO26" s="20" t="b">
        <f t="shared" si="5"/>
        <v>0</v>
      </c>
      <c r="AP26" s="20" t="b">
        <f t="shared" si="6"/>
        <v>0</v>
      </c>
      <c r="AQ26" s="20" t="b">
        <f t="shared" si="7"/>
        <v>0</v>
      </c>
      <c r="AR26" s="20" t="b">
        <f t="shared" si="8"/>
        <v>0</v>
      </c>
      <c r="AS26" s="20" t="b">
        <f t="shared" si="9"/>
        <v>0</v>
      </c>
      <c r="AT26" s="20" t="b">
        <f t="shared" si="10"/>
        <v>0</v>
      </c>
      <c r="AU26" s="20" t="b">
        <f t="shared" si="11"/>
        <v>0</v>
      </c>
    </row>
    <row r="27" spans="1:47">
      <c r="A27" s="20">
        <f t="shared" si="12"/>
        <v>2</v>
      </c>
      <c r="B27" s="564"/>
      <c r="C27" s="564"/>
      <c r="D27" s="564"/>
      <c r="E27" s="564"/>
      <c r="F27" s="568"/>
      <c r="G27" s="568"/>
      <c r="H27" s="564"/>
      <c r="I27" s="568"/>
      <c r="J27" s="564"/>
      <c r="K27" s="564"/>
      <c r="L27" s="569"/>
      <c r="M27" s="569"/>
      <c r="N27" s="569"/>
      <c r="O27" s="570"/>
      <c r="P27" s="564"/>
      <c r="Q27" s="564"/>
      <c r="R27" s="569"/>
      <c r="S27" s="569"/>
      <c r="T27" s="564"/>
      <c r="U27" s="564"/>
      <c r="V27" s="564"/>
      <c r="W27" s="54">
        <f t="shared" si="13"/>
        <v>0</v>
      </c>
      <c r="X27" s="54">
        <f t="shared" si="14"/>
        <v>0</v>
      </c>
      <c r="AJ27" s="20" t="b">
        <f t="shared" si="0"/>
        <v>0</v>
      </c>
      <c r="AK27" s="20" t="b">
        <f t="shared" si="1"/>
        <v>0</v>
      </c>
      <c r="AL27" s="20" t="b">
        <f t="shared" si="2"/>
        <v>0</v>
      </c>
      <c r="AM27" s="20" t="b">
        <f t="shared" si="3"/>
        <v>0</v>
      </c>
      <c r="AN27" s="20" t="b">
        <f t="shared" si="4"/>
        <v>0</v>
      </c>
      <c r="AO27" s="20" t="b">
        <f t="shared" si="5"/>
        <v>0</v>
      </c>
      <c r="AP27" s="20" t="b">
        <f t="shared" si="6"/>
        <v>0</v>
      </c>
      <c r="AQ27" s="20" t="b">
        <f t="shared" si="7"/>
        <v>0</v>
      </c>
      <c r="AR27" s="20" t="b">
        <f t="shared" si="8"/>
        <v>0</v>
      </c>
      <c r="AS27" s="20" t="b">
        <f t="shared" si="9"/>
        <v>0</v>
      </c>
      <c r="AT27" s="20" t="b">
        <f t="shared" si="10"/>
        <v>0</v>
      </c>
      <c r="AU27" s="20" t="b">
        <f t="shared" si="11"/>
        <v>0</v>
      </c>
    </row>
    <row r="28" spans="1:47">
      <c r="A28" s="20">
        <f t="shared" si="12"/>
        <v>2</v>
      </c>
      <c r="B28" s="564"/>
      <c r="C28" s="564"/>
      <c r="D28" s="564"/>
      <c r="E28" s="564"/>
      <c r="F28" s="568"/>
      <c r="G28" s="568"/>
      <c r="H28" s="564"/>
      <c r="I28" s="568"/>
      <c r="J28" s="564"/>
      <c r="K28" s="564"/>
      <c r="L28" s="569"/>
      <c r="M28" s="569"/>
      <c r="N28" s="569"/>
      <c r="O28" s="570"/>
      <c r="P28" s="564"/>
      <c r="Q28" s="564"/>
      <c r="R28" s="569"/>
      <c r="S28" s="569"/>
      <c r="T28" s="564"/>
      <c r="U28" s="564"/>
      <c r="V28" s="564"/>
      <c r="W28" s="54">
        <f t="shared" si="13"/>
        <v>0</v>
      </c>
      <c r="X28" s="54">
        <f t="shared" si="14"/>
        <v>0</v>
      </c>
      <c r="AJ28" s="20" t="b">
        <f t="shared" si="0"/>
        <v>0</v>
      </c>
      <c r="AK28" s="20" t="b">
        <f t="shared" si="1"/>
        <v>0</v>
      </c>
      <c r="AL28" s="20" t="b">
        <f t="shared" si="2"/>
        <v>0</v>
      </c>
      <c r="AM28" s="20" t="b">
        <f t="shared" si="3"/>
        <v>0</v>
      </c>
      <c r="AN28" s="20" t="b">
        <f t="shared" si="4"/>
        <v>0</v>
      </c>
      <c r="AO28" s="20" t="b">
        <f t="shared" si="5"/>
        <v>0</v>
      </c>
      <c r="AP28" s="20" t="b">
        <f t="shared" si="6"/>
        <v>0</v>
      </c>
      <c r="AQ28" s="20" t="b">
        <f t="shared" si="7"/>
        <v>0</v>
      </c>
      <c r="AR28" s="20" t="b">
        <f t="shared" si="8"/>
        <v>0</v>
      </c>
      <c r="AS28" s="20" t="b">
        <f t="shared" si="9"/>
        <v>0</v>
      </c>
      <c r="AT28" s="20" t="b">
        <f t="shared" si="10"/>
        <v>0</v>
      </c>
      <c r="AU28" s="20" t="b">
        <f t="shared" si="11"/>
        <v>0</v>
      </c>
    </row>
    <row r="29" spans="1:47">
      <c r="A29" s="20">
        <f t="shared" si="12"/>
        <v>2</v>
      </c>
      <c r="B29" s="564"/>
      <c r="C29" s="564"/>
      <c r="D29" s="564"/>
      <c r="E29" s="564"/>
      <c r="F29" s="568"/>
      <c r="G29" s="568"/>
      <c r="H29" s="564"/>
      <c r="I29" s="568"/>
      <c r="J29" s="564"/>
      <c r="K29" s="564"/>
      <c r="L29" s="569"/>
      <c r="M29" s="569"/>
      <c r="N29" s="569"/>
      <c r="O29" s="570"/>
      <c r="P29" s="564"/>
      <c r="Q29" s="564"/>
      <c r="R29" s="569"/>
      <c r="S29" s="569"/>
      <c r="T29" s="564"/>
      <c r="U29" s="564"/>
      <c r="V29" s="564"/>
      <c r="W29" s="54">
        <f t="shared" si="13"/>
        <v>0</v>
      </c>
      <c r="X29" s="54">
        <f t="shared" si="14"/>
        <v>0</v>
      </c>
      <c r="AJ29" s="20" t="b">
        <f t="shared" si="0"/>
        <v>0</v>
      </c>
      <c r="AK29" s="20" t="b">
        <f t="shared" si="1"/>
        <v>0</v>
      </c>
      <c r="AL29" s="20" t="b">
        <f t="shared" si="2"/>
        <v>0</v>
      </c>
      <c r="AM29" s="20" t="b">
        <f t="shared" si="3"/>
        <v>0</v>
      </c>
      <c r="AN29" s="20" t="b">
        <f t="shared" si="4"/>
        <v>0</v>
      </c>
      <c r="AO29" s="20" t="b">
        <f t="shared" si="5"/>
        <v>0</v>
      </c>
      <c r="AP29" s="20" t="b">
        <f t="shared" si="6"/>
        <v>0</v>
      </c>
      <c r="AQ29" s="20" t="b">
        <f t="shared" si="7"/>
        <v>0</v>
      </c>
      <c r="AR29" s="20" t="b">
        <f t="shared" si="8"/>
        <v>0</v>
      </c>
      <c r="AS29" s="20" t="b">
        <f t="shared" si="9"/>
        <v>0</v>
      </c>
      <c r="AT29" s="20" t="b">
        <f t="shared" si="10"/>
        <v>0</v>
      </c>
      <c r="AU29" s="20" t="b">
        <f t="shared" si="11"/>
        <v>0</v>
      </c>
    </row>
    <row r="30" spans="1:47">
      <c r="A30" s="20">
        <f t="shared" si="12"/>
        <v>2</v>
      </c>
      <c r="B30" s="564"/>
      <c r="C30" s="564"/>
      <c r="D30" s="564"/>
      <c r="E30" s="564"/>
      <c r="F30" s="568"/>
      <c r="G30" s="568"/>
      <c r="H30" s="564"/>
      <c r="I30" s="568"/>
      <c r="J30" s="564"/>
      <c r="K30" s="564"/>
      <c r="L30" s="569"/>
      <c r="M30" s="569"/>
      <c r="N30" s="569"/>
      <c r="O30" s="570"/>
      <c r="P30" s="564"/>
      <c r="Q30" s="564"/>
      <c r="R30" s="569"/>
      <c r="S30" s="569"/>
      <c r="T30" s="564"/>
      <c r="U30" s="564"/>
      <c r="V30" s="564"/>
      <c r="W30" s="54">
        <f t="shared" si="13"/>
        <v>0</v>
      </c>
      <c r="X30" s="54">
        <f t="shared" si="14"/>
        <v>0</v>
      </c>
      <c r="AJ30" s="20" t="b">
        <f t="shared" si="0"/>
        <v>0</v>
      </c>
      <c r="AK30" s="20" t="b">
        <f t="shared" si="1"/>
        <v>0</v>
      </c>
      <c r="AL30" s="20" t="b">
        <f t="shared" si="2"/>
        <v>0</v>
      </c>
      <c r="AM30" s="20" t="b">
        <f t="shared" si="3"/>
        <v>0</v>
      </c>
      <c r="AN30" s="20" t="b">
        <f t="shared" si="4"/>
        <v>0</v>
      </c>
      <c r="AO30" s="20" t="b">
        <f t="shared" si="5"/>
        <v>0</v>
      </c>
      <c r="AP30" s="20" t="b">
        <f t="shared" si="6"/>
        <v>0</v>
      </c>
      <c r="AQ30" s="20" t="b">
        <f t="shared" si="7"/>
        <v>0</v>
      </c>
      <c r="AR30" s="20" t="b">
        <f t="shared" si="8"/>
        <v>0</v>
      </c>
      <c r="AS30" s="20" t="b">
        <f t="shared" si="9"/>
        <v>0</v>
      </c>
      <c r="AT30" s="20" t="b">
        <f t="shared" si="10"/>
        <v>0</v>
      </c>
      <c r="AU30" s="20" t="b">
        <f t="shared" si="11"/>
        <v>0</v>
      </c>
    </row>
    <row r="31" spans="1:47">
      <c r="A31" s="20">
        <f t="shared" si="12"/>
        <v>2</v>
      </c>
      <c r="B31" s="564"/>
      <c r="C31" s="564"/>
      <c r="D31" s="564"/>
      <c r="E31" s="564"/>
      <c r="F31" s="568"/>
      <c r="G31" s="568"/>
      <c r="H31" s="564"/>
      <c r="I31" s="568"/>
      <c r="J31" s="564"/>
      <c r="K31" s="564"/>
      <c r="L31" s="569"/>
      <c r="M31" s="569"/>
      <c r="N31" s="569"/>
      <c r="O31" s="570"/>
      <c r="P31" s="564"/>
      <c r="Q31" s="564"/>
      <c r="R31" s="569"/>
      <c r="S31" s="569"/>
      <c r="T31" s="564"/>
      <c r="U31" s="564"/>
      <c r="V31" s="564"/>
      <c r="W31" s="54">
        <f t="shared" si="13"/>
        <v>0</v>
      </c>
      <c r="X31" s="54">
        <f t="shared" si="14"/>
        <v>0</v>
      </c>
      <c r="AJ31" s="20" t="b">
        <f t="shared" si="0"/>
        <v>0</v>
      </c>
      <c r="AK31" s="20" t="b">
        <f t="shared" si="1"/>
        <v>0</v>
      </c>
      <c r="AL31" s="20" t="b">
        <f t="shared" si="2"/>
        <v>0</v>
      </c>
      <c r="AM31" s="20" t="b">
        <f t="shared" si="3"/>
        <v>0</v>
      </c>
      <c r="AN31" s="20" t="b">
        <f t="shared" si="4"/>
        <v>0</v>
      </c>
      <c r="AO31" s="20" t="b">
        <f t="shared" si="5"/>
        <v>0</v>
      </c>
      <c r="AP31" s="20" t="b">
        <f t="shared" si="6"/>
        <v>0</v>
      </c>
      <c r="AQ31" s="20" t="b">
        <f t="shared" si="7"/>
        <v>0</v>
      </c>
      <c r="AR31" s="20" t="b">
        <f t="shared" si="8"/>
        <v>0</v>
      </c>
      <c r="AS31" s="20" t="b">
        <f t="shared" si="9"/>
        <v>0</v>
      </c>
      <c r="AT31" s="20" t="b">
        <f t="shared" si="10"/>
        <v>0</v>
      </c>
      <c r="AU31" s="20" t="b">
        <f t="shared" si="11"/>
        <v>0</v>
      </c>
    </row>
    <row r="32" spans="1:47">
      <c r="A32" s="20">
        <f t="shared" si="12"/>
        <v>2</v>
      </c>
      <c r="B32" s="564"/>
      <c r="C32" s="564"/>
      <c r="D32" s="564"/>
      <c r="E32" s="564"/>
      <c r="F32" s="568"/>
      <c r="G32" s="568"/>
      <c r="H32" s="564"/>
      <c r="I32" s="568"/>
      <c r="J32" s="564"/>
      <c r="K32" s="564"/>
      <c r="L32" s="569"/>
      <c r="M32" s="569"/>
      <c r="N32" s="569"/>
      <c r="O32" s="570"/>
      <c r="P32" s="564"/>
      <c r="Q32" s="564"/>
      <c r="R32" s="569"/>
      <c r="S32" s="569"/>
      <c r="T32" s="564"/>
      <c r="U32" s="564"/>
      <c r="V32" s="564"/>
      <c r="W32" s="54">
        <f t="shared" si="13"/>
        <v>0</v>
      </c>
      <c r="X32" s="54">
        <f t="shared" si="14"/>
        <v>0</v>
      </c>
      <c r="AJ32" s="20" t="b">
        <f t="shared" si="0"/>
        <v>0</v>
      </c>
      <c r="AK32" s="20" t="b">
        <f t="shared" si="1"/>
        <v>0</v>
      </c>
      <c r="AL32" s="20" t="b">
        <f t="shared" si="2"/>
        <v>0</v>
      </c>
      <c r="AM32" s="20" t="b">
        <f t="shared" si="3"/>
        <v>0</v>
      </c>
      <c r="AN32" s="20" t="b">
        <f t="shared" si="4"/>
        <v>0</v>
      </c>
      <c r="AO32" s="20" t="b">
        <f t="shared" si="5"/>
        <v>0</v>
      </c>
      <c r="AP32" s="20" t="b">
        <f t="shared" si="6"/>
        <v>0</v>
      </c>
      <c r="AQ32" s="20" t="b">
        <f t="shared" si="7"/>
        <v>0</v>
      </c>
      <c r="AR32" s="20" t="b">
        <f t="shared" si="8"/>
        <v>0</v>
      </c>
      <c r="AS32" s="20" t="b">
        <f t="shared" si="9"/>
        <v>0</v>
      </c>
      <c r="AT32" s="20" t="b">
        <f t="shared" si="10"/>
        <v>0</v>
      </c>
      <c r="AU32" s="20" t="b">
        <f t="shared" si="11"/>
        <v>0</v>
      </c>
    </row>
    <row r="33" spans="1:47">
      <c r="A33" s="20">
        <f t="shared" si="12"/>
        <v>2</v>
      </c>
      <c r="B33" s="564"/>
      <c r="C33" s="564"/>
      <c r="D33" s="564"/>
      <c r="E33" s="564"/>
      <c r="F33" s="568"/>
      <c r="G33" s="568"/>
      <c r="H33" s="564"/>
      <c r="I33" s="568"/>
      <c r="J33" s="564"/>
      <c r="K33" s="564"/>
      <c r="L33" s="569"/>
      <c r="M33" s="569"/>
      <c r="N33" s="569"/>
      <c r="O33" s="570"/>
      <c r="P33" s="564"/>
      <c r="Q33" s="564"/>
      <c r="R33" s="569"/>
      <c r="S33" s="569"/>
      <c r="T33" s="564"/>
      <c r="U33" s="564"/>
      <c r="V33" s="564"/>
      <c r="W33" s="54">
        <f t="shared" si="13"/>
        <v>0</v>
      </c>
      <c r="X33" s="54">
        <f t="shared" si="14"/>
        <v>0</v>
      </c>
      <c r="AJ33" s="20" t="b">
        <f t="shared" si="0"/>
        <v>0</v>
      </c>
      <c r="AK33" s="20" t="b">
        <f t="shared" si="1"/>
        <v>0</v>
      </c>
      <c r="AL33" s="20" t="b">
        <f t="shared" si="2"/>
        <v>0</v>
      </c>
      <c r="AM33" s="20" t="b">
        <f t="shared" si="3"/>
        <v>0</v>
      </c>
      <c r="AN33" s="20" t="b">
        <f t="shared" si="4"/>
        <v>0</v>
      </c>
      <c r="AO33" s="20" t="b">
        <f t="shared" si="5"/>
        <v>0</v>
      </c>
      <c r="AP33" s="20" t="b">
        <f t="shared" si="6"/>
        <v>0</v>
      </c>
      <c r="AQ33" s="20" t="b">
        <f t="shared" si="7"/>
        <v>0</v>
      </c>
      <c r="AR33" s="20" t="b">
        <f t="shared" si="8"/>
        <v>0</v>
      </c>
      <c r="AS33" s="20" t="b">
        <f t="shared" si="9"/>
        <v>0</v>
      </c>
      <c r="AT33" s="20" t="b">
        <f t="shared" si="10"/>
        <v>0</v>
      </c>
      <c r="AU33" s="20" t="b">
        <f t="shared" si="11"/>
        <v>0</v>
      </c>
    </row>
    <row r="34" spans="1:47">
      <c r="A34" s="20">
        <f t="shared" si="12"/>
        <v>2</v>
      </c>
      <c r="B34" s="564"/>
      <c r="C34" s="564"/>
      <c r="D34" s="564"/>
      <c r="E34" s="564"/>
      <c r="F34" s="568"/>
      <c r="G34" s="568"/>
      <c r="H34" s="564"/>
      <c r="I34" s="568"/>
      <c r="J34" s="564"/>
      <c r="K34" s="564"/>
      <c r="L34" s="569"/>
      <c r="M34" s="569"/>
      <c r="N34" s="569"/>
      <c r="O34" s="570"/>
      <c r="P34" s="564"/>
      <c r="Q34" s="564"/>
      <c r="R34" s="569"/>
      <c r="S34" s="569"/>
      <c r="T34" s="564"/>
      <c r="U34" s="564"/>
      <c r="V34" s="564"/>
      <c r="W34" s="54">
        <f t="shared" si="13"/>
        <v>0</v>
      </c>
      <c r="X34" s="54">
        <f t="shared" si="14"/>
        <v>0</v>
      </c>
      <c r="AJ34" s="20" t="b">
        <f t="shared" si="0"/>
        <v>0</v>
      </c>
      <c r="AK34" s="20" t="b">
        <f t="shared" si="1"/>
        <v>0</v>
      </c>
      <c r="AL34" s="20" t="b">
        <f t="shared" si="2"/>
        <v>0</v>
      </c>
      <c r="AM34" s="20" t="b">
        <f t="shared" si="3"/>
        <v>0</v>
      </c>
      <c r="AN34" s="20" t="b">
        <f t="shared" si="4"/>
        <v>0</v>
      </c>
      <c r="AO34" s="20" t="b">
        <f t="shared" si="5"/>
        <v>0</v>
      </c>
      <c r="AP34" s="20" t="b">
        <f t="shared" si="6"/>
        <v>0</v>
      </c>
      <c r="AQ34" s="20" t="b">
        <f t="shared" si="7"/>
        <v>0</v>
      </c>
      <c r="AR34" s="20" t="b">
        <f t="shared" si="8"/>
        <v>0</v>
      </c>
      <c r="AS34" s="20" t="b">
        <f t="shared" si="9"/>
        <v>0</v>
      </c>
      <c r="AT34" s="20" t="b">
        <f t="shared" si="10"/>
        <v>0</v>
      </c>
      <c r="AU34" s="20" t="b">
        <f t="shared" si="11"/>
        <v>0</v>
      </c>
    </row>
    <row r="35" spans="1:47">
      <c r="B35" s="564"/>
      <c r="C35" s="564"/>
      <c r="D35" s="564"/>
      <c r="E35" s="564"/>
      <c r="F35" s="568"/>
      <c r="G35" s="568"/>
      <c r="H35" s="564"/>
      <c r="I35" s="568"/>
      <c r="J35" s="564"/>
      <c r="K35" s="564"/>
      <c r="L35" s="569"/>
      <c r="M35" s="569"/>
      <c r="N35" s="569"/>
      <c r="O35" s="570"/>
      <c r="P35" s="564"/>
      <c r="Q35" s="564"/>
      <c r="R35" s="569"/>
      <c r="S35" s="569"/>
      <c r="T35" s="564"/>
      <c r="U35" s="564"/>
      <c r="V35" s="564"/>
      <c r="W35" s="54">
        <f t="shared" si="13"/>
        <v>0</v>
      </c>
      <c r="X35" s="54">
        <f t="shared" si="14"/>
        <v>0</v>
      </c>
      <c r="AJ35" s="20" t="b">
        <f t="shared" si="0"/>
        <v>0</v>
      </c>
      <c r="AK35" s="20" t="b">
        <f t="shared" si="1"/>
        <v>0</v>
      </c>
      <c r="AL35" s="20" t="b">
        <f t="shared" si="2"/>
        <v>0</v>
      </c>
      <c r="AM35" s="20" t="b">
        <f t="shared" si="3"/>
        <v>0</v>
      </c>
      <c r="AN35" s="20" t="b">
        <f t="shared" si="4"/>
        <v>0</v>
      </c>
      <c r="AO35" s="20" t="b">
        <f t="shared" si="5"/>
        <v>0</v>
      </c>
      <c r="AP35" s="20" t="b">
        <f t="shared" si="6"/>
        <v>0</v>
      </c>
      <c r="AQ35" s="20" t="b">
        <f t="shared" si="7"/>
        <v>0</v>
      </c>
      <c r="AR35" s="20" t="b">
        <f t="shared" si="8"/>
        <v>0</v>
      </c>
      <c r="AS35" s="20" t="b">
        <f t="shared" si="9"/>
        <v>0</v>
      </c>
      <c r="AT35" s="20" t="b">
        <f t="shared" si="10"/>
        <v>0</v>
      </c>
      <c r="AU35" s="20" t="b">
        <f t="shared" si="11"/>
        <v>0</v>
      </c>
    </row>
    <row r="36" spans="1:47">
      <c r="A36" s="20">
        <f>IF(F36=F34,A34,A34+1)</f>
        <v>2</v>
      </c>
      <c r="B36" s="564"/>
      <c r="C36" s="564"/>
      <c r="D36" s="564"/>
      <c r="E36" s="564"/>
      <c r="F36" s="568"/>
      <c r="G36" s="568"/>
      <c r="H36" s="564"/>
      <c r="I36" s="568"/>
      <c r="J36" s="564"/>
      <c r="K36" s="564"/>
      <c r="L36" s="569"/>
      <c r="M36" s="569"/>
      <c r="N36" s="569"/>
      <c r="O36" s="570"/>
      <c r="P36" s="564"/>
      <c r="Q36" s="564"/>
      <c r="R36" s="569"/>
      <c r="S36" s="569"/>
      <c r="T36" s="564"/>
      <c r="U36" s="564"/>
      <c r="V36" s="564"/>
      <c r="W36" s="54">
        <f t="shared" si="13"/>
        <v>0</v>
      </c>
      <c r="X36" s="54">
        <f t="shared" si="14"/>
        <v>0</v>
      </c>
      <c r="AJ36" s="20" t="b">
        <f t="shared" si="0"/>
        <v>0</v>
      </c>
      <c r="AK36" s="20" t="b">
        <f t="shared" si="1"/>
        <v>0</v>
      </c>
      <c r="AL36" s="20" t="b">
        <f t="shared" si="2"/>
        <v>0</v>
      </c>
      <c r="AM36" s="20" t="b">
        <f t="shared" si="3"/>
        <v>0</v>
      </c>
      <c r="AN36" s="20" t="b">
        <f t="shared" si="4"/>
        <v>0</v>
      </c>
      <c r="AO36" s="20" t="b">
        <f t="shared" si="5"/>
        <v>0</v>
      </c>
      <c r="AP36" s="20" t="b">
        <f t="shared" si="6"/>
        <v>0</v>
      </c>
      <c r="AQ36" s="20" t="b">
        <f t="shared" si="7"/>
        <v>0</v>
      </c>
      <c r="AR36" s="20" t="b">
        <f t="shared" si="8"/>
        <v>0</v>
      </c>
      <c r="AS36" s="20" t="b">
        <f t="shared" si="9"/>
        <v>0</v>
      </c>
      <c r="AT36" s="20" t="b">
        <f t="shared" si="10"/>
        <v>0</v>
      </c>
      <c r="AU36" s="20" t="b">
        <f t="shared" si="11"/>
        <v>0</v>
      </c>
    </row>
    <row r="37" spans="1:47">
      <c r="A37" s="20">
        <f t="shared" si="12"/>
        <v>2</v>
      </c>
      <c r="B37" s="564"/>
      <c r="C37" s="564"/>
      <c r="D37" s="564"/>
      <c r="E37" s="564"/>
      <c r="F37" s="568"/>
      <c r="G37" s="568"/>
      <c r="H37" s="564"/>
      <c r="I37" s="568"/>
      <c r="J37" s="564"/>
      <c r="K37" s="564"/>
      <c r="L37" s="569"/>
      <c r="M37" s="569"/>
      <c r="N37" s="569"/>
      <c r="O37" s="570"/>
      <c r="P37" s="564"/>
      <c r="Q37" s="564"/>
      <c r="R37" s="569"/>
      <c r="S37" s="569"/>
      <c r="T37" s="564"/>
      <c r="U37" s="564"/>
      <c r="V37" s="564"/>
      <c r="W37" s="54">
        <f t="shared" si="13"/>
        <v>0</v>
      </c>
      <c r="X37" s="54">
        <f t="shared" si="14"/>
        <v>0</v>
      </c>
      <c r="AJ37" s="20" t="b">
        <f t="shared" si="0"/>
        <v>0</v>
      </c>
      <c r="AK37" s="20" t="b">
        <f t="shared" si="1"/>
        <v>0</v>
      </c>
      <c r="AL37" s="20" t="b">
        <f t="shared" si="2"/>
        <v>0</v>
      </c>
      <c r="AM37" s="20" t="b">
        <f t="shared" si="3"/>
        <v>0</v>
      </c>
      <c r="AN37" s="20" t="b">
        <f t="shared" si="4"/>
        <v>0</v>
      </c>
      <c r="AO37" s="20" t="b">
        <f t="shared" si="5"/>
        <v>0</v>
      </c>
      <c r="AP37" s="20" t="b">
        <f t="shared" si="6"/>
        <v>0</v>
      </c>
      <c r="AQ37" s="20" t="b">
        <f t="shared" si="7"/>
        <v>0</v>
      </c>
      <c r="AR37" s="20" t="b">
        <f t="shared" si="8"/>
        <v>0</v>
      </c>
      <c r="AS37" s="20" t="b">
        <f t="shared" si="9"/>
        <v>0</v>
      </c>
      <c r="AT37" s="20" t="b">
        <f t="shared" si="10"/>
        <v>0</v>
      </c>
      <c r="AU37" s="20" t="b">
        <f t="shared" si="11"/>
        <v>0</v>
      </c>
    </row>
    <row r="38" spans="1:47">
      <c r="A38" s="20">
        <f t="shared" si="12"/>
        <v>2</v>
      </c>
      <c r="B38" s="564"/>
      <c r="C38" s="564"/>
      <c r="D38" s="564"/>
      <c r="E38" s="564"/>
      <c r="F38" s="568"/>
      <c r="G38" s="568"/>
      <c r="H38" s="564"/>
      <c r="I38" s="568"/>
      <c r="J38" s="564"/>
      <c r="K38" s="564"/>
      <c r="L38" s="569"/>
      <c r="M38" s="569"/>
      <c r="N38" s="569"/>
      <c r="O38" s="570"/>
      <c r="P38" s="564"/>
      <c r="Q38" s="564"/>
      <c r="R38" s="569"/>
      <c r="S38" s="569"/>
      <c r="T38" s="564"/>
      <c r="U38" s="564"/>
      <c r="V38" s="564"/>
      <c r="W38" s="54">
        <f t="shared" si="13"/>
        <v>0</v>
      </c>
      <c r="X38" s="54">
        <f t="shared" si="14"/>
        <v>0</v>
      </c>
      <c r="AJ38" s="20" t="b">
        <f t="shared" si="0"/>
        <v>0</v>
      </c>
      <c r="AK38" s="20" t="b">
        <f t="shared" si="1"/>
        <v>0</v>
      </c>
      <c r="AL38" s="20" t="b">
        <f t="shared" si="2"/>
        <v>0</v>
      </c>
      <c r="AM38" s="20" t="b">
        <f t="shared" si="3"/>
        <v>0</v>
      </c>
      <c r="AN38" s="20" t="b">
        <f t="shared" si="4"/>
        <v>0</v>
      </c>
      <c r="AO38" s="20" t="b">
        <f t="shared" si="5"/>
        <v>0</v>
      </c>
      <c r="AP38" s="20" t="b">
        <f t="shared" si="6"/>
        <v>0</v>
      </c>
      <c r="AQ38" s="20" t="b">
        <f t="shared" si="7"/>
        <v>0</v>
      </c>
      <c r="AR38" s="20" t="b">
        <f t="shared" si="8"/>
        <v>0</v>
      </c>
      <c r="AS38" s="20" t="b">
        <f t="shared" si="9"/>
        <v>0</v>
      </c>
      <c r="AT38" s="20" t="b">
        <f t="shared" si="10"/>
        <v>0</v>
      </c>
      <c r="AU38" s="20" t="b">
        <f t="shared" si="11"/>
        <v>0</v>
      </c>
    </row>
    <row r="39" spans="1:47">
      <c r="A39" s="20">
        <f t="shared" si="12"/>
        <v>2</v>
      </c>
      <c r="B39" s="564"/>
      <c r="C39" s="564"/>
      <c r="D39" s="564"/>
      <c r="E39" s="564"/>
      <c r="F39" s="568"/>
      <c r="G39" s="568"/>
      <c r="H39" s="564"/>
      <c r="I39" s="568"/>
      <c r="J39" s="564"/>
      <c r="K39" s="564"/>
      <c r="L39" s="569"/>
      <c r="M39" s="569"/>
      <c r="N39" s="569"/>
      <c r="O39" s="570"/>
      <c r="P39" s="564"/>
      <c r="Q39" s="564"/>
      <c r="R39" s="569"/>
      <c r="S39" s="569"/>
      <c r="T39" s="564"/>
      <c r="U39" s="564"/>
      <c r="V39" s="564"/>
      <c r="W39" s="54">
        <f t="shared" si="13"/>
        <v>0</v>
      </c>
      <c r="X39" s="54">
        <f t="shared" si="14"/>
        <v>0</v>
      </c>
      <c r="AJ39" s="20" t="b">
        <f t="shared" si="0"/>
        <v>0</v>
      </c>
      <c r="AK39" s="20" t="b">
        <f t="shared" si="1"/>
        <v>0</v>
      </c>
      <c r="AL39" s="20" t="b">
        <f t="shared" si="2"/>
        <v>0</v>
      </c>
      <c r="AM39" s="20" t="b">
        <f t="shared" si="3"/>
        <v>0</v>
      </c>
      <c r="AN39" s="20" t="b">
        <f t="shared" si="4"/>
        <v>0</v>
      </c>
      <c r="AO39" s="20" t="b">
        <f t="shared" si="5"/>
        <v>0</v>
      </c>
      <c r="AP39" s="20" t="b">
        <f t="shared" si="6"/>
        <v>0</v>
      </c>
      <c r="AQ39" s="20" t="b">
        <f t="shared" si="7"/>
        <v>0</v>
      </c>
      <c r="AR39" s="20" t="b">
        <f t="shared" si="8"/>
        <v>0</v>
      </c>
      <c r="AS39" s="20" t="b">
        <f t="shared" si="9"/>
        <v>0</v>
      </c>
      <c r="AT39" s="20" t="b">
        <f t="shared" si="10"/>
        <v>0</v>
      </c>
      <c r="AU39" s="20" t="b">
        <f t="shared" si="11"/>
        <v>0</v>
      </c>
    </row>
    <row r="40" spans="1:47">
      <c r="A40" s="20">
        <f t="shared" si="12"/>
        <v>2</v>
      </c>
      <c r="B40" s="564"/>
      <c r="C40" s="564"/>
      <c r="D40" s="564"/>
      <c r="E40" s="564"/>
      <c r="F40" s="568"/>
      <c r="G40" s="568"/>
      <c r="H40" s="564"/>
      <c r="I40" s="568"/>
      <c r="J40" s="564"/>
      <c r="K40" s="564"/>
      <c r="L40" s="569"/>
      <c r="M40" s="569"/>
      <c r="N40" s="569"/>
      <c r="O40" s="570"/>
      <c r="P40" s="564"/>
      <c r="Q40" s="564"/>
      <c r="R40" s="569"/>
      <c r="S40" s="569"/>
      <c r="T40" s="564"/>
      <c r="U40" s="564"/>
      <c r="V40" s="564"/>
      <c r="W40" s="54">
        <f t="shared" si="13"/>
        <v>0</v>
      </c>
      <c r="X40" s="54">
        <f t="shared" si="14"/>
        <v>0</v>
      </c>
      <c r="AJ40" s="20" t="b">
        <f t="shared" si="0"/>
        <v>0</v>
      </c>
      <c r="AK40" s="20" t="b">
        <f t="shared" si="1"/>
        <v>0</v>
      </c>
      <c r="AL40" s="20" t="b">
        <f t="shared" si="2"/>
        <v>0</v>
      </c>
      <c r="AM40" s="20" t="b">
        <f t="shared" si="3"/>
        <v>0</v>
      </c>
      <c r="AN40" s="20" t="b">
        <f t="shared" si="4"/>
        <v>0</v>
      </c>
      <c r="AO40" s="20" t="b">
        <f t="shared" si="5"/>
        <v>0</v>
      </c>
      <c r="AP40" s="20" t="b">
        <f t="shared" si="6"/>
        <v>0</v>
      </c>
      <c r="AQ40" s="20" t="b">
        <f t="shared" si="7"/>
        <v>0</v>
      </c>
      <c r="AR40" s="20" t="b">
        <f t="shared" si="8"/>
        <v>0</v>
      </c>
      <c r="AS40" s="20" t="b">
        <f t="shared" si="9"/>
        <v>0</v>
      </c>
      <c r="AT40" s="20" t="b">
        <f t="shared" si="10"/>
        <v>0</v>
      </c>
      <c r="AU40" s="20" t="b">
        <f t="shared" si="11"/>
        <v>0</v>
      </c>
    </row>
    <row r="41" spans="1:47">
      <c r="A41" s="20">
        <f t="shared" si="12"/>
        <v>2</v>
      </c>
      <c r="B41" s="564"/>
      <c r="C41" s="564"/>
      <c r="D41" s="564"/>
      <c r="E41" s="564"/>
      <c r="F41" s="568"/>
      <c r="G41" s="568"/>
      <c r="H41" s="564"/>
      <c r="I41" s="568"/>
      <c r="J41" s="564"/>
      <c r="K41" s="564"/>
      <c r="L41" s="569"/>
      <c r="M41" s="569"/>
      <c r="N41" s="569"/>
      <c r="O41" s="570"/>
      <c r="P41" s="564"/>
      <c r="Q41" s="564"/>
      <c r="R41" s="569"/>
      <c r="S41" s="569"/>
      <c r="T41" s="564"/>
      <c r="U41" s="564"/>
      <c r="V41" s="564"/>
      <c r="W41" s="54">
        <f t="shared" si="13"/>
        <v>0</v>
      </c>
      <c r="X41" s="54">
        <f t="shared" si="14"/>
        <v>0</v>
      </c>
      <c r="AJ41" s="20" t="b">
        <f t="shared" si="0"/>
        <v>0</v>
      </c>
      <c r="AK41" s="20" t="b">
        <f t="shared" si="1"/>
        <v>0</v>
      </c>
      <c r="AL41" s="20" t="b">
        <f t="shared" si="2"/>
        <v>0</v>
      </c>
      <c r="AM41" s="20" t="b">
        <f t="shared" si="3"/>
        <v>0</v>
      </c>
      <c r="AN41" s="20" t="b">
        <f t="shared" si="4"/>
        <v>0</v>
      </c>
      <c r="AO41" s="20" t="b">
        <f t="shared" si="5"/>
        <v>0</v>
      </c>
      <c r="AP41" s="20" t="b">
        <f t="shared" si="6"/>
        <v>0</v>
      </c>
      <c r="AQ41" s="20" t="b">
        <f t="shared" si="7"/>
        <v>0</v>
      </c>
      <c r="AR41" s="20" t="b">
        <f t="shared" si="8"/>
        <v>0</v>
      </c>
      <c r="AS41" s="20" t="b">
        <f t="shared" si="9"/>
        <v>0</v>
      </c>
      <c r="AT41" s="20" t="b">
        <f t="shared" si="10"/>
        <v>0</v>
      </c>
      <c r="AU41" s="20" t="b">
        <f t="shared" si="11"/>
        <v>0</v>
      </c>
    </row>
    <row r="42" spans="1:47">
      <c r="A42" s="20">
        <f t="shared" si="12"/>
        <v>2</v>
      </c>
      <c r="B42" s="564"/>
      <c r="C42" s="564"/>
      <c r="D42" s="564"/>
      <c r="E42" s="564"/>
      <c r="F42" s="568"/>
      <c r="G42" s="568"/>
      <c r="H42" s="564"/>
      <c r="I42" s="568"/>
      <c r="J42" s="564"/>
      <c r="K42" s="564"/>
      <c r="L42" s="569"/>
      <c r="M42" s="569"/>
      <c r="N42" s="569"/>
      <c r="O42" s="570"/>
      <c r="P42" s="564"/>
      <c r="Q42" s="564"/>
      <c r="R42" s="569"/>
      <c r="S42" s="569"/>
      <c r="T42" s="564"/>
      <c r="U42" s="564"/>
      <c r="V42" s="564"/>
      <c r="W42" s="54">
        <f t="shared" si="13"/>
        <v>0</v>
      </c>
      <c r="X42" s="54">
        <f t="shared" si="14"/>
        <v>0</v>
      </c>
      <c r="AJ42" s="20" t="b">
        <f t="shared" si="0"/>
        <v>0</v>
      </c>
      <c r="AK42" s="20" t="b">
        <f t="shared" si="1"/>
        <v>0</v>
      </c>
      <c r="AL42" s="20" t="b">
        <f t="shared" si="2"/>
        <v>0</v>
      </c>
      <c r="AM42" s="20" t="b">
        <f t="shared" si="3"/>
        <v>0</v>
      </c>
      <c r="AN42" s="20" t="b">
        <f t="shared" si="4"/>
        <v>0</v>
      </c>
      <c r="AO42" s="20" t="b">
        <f t="shared" si="5"/>
        <v>0</v>
      </c>
      <c r="AP42" s="20" t="b">
        <f t="shared" si="6"/>
        <v>0</v>
      </c>
      <c r="AQ42" s="20" t="b">
        <f t="shared" si="7"/>
        <v>0</v>
      </c>
      <c r="AR42" s="20" t="b">
        <f t="shared" si="8"/>
        <v>0</v>
      </c>
      <c r="AS42" s="20" t="b">
        <f t="shared" si="9"/>
        <v>0</v>
      </c>
      <c r="AT42" s="20" t="b">
        <f t="shared" si="10"/>
        <v>0</v>
      </c>
      <c r="AU42" s="20" t="b">
        <f t="shared" si="11"/>
        <v>0</v>
      </c>
    </row>
    <row r="43" spans="1:47">
      <c r="A43" s="20">
        <f t="shared" si="12"/>
        <v>2</v>
      </c>
      <c r="B43" s="564"/>
      <c r="C43" s="564"/>
      <c r="D43" s="564"/>
      <c r="E43" s="564"/>
      <c r="F43" s="568"/>
      <c r="G43" s="568"/>
      <c r="H43" s="564"/>
      <c r="I43" s="568"/>
      <c r="J43" s="564"/>
      <c r="K43" s="564"/>
      <c r="L43" s="569"/>
      <c r="M43" s="569"/>
      <c r="N43" s="569"/>
      <c r="O43" s="570"/>
      <c r="P43" s="564"/>
      <c r="Q43" s="564"/>
      <c r="R43" s="569"/>
      <c r="S43" s="569"/>
      <c r="T43" s="564"/>
      <c r="U43" s="564"/>
      <c r="V43" s="564"/>
      <c r="W43" s="54">
        <f t="shared" si="13"/>
        <v>0</v>
      </c>
      <c r="X43" s="54">
        <f t="shared" si="14"/>
        <v>0</v>
      </c>
      <c r="AJ43" s="20" t="b">
        <f t="shared" si="0"/>
        <v>0</v>
      </c>
      <c r="AK43" s="20" t="b">
        <f t="shared" si="1"/>
        <v>0</v>
      </c>
      <c r="AL43" s="20" t="b">
        <f t="shared" si="2"/>
        <v>0</v>
      </c>
      <c r="AM43" s="20" t="b">
        <f t="shared" si="3"/>
        <v>0</v>
      </c>
      <c r="AN43" s="20" t="b">
        <f t="shared" si="4"/>
        <v>0</v>
      </c>
      <c r="AO43" s="20" t="b">
        <f t="shared" si="5"/>
        <v>0</v>
      </c>
      <c r="AP43" s="20" t="b">
        <f t="shared" si="6"/>
        <v>0</v>
      </c>
      <c r="AQ43" s="20" t="b">
        <f t="shared" si="7"/>
        <v>0</v>
      </c>
      <c r="AR43" s="20" t="b">
        <f t="shared" si="8"/>
        <v>0</v>
      </c>
      <c r="AS43" s="20" t="b">
        <f t="shared" si="9"/>
        <v>0</v>
      </c>
      <c r="AT43" s="20" t="b">
        <f t="shared" si="10"/>
        <v>0</v>
      </c>
      <c r="AU43" s="20" t="b">
        <f t="shared" si="11"/>
        <v>0</v>
      </c>
    </row>
    <row r="44" spans="1:47">
      <c r="A44" s="20">
        <f t="shared" si="12"/>
        <v>2</v>
      </c>
      <c r="B44" s="564"/>
      <c r="C44" s="564"/>
      <c r="D44" s="564"/>
      <c r="E44" s="564"/>
      <c r="F44" s="568"/>
      <c r="G44" s="568"/>
      <c r="H44" s="564"/>
      <c r="I44" s="568"/>
      <c r="J44" s="564"/>
      <c r="K44" s="564"/>
      <c r="L44" s="569"/>
      <c r="M44" s="569"/>
      <c r="N44" s="569"/>
      <c r="O44" s="570"/>
      <c r="P44" s="564"/>
      <c r="Q44" s="564"/>
      <c r="R44" s="569"/>
      <c r="S44" s="569"/>
      <c r="T44" s="564"/>
      <c r="U44" s="564"/>
      <c r="V44" s="564"/>
      <c r="W44" s="54">
        <f t="shared" si="13"/>
        <v>0</v>
      </c>
      <c r="X44" s="54">
        <f t="shared" si="14"/>
        <v>0</v>
      </c>
      <c r="AJ44" s="20" t="b">
        <f t="shared" si="0"/>
        <v>0</v>
      </c>
      <c r="AK44" s="20" t="b">
        <f t="shared" si="1"/>
        <v>0</v>
      </c>
      <c r="AL44" s="20" t="b">
        <f t="shared" si="2"/>
        <v>0</v>
      </c>
      <c r="AM44" s="20" t="b">
        <f t="shared" si="3"/>
        <v>0</v>
      </c>
      <c r="AN44" s="20" t="b">
        <f t="shared" si="4"/>
        <v>0</v>
      </c>
      <c r="AO44" s="20" t="b">
        <f t="shared" si="5"/>
        <v>0</v>
      </c>
      <c r="AP44" s="20" t="b">
        <f t="shared" si="6"/>
        <v>0</v>
      </c>
      <c r="AQ44" s="20" t="b">
        <f t="shared" si="7"/>
        <v>0</v>
      </c>
      <c r="AR44" s="20" t="b">
        <f t="shared" si="8"/>
        <v>0</v>
      </c>
      <c r="AS44" s="20" t="b">
        <f t="shared" si="9"/>
        <v>0</v>
      </c>
      <c r="AT44" s="20" t="b">
        <f t="shared" si="10"/>
        <v>0</v>
      </c>
      <c r="AU44" s="20" t="b">
        <f t="shared" si="11"/>
        <v>0</v>
      </c>
    </row>
    <row r="45" spans="1:47">
      <c r="A45" s="20">
        <f t="shared" si="12"/>
        <v>2</v>
      </c>
      <c r="B45" s="564"/>
      <c r="C45" s="564"/>
      <c r="D45" s="564"/>
      <c r="E45" s="564"/>
      <c r="F45" s="568"/>
      <c r="G45" s="568"/>
      <c r="H45" s="564"/>
      <c r="I45" s="568"/>
      <c r="J45" s="564"/>
      <c r="K45" s="564"/>
      <c r="L45" s="569"/>
      <c r="M45" s="569"/>
      <c r="N45" s="569"/>
      <c r="O45" s="570"/>
      <c r="P45" s="564"/>
      <c r="Q45" s="564"/>
      <c r="R45" s="569"/>
      <c r="S45" s="569"/>
      <c r="T45" s="564"/>
      <c r="U45" s="564"/>
      <c r="V45" s="564"/>
      <c r="W45" s="54">
        <f t="shared" si="13"/>
        <v>0</v>
      </c>
      <c r="X45" s="54">
        <f t="shared" si="14"/>
        <v>0</v>
      </c>
      <c r="AJ45" s="20" t="b">
        <f t="shared" si="0"/>
        <v>0</v>
      </c>
      <c r="AK45" s="20" t="b">
        <f t="shared" si="1"/>
        <v>0</v>
      </c>
      <c r="AL45" s="20" t="b">
        <f t="shared" si="2"/>
        <v>0</v>
      </c>
      <c r="AM45" s="20" t="b">
        <f t="shared" si="3"/>
        <v>0</v>
      </c>
      <c r="AN45" s="20" t="b">
        <f t="shared" si="4"/>
        <v>0</v>
      </c>
      <c r="AO45" s="20" t="b">
        <f t="shared" si="5"/>
        <v>0</v>
      </c>
      <c r="AP45" s="20" t="b">
        <f t="shared" si="6"/>
        <v>0</v>
      </c>
      <c r="AQ45" s="20" t="b">
        <f t="shared" si="7"/>
        <v>0</v>
      </c>
      <c r="AR45" s="20" t="b">
        <f t="shared" si="8"/>
        <v>0</v>
      </c>
      <c r="AS45" s="20" t="b">
        <f t="shared" si="9"/>
        <v>0</v>
      </c>
      <c r="AT45" s="20" t="b">
        <f t="shared" si="10"/>
        <v>0</v>
      </c>
      <c r="AU45" s="20" t="b">
        <f t="shared" si="11"/>
        <v>0</v>
      </c>
    </row>
    <row r="46" spans="1:47">
      <c r="A46" s="20">
        <f t="shared" si="12"/>
        <v>2</v>
      </c>
      <c r="B46" s="564"/>
      <c r="C46" s="564"/>
      <c r="D46" s="564"/>
      <c r="E46" s="564"/>
      <c r="F46" s="568"/>
      <c r="G46" s="568"/>
      <c r="H46" s="564"/>
      <c r="I46" s="568"/>
      <c r="J46" s="564"/>
      <c r="K46" s="564"/>
      <c r="L46" s="569"/>
      <c r="M46" s="569"/>
      <c r="N46" s="569"/>
      <c r="O46" s="570"/>
      <c r="P46" s="564"/>
      <c r="Q46" s="564"/>
      <c r="R46" s="569"/>
      <c r="S46" s="569"/>
      <c r="T46" s="564"/>
      <c r="U46" s="564"/>
      <c r="V46" s="564"/>
      <c r="W46" s="54">
        <f t="shared" si="13"/>
        <v>0</v>
      </c>
      <c r="X46" s="54">
        <f t="shared" si="14"/>
        <v>0</v>
      </c>
      <c r="AJ46" s="20" t="b">
        <f t="shared" si="0"/>
        <v>0</v>
      </c>
      <c r="AK46" s="20" t="b">
        <f t="shared" si="1"/>
        <v>0</v>
      </c>
      <c r="AL46" s="20" t="b">
        <f t="shared" si="2"/>
        <v>0</v>
      </c>
      <c r="AM46" s="20" t="b">
        <f t="shared" si="3"/>
        <v>0</v>
      </c>
      <c r="AN46" s="20" t="b">
        <f t="shared" si="4"/>
        <v>0</v>
      </c>
      <c r="AO46" s="20" t="b">
        <f t="shared" si="5"/>
        <v>0</v>
      </c>
      <c r="AP46" s="20" t="b">
        <f t="shared" si="6"/>
        <v>0</v>
      </c>
      <c r="AQ46" s="20" t="b">
        <f t="shared" si="7"/>
        <v>0</v>
      </c>
      <c r="AR46" s="20" t="b">
        <f t="shared" si="8"/>
        <v>0</v>
      </c>
      <c r="AS46" s="20" t="b">
        <f t="shared" si="9"/>
        <v>0</v>
      </c>
      <c r="AT46" s="20" t="b">
        <f t="shared" si="10"/>
        <v>0</v>
      </c>
      <c r="AU46" s="20" t="b">
        <f t="shared" si="11"/>
        <v>0</v>
      </c>
    </row>
    <row r="47" spans="1:47">
      <c r="A47" s="20">
        <f t="shared" si="12"/>
        <v>2</v>
      </c>
      <c r="B47" s="564"/>
      <c r="C47" s="564"/>
      <c r="D47" s="564"/>
      <c r="E47" s="564"/>
      <c r="F47" s="568"/>
      <c r="G47" s="568"/>
      <c r="H47" s="564"/>
      <c r="I47" s="568"/>
      <c r="J47" s="564"/>
      <c r="K47" s="564"/>
      <c r="L47" s="569"/>
      <c r="M47" s="569"/>
      <c r="N47" s="569"/>
      <c r="O47" s="570"/>
      <c r="P47" s="564"/>
      <c r="Q47" s="564"/>
      <c r="R47" s="569"/>
      <c r="S47" s="569"/>
      <c r="T47" s="564"/>
      <c r="U47" s="564"/>
      <c r="V47" s="564"/>
      <c r="W47" s="54">
        <f t="shared" si="13"/>
        <v>0</v>
      </c>
      <c r="X47" s="54">
        <f t="shared" si="14"/>
        <v>0</v>
      </c>
      <c r="AJ47" s="20" t="b">
        <f t="shared" si="0"/>
        <v>0</v>
      </c>
      <c r="AK47" s="20" t="b">
        <f t="shared" si="1"/>
        <v>0</v>
      </c>
      <c r="AL47" s="20" t="b">
        <f t="shared" si="2"/>
        <v>0</v>
      </c>
      <c r="AM47" s="20" t="b">
        <f t="shared" si="3"/>
        <v>0</v>
      </c>
      <c r="AN47" s="20" t="b">
        <f t="shared" si="4"/>
        <v>0</v>
      </c>
      <c r="AO47" s="20" t="b">
        <f t="shared" si="5"/>
        <v>0</v>
      </c>
      <c r="AP47" s="20" t="b">
        <f t="shared" si="6"/>
        <v>0</v>
      </c>
      <c r="AQ47" s="20" t="b">
        <f t="shared" si="7"/>
        <v>0</v>
      </c>
      <c r="AR47" s="20" t="b">
        <f t="shared" si="8"/>
        <v>0</v>
      </c>
      <c r="AS47" s="20" t="b">
        <f t="shared" si="9"/>
        <v>0</v>
      </c>
      <c r="AT47" s="20" t="b">
        <f t="shared" si="10"/>
        <v>0</v>
      </c>
      <c r="AU47" s="20" t="b">
        <f t="shared" si="11"/>
        <v>0</v>
      </c>
    </row>
    <row r="48" spans="1:47">
      <c r="A48" s="20">
        <f t="shared" si="12"/>
        <v>2</v>
      </c>
      <c r="B48" s="564"/>
      <c r="C48" s="564"/>
      <c r="D48" s="564"/>
      <c r="E48" s="564"/>
      <c r="F48" s="568"/>
      <c r="G48" s="568"/>
      <c r="H48" s="564"/>
      <c r="I48" s="568"/>
      <c r="J48" s="564"/>
      <c r="K48" s="564"/>
      <c r="L48" s="569"/>
      <c r="M48" s="569"/>
      <c r="N48" s="569"/>
      <c r="O48" s="570"/>
      <c r="P48" s="564"/>
      <c r="Q48" s="564"/>
      <c r="R48" s="569"/>
      <c r="S48" s="569"/>
      <c r="T48" s="564"/>
      <c r="U48" s="564"/>
      <c r="V48" s="564"/>
      <c r="W48" s="54">
        <f t="shared" si="13"/>
        <v>0</v>
      </c>
      <c r="X48" s="54">
        <f t="shared" si="14"/>
        <v>0</v>
      </c>
      <c r="AJ48" s="20" t="b">
        <f t="shared" si="0"/>
        <v>0</v>
      </c>
      <c r="AK48" s="20" t="b">
        <f t="shared" si="1"/>
        <v>0</v>
      </c>
      <c r="AL48" s="20" t="b">
        <f t="shared" si="2"/>
        <v>0</v>
      </c>
      <c r="AM48" s="20" t="b">
        <f t="shared" si="3"/>
        <v>0</v>
      </c>
      <c r="AN48" s="20" t="b">
        <f t="shared" si="4"/>
        <v>0</v>
      </c>
      <c r="AO48" s="20" t="b">
        <f t="shared" si="5"/>
        <v>0</v>
      </c>
      <c r="AP48" s="20" t="b">
        <f t="shared" si="6"/>
        <v>0</v>
      </c>
      <c r="AQ48" s="20" t="b">
        <f t="shared" si="7"/>
        <v>0</v>
      </c>
      <c r="AR48" s="20" t="b">
        <f t="shared" si="8"/>
        <v>0</v>
      </c>
      <c r="AS48" s="20" t="b">
        <f t="shared" si="9"/>
        <v>0</v>
      </c>
      <c r="AT48" s="20" t="b">
        <f t="shared" si="10"/>
        <v>0</v>
      </c>
      <c r="AU48" s="20" t="b">
        <f t="shared" si="11"/>
        <v>0</v>
      </c>
    </row>
    <row r="49" spans="1:47">
      <c r="A49" s="20">
        <f t="shared" si="12"/>
        <v>2</v>
      </c>
      <c r="B49" s="564"/>
      <c r="C49" s="564"/>
      <c r="D49" s="564"/>
      <c r="E49" s="564"/>
      <c r="F49" s="568"/>
      <c r="G49" s="568"/>
      <c r="H49" s="564"/>
      <c r="I49" s="568"/>
      <c r="J49" s="564"/>
      <c r="K49" s="564"/>
      <c r="L49" s="569"/>
      <c r="M49" s="569"/>
      <c r="N49" s="569"/>
      <c r="O49" s="570"/>
      <c r="P49" s="564"/>
      <c r="Q49" s="564"/>
      <c r="R49" s="569"/>
      <c r="S49" s="569"/>
      <c r="T49" s="564"/>
      <c r="U49" s="564"/>
      <c r="V49" s="564"/>
      <c r="W49" s="54">
        <f t="shared" si="13"/>
        <v>0</v>
      </c>
      <c r="X49" s="54">
        <f t="shared" si="14"/>
        <v>0</v>
      </c>
      <c r="AJ49" s="20" t="b">
        <f t="shared" si="0"/>
        <v>0</v>
      </c>
      <c r="AK49" s="20" t="b">
        <f t="shared" si="1"/>
        <v>0</v>
      </c>
      <c r="AL49" s="20" t="b">
        <f t="shared" si="2"/>
        <v>0</v>
      </c>
      <c r="AM49" s="20" t="b">
        <f t="shared" si="3"/>
        <v>0</v>
      </c>
      <c r="AN49" s="20" t="b">
        <f t="shared" si="4"/>
        <v>0</v>
      </c>
      <c r="AO49" s="20" t="b">
        <f t="shared" si="5"/>
        <v>0</v>
      </c>
      <c r="AP49" s="20" t="b">
        <f t="shared" si="6"/>
        <v>0</v>
      </c>
      <c r="AQ49" s="20" t="b">
        <f t="shared" si="7"/>
        <v>0</v>
      </c>
      <c r="AR49" s="20" t="b">
        <f t="shared" si="8"/>
        <v>0</v>
      </c>
      <c r="AS49" s="20" t="b">
        <f t="shared" si="9"/>
        <v>0</v>
      </c>
      <c r="AT49" s="20" t="b">
        <f t="shared" si="10"/>
        <v>0</v>
      </c>
      <c r="AU49" s="20" t="b">
        <f t="shared" si="11"/>
        <v>0</v>
      </c>
    </row>
    <row r="50" spans="1:47">
      <c r="A50" s="20">
        <f t="shared" si="12"/>
        <v>2</v>
      </c>
      <c r="B50" s="564"/>
      <c r="C50" s="564"/>
      <c r="D50" s="564"/>
      <c r="E50" s="564"/>
      <c r="F50" s="568"/>
      <c r="G50" s="568"/>
      <c r="H50" s="564"/>
      <c r="I50" s="568"/>
      <c r="J50" s="564"/>
      <c r="K50" s="564"/>
      <c r="L50" s="569"/>
      <c r="M50" s="569"/>
      <c r="N50" s="569"/>
      <c r="O50" s="570"/>
      <c r="P50" s="564"/>
      <c r="Q50" s="564"/>
      <c r="R50" s="569"/>
      <c r="S50" s="569"/>
      <c r="T50" s="564"/>
      <c r="U50" s="564"/>
      <c r="V50" s="564"/>
      <c r="W50" s="54">
        <f t="shared" si="13"/>
        <v>0</v>
      </c>
      <c r="X50" s="54">
        <f t="shared" si="14"/>
        <v>0</v>
      </c>
      <c r="AJ50" s="20" t="b">
        <f t="shared" si="0"/>
        <v>0</v>
      </c>
      <c r="AK50" s="20" t="b">
        <f t="shared" si="1"/>
        <v>0</v>
      </c>
      <c r="AL50" s="20" t="b">
        <f t="shared" si="2"/>
        <v>0</v>
      </c>
      <c r="AM50" s="20" t="b">
        <f t="shared" si="3"/>
        <v>0</v>
      </c>
      <c r="AN50" s="20" t="b">
        <f t="shared" si="4"/>
        <v>0</v>
      </c>
      <c r="AO50" s="20" t="b">
        <f t="shared" si="5"/>
        <v>0</v>
      </c>
      <c r="AP50" s="20" t="b">
        <f t="shared" si="6"/>
        <v>0</v>
      </c>
      <c r="AQ50" s="20" t="b">
        <f t="shared" si="7"/>
        <v>0</v>
      </c>
      <c r="AR50" s="20" t="b">
        <f t="shared" si="8"/>
        <v>0</v>
      </c>
      <c r="AS50" s="20" t="b">
        <f t="shared" si="9"/>
        <v>0</v>
      </c>
      <c r="AT50" s="20" t="b">
        <f t="shared" si="10"/>
        <v>0</v>
      </c>
      <c r="AU50" s="20" t="b">
        <f t="shared" si="11"/>
        <v>0</v>
      </c>
    </row>
    <row r="51" spans="1:47">
      <c r="A51" s="20">
        <f t="shared" si="12"/>
        <v>2</v>
      </c>
      <c r="B51" s="564"/>
      <c r="C51" s="564"/>
      <c r="D51" s="564"/>
      <c r="E51" s="564"/>
      <c r="F51" s="568"/>
      <c r="G51" s="568"/>
      <c r="H51" s="564"/>
      <c r="I51" s="568"/>
      <c r="J51" s="564"/>
      <c r="K51" s="564"/>
      <c r="L51" s="569"/>
      <c r="M51" s="569"/>
      <c r="N51" s="569"/>
      <c r="O51" s="570"/>
      <c r="P51" s="564"/>
      <c r="Q51" s="564"/>
      <c r="R51" s="569"/>
      <c r="S51" s="569"/>
      <c r="T51" s="564"/>
      <c r="U51" s="564"/>
      <c r="V51" s="564"/>
      <c r="W51" s="54">
        <f t="shared" si="13"/>
        <v>0</v>
      </c>
      <c r="X51" s="54">
        <f t="shared" si="14"/>
        <v>0</v>
      </c>
      <c r="AJ51" s="20" t="b">
        <f t="shared" si="0"/>
        <v>0</v>
      </c>
      <c r="AK51" s="20" t="b">
        <f t="shared" si="1"/>
        <v>0</v>
      </c>
      <c r="AL51" s="20" t="b">
        <f t="shared" si="2"/>
        <v>0</v>
      </c>
      <c r="AM51" s="20" t="b">
        <f t="shared" si="3"/>
        <v>0</v>
      </c>
      <c r="AN51" s="20" t="b">
        <f t="shared" si="4"/>
        <v>0</v>
      </c>
      <c r="AO51" s="20" t="b">
        <f t="shared" si="5"/>
        <v>0</v>
      </c>
      <c r="AP51" s="20" t="b">
        <f t="shared" si="6"/>
        <v>0</v>
      </c>
      <c r="AQ51" s="20" t="b">
        <f t="shared" si="7"/>
        <v>0</v>
      </c>
      <c r="AR51" s="20" t="b">
        <f t="shared" si="8"/>
        <v>0</v>
      </c>
      <c r="AS51" s="20" t="b">
        <f t="shared" si="9"/>
        <v>0</v>
      </c>
      <c r="AT51" s="20" t="b">
        <f t="shared" si="10"/>
        <v>0</v>
      </c>
      <c r="AU51" s="20" t="b">
        <f t="shared" si="11"/>
        <v>0</v>
      </c>
    </row>
    <row r="52" spans="1:47">
      <c r="A52" s="20">
        <f t="shared" si="12"/>
        <v>2</v>
      </c>
      <c r="B52" s="564"/>
      <c r="C52" s="564"/>
      <c r="D52" s="564"/>
      <c r="E52" s="564"/>
      <c r="F52" s="568"/>
      <c r="G52" s="568"/>
      <c r="H52" s="564"/>
      <c r="I52" s="568"/>
      <c r="J52" s="564"/>
      <c r="K52" s="564"/>
      <c r="L52" s="569"/>
      <c r="M52" s="569"/>
      <c r="N52" s="569"/>
      <c r="O52" s="570"/>
      <c r="P52" s="564"/>
      <c r="Q52" s="564"/>
      <c r="R52" s="569"/>
      <c r="S52" s="569"/>
      <c r="T52" s="564"/>
      <c r="U52" s="564"/>
      <c r="V52" s="564"/>
      <c r="W52" s="54">
        <f t="shared" si="13"/>
        <v>0</v>
      </c>
      <c r="X52" s="54">
        <f t="shared" si="14"/>
        <v>0</v>
      </c>
      <c r="AJ52" s="20" t="b">
        <f t="shared" si="0"/>
        <v>0</v>
      </c>
      <c r="AK52" s="20" t="b">
        <f t="shared" si="1"/>
        <v>0</v>
      </c>
      <c r="AL52" s="20" t="b">
        <f t="shared" si="2"/>
        <v>0</v>
      </c>
      <c r="AM52" s="20" t="b">
        <f t="shared" si="3"/>
        <v>0</v>
      </c>
      <c r="AN52" s="20" t="b">
        <f t="shared" si="4"/>
        <v>0</v>
      </c>
      <c r="AO52" s="20" t="b">
        <f t="shared" si="5"/>
        <v>0</v>
      </c>
      <c r="AP52" s="20" t="b">
        <f t="shared" si="6"/>
        <v>0</v>
      </c>
      <c r="AQ52" s="20" t="b">
        <f t="shared" si="7"/>
        <v>0</v>
      </c>
      <c r="AR52" s="20" t="b">
        <f t="shared" si="8"/>
        <v>0</v>
      </c>
      <c r="AS52" s="20" t="b">
        <f t="shared" si="9"/>
        <v>0</v>
      </c>
      <c r="AT52" s="20" t="b">
        <f t="shared" si="10"/>
        <v>0</v>
      </c>
      <c r="AU52" s="20" t="b">
        <f t="shared" si="11"/>
        <v>0</v>
      </c>
    </row>
    <row r="53" spans="1:47">
      <c r="A53" s="20">
        <f t="shared" si="12"/>
        <v>2</v>
      </c>
      <c r="B53" s="564"/>
      <c r="C53" s="564"/>
      <c r="D53" s="564"/>
      <c r="E53" s="564"/>
      <c r="F53" s="568"/>
      <c r="G53" s="568"/>
      <c r="H53" s="564"/>
      <c r="I53" s="568"/>
      <c r="J53" s="564"/>
      <c r="K53" s="564"/>
      <c r="L53" s="569"/>
      <c r="M53" s="569"/>
      <c r="N53" s="569"/>
      <c r="O53" s="570"/>
      <c r="P53" s="564"/>
      <c r="Q53" s="564"/>
      <c r="R53" s="569"/>
      <c r="S53" s="569"/>
      <c r="T53" s="564"/>
      <c r="U53" s="564"/>
      <c r="V53" s="564"/>
      <c r="W53" s="54">
        <f t="shared" si="13"/>
        <v>0</v>
      </c>
      <c r="X53" s="54">
        <f t="shared" si="14"/>
        <v>0</v>
      </c>
      <c r="AJ53" s="20" t="b">
        <f t="shared" si="0"/>
        <v>0</v>
      </c>
      <c r="AK53" s="20" t="b">
        <f t="shared" si="1"/>
        <v>0</v>
      </c>
      <c r="AL53" s="20" t="b">
        <f t="shared" si="2"/>
        <v>0</v>
      </c>
      <c r="AM53" s="20" t="b">
        <f t="shared" si="3"/>
        <v>0</v>
      </c>
      <c r="AN53" s="20" t="b">
        <f t="shared" si="4"/>
        <v>0</v>
      </c>
      <c r="AO53" s="20" t="b">
        <f t="shared" si="5"/>
        <v>0</v>
      </c>
      <c r="AP53" s="20" t="b">
        <f t="shared" si="6"/>
        <v>0</v>
      </c>
      <c r="AQ53" s="20" t="b">
        <f t="shared" si="7"/>
        <v>0</v>
      </c>
      <c r="AR53" s="20" t="b">
        <f t="shared" si="8"/>
        <v>0</v>
      </c>
      <c r="AS53" s="20" t="b">
        <f t="shared" si="9"/>
        <v>0</v>
      </c>
      <c r="AT53" s="20" t="b">
        <f t="shared" si="10"/>
        <v>0</v>
      </c>
      <c r="AU53" s="20" t="b">
        <f t="shared" si="11"/>
        <v>0</v>
      </c>
    </row>
    <row r="54" spans="1:47">
      <c r="A54" s="20">
        <f t="shared" si="12"/>
        <v>2</v>
      </c>
      <c r="B54" s="564"/>
      <c r="C54" s="564"/>
      <c r="D54" s="564"/>
      <c r="E54" s="564"/>
      <c r="F54" s="568"/>
      <c r="G54" s="568"/>
      <c r="H54" s="564"/>
      <c r="I54" s="568"/>
      <c r="J54" s="564"/>
      <c r="K54" s="564"/>
      <c r="L54" s="569"/>
      <c r="M54" s="569"/>
      <c r="N54" s="569"/>
      <c r="O54" s="570"/>
      <c r="P54" s="564"/>
      <c r="Q54" s="564"/>
      <c r="R54" s="569"/>
      <c r="S54" s="569"/>
      <c r="T54" s="564"/>
      <c r="U54" s="564"/>
      <c r="V54" s="564"/>
      <c r="W54" s="54">
        <f t="shared" si="13"/>
        <v>0</v>
      </c>
      <c r="X54" s="54">
        <f t="shared" si="14"/>
        <v>0</v>
      </c>
      <c r="AJ54" s="20" t="b">
        <f t="shared" si="0"/>
        <v>0</v>
      </c>
      <c r="AK54" s="20" t="b">
        <f t="shared" si="1"/>
        <v>0</v>
      </c>
      <c r="AL54" s="20" t="b">
        <f t="shared" si="2"/>
        <v>0</v>
      </c>
      <c r="AM54" s="20" t="b">
        <f t="shared" si="3"/>
        <v>0</v>
      </c>
      <c r="AN54" s="20" t="b">
        <f t="shared" si="4"/>
        <v>0</v>
      </c>
      <c r="AO54" s="20" t="b">
        <f t="shared" si="5"/>
        <v>0</v>
      </c>
      <c r="AP54" s="20" t="b">
        <f t="shared" si="6"/>
        <v>0</v>
      </c>
      <c r="AQ54" s="20" t="b">
        <f t="shared" si="7"/>
        <v>0</v>
      </c>
      <c r="AR54" s="20" t="b">
        <f t="shared" si="8"/>
        <v>0</v>
      </c>
      <c r="AS54" s="20" t="b">
        <f t="shared" si="9"/>
        <v>0</v>
      </c>
      <c r="AT54" s="20" t="b">
        <f t="shared" si="10"/>
        <v>0</v>
      </c>
      <c r="AU54" s="20" t="b">
        <f t="shared" si="11"/>
        <v>0</v>
      </c>
    </row>
    <row r="55" spans="1:47">
      <c r="A55" s="20">
        <f t="shared" si="12"/>
        <v>2</v>
      </c>
      <c r="B55" s="564"/>
      <c r="C55" s="564"/>
      <c r="D55" s="564"/>
      <c r="E55" s="564"/>
      <c r="F55" s="568"/>
      <c r="G55" s="568"/>
      <c r="H55" s="564"/>
      <c r="I55" s="568"/>
      <c r="J55" s="564"/>
      <c r="K55" s="564"/>
      <c r="L55" s="569"/>
      <c r="M55" s="569"/>
      <c r="N55" s="569"/>
      <c r="O55" s="570"/>
      <c r="P55" s="564"/>
      <c r="Q55" s="564"/>
      <c r="R55" s="569"/>
      <c r="S55" s="569"/>
      <c r="T55" s="564"/>
      <c r="U55" s="564"/>
      <c r="V55" s="564"/>
      <c r="W55" s="54">
        <f t="shared" si="13"/>
        <v>0</v>
      </c>
      <c r="X55" s="54">
        <f t="shared" si="14"/>
        <v>0</v>
      </c>
      <c r="AJ55" s="20" t="b">
        <f t="shared" si="0"/>
        <v>0</v>
      </c>
      <c r="AK55" s="20" t="b">
        <f t="shared" si="1"/>
        <v>0</v>
      </c>
      <c r="AL55" s="20" t="b">
        <f t="shared" si="2"/>
        <v>0</v>
      </c>
      <c r="AM55" s="20" t="b">
        <f t="shared" si="3"/>
        <v>0</v>
      </c>
      <c r="AN55" s="20" t="b">
        <f t="shared" si="4"/>
        <v>0</v>
      </c>
      <c r="AO55" s="20" t="b">
        <f t="shared" si="5"/>
        <v>0</v>
      </c>
      <c r="AP55" s="20" t="b">
        <f t="shared" si="6"/>
        <v>0</v>
      </c>
      <c r="AQ55" s="20" t="b">
        <f t="shared" si="7"/>
        <v>0</v>
      </c>
      <c r="AR55" s="20" t="b">
        <f t="shared" si="8"/>
        <v>0</v>
      </c>
      <c r="AS55" s="20" t="b">
        <f t="shared" si="9"/>
        <v>0</v>
      </c>
      <c r="AT55" s="20" t="b">
        <f t="shared" si="10"/>
        <v>0</v>
      </c>
      <c r="AU55" s="20" t="b">
        <f t="shared" si="11"/>
        <v>0</v>
      </c>
    </row>
    <row r="56" spans="1:47">
      <c r="A56" s="20">
        <f t="shared" si="12"/>
        <v>2</v>
      </c>
      <c r="B56" s="564"/>
      <c r="C56" s="564"/>
      <c r="D56" s="564"/>
      <c r="E56" s="564"/>
      <c r="F56" s="568"/>
      <c r="G56" s="568"/>
      <c r="H56" s="564"/>
      <c r="I56" s="568"/>
      <c r="J56" s="564"/>
      <c r="K56" s="564"/>
      <c r="L56" s="569"/>
      <c r="M56" s="569"/>
      <c r="N56" s="569"/>
      <c r="O56" s="570"/>
      <c r="P56" s="564"/>
      <c r="Q56" s="564"/>
      <c r="R56" s="569"/>
      <c r="S56" s="569"/>
      <c r="T56" s="564"/>
      <c r="U56" s="564"/>
      <c r="V56" s="564"/>
      <c r="W56" s="54">
        <f t="shared" si="13"/>
        <v>0</v>
      </c>
      <c r="X56" s="54">
        <f t="shared" si="14"/>
        <v>0</v>
      </c>
      <c r="AJ56" s="20" t="b">
        <f t="shared" si="0"/>
        <v>0</v>
      </c>
      <c r="AK56" s="20" t="b">
        <f t="shared" si="1"/>
        <v>0</v>
      </c>
      <c r="AL56" s="20" t="b">
        <f t="shared" si="2"/>
        <v>0</v>
      </c>
      <c r="AM56" s="20" t="b">
        <f t="shared" si="3"/>
        <v>0</v>
      </c>
      <c r="AN56" s="20" t="b">
        <f t="shared" si="4"/>
        <v>0</v>
      </c>
      <c r="AO56" s="20" t="b">
        <f t="shared" si="5"/>
        <v>0</v>
      </c>
      <c r="AP56" s="20" t="b">
        <f t="shared" si="6"/>
        <v>0</v>
      </c>
      <c r="AQ56" s="20" t="b">
        <f t="shared" si="7"/>
        <v>0</v>
      </c>
      <c r="AR56" s="20" t="b">
        <f t="shared" si="8"/>
        <v>0</v>
      </c>
      <c r="AS56" s="20" t="b">
        <f t="shared" si="9"/>
        <v>0</v>
      </c>
      <c r="AT56" s="20" t="b">
        <f t="shared" si="10"/>
        <v>0</v>
      </c>
      <c r="AU56" s="20" t="b">
        <f t="shared" si="11"/>
        <v>0</v>
      </c>
    </row>
    <row r="57" spans="1:47">
      <c r="A57" s="20">
        <f t="shared" si="12"/>
        <v>2</v>
      </c>
      <c r="B57" s="564"/>
      <c r="C57" s="564"/>
      <c r="D57" s="564"/>
      <c r="E57" s="564"/>
      <c r="F57" s="568"/>
      <c r="G57" s="568"/>
      <c r="H57" s="564"/>
      <c r="I57" s="568"/>
      <c r="J57" s="564"/>
      <c r="K57" s="564"/>
      <c r="L57" s="569"/>
      <c r="M57" s="569"/>
      <c r="N57" s="569"/>
      <c r="O57" s="570"/>
      <c r="P57" s="564"/>
      <c r="Q57" s="564"/>
      <c r="R57" s="569"/>
      <c r="S57" s="569"/>
      <c r="T57" s="564"/>
      <c r="U57" s="564"/>
      <c r="V57" s="564"/>
      <c r="W57" s="54">
        <f t="shared" si="13"/>
        <v>0</v>
      </c>
      <c r="X57" s="54">
        <f t="shared" si="14"/>
        <v>0</v>
      </c>
      <c r="AJ57" s="20" t="b">
        <f t="shared" si="0"/>
        <v>0</v>
      </c>
      <c r="AK57" s="20" t="b">
        <f t="shared" si="1"/>
        <v>0</v>
      </c>
      <c r="AL57" s="20" t="b">
        <f t="shared" si="2"/>
        <v>0</v>
      </c>
      <c r="AM57" s="20" t="b">
        <f t="shared" si="3"/>
        <v>0</v>
      </c>
      <c r="AN57" s="20" t="b">
        <f t="shared" si="4"/>
        <v>0</v>
      </c>
      <c r="AO57" s="20" t="b">
        <f t="shared" si="5"/>
        <v>0</v>
      </c>
      <c r="AP57" s="20" t="b">
        <f t="shared" si="6"/>
        <v>0</v>
      </c>
      <c r="AQ57" s="20" t="b">
        <f t="shared" si="7"/>
        <v>0</v>
      </c>
      <c r="AR57" s="20" t="b">
        <f t="shared" si="8"/>
        <v>0</v>
      </c>
      <c r="AS57" s="20" t="b">
        <f t="shared" si="9"/>
        <v>0</v>
      </c>
      <c r="AT57" s="20" t="b">
        <f t="shared" si="10"/>
        <v>0</v>
      </c>
      <c r="AU57" s="20" t="b">
        <f t="shared" si="11"/>
        <v>0</v>
      </c>
    </row>
    <row r="58" spans="1:47">
      <c r="A58" s="20">
        <f t="shared" si="12"/>
        <v>2</v>
      </c>
      <c r="B58" s="564"/>
      <c r="C58" s="564"/>
      <c r="D58" s="564"/>
      <c r="E58" s="564"/>
      <c r="F58" s="568"/>
      <c r="G58" s="568"/>
      <c r="H58" s="564"/>
      <c r="I58" s="568"/>
      <c r="J58" s="564"/>
      <c r="K58" s="564"/>
      <c r="L58" s="569"/>
      <c r="M58" s="569"/>
      <c r="N58" s="569"/>
      <c r="O58" s="570"/>
      <c r="P58" s="564"/>
      <c r="Q58" s="564"/>
      <c r="R58" s="569"/>
      <c r="S58" s="569"/>
      <c r="T58" s="564"/>
      <c r="U58" s="564"/>
      <c r="V58" s="564"/>
      <c r="W58" s="54">
        <f t="shared" si="13"/>
        <v>0</v>
      </c>
      <c r="X58" s="54">
        <f t="shared" si="14"/>
        <v>0</v>
      </c>
      <c r="AJ58" s="20" t="b">
        <f t="shared" si="0"/>
        <v>0</v>
      </c>
      <c r="AK58" s="20" t="b">
        <f t="shared" si="1"/>
        <v>0</v>
      </c>
      <c r="AL58" s="20" t="b">
        <f t="shared" si="2"/>
        <v>0</v>
      </c>
      <c r="AM58" s="20" t="b">
        <f t="shared" si="3"/>
        <v>0</v>
      </c>
      <c r="AN58" s="20" t="b">
        <f t="shared" si="4"/>
        <v>0</v>
      </c>
      <c r="AO58" s="20" t="b">
        <f t="shared" si="5"/>
        <v>0</v>
      </c>
      <c r="AP58" s="20" t="b">
        <f t="shared" si="6"/>
        <v>0</v>
      </c>
      <c r="AQ58" s="20" t="b">
        <f t="shared" si="7"/>
        <v>0</v>
      </c>
      <c r="AR58" s="20" t="b">
        <f t="shared" si="8"/>
        <v>0</v>
      </c>
      <c r="AS58" s="20" t="b">
        <f t="shared" si="9"/>
        <v>0</v>
      </c>
      <c r="AT58" s="20" t="b">
        <f t="shared" si="10"/>
        <v>0</v>
      </c>
      <c r="AU58" s="20" t="b">
        <f t="shared" si="11"/>
        <v>0</v>
      </c>
    </row>
    <row r="59" spans="1:47">
      <c r="A59" s="20">
        <f t="shared" si="12"/>
        <v>2</v>
      </c>
      <c r="B59" s="564"/>
      <c r="C59" s="564"/>
      <c r="D59" s="564"/>
      <c r="E59" s="564"/>
      <c r="F59" s="568"/>
      <c r="G59" s="568"/>
      <c r="H59" s="564"/>
      <c r="I59" s="568"/>
      <c r="J59" s="564"/>
      <c r="K59" s="564"/>
      <c r="L59" s="569"/>
      <c r="M59" s="569"/>
      <c r="N59" s="569"/>
      <c r="O59" s="570"/>
      <c r="P59" s="564"/>
      <c r="Q59" s="564"/>
      <c r="R59" s="569"/>
      <c r="S59" s="569"/>
      <c r="T59" s="564"/>
      <c r="U59" s="564"/>
      <c r="V59" s="564"/>
      <c r="W59" s="54">
        <f t="shared" si="13"/>
        <v>0</v>
      </c>
      <c r="X59" s="54">
        <f t="shared" si="14"/>
        <v>0</v>
      </c>
      <c r="AJ59" s="20" t="b">
        <f t="shared" si="0"/>
        <v>0</v>
      </c>
      <c r="AK59" s="20" t="b">
        <f t="shared" si="1"/>
        <v>0</v>
      </c>
      <c r="AL59" s="20" t="b">
        <f t="shared" si="2"/>
        <v>0</v>
      </c>
      <c r="AM59" s="20" t="b">
        <f t="shared" si="3"/>
        <v>0</v>
      </c>
      <c r="AN59" s="20" t="b">
        <f t="shared" si="4"/>
        <v>0</v>
      </c>
      <c r="AO59" s="20" t="b">
        <f t="shared" si="5"/>
        <v>0</v>
      </c>
      <c r="AP59" s="20" t="b">
        <f t="shared" si="6"/>
        <v>0</v>
      </c>
      <c r="AQ59" s="20" t="b">
        <f t="shared" si="7"/>
        <v>0</v>
      </c>
      <c r="AR59" s="20" t="b">
        <f t="shared" si="8"/>
        <v>0</v>
      </c>
      <c r="AS59" s="20" t="b">
        <f t="shared" si="9"/>
        <v>0</v>
      </c>
      <c r="AT59" s="20" t="b">
        <f t="shared" si="10"/>
        <v>0</v>
      </c>
      <c r="AU59" s="20" t="b">
        <f t="shared" si="11"/>
        <v>0</v>
      </c>
    </row>
    <row r="60" spans="1:47">
      <c r="A60" s="20">
        <f t="shared" si="12"/>
        <v>2</v>
      </c>
      <c r="B60" s="564"/>
      <c r="C60" s="564"/>
      <c r="D60" s="564"/>
      <c r="E60" s="564"/>
      <c r="F60" s="568"/>
      <c r="G60" s="568"/>
      <c r="H60" s="564"/>
      <c r="I60" s="568"/>
      <c r="J60" s="564"/>
      <c r="K60" s="564"/>
      <c r="L60" s="569"/>
      <c r="M60" s="569"/>
      <c r="N60" s="569"/>
      <c r="O60" s="570"/>
      <c r="P60" s="564"/>
      <c r="Q60" s="564"/>
      <c r="R60" s="569"/>
      <c r="S60" s="569"/>
      <c r="T60" s="564"/>
      <c r="U60" s="564"/>
      <c r="V60" s="564"/>
      <c r="W60" s="54">
        <f t="shared" si="13"/>
        <v>0</v>
      </c>
      <c r="X60" s="54">
        <f t="shared" si="14"/>
        <v>0</v>
      </c>
      <c r="AJ60" s="20" t="b">
        <f t="shared" si="0"/>
        <v>0</v>
      </c>
      <c r="AK60" s="20" t="b">
        <f t="shared" si="1"/>
        <v>0</v>
      </c>
      <c r="AL60" s="20" t="b">
        <f t="shared" si="2"/>
        <v>0</v>
      </c>
      <c r="AM60" s="20" t="b">
        <f t="shared" si="3"/>
        <v>0</v>
      </c>
      <c r="AN60" s="20" t="b">
        <f t="shared" si="4"/>
        <v>0</v>
      </c>
      <c r="AO60" s="20" t="b">
        <f t="shared" si="5"/>
        <v>0</v>
      </c>
      <c r="AP60" s="20" t="b">
        <f t="shared" si="6"/>
        <v>0</v>
      </c>
      <c r="AQ60" s="20" t="b">
        <f t="shared" si="7"/>
        <v>0</v>
      </c>
      <c r="AR60" s="20" t="b">
        <f t="shared" si="8"/>
        <v>0</v>
      </c>
      <c r="AS60" s="20" t="b">
        <f t="shared" si="9"/>
        <v>0</v>
      </c>
      <c r="AT60" s="20" t="b">
        <f t="shared" si="10"/>
        <v>0</v>
      </c>
      <c r="AU60" s="20" t="b">
        <f t="shared" si="11"/>
        <v>0</v>
      </c>
    </row>
    <row r="61" spans="1:47">
      <c r="B61" s="564"/>
      <c r="C61" s="564"/>
      <c r="D61" s="564"/>
      <c r="E61" s="564"/>
      <c r="F61" s="568"/>
      <c r="G61" s="568"/>
      <c r="H61" s="564"/>
      <c r="I61" s="568"/>
      <c r="J61" s="564"/>
      <c r="K61" s="564"/>
      <c r="L61" s="569"/>
      <c r="M61" s="569"/>
      <c r="N61" s="569"/>
      <c r="O61" s="570"/>
      <c r="P61" s="564"/>
      <c r="Q61" s="564"/>
      <c r="R61" s="569"/>
      <c r="S61" s="569"/>
      <c r="T61" s="564"/>
      <c r="U61" s="564"/>
      <c r="V61" s="564"/>
      <c r="W61" s="54">
        <f t="shared" si="13"/>
        <v>0</v>
      </c>
      <c r="X61" s="54">
        <f t="shared" si="14"/>
        <v>0</v>
      </c>
      <c r="AJ61" s="20" t="b">
        <f t="shared" si="0"/>
        <v>0</v>
      </c>
      <c r="AK61" s="20" t="b">
        <f t="shared" si="1"/>
        <v>0</v>
      </c>
      <c r="AL61" s="20" t="b">
        <f t="shared" si="2"/>
        <v>0</v>
      </c>
      <c r="AM61" s="20" t="b">
        <f t="shared" si="3"/>
        <v>0</v>
      </c>
      <c r="AN61" s="20" t="b">
        <f t="shared" si="4"/>
        <v>0</v>
      </c>
      <c r="AO61" s="20" t="b">
        <f t="shared" si="5"/>
        <v>0</v>
      </c>
      <c r="AP61" s="20" t="b">
        <f t="shared" si="6"/>
        <v>0</v>
      </c>
      <c r="AQ61" s="20" t="b">
        <f t="shared" si="7"/>
        <v>0</v>
      </c>
      <c r="AR61" s="20" t="b">
        <f t="shared" si="8"/>
        <v>0</v>
      </c>
      <c r="AS61" s="20" t="b">
        <f t="shared" si="9"/>
        <v>0</v>
      </c>
      <c r="AT61" s="20" t="b">
        <f t="shared" si="10"/>
        <v>0</v>
      </c>
      <c r="AU61" s="20" t="b">
        <f t="shared" si="11"/>
        <v>0</v>
      </c>
    </row>
    <row r="62" spans="1:47">
      <c r="A62" s="20">
        <f>IF(F62=F60,A60,A60+1)</f>
        <v>2</v>
      </c>
      <c r="B62" s="564"/>
      <c r="C62" s="564"/>
      <c r="D62" s="564"/>
      <c r="E62" s="564"/>
      <c r="F62" s="568"/>
      <c r="G62" s="568"/>
      <c r="H62" s="564"/>
      <c r="I62" s="568"/>
      <c r="J62" s="564"/>
      <c r="K62" s="564"/>
      <c r="L62" s="569"/>
      <c r="M62" s="569"/>
      <c r="N62" s="569"/>
      <c r="O62" s="570"/>
      <c r="P62" s="564"/>
      <c r="Q62" s="564"/>
      <c r="R62" s="569"/>
      <c r="S62" s="569"/>
      <c r="T62" s="564"/>
      <c r="U62" s="564"/>
      <c r="V62" s="564"/>
      <c r="W62" s="54">
        <f t="shared" si="13"/>
        <v>0</v>
      </c>
      <c r="X62" s="54">
        <f t="shared" si="14"/>
        <v>0</v>
      </c>
      <c r="AJ62" s="20" t="b">
        <f t="shared" si="0"/>
        <v>0</v>
      </c>
      <c r="AK62" s="20" t="b">
        <f t="shared" si="1"/>
        <v>0</v>
      </c>
      <c r="AL62" s="20" t="b">
        <f t="shared" si="2"/>
        <v>0</v>
      </c>
      <c r="AM62" s="20" t="b">
        <f t="shared" si="3"/>
        <v>0</v>
      </c>
      <c r="AN62" s="20" t="b">
        <f t="shared" si="4"/>
        <v>0</v>
      </c>
      <c r="AO62" s="20" t="b">
        <f t="shared" si="5"/>
        <v>0</v>
      </c>
      <c r="AP62" s="20" t="b">
        <f t="shared" si="6"/>
        <v>0</v>
      </c>
      <c r="AQ62" s="20" t="b">
        <f t="shared" si="7"/>
        <v>0</v>
      </c>
      <c r="AR62" s="20" t="b">
        <f t="shared" si="8"/>
        <v>0</v>
      </c>
      <c r="AS62" s="20" t="b">
        <f t="shared" si="9"/>
        <v>0</v>
      </c>
      <c r="AT62" s="20" t="b">
        <f t="shared" si="10"/>
        <v>0</v>
      </c>
      <c r="AU62" s="20" t="b">
        <f t="shared" si="11"/>
        <v>0</v>
      </c>
    </row>
    <row r="63" spans="1:47">
      <c r="A63" s="20">
        <f t="shared" si="12"/>
        <v>2</v>
      </c>
      <c r="B63" s="564"/>
      <c r="C63" s="564"/>
      <c r="D63" s="564"/>
      <c r="E63" s="564"/>
      <c r="F63" s="568"/>
      <c r="G63" s="568"/>
      <c r="H63" s="564"/>
      <c r="I63" s="568"/>
      <c r="J63" s="564"/>
      <c r="K63" s="564"/>
      <c r="L63" s="569"/>
      <c r="M63" s="569"/>
      <c r="N63" s="569"/>
      <c r="O63" s="570"/>
      <c r="P63" s="564"/>
      <c r="Q63" s="564"/>
      <c r="R63" s="569"/>
      <c r="S63" s="569"/>
      <c r="T63" s="564"/>
      <c r="U63" s="564"/>
      <c r="V63" s="564"/>
      <c r="W63" s="54">
        <f t="shared" si="13"/>
        <v>0</v>
      </c>
      <c r="X63" s="54">
        <f t="shared" si="14"/>
        <v>0</v>
      </c>
      <c r="AJ63" s="20" t="b">
        <f t="shared" si="0"/>
        <v>0</v>
      </c>
      <c r="AK63" s="20" t="b">
        <f t="shared" si="1"/>
        <v>0</v>
      </c>
      <c r="AL63" s="20" t="b">
        <f t="shared" si="2"/>
        <v>0</v>
      </c>
      <c r="AM63" s="20" t="b">
        <f t="shared" si="3"/>
        <v>0</v>
      </c>
      <c r="AN63" s="20" t="b">
        <f t="shared" si="4"/>
        <v>0</v>
      </c>
      <c r="AO63" s="20" t="b">
        <f t="shared" si="5"/>
        <v>0</v>
      </c>
      <c r="AP63" s="20" t="b">
        <f t="shared" si="6"/>
        <v>0</v>
      </c>
      <c r="AQ63" s="20" t="b">
        <f t="shared" si="7"/>
        <v>0</v>
      </c>
      <c r="AR63" s="20" t="b">
        <f t="shared" si="8"/>
        <v>0</v>
      </c>
      <c r="AS63" s="20" t="b">
        <f t="shared" si="9"/>
        <v>0</v>
      </c>
      <c r="AT63" s="20" t="b">
        <f t="shared" si="10"/>
        <v>0</v>
      </c>
      <c r="AU63" s="20" t="b">
        <f t="shared" si="11"/>
        <v>0</v>
      </c>
    </row>
    <row r="64" spans="1:47">
      <c r="A64" s="20">
        <f t="shared" si="12"/>
        <v>2</v>
      </c>
      <c r="B64" s="564"/>
      <c r="C64" s="564"/>
      <c r="D64" s="564"/>
      <c r="E64" s="564"/>
      <c r="F64" s="568"/>
      <c r="G64" s="568"/>
      <c r="H64" s="564"/>
      <c r="I64" s="568"/>
      <c r="J64" s="564"/>
      <c r="K64" s="564"/>
      <c r="L64" s="569"/>
      <c r="M64" s="569"/>
      <c r="N64" s="569"/>
      <c r="O64" s="570"/>
      <c r="P64" s="564"/>
      <c r="Q64" s="564"/>
      <c r="R64" s="569"/>
      <c r="S64" s="569"/>
      <c r="T64" s="564"/>
      <c r="U64" s="564"/>
      <c r="V64" s="564"/>
      <c r="W64" s="54">
        <f t="shared" si="13"/>
        <v>0</v>
      </c>
      <c r="X64" s="54">
        <f t="shared" si="14"/>
        <v>0</v>
      </c>
      <c r="AJ64" s="20" t="b">
        <f t="shared" si="0"/>
        <v>0</v>
      </c>
      <c r="AK64" s="20" t="b">
        <f t="shared" si="1"/>
        <v>0</v>
      </c>
      <c r="AL64" s="20" t="b">
        <f t="shared" si="2"/>
        <v>0</v>
      </c>
      <c r="AM64" s="20" t="b">
        <f t="shared" si="3"/>
        <v>0</v>
      </c>
      <c r="AN64" s="20" t="b">
        <f t="shared" si="4"/>
        <v>0</v>
      </c>
      <c r="AO64" s="20" t="b">
        <f t="shared" si="5"/>
        <v>0</v>
      </c>
      <c r="AP64" s="20" t="b">
        <f t="shared" si="6"/>
        <v>0</v>
      </c>
      <c r="AQ64" s="20" t="b">
        <f t="shared" si="7"/>
        <v>0</v>
      </c>
      <c r="AR64" s="20" t="b">
        <f t="shared" si="8"/>
        <v>0</v>
      </c>
      <c r="AS64" s="20" t="b">
        <f t="shared" si="9"/>
        <v>0</v>
      </c>
      <c r="AT64" s="20" t="b">
        <f t="shared" si="10"/>
        <v>0</v>
      </c>
      <c r="AU64" s="20" t="b">
        <f t="shared" si="11"/>
        <v>0</v>
      </c>
    </row>
    <row r="65" spans="1:47">
      <c r="A65" s="20">
        <f t="shared" si="12"/>
        <v>2</v>
      </c>
      <c r="B65" s="564"/>
      <c r="C65" s="564"/>
      <c r="D65" s="564"/>
      <c r="E65" s="564"/>
      <c r="F65" s="568"/>
      <c r="G65" s="568"/>
      <c r="H65" s="564"/>
      <c r="I65" s="568"/>
      <c r="J65" s="564"/>
      <c r="K65" s="564"/>
      <c r="L65" s="569"/>
      <c r="M65" s="569"/>
      <c r="N65" s="569"/>
      <c r="O65" s="570"/>
      <c r="P65" s="564"/>
      <c r="Q65" s="564"/>
      <c r="R65" s="569"/>
      <c r="S65" s="569"/>
      <c r="T65" s="564"/>
      <c r="U65" s="564"/>
      <c r="V65" s="564"/>
      <c r="W65" s="54">
        <f t="shared" si="13"/>
        <v>0</v>
      </c>
      <c r="X65" s="54">
        <f t="shared" si="14"/>
        <v>0</v>
      </c>
      <c r="AJ65" s="20" t="b">
        <f t="shared" si="0"/>
        <v>0</v>
      </c>
      <c r="AK65" s="20" t="b">
        <f t="shared" si="1"/>
        <v>0</v>
      </c>
      <c r="AL65" s="20" t="b">
        <f t="shared" si="2"/>
        <v>0</v>
      </c>
      <c r="AM65" s="20" t="b">
        <f t="shared" si="3"/>
        <v>0</v>
      </c>
      <c r="AN65" s="20" t="b">
        <f t="shared" si="4"/>
        <v>0</v>
      </c>
      <c r="AO65" s="20" t="b">
        <f t="shared" si="5"/>
        <v>0</v>
      </c>
      <c r="AP65" s="20" t="b">
        <f t="shared" si="6"/>
        <v>0</v>
      </c>
      <c r="AQ65" s="20" t="b">
        <f t="shared" si="7"/>
        <v>0</v>
      </c>
      <c r="AR65" s="20" t="b">
        <f t="shared" si="8"/>
        <v>0</v>
      </c>
      <c r="AS65" s="20" t="b">
        <f t="shared" si="9"/>
        <v>0</v>
      </c>
      <c r="AT65" s="20" t="b">
        <f t="shared" si="10"/>
        <v>0</v>
      </c>
      <c r="AU65" s="20" t="b">
        <f t="shared" si="11"/>
        <v>0</v>
      </c>
    </row>
    <row r="66" spans="1:47">
      <c r="A66" s="20">
        <f t="shared" si="12"/>
        <v>2</v>
      </c>
      <c r="B66" s="564"/>
      <c r="C66" s="564"/>
      <c r="D66" s="564"/>
      <c r="E66" s="564"/>
      <c r="F66" s="568"/>
      <c r="G66" s="568"/>
      <c r="H66" s="564"/>
      <c r="I66" s="568"/>
      <c r="J66" s="564"/>
      <c r="K66" s="564"/>
      <c r="L66" s="569"/>
      <c r="M66" s="569"/>
      <c r="N66" s="569"/>
      <c r="O66" s="570"/>
      <c r="P66" s="564"/>
      <c r="Q66" s="564"/>
      <c r="R66" s="569"/>
      <c r="S66" s="569"/>
      <c r="T66" s="564"/>
      <c r="U66" s="564"/>
      <c r="V66" s="564"/>
      <c r="W66" s="54">
        <f t="shared" si="13"/>
        <v>0</v>
      </c>
      <c r="X66" s="54">
        <f t="shared" si="14"/>
        <v>0</v>
      </c>
      <c r="AJ66" s="20" t="b">
        <f t="shared" ref="AJ66:AJ129" si="15">IF(AND(A66=2, J66="PF", T66="YES", V66="A"), L66)</f>
        <v>0</v>
      </c>
      <c r="AK66" s="20" t="b">
        <f t="shared" ref="AK66:AK129" si="16">IF(AND(A66=3, J66="PF", T66="YES", V66="A"), L66)</f>
        <v>0</v>
      </c>
      <c r="AL66" s="20" t="b">
        <f t="shared" ref="AL66:AL129" si="17">IF(AND(A66=4, J66="PF", T66="YES", V66="A"), L66)</f>
        <v>0</v>
      </c>
      <c r="AM66" s="20" t="b">
        <f t="shared" ref="AM66:AM129" si="18">IF(AND(A66=5, J66="PF", T66="YES", V66="A"), L66)</f>
        <v>0</v>
      </c>
      <c r="AN66" s="20" t="b">
        <f t="shared" ref="AN66:AN129" si="19">IF(AND(A66=6, J66="PF", T66="YES", V66="A"), L66)</f>
        <v>0</v>
      </c>
      <c r="AO66" s="20" t="b">
        <f t="shared" ref="AO66:AO129" si="20">IF(AND(A66=7, J66="PF", T66="YES", V66="A"), L66)</f>
        <v>0</v>
      </c>
      <c r="AP66" s="20" t="b">
        <f t="shared" ref="AP66:AP129" si="21">IF(AND(A66=8, J66="PF", T66="YES", V66="A"), L66)</f>
        <v>0</v>
      </c>
      <c r="AQ66" s="20" t="b">
        <f t="shared" ref="AQ66:AQ129" si="22">IF(AND(A66=9, J66="PF", T66="YES", V66="A"), L66)</f>
        <v>0</v>
      </c>
      <c r="AR66" s="20" t="b">
        <f t="shared" ref="AR66:AR129" si="23">IF(AND(A66=10, J66="PF", T66="YES", V66="A"), L66)</f>
        <v>0</v>
      </c>
      <c r="AS66" s="20" t="b">
        <f t="shared" ref="AS66:AS129" si="24">IF(AND(A66=11, J66="PF", T66="YES", V66="A"), L66)</f>
        <v>0</v>
      </c>
      <c r="AT66" s="20" t="b">
        <f t="shared" ref="AT66:AT129" si="25">IF(AND(A66=12, J66="PF", T66="YES", V66="A"), L66)</f>
        <v>0</v>
      </c>
      <c r="AU66" s="20" t="b">
        <f t="shared" ref="AU66:AU129" si="26">IF(AND(A66=13, J66="PF", T66="YES", V66="A"), L66)</f>
        <v>0</v>
      </c>
    </row>
    <row r="67" spans="1:47">
      <c r="A67" s="20">
        <f t="shared" ref="A67:A130" si="27">IF(F67=F66,A66,A66+1)</f>
        <v>2</v>
      </c>
      <c r="B67" s="564"/>
      <c r="C67" s="564"/>
      <c r="D67" s="564"/>
      <c r="E67" s="564"/>
      <c r="F67" s="568"/>
      <c r="G67" s="568"/>
      <c r="H67" s="564"/>
      <c r="I67" s="568"/>
      <c r="J67" s="564"/>
      <c r="K67" s="564"/>
      <c r="L67" s="569"/>
      <c r="M67" s="569"/>
      <c r="N67" s="569"/>
      <c r="O67" s="570"/>
      <c r="P67" s="564"/>
      <c r="Q67" s="564"/>
      <c r="R67" s="569"/>
      <c r="S67" s="569"/>
      <c r="T67" s="564"/>
      <c r="U67" s="564"/>
      <c r="V67" s="564"/>
      <c r="W67" s="54">
        <f t="shared" ref="W67:W130" si="28">IF(J67="pf", L67, 0)</f>
        <v>0</v>
      </c>
      <c r="X67" s="54">
        <f t="shared" ref="X67:X130" si="29">IF(J67&lt;&gt;"PF", L67, 0)</f>
        <v>0</v>
      </c>
      <c r="AJ67" s="20" t="b">
        <f t="shared" si="15"/>
        <v>0</v>
      </c>
      <c r="AK67" s="20" t="b">
        <f t="shared" si="16"/>
        <v>0</v>
      </c>
      <c r="AL67" s="20" t="b">
        <f t="shared" si="17"/>
        <v>0</v>
      </c>
      <c r="AM67" s="20" t="b">
        <f t="shared" si="18"/>
        <v>0</v>
      </c>
      <c r="AN67" s="20" t="b">
        <f t="shared" si="19"/>
        <v>0</v>
      </c>
      <c r="AO67" s="20" t="b">
        <f t="shared" si="20"/>
        <v>0</v>
      </c>
      <c r="AP67" s="20" t="b">
        <f t="shared" si="21"/>
        <v>0</v>
      </c>
      <c r="AQ67" s="20" t="b">
        <f t="shared" si="22"/>
        <v>0</v>
      </c>
      <c r="AR67" s="20" t="b">
        <f t="shared" si="23"/>
        <v>0</v>
      </c>
      <c r="AS67" s="20" t="b">
        <f t="shared" si="24"/>
        <v>0</v>
      </c>
      <c r="AT67" s="20" t="b">
        <f t="shared" si="25"/>
        <v>0</v>
      </c>
      <c r="AU67" s="20" t="b">
        <f t="shared" si="26"/>
        <v>0</v>
      </c>
    </row>
    <row r="68" spans="1:47">
      <c r="A68" s="20">
        <f t="shared" si="27"/>
        <v>2</v>
      </c>
      <c r="B68" s="564"/>
      <c r="C68" s="564"/>
      <c r="D68" s="564"/>
      <c r="E68" s="564"/>
      <c r="F68" s="568"/>
      <c r="G68" s="568"/>
      <c r="H68" s="564"/>
      <c r="I68" s="568"/>
      <c r="J68" s="564"/>
      <c r="K68" s="564"/>
      <c r="L68" s="569"/>
      <c r="M68" s="569"/>
      <c r="N68" s="569"/>
      <c r="O68" s="570"/>
      <c r="P68" s="564"/>
      <c r="Q68" s="564"/>
      <c r="R68" s="569"/>
      <c r="S68" s="569"/>
      <c r="T68" s="564"/>
      <c r="U68" s="564"/>
      <c r="V68" s="564"/>
      <c r="W68" s="54">
        <f t="shared" si="28"/>
        <v>0</v>
      </c>
      <c r="X68" s="54">
        <f t="shared" si="29"/>
        <v>0</v>
      </c>
      <c r="AJ68" s="20" t="b">
        <f t="shared" si="15"/>
        <v>0</v>
      </c>
      <c r="AK68" s="20" t="b">
        <f t="shared" si="16"/>
        <v>0</v>
      </c>
      <c r="AL68" s="20" t="b">
        <f t="shared" si="17"/>
        <v>0</v>
      </c>
      <c r="AM68" s="20" t="b">
        <f t="shared" si="18"/>
        <v>0</v>
      </c>
      <c r="AN68" s="20" t="b">
        <f t="shared" si="19"/>
        <v>0</v>
      </c>
      <c r="AO68" s="20" t="b">
        <f t="shared" si="20"/>
        <v>0</v>
      </c>
      <c r="AP68" s="20" t="b">
        <f t="shared" si="21"/>
        <v>0</v>
      </c>
      <c r="AQ68" s="20" t="b">
        <f t="shared" si="22"/>
        <v>0</v>
      </c>
      <c r="AR68" s="20" t="b">
        <f t="shared" si="23"/>
        <v>0</v>
      </c>
      <c r="AS68" s="20" t="b">
        <f t="shared" si="24"/>
        <v>0</v>
      </c>
      <c r="AT68" s="20" t="b">
        <f t="shared" si="25"/>
        <v>0</v>
      </c>
      <c r="AU68" s="20" t="b">
        <f t="shared" si="26"/>
        <v>0</v>
      </c>
    </row>
    <row r="69" spans="1:47">
      <c r="A69" s="20">
        <f t="shared" si="27"/>
        <v>2</v>
      </c>
      <c r="B69" s="564"/>
      <c r="C69" s="564"/>
      <c r="D69" s="564"/>
      <c r="E69" s="564"/>
      <c r="F69" s="568"/>
      <c r="G69" s="568"/>
      <c r="H69" s="564"/>
      <c r="I69" s="568"/>
      <c r="J69" s="564"/>
      <c r="K69" s="564"/>
      <c r="L69" s="569"/>
      <c r="M69" s="569"/>
      <c r="N69" s="569"/>
      <c r="O69" s="570"/>
      <c r="P69" s="564"/>
      <c r="Q69" s="564"/>
      <c r="R69" s="569"/>
      <c r="S69" s="569"/>
      <c r="T69" s="564"/>
      <c r="U69" s="564"/>
      <c r="V69" s="564"/>
      <c r="W69" s="54">
        <f t="shared" si="28"/>
        <v>0</v>
      </c>
      <c r="X69" s="54">
        <f t="shared" si="29"/>
        <v>0</v>
      </c>
      <c r="AJ69" s="20" t="b">
        <f t="shared" si="15"/>
        <v>0</v>
      </c>
      <c r="AK69" s="20" t="b">
        <f t="shared" si="16"/>
        <v>0</v>
      </c>
      <c r="AL69" s="20" t="b">
        <f t="shared" si="17"/>
        <v>0</v>
      </c>
      <c r="AM69" s="20" t="b">
        <f t="shared" si="18"/>
        <v>0</v>
      </c>
      <c r="AN69" s="20" t="b">
        <f t="shared" si="19"/>
        <v>0</v>
      </c>
      <c r="AO69" s="20" t="b">
        <f t="shared" si="20"/>
        <v>0</v>
      </c>
      <c r="AP69" s="20" t="b">
        <f t="shared" si="21"/>
        <v>0</v>
      </c>
      <c r="AQ69" s="20" t="b">
        <f t="shared" si="22"/>
        <v>0</v>
      </c>
      <c r="AR69" s="20" t="b">
        <f t="shared" si="23"/>
        <v>0</v>
      </c>
      <c r="AS69" s="20" t="b">
        <f t="shared" si="24"/>
        <v>0</v>
      </c>
      <c r="AT69" s="20" t="b">
        <f t="shared" si="25"/>
        <v>0</v>
      </c>
      <c r="AU69" s="20" t="b">
        <f t="shared" si="26"/>
        <v>0</v>
      </c>
    </row>
    <row r="70" spans="1:47">
      <c r="A70" s="20">
        <f t="shared" si="27"/>
        <v>2</v>
      </c>
      <c r="B70" s="564"/>
      <c r="C70" s="564"/>
      <c r="D70" s="564"/>
      <c r="E70" s="564"/>
      <c r="F70" s="568"/>
      <c r="G70" s="568"/>
      <c r="H70" s="564"/>
      <c r="I70" s="568"/>
      <c r="J70" s="564"/>
      <c r="K70" s="564"/>
      <c r="L70" s="569"/>
      <c r="M70" s="569"/>
      <c r="N70" s="569"/>
      <c r="O70" s="570"/>
      <c r="P70" s="564"/>
      <c r="Q70" s="564"/>
      <c r="R70" s="569"/>
      <c r="S70" s="569"/>
      <c r="T70" s="564"/>
      <c r="U70" s="564"/>
      <c r="V70" s="564"/>
      <c r="W70" s="54">
        <f t="shared" si="28"/>
        <v>0</v>
      </c>
      <c r="X70" s="54">
        <f t="shared" si="29"/>
        <v>0</v>
      </c>
      <c r="AJ70" s="20" t="b">
        <f t="shared" si="15"/>
        <v>0</v>
      </c>
      <c r="AK70" s="20" t="b">
        <f t="shared" si="16"/>
        <v>0</v>
      </c>
      <c r="AL70" s="20" t="b">
        <f t="shared" si="17"/>
        <v>0</v>
      </c>
      <c r="AM70" s="20" t="b">
        <f t="shared" si="18"/>
        <v>0</v>
      </c>
      <c r="AN70" s="20" t="b">
        <f t="shared" si="19"/>
        <v>0</v>
      </c>
      <c r="AO70" s="20" t="b">
        <f t="shared" si="20"/>
        <v>0</v>
      </c>
      <c r="AP70" s="20" t="b">
        <f t="shared" si="21"/>
        <v>0</v>
      </c>
      <c r="AQ70" s="20" t="b">
        <f t="shared" si="22"/>
        <v>0</v>
      </c>
      <c r="AR70" s="20" t="b">
        <f t="shared" si="23"/>
        <v>0</v>
      </c>
      <c r="AS70" s="20" t="b">
        <f t="shared" si="24"/>
        <v>0</v>
      </c>
      <c r="AT70" s="20" t="b">
        <f t="shared" si="25"/>
        <v>0</v>
      </c>
      <c r="AU70" s="20" t="b">
        <f t="shared" si="26"/>
        <v>0</v>
      </c>
    </row>
    <row r="71" spans="1:47">
      <c r="A71" s="20">
        <f t="shared" si="27"/>
        <v>2</v>
      </c>
      <c r="B71" s="564"/>
      <c r="C71" s="564"/>
      <c r="D71" s="564"/>
      <c r="E71" s="564"/>
      <c r="F71" s="568"/>
      <c r="G71" s="568"/>
      <c r="H71" s="564"/>
      <c r="I71" s="568"/>
      <c r="J71" s="564"/>
      <c r="K71" s="564"/>
      <c r="L71" s="569"/>
      <c r="M71" s="569"/>
      <c r="N71" s="569"/>
      <c r="O71" s="570"/>
      <c r="P71" s="564"/>
      <c r="Q71" s="564"/>
      <c r="R71" s="569"/>
      <c r="S71" s="569"/>
      <c r="T71" s="564"/>
      <c r="U71" s="564"/>
      <c r="V71" s="564"/>
      <c r="W71" s="54">
        <f t="shared" si="28"/>
        <v>0</v>
      </c>
      <c r="X71" s="54">
        <f t="shared" si="29"/>
        <v>0</v>
      </c>
      <c r="AJ71" s="20" t="b">
        <f t="shared" si="15"/>
        <v>0</v>
      </c>
      <c r="AK71" s="20" t="b">
        <f t="shared" si="16"/>
        <v>0</v>
      </c>
      <c r="AL71" s="20" t="b">
        <f t="shared" si="17"/>
        <v>0</v>
      </c>
      <c r="AM71" s="20" t="b">
        <f t="shared" si="18"/>
        <v>0</v>
      </c>
      <c r="AN71" s="20" t="b">
        <f t="shared" si="19"/>
        <v>0</v>
      </c>
      <c r="AO71" s="20" t="b">
        <f t="shared" si="20"/>
        <v>0</v>
      </c>
      <c r="AP71" s="20" t="b">
        <f t="shared" si="21"/>
        <v>0</v>
      </c>
      <c r="AQ71" s="20" t="b">
        <f t="shared" si="22"/>
        <v>0</v>
      </c>
      <c r="AR71" s="20" t="b">
        <f t="shared" si="23"/>
        <v>0</v>
      </c>
      <c r="AS71" s="20" t="b">
        <f t="shared" si="24"/>
        <v>0</v>
      </c>
      <c r="AT71" s="20" t="b">
        <f t="shared" si="25"/>
        <v>0</v>
      </c>
      <c r="AU71" s="20" t="b">
        <f t="shared" si="26"/>
        <v>0</v>
      </c>
    </row>
    <row r="72" spans="1:47">
      <c r="A72" s="20">
        <f t="shared" si="27"/>
        <v>2</v>
      </c>
      <c r="B72" s="564"/>
      <c r="C72" s="564"/>
      <c r="D72" s="564"/>
      <c r="E72" s="564"/>
      <c r="F72" s="568"/>
      <c r="G72" s="568"/>
      <c r="H72" s="564"/>
      <c r="I72" s="568"/>
      <c r="J72" s="564"/>
      <c r="K72" s="564"/>
      <c r="L72" s="569"/>
      <c r="M72" s="569"/>
      <c r="N72" s="569"/>
      <c r="O72" s="570"/>
      <c r="P72" s="564"/>
      <c r="Q72" s="564"/>
      <c r="R72" s="569"/>
      <c r="S72" s="569"/>
      <c r="T72" s="564"/>
      <c r="U72" s="564"/>
      <c r="V72" s="564"/>
      <c r="W72" s="54">
        <f t="shared" si="28"/>
        <v>0</v>
      </c>
      <c r="X72" s="54">
        <f t="shared" si="29"/>
        <v>0</v>
      </c>
      <c r="AJ72" s="20" t="b">
        <f t="shared" si="15"/>
        <v>0</v>
      </c>
      <c r="AK72" s="20" t="b">
        <f t="shared" si="16"/>
        <v>0</v>
      </c>
      <c r="AL72" s="20" t="b">
        <f t="shared" si="17"/>
        <v>0</v>
      </c>
      <c r="AM72" s="20" t="b">
        <f t="shared" si="18"/>
        <v>0</v>
      </c>
      <c r="AN72" s="20" t="b">
        <f t="shared" si="19"/>
        <v>0</v>
      </c>
      <c r="AO72" s="20" t="b">
        <f t="shared" si="20"/>
        <v>0</v>
      </c>
      <c r="AP72" s="20" t="b">
        <f t="shared" si="21"/>
        <v>0</v>
      </c>
      <c r="AQ72" s="20" t="b">
        <f t="shared" si="22"/>
        <v>0</v>
      </c>
      <c r="AR72" s="20" t="b">
        <f t="shared" si="23"/>
        <v>0</v>
      </c>
      <c r="AS72" s="20" t="b">
        <f t="shared" si="24"/>
        <v>0</v>
      </c>
      <c r="AT72" s="20" t="b">
        <f t="shared" si="25"/>
        <v>0</v>
      </c>
      <c r="AU72" s="20" t="b">
        <f t="shared" si="26"/>
        <v>0</v>
      </c>
    </row>
    <row r="73" spans="1:47">
      <c r="A73" s="20">
        <f t="shared" si="27"/>
        <v>2</v>
      </c>
      <c r="B73" s="564"/>
      <c r="C73" s="564"/>
      <c r="D73" s="564"/>
      <c r="E73" s="564"/>
      <c r="F73" s="568"/>
      <c r="G73" s="568"/>
      <c r="H73" s="564"/>
      <c r="I73" s="568"/>
      <c r="J73" s="564"/>
      <c r="K73" s="564"/>
      <c r="L73" s="569"/>
      <c r="M73" s="569"/>
      <c r="N73" s="569"/>
      <c r="O73" s="570"/>
      <c r="P73" s="564"/>
      <c r="Q73" s="564"/>
      <c r="R73" s="569"/>
      <c r="S73" s="569"/>
      <c r="T73" s="564"/>
      <c r="U73" s="564"/>
      <c r="V73" s="564"/>
      <c r="W73" s="54">
        <f t="shared" si="28"/>
        <v>0</v>
      </c>
      <c r="X73" s="54">
        <f t="shared" si="29"/>
        <v>0</v>
      </c>
      <c r="AJ73" s="20" t="b">
        <f t="shared" si="15"/>
        <v>0</v>
      </c>
      <c r="AK73" s="20" t="b">
        <f t="shared" si="16"/>
        <v>0</v>
      </c>
      <c r="AL73" s="20" t="b">
        <f t="shared" si="17"/>
        <v>0</v>
      </c>
      <c r="AM73" s="20" t="b">
        <f t="shared" si="18"/>
        <v>0</v>
      </c>
      <c r="AN73" s="20" t="b">
        <f t="shared" si="19"/>
        <v>0</v>
      </c>
      <c r="AO73" s="20" t="b">
        <f t="shared" si="20"/>
        <v>0</v>
      </c>
      <c r="AP73" s="20" t="b">
        <f t="shared" si="21"/>
        <v>0</v>
      </c>
      <c r="AQ73" s="20" t="b">
        <f t="shared" si="22"/>
        <v>0</v>
      </c>
      <c r="AR73" s="20" t="b">
        <f t="shared" si="23"/>
        <v>0</v>
      </c>
      <c r="AS73" s="20" t="b">
        <f t="shared" si="24"/>
        <v>0</v>
      </c>
      <c r="AT73" s="20" t="b">
        <f t="shared" si="25"/>
        <v>0</v>
      </c>
      <c r="AU73" s="20" t="b">
        <f t="shared" si="26"/>
        <v>0</v>
      </c>
    </row>
    <row r="74" spans="1:47">
      <c r="A74" s="20">
        <f t="shared" si="27"/>
        <v>2</v>
      </c>
      <c r="B74" s="564"/>
      <c r="C74" s="564"/>
      <c r="D74" s="564"/>
      <c r="E74" s="564"/>
      <c r="F74" s="568"/>
      <c r="G74" s="568"/>
      <c r="H74" s="564"/>
      <c r="I74" s="568"/>
      <c r="J74" s="564"/>
      <c r="K74" s="564"/>
      <c r="L74" s="569"/>
      <c r="M74" s="569"/>
      <c r="N74" s="569"/>
      <c r="O74" s="570"/>
      <c r="P74" s="564"/>
      <c r="Q74" s="564"/>
      <c r="R74" s="569"/>
      <c r="S74" s="569"/>
      <c r="T74" s="564"/>
      <c r="U74" s="564"/>
      <c r="V74" s="564"/>
      <c r="W74" s="54">
        <f t="shared" si="28"/>
        <v>0</v>
      </c>
      <c r="X74" s="54">
        <f t="shared" si="29"/>
        <v>0</v>
      </c>
      <c r="AJ74" s="20" t="b">
        <f t="shared" si="15"/>
        <v>0</v>
      </c>
      <c r="AK74" s="20" t="b">
        <f t="shared" si="16"/>
        <v>0</v>
      </c>
      <c r="AL74" s="20" t="b">
        <f t="shared" si="17"/>
        <v>0</v>
      </c>
      <c r="AM74" s="20" t="b">
        <f t="shared" si="18"/>
        <v>0</v>
      </c>
      <c r="AN74" s="20" t="b">
        <f t="shared" si="19"/>
        <v>0</v>
      </c>
      <c r="AO74" s="20" t="b">
        <f t="shared" si="20"/>
        <v>0</v>
      </c>
      <c r="AP74" s="20" t="b">
        <f t="shared" si="21"/>
        <v>0</v>
      </c>
      <c r="AQ74" s="20" t="b">
        <f t="shared" si="22"/>
        <v>0</v>
      </c>
      <c r="AR74" s="20" t="b">
        <f t="shared" si="23"/>
        <v>0</v>
      </c>
      <c r="AS74" s="20" t="b">
        <f t="shared" si="24"/>
        <v>0</v>
      </c>
      <c r="AT74" s="20" t="b">
        <f t="shared" si="25"/>
        <v>0</v>
      </c>
      <c r="AU74" s="20" t="b">
        <f t="shared" si="26"/>
        <v>0</v>
      </c>
    </row>
    <row r="75" spans="1:47">
      <c r="A75" s="20">
        <f t="shared" si="27"/>
        <v>2</v>
      </c>
      <c r="B75" s="564"/>
      <c r="C75" s="564"/>
      <c r="D75" s="564"/>
      <c r="E75" s="564"/>
      <c r="F75" s="568"/>
      <c r="G75" s="568"/>
      <c r="H75" s="564"/>
      <c r="I75" s="568"/>
      <c r="J75" s="564"/>
      <c r="K75" s="564"/>
      <c r="L75" s="569"/>
      <c r="M75" s="569"/>
      <c r="N75" s="569"/>
      <c r="O75" s="570"/>
      <c r="P75" s="564"/>
      <c r="Q75" s="564"/>
      <c r="R75" s="569"/>
      <c r="S75" s="569"/>
      <c r="T75" s="564"/>
      <c r="U75" s="564"/>
      <c r="V75" s="564"/>
      <c r="W75" s="54">
        <f t="shared" si="28"/>
        <v>0</v>
      </c>
      <c r="X75" s="54">
        <f t="shared" si="29"/>
        <v>0</v>
      </c>
      <c r="AJ75" s="20" t="b">
        <f t="shared" si="15"/>
        <v>0</v>
      </c>
      <c r="AK75" s="20" t="b">
        <f t="shared" si="16"/>
        <v>0</v>
      </c>
      <c r="AL75" s="20" t="b">
        <f t="shared" si="17"/>
        <v>0</v>
      </c>
      <c r="AM75" s="20" t="b">
        <f t="shared" si="18"/>
        <v>0</v>
      </c>
      <c r="AN75" s="20" t="b">
        <f t="shared" si="19"/>
        <v>0</v>
      </c>
      <c r="AO75" s="20" t="b">
        <f t="shared" si="20"/>
        <v>0</v>
      </c>
      <c r="AP75" s="20" t="b">
        <f t="shared" si="21"/>
        <v>0</v>
      </c>
      <c r="AQ75" s="20" t="b">
        <f t="shared" si="22"/>
        <v>0</v>
      </c>
      <c r="AR75" s="20" t="b">
        <f t="shared" si="23"/>
        <v>0</v>
      </c>
      <c r="AS75" s="20" t="b">
        <f t="shared" si="24"/>
        <v>0</v>
      </c>
      <c r="AT75" s="20" t="b">
        <f t="shared" si="25"/>
        <v>0</v>
      </c>
      <c r="AU75" s="20" t="b">
        <f t="shared" si="26"/>
        <v>0</v>
      </c>
    </row>
    <row r="76" spans="1:47">
      <c r="A76" s="20">
        <f t="shared" si="27"/>
        <v>2</v>
      </c>
      <c r="B76" s="564"/>
      <c r="C76" s="564"/>
      <c r="D76" s="564"/>
      <c r="E76" s="564"/>
      <c r="F76" s="568"/>
      <c r="G76" s="568"/>
      <c r="H76" s="564"/>
      <c r="I76" s="568"/>
      <c r="J76" s="564"/>
      <c r="K76" s="564"/>
      <c r="L76" s="569"/>
      <c r="M76" s="569"/>
      <c r="N76" s="569"/>
      <c r="O76" s="570"/>
      <c r="P76" s="564"/>
      <c r="Q76" s="564"/>
      <c r="R76" s="569"/>
      <c r="S76" s="569"/>
      <c r="T76" s="564"/>
      <c r="U76" s="564"/>
      <c r="V76" s="564"/>
      <c r="W76" s="54">
        <f t="shared" si="28"/>
        <v>0</v>
      </c>
      <c r="X76" s="54">
        <f t="shared" si="29"/>
        <v>0</v>
      </c>
      <c r="AJ76" s="20" t="b">
        <f t="shared" si="15"/>
        <v>0</v>
      </c>
      <c r="AK76" s="20" t="b">
        <f t="shared" si="16"/>
        <v>0</v>
      </c>
      <c r="AL76" s="20" t="b">
        <f t="shared" si="17"/>
        <v>0</v>
      </c>
      <c r="AM76" s="20" t="b">
        <f t="shared" si="18"/>
        <v>0</v>
      </c>
      <c r="AN76" s="20" t="b">
        <f t="shared" si="19"/>
        <v>0</v>
      </c>
      <c r="AO76" s="20" t="b">
        <f t="shared" si="20"/>
        <v>0</v>
      </c>
      <c r="AP76" s="20" t="b">
        <f t="shared" si="21"/>
        <v>0</v>
      </c>
      <c r="AQ76" s="20" t="b">
        <f t="shared" si="22"/>
        <v>0</v>
      </c>
      <c r="AR76" s="20" t="b">
        <f t="shared" si="23"/>
        <v>0</v>
      </c>
      <c r="AS76" s="20" t="b">
        <f t="shared" si="24"/>
        <v>0</v>
      </c>
      <c r="AT76" s="20" t="b">
        <f t="shared" si="25"/>
        <v>0</v>
      </c>
      <c r="AU76" s="20" t="b">
        <f t="shared" si="26"/>
        <v>0</v>
      </c>
    </row>
    <row r="77" spans="1:47">
      <c r="A77" s="20">
        <f t="shared" si="27"/>
        <v>2</v>
      </c>
      <c r="B77" s="564"/>
      <c r="C77" s="564"/>
      <c r="D77" s="564"/>
      <c r="E77" s="564"/>
      <c r="F77" s="568"/>
      <c r="G77" s="568"/>
      <c r="H77" s="564"/>
      <c r="I77" s="568"/>
      <c r="J77" s="564"/>
      <c r="K77" s="564"/>
      <c r="L77" s="569"/>
      <c r="M77" s="569"/>
      <c r="N77" s="569"/>
      <c r="O77" s="570"/>
      <c r="P77" s="564"/>
      <c r="Q77" s="564"/>
      <c r="R77" s="569"/>
      <c r="S77" s="569"/>
      <c r="T77" s="564"/>
      <c r="U77" s="564"/>
      <c r="V77" s="564"/>
      <c r="W77" s="54">
        <f t="shared" si="28"/>
        <v>0</v>
      </c>
      <c r="X77" s="54">
        <f t="shared" si="29"/>
        <v>0</v>
      </c>
      <c r="AJ77" s="20" t="b">
        <f t="shared" si="15"/>
        <v>0</v>
      </c>
      <c r="AK77" s="20" t="b">
        <f t="shared" si="16"/>
        <v>0</v>
      </c>
      <c r="AL77" s="20" t="b">
        <f t="shared" si="17"/>
        <v>0</v>
      </c>
      <c r="AM77" s="20" t="b">
        <f t="shared" si="18"/>
        <v>0</v>
      </c>
      <c r="AN77" s="20" t="b">
        <f t="shared" si="19"/>
        <v>0</v>
      </c>
      <c r="AO77" s="20" t="b">
        <f t="shared" si="20"/>
        <v>0</v>
      </c>
      <c r="AP77" s="20" t="b">
        <f t="shared" si="21"/>
        <v>0</v>
      </c>
      <c r="AQ77" s="20" t="b">
        <f t="shared" si="22"/>
        <v>0</v>
      </c>
      <c r="AR77" s="20" t="b">
        <f t="shared" si="23"/>
        <v>0</v>
      </c>
      <c r="AS77" s="20" t="b">
        <f t="shared" si="24"/>
        <v>0</v>
      </c>
      <c r="AT77" s="20" t="b">
        <f t="shared" si="25"/>
        <v>0</v>
      </c>
      <c r="AU77" s="20" t="b">
        <f t="shared" si="26"/>
        <v>0</v>
      </c>
    </row>
    <row r="78" spans="1:47">
      <c r="A78" s="20">
        <f t="shared" si="27"/>
        <v>2</v>
      </c>
      <c r="B78" s="564"/>
      <c r="C78" s="564"/>
      <c r="D78" s="564"/>
      <c r="E78" s="564"/>
      <c r="F78" s="568"/>
      <c r="G78" s="568"/>
      <c r="H78" s="564"/>
      <c r="I78" s="568"/>
      <c r="J78" s="564"/>
      <c r="K78" s="564"/>
      <c r="L78" s="569"/>
      <c r="M78" s="569"/>
      <c r="N78" s="569"/>
      <c r="O78" s="570"/>
      <c r="P78" s="564"/>
      <c r="Q78" s="564"/>
      <c r="R78" s="569"/>
      <c r="S78" s="569"/>
      <c r="T78" s="564"/>
      <c r="U78" s="564"/>
      <c r="V78" s="564"/>
      <c r="W78" s="54">
        <f t="shared" si="28"/>
        <v>0</v>
      </c>
      <c r="X78" s="54">
        <f t="shared" si="29"/>
        <v>0</v>
      </c>
      <c r="AJ78" s="20" t="b">
        <f t="shared" si="15"/>
        <v>0</v>
      </c>
      <c r="AK78" s="20" t="b">
        <f t="shared" si="16"/>
        <v>0</v>
      </c>
      <c r="AL78" s="20" t="b">
        <f t="shared" si="17"/>
        <v>0</v>
      </c>
      <c r="AM78" s="20" t="b">
        <f t="shared" si="18"/>
        <v>0</v>
      </c>
      <c r="AN78" s="20" t="b">
        <f t="shared" si="19"/>
        <v>0</v>
      </c>
      <c r="AO78" s="20" t="b">
        <f t="shared" si="20"/>
        <v>0</v>
      </c>
      <c r="AP78" s="20" t="b">
        <f t="shared" si="21"/>
        <v>0</v>
      </c>
      <c r="AQ78" s="20" t="b">
        <f t="shared" si="22"/>
        <v>0</v>
      </c>
      <c r="AR78" s="20" t="b">
        <f t="shared" si="23"/>
        <v>0</v>
      </c>
      <c r="AS78" s="20" t="b">
        <f t="shared" si="24"/>
        <v>0</v>
      </c>
      <c r="AT78" s="20" t="b">
        <f t="shared" si="25"/>
        <v>0</v>
      </c>
      <c r="AU78" s="20" t="b">
        <f t="shared" si="26"/>
        <v>0</v>
      </c>
    </row>
    <row r="79" spans="1:47">
      <c r="A79" s="20">
        <f t="shared" si="27"/>
        <v>2</v>
      </c>
      <c r="B79" s="564"/>
      <c r="C79" s="564"/>
      <c r="D79" s="564"/>
      <c r="E79" s="564"/>
      <c r="F79" s="568"/>
      <c r="G79" s="568"/>
      <c r="H79" s="564"/>
      <c r="I79" s="568"/>
      <c r="J79" s="564"/>
      <c r="K79" s="564"/>
      <c r="L79" s="569"/>
      <c r="M79" s="569"/>
      <c r="N79" s="569"/>
      <c r="O79" s="570"/>
      <c r="P79" s="564"/>
      <c r="Q79" s="564"/>
      <c r="R79" s="569"/>
      <c r="S79" s="569"/>
      <c r="T79" s="564"/>
      <c r="U79" s="564"/>
      <c r="V79" s="564"/>
      <c r="W79" s="54">
        <f t="shared" si="28"/>
        <v>0</v>
      </c>
      <c r="X79" s="54">
        <f t="shared" si="29"/>
        <v>0</v>
      </c>
      <c r="AJ79" s="20" t="b">
        <f t="shared" si="15"/>
        <v>0</v>
      </c>
      <c r="AK79" s="20" t="b">
        <f t="shared" si="16"/>
        <v>0</v>
      </c>
      <c r="AL79" s="20" t="b">
        <f t="shared" si="17"/>
        <v>0</v>
      </c>
      <c r="AM79" s="20" t="b">
        <f t="shared" si="18"/>
        <v>0</v>
      </c>
      <c r="AN79" s="20" t="b">
        <f t="shared" si="19"/>
        <v>0</v>
      </c>
      <c r="AO79" s="20" t="b">
        <f t="shared" si="20"/>
        <v>0</v>
      </c>
      <c r="AP79" s="20" t="b">
        <f t="shared" si="21"/>
        <v>0</v>
      </c>
      <c r="AQ79" s="20" t="b">
        <f t="shared" si="22"/>
        <v>0</v>
      </c>
      <c r="AR79" s="20" t="b">
        <f t="shared" si="23"/>
        <v>0</v>
      </c>
      <c r="AS79" s="20" t="b">
        <f t="shared" si="24"/>
        <v>0</v>
      </c>
      <c r="AT79" s="20" t="b">
        <f t="shared" si="25"/>
        <v>0</v>
      </c>
      <c r="AU79" s="20" t="b">
        <f t="shared" si="26"/>
        <v>0</v>
      </c>
    </row>
    <row r="80" spans="1:47">
      <c r="A80" s="20">
        <f t="shared" si="27"/>
        <v>2</v>
      </c>
      <c r="B80" s="564"/>
      <c r="C80" s="564"/>
      <c r="D80" s="564"/>
      <c r="E80" s="564"/>
      <c r="F80" s="568"/>
      <c r="G80" s="568"/>
      <c r="H80" s="564"/>
      <c r="I80" s="568"/>
      <c r="J80" s="564"/>
      <c r="K80" s="564"/>
      <c r="L80" s="569"/>
      <c r="M80" s="569"/>
      <c r="N80" s="569"/>
      <c r="O80" s="570"/>
      <c r="P80" s="564"/>
      <c r="Q80" s="564"/>
      <c r="R80" s="569"/>
      <c r="S80" s="569"/>
      <c r="T80" s="564"/>
      <c r="U80" s="564"/>
      <c r="V80" s="564"/>
      <c r="W80" s="54">
        <f t="shared" si="28"/>
        <v>0</v>
      </c>
      <c r="X80" s="54">
        <f t="shared" si="29"/>
        <v>0</v>
      </c>
      <c r="AJ80" s="20" t="b">
        <f t="shared" si="15"/>
        <v>0</v>
      </c>
      <c r="AK80" s="20" t="b">
        <f t="shared" si="16"/>
        <v>0</v>
      </c>
      <c r="AL80" s="20" t="b">
        <f t="shared" si="17"/>
        <v>0</v>
      </c>
      <c r="AM80" s="20" t="b">
        <f t="shared" si="18"/>
        <v>0</v>
      </c>
      <c r="AN80" s="20" t="b">
        <f t="shared" si="19"/>
        <v>0</v>
      </c>
      <c r="AO80" s="20" t="b">
        <f t="shared" si="20"/>
        <v>0</v>
      </c>
      <c r="AP80" s="20" t="b">
        <f t="shared" si="21"/>
        <v>0</v>
      </c>
      <c r="AQ80" s="20" t="b">
        <f t="shared" si="22"/>
        <v>0</v>
      </c>
      <c r="AR80" s="20" t="b">
        <f t="shared" si="23"/>
        <v>0</v>
      </c>
      <c r="AS80" s="20" t="b">
        <f t="shared" si="24"/>
        <v>0</v>
      </c>
      <c r="AT80" s="20" t="b">
        <f t="shared" si="25"/>
        <v>0</v>
      </c>
      <c r="AU80" s="20" t="b">
        <f t="shared" si="26"/>
        <v>0</v>
      </c>
    </row>
    <row r="81" spans="1:47">
      <c r="A81" s="20">
        <f t="shared" si="27"/>
        <v>2</v>
      </c>
      <c r="B81" s="564"/>
      <c r="C81" s="564"/>
      <c r="D81" s="564"/>
      <c r="E81" s="564"/>
      <c r="F81" s="568"/>
      <c r="G81" s="568"/>
      <c r="H81" s="564"/>
      <c r="I81" s="568"/>
      <c r="J81" s="564"/>
      <c r="K81" s="564"/>
      <c r="L81" s="569"/>
      <c r="M81" s="569"/>
      <c r="N81" s="569"/>
      <c r="O81" s="570"/>
      <c r="P81" s="564"/>
      <c r="Q81" s="564"/>
      <c r="R81" s="569"/>
      <c r="S81" s="569"/>
      <c r="T81" s="564"/>
      <c r="U81" s="564"/>
      <c r="V81" s="564"/>
      <c r="W81" s="54">
        <f t="shared" si="28"/>
        <v>0</v>
      </c>
      <c r="X81" s="54">
        <f t="shared" si="29"/>
        <v>0</v>
      </c>
      <c r="AJ81" s="20" t="b">
        <f t="shared" si="15"/>
        <v>0</v>
      </c>
      <c r="AK81" s="20" t="b">
        <f t="shared" si="16"/>
        <v>0</v>
      </c>
      <c r="AL81" s="20" t="b">
        <f t="shared" si="17"/>
        <v>0</v>
      </c>
      <c r="AM81" s="20" t="b">
        <f t="shared" si="18"/>
        <v>0</v>
      </c>
      <c r="AN81" s="20" t="b">
        <f t="shared" si="19"/>
        <v>0</v>
      </c>
      <c r="AO81" s="20" t="b">
        <f t="shared" si="20"/>
        <v>0</v>
      </c>
      <c r="AP81" s="20" t="b">
        <f t="shared" si="21"/>
        <v>0</v>
      </c>
      <c r="AQ81" s="20" t="b">
        <f t="shared" si="22"/>
        <v>0</v>
      </c>
      <c r="AR81" s="20" t="b">
        <f t="shared" si="23"/>
        <v>0</v>
      </c>
      <c r="AS81" s="20" t="b">
        <f t="shared" si="24"/>
        <v>0</v>
      </c>
      <c r="AT81" s="20" t="b">
        <f t="shared" si="25"/>
        <v>0</v>
      </c>
      <c r="AU81" s="20" t="b">
        <f t="shared" si="26"/>
        <v>0</v>
      </c>
    </row>
    <row r="82" spans="1:47">
      <c r="A82" s="20">
        <f t="shared" si="27"/>
        <v>2</v>
      </c>
      <c r="B82" s="564"/>
      <c r="C82" s="564"/>
      <c r="D82" s="564"/>
      <c r="E82" s="564"/>
      <c r="F82" s="568"/>
      <c r="G82" s="568"/>
      <c r="H82" s="564"/>
      <c r="I82" s="568"/>
      <c r="J82" s="564"/>
      <c r="K82" s="564"/>
      <c r="L82" s="569"/>
      <c r="M82" s="569"/>
      <c r="N82" s="569"/>
      <c r="O82" s="570"/>
      <c r="P82" s="564"/>
      <c r="Q82" s="564"/>
      <c r="R82" s="569"/>
      <c r="S82" s="569"/>
      <c r="T82" s="564"/>
      <c r="U82" s="564"/>
      <c r="V82" s="564"/>
      <c r="W82" s="54">
        <f t="shared" si="28"/>
        <v>0</v>
      </c>
      <c r="X82" s="54">
        <f t="shared" si="29"/>
        <v>0</v>
      </c>
      <c r="AJ82" s="20" t="b">
        <f t="shared" si="15"/>
        <v>0</v>
      </c>
      <c r="AK82" s="20" t="b">
        <f t="shared" si="16"/>
        <v>0</v>
      </c>
      <c r="AL82" s="20" t="b">
        <f t="shared" si="17"/>
        <v>0</v>
      </c>
      <c r="AM82" s="20" t="b">
        <f t="shared" si="18"/>
        <v>0</v>
      </c>
      <c r="AN82" s="20" t="b">
        <f t="shared" si="19"/>
        <v>0</v>
      </c>
      <c r="AO82" s="20" t="b">
        <f t="shared" si="20"/>
        <v>0</v>
      </c>
      <c r="AP82" s="20" t="b">
        <f t="shared" si="21"/>
        <v>0</v>
      </c>
      <c r="AQ82" s="20" t="b">
        <f t="shared" si="22"/>
        <v>0</v>
      </c>
      <c r="AR82" s="20" t="b">
        <f t="shared" si="23"/>
        <v>0</v>
      </c>
      <c r="AS82" s="20" t="b">
        <f t="shared" si="24"/>
        <v>0</v>
      </c>
      <c r="AT82" s="20" t="b">
        <f t="shared" si="25"/>
        <v>0</v>
      </c>
      <c r="AU82" s="20" t="b">
        <f t="shared" si="26"/>
        <v>0</v>
      </c>
    </row>
    <row r="83" spans="1:47">
      <c r="A83" s="20">
        <f t="shared" si="27"/>
        <v>2</v>
      </c>
      <c r="B83" s="564"/>
      <c r="C83" s="564"/>
      <c r="D83" s="564"/>
      <c r="E83" s="564"/>
      <c r="F83" s="568"/>
      <c r="G83" s="568"/>
      <c r="H83" s="564"/>
      <c r="I83" s="568"/>
      <c r="J83" s="564"/>
      <c r="K83" s="564"/>
      <c r="L83" s="569"/>
      <c r="M83" s="569"/>
      <c r="N83" s="569"/>
      <c r="O83" s="570"/>
      <c r="P83" s="564"/>
      <c r="Q83" s="564"/>
      <c r="R83" s="569"/>
      <c r="S83" s="569"/>
      <c r="T83" s="564"/>
      <c r="U83" s="564"/>
      <c r="V83" s="564"/>
      <c r="W83" s="54">
        <f t="shared" si="28"/>
        <v>0</v>
      </c>
      <c r="X83" s="54">
        <f t="shared" si="29"/>
        <v>0</v>
      </c>
      <c r="AJ83" s="20" t="b">
        <f t="shared" si="15"/>
        <v>0</v>
      </c>
      <c r="AK83" s="20" t="b">
        <f t="shared" si="16"/>
        <v>0</v>
      </c>
      <c r="AL83" s="20" t="b">
        <f t="shared" si="17"/>
        <v>0</v>
      </c>
      <c r="AM83" s="20" t="b">
        <f t="shared" si="18"/>
        <v>0</v>
      </c>
      <c r="AN83" s="20" t="b">
        <f t="shared" si="19"/>
        <v>0</v>
      </c>
      <c r="AO83" s="20" t="b">
        <f t="shared" si="20"/>
        <v>0</v>
      </c>
      <c r="AP83" s="20" t="b">
        <f t="shared" si="21"/>
        <v>0</v>
      </c>
      <c r="AQ83" s="20" t="b">
        <f t="shared" si="22"/>
        <v>0</v>
      </c>
      <c r="AR83" s="20" t="b">
        <f t="shared" si="23"/>
        <v>0</v>
      </c>
      <c r="AS83" s="20" t="b">
        <f t="shared" si="24"/>
        <v>0</v>
      </c>
      <c r="AT83" s="20" t="b">
        <f t="shared" si="25"/>
        <v>0</v>
      </c>
      <c r="AU83" s="20" t="b">
        <f t="shared" si="26"/>
        <v>0</v>
      </c>
    </row>
    <row r="84" spans="1:47">
      <c r="A84" s="20">
        <f t="shared" si="27"/>
        <v>2</v>
      </c>
      <c r="B84" s="564"/>
      <c r="C84" s="564"/>
      <c r="D84" s="564"/>
      <c r="E84" s="564"/>
      <c r="F84" s="568"/>
      <c r="G84" s="568"/>
      <c r="H84" s="564"/>
      <c r="I84" s="568"/>
      <c r="J84" s="564"/>
      <c r="K84" s="564"/>
      <c r="L84" s="569"/>
      <c r="M84" s="569"/>
      <c r="N84" s="569"/>
      <c r="O84" s="570"/>
      <c r="P84" s="564"/>
      <c r="Q84" s="564"/>
      <c r="R84" s="569"/>
      <c r="S84" s="569"/>
      <c r="T84" s="564"/>
      <c r="U84" s="564"/>
      <c r="V84" s="564"/>
      <c r="W84" s="54">
        <f t="shared" si="28"/>
        <v>0</v>
      </c>
      <c r="X84" s="54">
        <f t="shared" si="29"/>
        <v>0</v>
      </c>
      <c r="AJ84" s="20" t="b">
        <f t="shared" si="15"/>
        <v>0</v>
      </c>
      <c r="AK84" s="20" t="b">
        <f t="shared" si="16"/>
        <v>0</v>
      </c>
      <c r="AL84" s="20" t="b">
        <f t="shared" si="17"/>
        <v>0</v>
      </c>
      <c r="AM84" s="20" t="b">
        <f t="shared" si="18"/>
        <v>0</v>
      </c>
      <c r="AN84" s="20" t="b">
        <f t="shared" si="19"/>
        <v>0</v>
      </c>
      <c r="AO84" s="20" t="b">
        <f t="shared" si="20"/>
        <v>0</v>
      </c>
      <c r="AP84" s="20" t="b">
        <f t="shared" si="21"/>
        <v>0</v>
      </c>
      <c r="AQ84" s="20" t="b">
        <f t="shared" si="22"/>
        <v>0</v>
      </c>
      <c r="AR84" s="20" t="b">
        <f t="shared" si="23"/>
        <v>0</v>
      </c>
      <c r="AS84" s="20" t="b">
        <f t="shared" si="24"/>
        <v>0</v>
      </c>
      <c r="AT84" s="20" t="b">
        <f t="shared" si="25"/>
        <v>0</v>
      </c>
      <c r="AU84" s="20" t="b">
        <f t="shared" si="26"/>
        <v>0</v>
      </c>
    </row>
    <row r="85" spans="1:47">
      <c r="B85" s="564"/>
      <c r="C85" s="564"/>
      <c r="D85" s="564"/>
      <c r="E85" s="564"/>
      <c r="F85" s="568"/>
      <c r="G85" s="568"/>
      <c r="H85" s="564"/>
      <c r="I85" s="568"/>
      <c r="J85" s="564"/>
      <c r="K85" s="564"/>
      <c r="L85" s="569"/>
      <c r="M85" s="569"/>
      <c r="N85" s="569"/>
      <c r="O85" s="570"/>
      <c r="P85" s="564"/>
      <c r="Q85" s="564"/>
      <c r="R85" s="569"/>
      <c r="S85" s="569"/>
      <c r="T85" s="564"/>
      <c r="U85" s="564"/>
      <c r="V85" s="564"/>
      <c r="W85" s="54">
        <f t="shared" si="28"/>
        <v>0</v>
      </c>
      <c r="X85" s="54">
        <f t="shared" si="29"/>
        <v>0</v>
      </c>
      <c r="AJ85" s="20" t="b">
        <f t="shared" si="15"/>
        <v>0</v>
      </c>
      <c r="AK85" s="20" t="b">
        <f t="shared" si="16"/>
        <v>0</v>
      </c>
      <c r="AL85" s="20" t="b">
        <f t="shared" si="17"/>
        <v>0</v>
      </c>
      <c r="AM85" s="20" t="b">
        <f t="shared" si="18"/>
        <v>0</v>
      </c>
      <c r="AN85" s="20" t="b">
        <f t="shared" si="19"/>
        <v>0</v>
      </c>
      <c r="AO85" s="20" t="b">
        <f t="shared" si="20"/>
        <v>0</v>
      </c>
      <c r="AP85" s="20" t="b">
        <f t="shared" si="21"/>
        <v>0</v>
      </c>
      <c r="AQ85" s="20" t="b">
        <f t="shared" si="22"/>
        <v>0</v>
      </c>
      <c r="AR85" s="20" t="b">
        <f t="shared" si="23"/>
        <v>0</v>
      </c>
      <c r="AS85" s="20" t="b">
        <f t="shared" si="24"/>
        <v>0</v>
      </c>
      <c r="AT85" s="20" t="b">
        <f t="shared" si="25"/>
        <v>0</v>
      </c>
      <c r="AU85" s="20" t="b">
        <f t="shared" si="26"/>
        <v>0</v>
      </c>
    </row>
    <row r="86" spans="1:47">
      <c r="A86" s="20">
        <f>IF(F86=F84,A84,A84+1)</f>
        <v>2</v>
      </c>
      <c r="B86" s="564"/>
      <c r="C86" s="564"/>
      <c r="D86" s="564"/>
      <c r="E86" s="564"/>
      <c r="F86" s="568"/>
      <c r="G86" s="568"/>
      <c r="H86" s="564"/>
      <c r="I86" s="568"/>
      <c r="J86" s="564"/>
      <c r="K86" s="564"/>
      <c r="L86" s="569"/>
      <c r="M86" s="569"/>
      <c r="N86" s="569"/>
      <c r="O86" s="570"/>
      <c r="P86" s="564"/>
      <c r="Q86" s="564"/>
      <c r="R86" s="569"/>
      <c r="S86" s="569"/>
      <c r="T86" s="564"/>
      <c r="U86" s="564"/>
      <c r="V86" s="564"/>
      <c r="W86" s="54">
        <f t="shared" si="28"/>
        <v>0</v>
      </c>
      <c r="X86" s="54">
        <f t="shared" si="29"/>
        <v>0</v>
      </c>
      <c r="AJ86" s="20" t="b">
        <f t="shared" si="15"/>
        <v>0</v>
      </c>
      <c r="AK86" s="20" t="b">
        <f t="shared" si="16"/>
        <v>0</v>
      </c>
      <c r="AL86" s="20" t="b">
        <f t="shared" si="17"/>
        <v>0</v>
      </c>
      <c r="AM86" s="20" t="b">
        <f t="shared" si="18"/>
        <v>0</v>
      </c>
      <c r="AN86" s="20" t="b">
        <f t="shared" si="19"/>
        <v>0</v>
      </c>
      <c r="AO86" s="20" t="b">
        <f t="shared" si="20"/>
        <v>0</v>
      </c>
      <c r="AP86" s="20" t="b">
        <f t="shared" si="21"/>
        <v>0</v>
      </c>
      <c r="AQ86" s="20" t="b">
        <f t="shared" si="22"/>
        <v>0</v>
      </c>
      <c r="AR86" s="20" t="b">
        <f t="shared" si="23"/>
        <v>0</v>
      </c>
      <c r="AS86" s="20" t="b">
        <f t="shared" si="24"/>
        <v>0</v>
      </c>
      <c r="AT86" s="20" t="b">
        <f t="shared" si="25"/>
        <v>0</v>
      </c>
      <c r="AU86" s="20" t="b">
        <f t="shared" si="26"/>
        <v>0</v>
      </c>
    </row>
    <row r="87" spans="1:47">
      <c r="A87" s="20">
        <f t="shared" si="27"/>
        <v>2</v>
      </c>
      <c r="B87" s="564"/>
      <c r="C87" s="564"/>
      <c r="D87" s="564"/>
      <c r="E87" s="564"/>
      <c r="F87" s="568"/>
      <c r="G87" s="568"/>
      <c r="H87" s="564"/>
      <c r="I87" s="568"/>
      <c r="J87" s="564"/>
      <c r="K87" s="564"/>
      <c r="L87" s="569"/>
      <c r="M87" s="569"/>
      <c r="N87" s="569"/>
      <c r="O87" s="570"/>
      <c r="P87" s="564"/>
      <c r="Q87" s="564"/>
      <c r="R87" s="569"/>
      <c r="S87" s="569"/>
      <c r="T87" s="564"/>
      <c r="U87" s="564"/>
      <c r="V87" s="564"/>
      <c r="W87" s="54">
        <f t="shared" si="28"/>
        <v>0</v>
      </c>
      <c r="X87" s="54">
        <f t="shared" si="29"/>
        <v>0</v>
      </c>
      <c r="AJ87" s="20" t="b">
        <f t="shared" si="15"/>
        <v>0</v>
      </c>
      <c r="AK87" s="20" t="b">
        <f t="shared" si="16"/>
        <v>0</v>
      </c>
      <c r="AL87" s="20" t="b">
        <f t="shared" si="17"/>
        <v>0</v>
      </c>
      <c r="AM87" s="20" t="b">
        <f t="shared" si="18"/>
        <v>0</v>
      </c>
      <c r="AN87" s="20" t="b">
        <f t="shared" si="19"/>
        <v>0</v>
      </c>
      <c r="AO87" s="20" t="b">
        <f t="shared" si="20"/>
        <v>0</v>
      </c>
      <c r="AP87" s="20" t="b">
        <f t="shared" si="21"/>
        <v>0</v>
      </c>
      <c r="AQ87" s="20" t="b">
        <f t="shared" si="22"/>
        <v>0</v>
      </c>
      <c r="AR87" s="20" t="b">
        <f t="shared" si="23"/>
        <v>0</v>
      </c>
      <c r="AS87" s="20" t="b">
        <f t="shared" si="24"/>
        <v>0</v>
      </c>
      <c r="AT87" s="20" t="b">
        <f t="shared" si="25"/>
        <v>0</v>
      </c>
      <c r="AU87" s="20" t="b">
        <f t="shared" si="26"/>
        <v>0</v>
      </c>
    </row>
    <row r="88" spans="1:47">
      <c r="A88" s="20">
        <f t="shared" si="27"/>
        <v>2</v>
      </c>
      <c r="B88" s="564"/>
      <c r="C88" s="564"/>
      <c r="D88" s="564"/>
      <c r="E88" s="564"/>
      <c r="F88" s="568"/>
      <c r="G88" s="568"/>
      <c r="H88" s="564"/>
      <c r="I88" s="568"/>
      <c r="J88" s="564"/>
      <c r="K88" s="564"/>
      <c r="L88" s="569"/>
      <c r="M88" s="569"/>
      <c r="N88" s="569"/>
      <c r="O88" s="570"/>
      <c r="P88" s="564"/>
      <c r="Q88" s="564"/>
      <c r="R88" s="569"/>
      <c r="S88" s="569"/>
      <c r="T88" s="564"/>
      <c r="U88" s="564"/>
      <c r="V88" s="564"/>
      <c r="W88" s="54">
        <f t="shared" si="28"/>
        <v>0</v>
      </c>
      <c r="X88" s="54">
        <f t="shared" si="29"/>
        <v>0</v>
      </c>
      <c r="AJ88" s="20" t="b">
        <f t="shared" si="15"/>
        <v>0</v>
      </c>
      <c r="AK88" s="20" t="b">
        <f t="shared" si="16"/>
        <v>0</v>
      </c>
      <c r="AL88" s="20" t="b">
        <f t="shared" si="17"/>
        <v>0</v>
      </c>
      <c r="AM88" s="20" t="b">
        <f t="shared" si="18"/>
        <v>0</v>
      </c>
      <c r="AN88" s="20" t="b">
        <f t="shared" si="19"/>
        <v>0</v>
      </c>
      <c r="AO88" s="20" t="b">
        <f t="shared" si="20"/>
        <v>0</v>
      </c>
      <c r="AP88" s="20" t="b">
        <f t="shared" si="21"/>
        <v>0</v>
      </c>
      <c r="AQ88" s="20" t="b">
        <f t="shared" si="22"/>
        <v>0</v>
      </c>
      <c r="AR88" s="20" t="b">
        <f t="shared" si="23"/>
        <v>0</v>
      </c>
      <c r="AS88" s="20" t="b">
        <f t="shared" si="24"/>
        <v>0</v>
      </c>
      <c r="AT88" s="20" t="b">
        <f t="shared" si="25"/>
        <v>0</v>
      </c>
      <c r="AU88" s="20" t="b">
        <f t="shared" si="26"/>
        <v>0</v>
      </c>
    </row>
    <row r="89" spans="1:47">
      <c r="A89" s="20">
        <f t="shared" si="27"/>
        <v>2</v>
      </c>
      <c r="B89" s="564"/>
      <c r="C89" s="564"/>
      <c r="D89" s="564"/>
      <c r="E89" s="564"/>
      <c r="F89" s="568"/>
      <c r="G89" s="568"/>
      <c r="H89" s="564"/>
      <c r="I89" s="568"/>
      <c r="J89" s="564"/>
      <c r="K89" s="564"/>
      <c r="L89" s="569"/>
      <c r="M89" s="569"/>
      <c r="N89" s="569"/>
      <c r="O89" s="570"/>
      <c r="P89" s="564"/>
      <c r="Q89" s="564"/>
      <c r="R89" s="569"/>
      <c r="S89" s="569"/>
      <c r="T89" s="564"/>
      <c r="U89" s="564"/>
      <c r="V89" s="564"/>
      <c r="W89" s="54">
        <f t="shared" si="28"/>
        <v>0</v>
      </c>
      <c r="X89" s="54">
        <f t="shared" si="29"/>
        <v>0</v>
      </c>
      <c r="AJ89" s="20" t="b">
        <f t="shared" si="15"/>
        <v>0</v>
      </c>
      <c r="AK89" s="20" t="b">
        <f t="shared" si="16"/>
        <v>0</v>
      </c>
      <c r="AL89" s="20" t="b">
        <f t="shared" si="17"/>
        <v>0</v>
      </c>
      <c r="AM89" s="20" t="b">
        <f t="shared" si="18"/>
        <v>0</v>
      </c>
      <c r="AN89" s="20" t="b">
        <f t="shared" si="19"/>
        <v>0</v>
      </c>
      <c r="AO89" s="20" t="b">
        <f t="shared" si="20"/>
        <v>0</v>
      </c>
      <c r="AP89" s="20" t="b">
        <f t="shared" si="21"/>
        <v>0</v>
      </c>
      <c r="AQ89" s="20" t="b">
        <f t="shared" si="22"/>
        <v>0</v>
      </c>
      <c r="AR89" s="20" t="b">
        <f t="shared" si="23"/>
        <v>0</v>
      </c>
      <c r="AS89" s="20" t="b">
        <f t="shared" si="24"/>
        <v>0</v>
      </c>
      <c r="AT89" s="20" t="b">
        <f t="shared" si="25"/>
        <v>0</v>
      </c>
      <c r="AU89" s="20" t="b">
        <f t="shared" si="26"/>
        <v>0</v>
      </c>
    </row>
    <row r="90" spans="1:47">
      <c r="A90" s="20">
        <f t="shared" si="27"/>
        <v>2</v>
      </c>
      <c r="B90" s="564"/>
      <c r="C90" s="564"/>
      <c r="D90" s="564"/>
      <c r="E90" s="564"/>
      <c r="F90" s="568"/>
      <c r="G90" s="568"/>
      <c r="H90" s="564"/>
      <c r="I90" s="568"/>
      <c r="J90" s="564"/>
      <c r="K90" s="564"/>
      <c r="L90" s="569"/>
      <c r="M90" s="569"/>
      <c r="N90" s="569"/>
      <c r="O90" s="570"/>
      <c r="P90" s="564"/>
      <c r="Q90" s="564"/>
      <c r="R90" s="569"/>
      <c r="S90" s="569"/>
      <c r="T90" s="564"/>
      <c r="U90" s="564"/>
      <c r="V90" s="564"/>
      <c r="W90" s="54">
        <f t="shared" si="28"/>
        <v>0</v>
      </c>
      <c r="X90" s="54">
        <f t="shared" si="29"/>
        <v>0</v>
      </c>
      <c r="AJ90" s="20" t="b">
        <f t="shared" si="15"/>
        <v>0</v>
      </c>
      <c r="AK90" s="20" t="b">
        <f t="shared" si="16"/>
        <v>0</v>
      </c>
      <c r="AL90" s="20" t="b">
        <f t="shared" si="17"/>
        <v>0</v>
      </c>
      <c r="AM90" s="20" t="b">
        <f t="shared" si="18"/>
        <v>0</v>
      </c>
      <c r="AN90" s="20" t="b">
        <f t="shared" si="19"/>
        <v>0</v>
      </c>
      <c r="AO90" s="20" t="b">
        <f t="shared" si="20"/>
        <v>0</v>
      </c>
      <c r="AP90" s="20" t="b">
        <f t="shared" si="21"/>
        <v>0</v>
      </c>
      <c r="AQ90" s="20" t="b">
        <f t="shared" si="22"/>
        <v>0</v>
      </c>
      <c r="AR90" s="20" t="b">
        <f t="shared" si="23"/>
        <v>0</v>
      </c>
      <c r="AS90" s="20" t="b">
        <f t="shared" si="24"/>
        <v>0</v>
      </c>
      <c r="AT90" s="20" t="b">
        <f t="shared" si="25"/>
        <v>0</v>
      </c>
      <c r="AU90" s="20" t="b">
        <f t="shared" si="26"/>
        <v>0</v>
      </c>
    </row>
    <row r="91" spans="1:47">
      <c r="A91" s="20">
        <f t="shared" si="27"/>
        <v>2</v>
      </c>
      <c r="B91" s="564"/>
      <c r="C91" s="564"/>
      <c r="D91" s="564"/>
      <c r="E91" s="564"/>
      <c r="F91" s="568"/>
      <c r="G91" s="568"/>
      <c r="H91" s="564"/>
      <c r="I91" s="568"/>
      <c r="J91" s="564"/>
      <c r="K91" s="564"/>
      <c r="L91" s="569"/>
      <c r="M91" s="569"/>
      <c r="N91" s="569"/>
      <c r="O91" s="570"/>
      <c r="P91" s="564"/>
      <c r="Q91" s="564"/>
      <c r="R91" s="569"/>
      <c r="S91" s="569"/>
      <c r="T91" s="564"/>
      <c r="U91" s="564"/>
      <c r="V91" s="564"/>
      <c r="W91" s="54">
        <f t="shared" si="28"/>
        <v>0</v>
      </c>
      <c r="X91" s="54">
        <f t="shared" si="29"/>
        <v>0</v>
      </c>
      <c r="AJ91" s="20" t="b">
        <f t="shared" si="15"/>
        <v>0</v>
      </c>
      <c r="AK91" s="20" t="b">
        <f t="shared" si="16"/>
        <v>0</v>
      </c>
      <c r="AL91" s="20" t="b">
        <f t="shared" si="17"/>
        <v>0</v>
      </c>
      <c r="AM91" s="20" t="b">
        <f t="shared" si="18"/>
        <v>0</v>
      </c>
      <c r="AN91" s="20" t="b">
        <f t="shared" si="19"/>
        <v>0</v>
      </c>
      <c r="AO91" s="20" t="b">
        <f t="shared" si="20"/>
        <v>0</v>
      </c>
      <c r="AP91" s="20" t="b">
        <f t="shared" si="21"/>
        <v>0</v>
      </c>
      <c r="AQ91" s="20" t="b">
        <f t="shared" si="22"/>
        <v>0</v>
      </c>
      <c r="AR91" s="20" t="b">
        <f t="shared" si="23"/>
        <v>0</v>
      </c>
      <c r="AS91" s="20" t="b">
        <f t="shared" si="24"/>
        <v>0</v>
      </c>
      <c r="AT91" s="20" t="b">
        <f t="shared" si="25"/>
        <v>0</v>
      </c>
      <c r="AU91" s="20" t="b">
        <f t="shared" si="26"/>
        <v>0</v>
      </c>
    </row>
    <row r="92" spans="1:47">
      <c r="A92" s="20">
        <f t="shared" si="27"/>
        <v>2</v>
      </c>
      <c r="B92" s="564"/>
      <c r="C92" s="564"/>
      <c r="D92" s="564"/>
      <c r="E92" s="564"/>
      <c r="F92" s="568"/>
      <c r="G92" s="568"/>
      <c r="H92" s="564"/>
      <c r="I92" s="568"/>
      <c r="J92" s="564"/>
      <c r="K92" s="564"/>
      <c r="L92" s="569"/>
      <c r="M92" s="569"/>
      <c r="N92" s="569"/>
      <c r="O92" s="570"/>
      <c r="P92" s="564"/>
      <c r="Q92" s="564"/>
      <c r="R92" s="569"/>
      <c r="S92" s="569"/>
      <c r="T92" s="564"/>
      <c r="U92" s="564"/>
      <c r="V92" s="564"/>
      <c r="W92" s="54">
        <f t="shared" si="28"/>
        <v>0</v>
      </c>
      <c r="X92" s="54">
        <f t="shared" si="29"/>
        <v>0</v>
      </c>
      <c r="AJ92" s="20" t="b">
        <f t="shared" si="15"/>
        <v>0</v>
      </c>
      <c r="AK92" s="20" t="b">
        <f t="shared" si="16"/>
        <v>0</v>
      </c>
      <c r="AL92" s="20" t="b">
        <f t="shared" si="17"/>
        <v>0</v>
      </c>
      <c r="AM92" s="20" t="b">
        <f t="shared" si="18"/>
        <v>0</v>
      </c>
      <c r="AN92" s="20" t="b">
        <f t="shared" si="19"/>
        <v>0</v>
      </c>
      <c r="AO92" s="20" t="b">
        <f t="shared" si="20"/>
        <v>0</v>
      </c>
      <c r="AP92" s="20" t="b">
        <f t="shared" si="21"/>
        <v>0</v>
      </c>
      <c r="AQ92" s="20" t="b">
        <f t="shared" si="22"/>
        <v>0</v>
      </c>
      <c r="AR92" s="20" t="b">
        <f t="shared" si="23"/>
        <v>0</v>
      </c>
      <c r="AS92" s="20" t="b">
        <f t="shared" si="24"/>
        <v>0</v>
      </c>
      <c r="AT92" s="20" t="b">
        <f t="shared" si="25"/>
        <v>0</v>
      </c>
      <c r="AU92" s="20" t="b">
        <f t="shared" si="26"/>
        <v>0</v>
      </c>
    </row>
    <row r="93" spans="1:47">
      <c r="A93" s="20">
        <f t="shared" si="27"/>
        <v>2</v>
      </c>
      <c r="B93" s="564"/>
      <c r="C93" s="564"/>
      <c r="D93" s="564"/>
      <c r="E93" s="564"/>
      <c r="F93" s="568"/>
      <c r="G93" s="568"/>
      <c r="H93" s="564"/>
      <c r="I93" s="568"/>
      <c r="J93" s="564"/>
      <c r="K93" s="564"/>
      <c r="L93" s="569"/>
      <c r="M93" s="569"/>
      <c r="N93" s="569"/>
      <c r="O93" s="570"/>
      <c r="P93" s="564"/>
      <c r="Q93" s="564"/>
      <c r="R93" s="569"/>
      <c r="S93" s="569"/>
      <c r="T93" s="564"/>
      <c r="U93" s="564"/>
      <c r="V93" s="564"/>
      <c r="W93" s="54">
        <f t="shared" si="28"/>
        <v>0</v>
      </c>
      <c r="X93" s="54">
        <f t="shared" si="29"/>
        <v>0</v>
      </c>
      <c r="AJ93" s="20" t="b">
        <f t="shared" si="15"/>
        <v>0</v>
      </c>
      <c r="AK93" s="20" t="b">
        <f t="shared" si="16"/>
        <v>0</v>
      </c>
      <c r="AL93" s="20" t="b">
        <f t="shared" si="17"/>
        <v>0</v>
      </c>
      <c r="AM93" s="20" t="b">
        <f t="shared" si="18"/>
        <v>0</v>
      </c>
      <c r="AN93" s="20" t="b">
        <f t="shared" si="19"/>
        <v>0</v>
      </c>
      <c r="AO93" s="20" t="b">
        <f t="shared" si="20"/>
        <v>0</v>
      </c>
      <c r="AP93" s="20" t="b">
        <f t="shared" si="21"/>
        <v>0</v>
      </c>
      <c r="AQ93" s="20" t="b">
        <f t="shared" si="22"/>
        <v>0</v>
      </c>
      <c r="AR93" s="20" t="b">
        <f t="shared" si="23"/>
        <v>0</v>
      </c>
      <c r="AS93" s="20" t="b">
        <f t="shared" si="24"/>
        <v>0</v>
      </c>
      <c r="AT93" s="20" t="b">
        <f t="shared" si="25"/>
        <v>0</v>
      </c>
      <c r="AU93" s="20" t="b">
        <f t="shared" si="26"/>
        <v>0</v>
      </c>
    </row>
    <row r="94" spans="1:47">
      <c r="A94" s="20">
        <f t="shared" si="27"/>
        <v>2</v>
      </c>
      <c r="B94" s="564"/>
      <c r="C94" s="564"/>
      <c r="D94" s="564"/>
      <c r="E94" s="564"/>
      <c r="F94" s="568"/>
      <c r="G94" s="568"/>
      <c r="H94" s="564"/>
      <c r="I94" s="568"/>
      <c r="J94" s="564"/>
      <c r="K94" s="564"/>
      <c r="L94" s="569"/>
      <c r="M94" s="569"/>
      <c r="N94" s="569"/>
      <c r="O94" s="570"/>
      <c r="P94" s="564"/>
      <c r="Q94" s="564"/>
      <c r="R94" s="569"/>
      <c r="S94" s="569"/>
      <c r="T94" s="564"/>
      <c r="U94" s="564"/>
      <c r="V94" s="564"/>
      <c r="W94" s="54">
        <f t="shared" si="28"/>
        <v>0</v>
      </c>
      <c r="X94" s="54">
        <f t="shared" si="29"/>
        <v>0</v>
      </c>
      <c r="AJ94" s="20" t="b">
        <f t="shared" si="15"/>
        <v>0</v>
      </c>
      <c r="AK94" s="20" t="b">
        <f t="shared" si="16"/>
        <v>0</v>
      </c>
      <c r="AL94" s="20" t="b">
        <f t="shared" si="17"/>
        <v>0</v>
      </c>
      <c r="AM94" s="20" t="b">
        <f t="shared" si="18"/>
        <v>0</v>
      </c>
      <c r="AN94" s="20" t="b">
        <f t="shared" si="19"/>
        <v>0</v>
      </c>
      <c r="AO94" s="20" t="b">
        <f t="shared" si="20"/>
        <v>0</v>
      </c>
      <c r="AP94" s="20" t="b">
        <f t="shared" si="21"/>
        <v>0</v>
      </c>
      <c r="AQ94" s="20" t="b">
        <f t="shared" si="22"/>
        <v>0</v>
      </c>
      <c r="AR94" s="20" t="b">
        <f t="shared" si="23"/>
        <v>0</v>
      </c>
      <c r="AS94" s="20" t="b">
        <f t="shared" si="24"/>
        <v>0</v>
      </c>
      <c r="AT94" s="20" t="b">
        <f t="shared" si="25"/>
        <v>0</v>
      </c>
      <c r="AU94" s="20" t="b">
        <f t="shared" si="26"/>
        <v>0</v>
      </c>
    </row>
    <row r="95" spans="1:47">
      <c r="A95" s="20">
        <f t="shared" si="27"/>
        <v>2</v>
      </c>
      <c r="B95" s="564"/>
      <c r="C95" s="564"/>
      <c r="D95" s="564"/>
      <c r="E95" s="564"/>
      <c r="F95" s="568"/>
      <c r="G95" s="568"/>
      <c r="H95" s="564"/>
      <c r="I95" s="568"/>
      <c r="J95" s="564"/>
      <c r="K95" s="564"/>
      <c r="L95" s="569"/>
      <c r="M95" s="569"/>
      <c r="N95" s="569"/>
      <c r="O95" s="570"/>
      <c r="P95" s="564"/>
      <c r="Q95" s="564"/>
      <c r="R95" s="569"/>
      <c r="S95" s="569"/>
      <c r="T95" s="564"/>
      <c r="U95" s="564"/>
      <c r="V95" s="564"/>
      <c r="W95" s="54">
        <f t="shared" si="28"/>
        <v>0</v>
      </c>
      <c r="X95" s="54">
        <f t="shared" si="29"/>
        <v>0</v>
      </c>
      <c r="AJ95" s="20" t="b">
        <f t="shared" si="15"/>
        <v>0</v>
      </c>
      <c r="AK95" s="20" t="b">
        <f t="shared" si="16"/>
        <v>0</v>
      </c>
      <c r="AL95" s="20" t="b">
        <f t="shared" si="17"/>
        <v>0</v>
      </c>
      <c r="AM95" s="20" t="b">
        <f t="shared" si="18"/>
        <v>0</v>
      </c>
      <c r="AN95" s="20" t="b">
        <f t="shared" si="19"/>
        <v>0</v>
      </c>
      <c r="AO95" s="20" t="b">
        <f t="shared" si="20"/>
        <v>0</v>
      </c>
      <c r="AP95" s="20" t="b">
        <f t="shared" si="21"/>
        <v>0</v>
      </c>
      <c r="AQ95" s="20" t="b">
        <f t="shared" si="22"/>
        <v>0</v>
      </c>
      <c r="AR95" s="20" t="b">
        <f t="shared" si="23"/>
        <v>0</v>
      </c>
      <c r="AS95" s="20" t="b">
        <f t="shared" si="24"/>
        <v>0</v>
      </c>
      <c r="AT95" s="20" t="b">
        <f t="shared" si="25"/>
        <v>0</v>
      </c>
      <c r="AU95" s="20" t="b">
        <f t="shared" si="26"/>
        <v>0</v>
      </c>
    </row>
    <row r="96" spans="1:47">
      <c r="A96" s="20">
        <f t="shared" si="27"/>
        <v>2</v>
      </c>
      <c r="B96" s="564"/>
      <c r="C96" s="564"/>
      <c r="D96" s="564"/>
      <c r="E96" s="564"/>
      <c r="F96" s="568"/>
      <c r="G96" s="568"/>
      <c r="H96" s="564"/>
      <c r="I96" s="568"/>
      <c r="J96" s="564"/>
      <c r="K96" s="564"/>
      <c r="L96" s="569"/>
      <c r="M96" s="569"/>
      <c r="N96" s="569"/>
      <c r="O96" s="570"/>
      <c r="P96" s="564"/>
      <c r="Q96" s="564"/>
      <c r="R96" s="569"/>
      <c r="S96" s="569"/>
      <c r="T96" s="564"/>
      <c r="U96" s="564"/>
      <c r="V96" s="564"/>
      <c r="W96" s="54">
        <f t="shared" si="28"/>
        <v>0</v>
      </c>
      <c r="X96" s="54">
        <f t="shared" si="29"/>
        <v>0</v>
      </c>
      <c r="AJ96" s="20" t="b">
        <f t="shared" si="15"/>
        <v>0</v>
      </c>
      <c r="AK96" s="20" t="b">
        <f t="shared" si="16"/>
        <v>0</v>
      </c>
      <c r="AL96" s="20" t="b">
        <f t="shared" si="17"/>
        <v>0</v>
      </c>
      <c r="AM96" s="20" t="b">
        <f t="shared" si="18"/>
        <v>0</v>
      </c>
      <c r="AN96" s="20" t="b">
        <f t="shared" si="19"/>
        <v>0</v>
      </c>
      <c r="AO96" s="20" t="b">
        <f t="shared" si="20"/>
        <v>0</v>
      </c>
      <c r="AP96" s="20" t="b">
        <f t="shared" si="21"/>
        <v>0</v>
      </c>
      <c r="AQ96" s="20" t="b">
        <f t="shared" si="22"/>
        <v>0</v>
      </c>
      <c r="AR96" s="20" t="b">
        <f t="shared" si="23"/>
        <v>0</v>
      </c>
      <c r="AS96" s="20" t="b">
        <f t="shared" si="24"/>
        <v>0</v>
      </c>
      <c r="AT96" s="20" t="b">
        <f t="shared" si="25"/>
        <v>0</v>
      </c>
      <c r="AU96" s="20" t="b">
        <f t="shared" si="26"/>
        <v>0</v>
      </c>
    </row>
    <row r="97" spans="1:47">
      <c r="A97" s="20">
        <f t="shared" si="27"/>
        <v>2</v>
      </c>
      <c r="B97" s="564"/>
      <c r="C97" s="564"/>
      <c r="D97" s="564"/>
      <c r="E97" s="564"/>
      <c r="F97" s="568"/>
      <c r="G97" s="568"/>
      <c r="H97" s="564"/>
      <c r="I97" s="568"/>
      <c r="J97" s="564"/>
      <c r="K97" s="564"/>
      <c r="L97" s="569"/>
      <c r="M97" s="569"/>
      <c r="N97" s="569"/>
      <c r="O97" s="570"/>
      <c r="P97" s="564"/>
      <c r="Q97" s="564"/>
      <c r="R97" s="569"/>
      <c r="S97" s="569"/>
      <c r="T97" s="564"/>
      <c r="U97" s="564"/>
      <c r="V97" s="564"/>
      <c r="W97" s="54">
        <f t="shared" si="28"/>
        <v>0</v>
      </c>
      <c r="X97" s="54">
        <f t="shared" si="29"/>
        <v>0</v>
      </c>
      <c r="AJ97" s="20" t="b">
        <f t="shared" si="15"/>
        <v>0</v>
      </c>
      <c r="AK97" s="20" t="b">
        <f t="shared" si="16"/>
        <v>0</v>
      </c>
      <c r="AL97" s="20" t="b">
        <f t="shared" si="17"/>
        <v>0</v>
      </c>
      <c r="AM97" s="20" t="b">
        <f t="shared" si="18"/>
        <v>0</v>
      </c>
      <c r="AN97" s="20" t="b">
        <f t="shared" si="19"/>
        <v>0</v>
      </c>
      <c r="AO97" s="20" t="b">
        <f t="shared" si="20"/>
        <v>0</v>
      </c>
      <c r="AP97" s="20" t="b">
        <f t="shared" si="21"/>
        <v>0</v>
      </c>
      <c r="AQ97" s="20" t="b">
        <f t="shared" si="22"/>
        <v>0</v>
      </c>
      <c r="AR97" s="20" t="b">
        <f t="shared" si="23"/>
        <v>0</v>
      </c>
      <c r="AS97" s="20" t="b">
        <f t="shared" si="24"/>
        <v>0</v>
      </c>
      <c r="AT97" s="20" t="b">
        <f t="shared" si="25"/>
        <v>0</v>
      </c>
      <c r="AU97" s="20" t="b">
        <f t="shared" si="26"/>
        <v>0</v>
      </c>
    </row>
    <row r="98" spans="1:47">
      <c r="A98" s="20">
        <f t="shared" si="27"/>
        <v>2</v>
      </c>
      <c r="B98" s="564"/>
      <c r="C98" s="564"/>
      <c r="D98" s="564"/>
      <c r="E98" s="564"/>
      <c r="F98" s="568"/>
      <c r="G98" s="568"/>
      <c r="H98" s="564"/>
      <c r="I98" s="568"/>
      <c r="J98" s="564"/>
      <c r="K98" s="564"/>
      <c r="L98" s="569"/>
      <c r="M98" s="569"/>
      <c r="N98" s="569"/>
      <c r="O98" s="570"/>
      <c r="P98" s="564"/>
      <c r="Q98" s="564"/>
      <c r="R98" s="569"/>
      <c r="S98" s="569"/>
      <c r="T98" s="564"/>
      <c r="U98" s="564"/>
      <c r="V98" s="564"/>
      <c r="W98" s="54">
        <f t="shared" si="28"/>
        <v>0</v>
      </c>
      <c r="X98" s="54">
        <f t="shared" si="29"/>
        <v>0</v>
      </c>
      <c r="AJ98" s="20" t="b">
        <f t="shared" si="15"/>
        <v>0</v>
      </c>
      <c r="AK98" s="20" t="b">
        <f t="shared" si="16"/>
        <v>0</v>
      </c>
      <c r="AL98" s="20" t="b">
        <f t="shared" si="17"/>
        <v>0</v>
      </c>
      <c r="AM98" s="20" t="b">
        <f t="shared" si="18"/>
        <v>0</v>
      </c>
      <c r="AN98" s="20" t="b">
        <f t="shared" si="19"/>
        <v>0</v>
      </c>
      <c r="AO98" s="20" t="b">
        <f t="shared" si="20"/>
        <v>0</v>
      </c>
      <c r="AP98" s="20" t="b">
        <f t="shared" si="21"/>
        <v>0</v>
      </c>
      <c r="AQ98" s="20" t="b">
        <f t="shared" si="22"/>
        <v>0</v>
      </c>
      <c r="AR98" s="20" t="b">
        <f t="shared" si="23"/>
        <v>0</v>
      </c>
      <c r="AS98" s="20" t="b">
        <f t="shared" si="24"/>
        <v>0</v>
      </c>
      <c r="AT98" s="20" t="b">
        <f t="shared" si="25"/>
        <v>0</v>
      </c>
      <c r="AU98" s="20" t="b">
        <f t="shared" si="26"/>
        <v>0</v>
      </c>
    </row>
    <row r="99" spans="1:47">
      <c r="A99" s="20">
        <f t="shared" si="27"/>
        <v>2</v>
      </c>
      <c r="B99" s="564"/>
      <c r="C99" s="564"/>
      <c r="D99" s="564"/>
      <c r="E99" s="564"/>
      <c r="F99" s="568"/>
      <c r="G99" s="568"/>
      <c r="H99" s="564"/>
      <c r="I99" s="568"/>
      <c r="J99" s="564"/>
      <c r="K99" s="564"/>
      <c r="L99" s="569"/>
      <c r="M99" s="569"/>
      <c r="N99" s="569"/>
      <c r="O99" s="570"/>
      <c r="P99" s="564"/>
      <c r="Q99" s="564"/>
      <c r="R99" s="569"/>
      <c r="S99" s="569"/>
      <c r="T99" s="564"/>
      <c r="U99" s="564"/>
      <c r="V99" s="564"/>
      <c r="W99" s="54">
        <f t="shared" si="28"/>
        <v>0</v>
      </c>
      <c r="X99" s="54">
        <f t="shared" si="29"/>
        <v>0</v>
      </c>
      <c r="AJ99" s="20" t="b">
        <f t="shared" si="15"/>
        <v>0</v>
      </c>
      <c r="AK99" s="20" t="b">
        <f t="shared" si="16"/>
        <v>0</v>
      </c>
      <c r="AL99" s="20" t="b">
        <f t="shared" si="17"/>
        <v>0</v>
      </c>
      <c r="AM99" s="20" t="b">
        <f t="shared" si="18"/>
        <v>0</v>
      </c>
      <c r="AN99" s="20" t="b">
        <f t="shared" si="19"/>
        <v>0</v>
      </c>
      <c r="AO99" s="20" t="b">
        <f t="shared" si="20"/>
        <v>0</v>
      </c>
      <c r="AP99" s="20" t="b">
        <f t="shared" si="21"/>
        <v>0</v>
      </c>
      <c r="AQ99" s="20" t="b">
        <f t="shared" si="22"/>
        <v>0</v>
      </c>
      <c r="AR99" s="20" t="b">
        <f t="shared" si="23"/>
        <v>0</v>
      </c>
      <c r="AS99" s="20" t="b">
        <f t="shared" si="24"/>
        <v>0</v>
      </c>
      <c r="AT99" s="20" t="b">
        <f t="shared" si="25"/>
        <v>0</v>
      </c>
      <c r="AU99" s="20" t="b">
        <f t="shared" si="26"/>
        <v>0</v>
      </c>
    </row>
    <row r="100" spans="1:47">
      <c r="A100" s="20">
        <f t="shared" si="27"/>
        <v>2</v>
      </c>
      <c r="B100" s="564"/>
      <c r="C100" s="564"/>
      <c r="D100" s="564"/>
      <c r="E100" s="564"/>
      <c r="F100" s="568"/>
      <c r="G100" s="568"/>
      <c r="H100" s="564"/>
      <c r="I100" s="568"/>
      <c r="J100" s="564"/>
      <c r="K100" s="564"/>
      <c r="L100" s="569"/>
      <c r="M100" s="569"/>
      <c r="N100" s="569"/>
      <c r="O100" s="570"/>
      <c r="P100" s="564"/>
      <c r="Q100" s="564"/>
      <c r="R100" s="569"/>
      <c r="S100" s="569"/>
      <c r="T100" s="564"/>
      <c r="U100" s="564"/>
      <c r="V100" s="564"/>
      <c r="W100" s="54">
        <f t="shared" si="28"/>
        <v>0</v>
      </c>
      <c r="X100" s="54">
        <f t="shared" si="29"/>
        <v>0</v>
      </c>
      <c r="AJ100" s="20" t="b">
        <f t="shared" si="15"/>
        <v>0</v>
      </c>
      <c r="AK100" s="20" t="b">
        <f t="shared" si="16"/>
        <v>0</v>
      </c>
      <c r="AL100" s="20" t="b">
        <f t="shared" si="17"/>
        <v>0</v>
      </c>
      <c r="AM100" s="20" t="b">
        <f t="shared" si="18"/>
        <v>0</v>
      </c>
      <c r="AN100" s="20" t="b">
        <f t="shared" si="19"/>
        <v>0</v>
      </c>
      <c r="AO100" s="20" t="b">
        <f t="shared" si="20"/>
        <v>0</v>
      </c>
      <c r="AP100" s="20" t="b">
        <f t="shared" si="21"/>
        <v>0</v>
      </c>
      <c r="AQ100" s="20" t="b">
        <f t="shared" si="22"/>
        <v>0</v>
      </c>
      <c r="AR100" s="20" t="b">
        <f t="shared" si="23"/>
        <v>0</v>
      </c>
      <c r="AS100" s="20" t="b">
        <f t="shared" si="24"/>
        <v>0</v>
      </c>
      <c r="AT100" s="20" t="b">
        <f t="shared" si="25"/>
        <v>0</v>
      </c>
      <c r="AU100" s="20" t="b">
        <f t="shared" si="26"/>
        <v>0</v>
      </c>
    </row>
    <row r="101" spans="1:47">
      <c r="A101" s="20">
        <f t="shared" si="27"/>
        <v>2</v>
      </c>
      <c r="B101" s="564"/>
      <c r="C101" s="564"/>
      <c r="D101" s="564"/>
      <c r="E101" s="564"/>
      <c r="F101" s="568"/>
      <c r="G101" s="568"/>
      <c r="H101" s="564"/>
      <c r="I101" s="568"/>
      <c r="J101" s="564"/>
      <c r="K101" s="564"/>
      <c r="L101" s="569"/>
      <c r="M101" s="569"/>
      <c r="N101" s="569"/>
      <c r="O101" s="570"/>
      <c r="P101" s="564"/>
      <c r="Q101" s="564"/>
      <c r="R101" s="569"/>
      <c r="S101" s="569"/>
      <c r="T101" s="564"/>
      <c r="U101" s="564"/>
      <c r="V101" s="564"/>
      <c r="W101" s="54">
        <f t="shared" si="28"/>
        <v>0</v>
      </c>
      <c r="X101" s="54">
        <f t="shared" si="29"/>
        <v>0</v>
      </c>
      <c r="AJ101" s="20" t="b">
        <f t="shared" si="15"/>
        <v>0</v>
      </c>
      <c r="AK101" s="20" t="b">
        <f t="shared" si="16"/>
        <v>0</v>
      </c>
      <c r="AL101" s="20" t="b">
        <f t="shared" si="17"/>
        <v>0</v>
      </c>
      <c r="AM101" s="20" t="b">
        <f t="shared" si="18"/>
        <v>0</v>
      </c>
      <c r="AN101" s="20" t="b">
        <f t="shared" si="19"/>
        <v>0</v>
      </c>
      <c r="AO101" s="20" t="b">
        <f t="shared" si="20"/>
        <v>0</v>
      </c>
      <c r="AP101" s="20" t="b">
        <f t="shared" si="21"/>
        <v>0</v>
      </c>
      <c r="AQ101" s="20" t="b">
        <f t="shared" si="22"/>
        <v>0</v>
      </c>
      <c r="AR101" s="20" t="b">
        <f t="shared" si="23"/>
        <v>0</v>
      </c>
      <c r="AS101" s="20" t="b">
        <f t="shared" si="24"/>
        <v>0</v>
      </c>
      <c r="AT101" s="20" t="b">
        <f t="shared" si="25"/>
        <v>0</v>
      </c>
      <c r="AU101" s="20" t="b">
        <f t="shared" si="26"/>
        <v>0</v>
      </c>
    </row>
    <row r="102" spans="1:47">
      <c r="A102" s="20">
        <f t="shared" si="27"/>
        <v>2</v>
      </c>
      <c r="B102" s="564"/>
      <c r="C102" s="564"/>
      <c r="D102" s="564"/>
      <c r="E102" s="564"/>
      <c r="F102" s="568"/>
      <c r="G102" s="568"/>
      <c r="H102" s="564"/>
      <c r="I102" s="568"/>
      <c r="J102" s="564"/>
      <c r="K102" s="564"/>
      <c r="L102" s="569"/>
      <c r="M102" s="569"/>
      <c r="N102" s="569"/>
      <c r="O102" s="570"/>
      <c r="P102" s="564"/>
      <c r="Q102" s="564"/>
      <c r="R102" s="569"/>
      <c r="S102" s="569"/>
      <c r="T102" s="564"/>
      <c r="U102" s="564"/>
      <c r="V102" s="564"/>
      <c r="W102" s="54">
        <f t="shared" si="28"/>
        <v>0</v>
      </c>
      <c r="X102" s="54">
        <f t="shared" si="29"/>
        <v>0</v>
      </c>
      <c r="AJ102" s="20" t="b">
        <f t="shared" si="15"/>
        <v>0</v>
      </c>
      <c r="AK102" s="20" t="b">
        <f t="shared" si="16"/>
        <v>0</v>
      </c>
      <c r="AL102" s="20" t="b">
        <f t="shared" si="17"/>
        <v>0</v>
      </c>
      <c r="AM102" s="20" t="b">
        <f t="shared" si="18"/>
        <v>0</v>
      </c>
      <c r="AN102" s="20" t="b">
        <f t="shared" si="19"/>
        <v>0</v>
      </c>
      <c r="AO102" s="20" t="b">
        <f t="shared" si="20"/>
        <v>0</v>
      </c>
      <c r="AP102" s="20" t="b">
        <f t="shared" si="21"/>
        <v>0</v>
      </c>
      <c r="AQ102" s="20" t="b">
        <f t="shared" si="22"/>
        <v>0</v>
      </c>
      <c r="AR102" s="20" t="b">
        <f t="shared" si="23"/>
        <v>0</v>
      </c>
      <c r="AS102" s="20" t="b">
        <f t="shared" si="24"/>
        <v>0</v>
      </c>
      <c r="AT102" s="20" t="b">
        <f t="shared" si="25"/>
        <v>0</v>
      </c>
      <c r="AU102" s="20" t="b">
        <f t="shared" si="26"/>
        <v>0</v>
      </c>
    </row>
    <row r="103" spans="1:47">
      <c r="A103" s="20">
        <f t="shared" si="27"/>
        <v>2</v>
      </c>
      <c r="B103" s="564"/>
      <c r="C103" s="564"/>
      <c r="D103" s="564"/>
      <c r="E103" s="564"/>
      <c r="F103" s="568"/>
      <c r="G103" s="568"/>
      <c r="H103" s="564"/>
      <c r="I103" s="568"/>
      <c r="J103" s="564"/>
      <c r="K103" s="564"/>
      <c r="L103" s="569"/>
      <c r="M103" s="569"/>
      <c r="N103" s="569"/>
      <c r="O103" s="570"/>
      <c r="P103" s="564"/>
      <c r="Q103" s="564"/>
      <c r="R103" s="569"/>
      <c r="S103" s="569"/>
      <c r="T103" s="564"/>
      <c r="U103" s="564"/>
      <c r="V103" s="564"/>
      <c r="W103" s="54">
        <f t="shared" si="28"/>
        <v>0</v>
      </c>
      <c r="X103" s="54">
        <f t="shared" si="29"/>
        <v>0</v>
      </c>
      <c r="AJ103" s="20" t="b">
        <f t="shared" si="15"/>
        <v>0</v>
      </c>
      <c r="AK103" s="20" t="b">
        <f t="shared" si="16"/>
        <v>0</v>
      </c>
      <c r="AL103" s="20" t="b">
        <f t="shared" si="17"/>
        <v>0</v>
      </c>
      <c r="AM103" s="20" t="b">
        <f t="shared" si="18"/>
        <v>0</v>
      </c>
      <c r="AN103" s="20" t="b">
        <f t="shared" si="19"/>
        <v>0</v>
      </c>
      <c r="AO103" s="20" t="b">
        <f t="shared" si="20"/>
        <v>0</v>
      </c>
      <c r="AP103" s="20" t="b">
        <f t="shared" si="21"/>
        <v>0</v>
      </c>
      <c r="AQ103" s="20" t="b">
        <f t="shared" si="22"/>
        <v>0</v>
      </c>
      <c r="AR103" s="20" t="b">
        <f t="shared" si="23"/>
        <v>0</v>
      </c>
      <c r="AS103" s="20" t="b">
        <f t="shared" si="24"/>
        <v>0</v>
      </c>
      <c r="AT103" s="20" t="b">
        <f t="shared" si="25"/>
        <v>0</v>
      </c>
      <c r="AU103" s="20" t="b">
        <f t="shared" si="26"/>
        <v>0</v>
      </c>
    </row>
    <row r="104" spans="1:47">
      <c r="A104" s="20">
        <f t="shared" si="27"/>
        <v>2</v>
      </c>
      <c r="B104" s="564"/>
      <c r="C104" s="564"/>
      <c r="D104" s="564"/>
      <c r="E104" s="564"/>
      <c r="F104" s="568"/>
      <c r="G104" s="568"/>
      <c r="H104" s="564"/>
      <c r="I104" s="568"/>
      <c r="J104" s="564"/>
      <c r="K104" s="564"/>
      <c r="L104" s="569"/>
      <c r="M104" s="569"/>
      <c r="N104" s="569"/>
      <c r="O104" s="570"/>
      <c r="P104" s="564"/>
      <c r="Q104" s="564"/>
      <c r="R104" s="569"/>
      <c r="S104" s="569"/>
      <c r="T104" s="564"/>
      <c r="U104" s="564"/>
      <c r="V104" s="564"/>
      <c r="W104" s="54">
        <f t="shared" si="28"/>
        <v>0</v>
      </c>
      <c r="X104" s="54">
        <f t="shared" si="29"/>
        <v>0</v>
      </c>
      <c r="AJ104" s="20" t="b">
        <f t="shared" si="15"/>
        <v>0</v>
      </c>
      <c r="AK104" s="20" t="b">
        <f t="shared" si="16"/>
        <v>0</v>
      </c>
      <c r="AL104" s="20" t="b">
        <f t="shared" si="17"/>
        <v>0</v>
      </c>
      <c r="AM104" s="20" t="b">
        <f t="shared" si="18"/>
        <v>0</v>
      </c>
      <c r="AN104" s="20" t="b">
        <f t="shared" si="19"/>
        <v>0</v>
      </c>
      <c r="AO104" s="20" t="b">
        <f t="shared" si="20"/>
        <v>0</v>
      </c>
      <c r="AP104" s="20" t="b">
        <f t="shared" si="21"/>
        <v>0</v>
      </c>
      <c r="AQ104" s="20" t="b">
        <f t="shared" si="22"/>
        <v>0</v>
      </c>
      <c r="AR104" s="20" t="b">
        <f t="shared" si="23"/>
        <v>0</v>
      </c>
      <c r="AS104" s="20" t="b">
        <f t="shared" si="24"/>
        <v>0</v>
      </c>
      <c r="AT104" s="20" t="b">
        <f t="shared" si="25"/>
        <v>0</v>
      </c>
      <c r="AU104" s="20" t="b">
        <f t="shared" si="26"/>
        <v>0</v>
      </c>
    </row>
    <row r="105" spans="1:47">
      <c r="A105" s="20">
        <f t="shared" si="27"/>
        <v>2</v>
      </c>
      <c r="B105" s="564"/>
      <c r="C105" s="564"/>
      <c r="D105" s="564"/>
      <c r="E105" s="564"/>
      <c r="F105" s="568"/>
      <c r="G105" s="568"/>
      <c r="H105" s="564"/>
      <c r="I105" s="568"/>
      <c r="J105" s="564"/>
      <c r="K105" s="564"/>
      <c r="L105" s="569"/>
      <c r="M105" s="569"/>
      <c r="N105" s="569"/>
      <c r="O105" s="570"/>
      <c r="P105" s="564"/>
      <c r="Q105" s="564"/>
      <c r="R105" s="569"/>
      <c r="S105" s="569"/>
      <c r="T105" s="564"/>
      <c r="U105" s="564"/>
      <c r="V105" s="564"/>
      <c r="W105" s="54">
        <f t="shared" si="28"/>
        <v>0</v>
      </c>
      <c r="X105" s="54">
        <f t="shared" si="29"/>
        <v>0</v>
      </c>
      <c r="AJ105" s="20" t="b">
        <f t="shared" si="15"/>
        <v>0</v>
      </c>
      <c r="AK105" s="20" t="b">
        <f t="shared" si="16"/>
        <v>0</v>
      </c>
      <c r="AL105" s="20" t="b">
        <f t="shared" si="17"/>
        <v>0</v>
      </c>
      <c r="AM105" s="20" t="b">
        <f t="shared" si="18"/>
        <v>0</v>
      </c>
      <c r="AN105" s="20" t="b">
        <f t="shared" si="19"/>
        <v>0</v>
      </c>
      <c r="AO105" s="20" t="b">
        <f t="shared" si="20"/>
        <v>0</v>
      </c>
      <c r="AP105" s="20" t="b">
        <f t="shared" si="21"/>
        <v>0</v>
      </c>
      <c r="AQ105" s="20" t="b">
        <f t="shared" si="22"/>
        <v>0</v>
      </c>
      <c r="AR105" s="20" t="b">
        <f t="shared" si="23"/>
        <v>0</v>
      </c>
      <c r="AS105" s="20" t="b">
        <f t="shared" si="24"/>
        <v>0</v>
      </c>
      <c r="AT105" s="20" t="b">
        <f t="shared" si="25"/>
        <v>0</v>
      </c>
      <c r="AU105" s="20" t="b">
        <f t="shared" si="26"/>
        <v>0</v>
      </c>
    </row>
    <row r="106" spans="1:47">
      <c r="A106" s="20">
        <f t="shared" si="27"/>
        <v>2</v>
      </c>
      <c r="B106" s="564"/>
      <c r="C106" s="564"/>
      <c r="D106" s="564"/>
      <c r="E106" s="564"/>
      <c r="F106" s="568"/>
      <c r="G106" s="568"/>
      <c r="H106" s="564"/>
      <c r="I106" s="568"/>
      <c r="J106" s="564"/>
      <c r="K106" s="564"/>
      <c r="L106" s="569"/>
      <c r="M106" s="569"/>
      <c r="N106" s="569"/>
      <c r="O106" s="570"/>
      <c r="P106" s="564"/>
      <c r="Q106" s="564"/>
      <c r="R106" s="569"/>
      <c r="S106" s="569"/>
      <c r="T106" s="564"/>
      <c r="U106" s="564"/>
      <c r="V106" s="564"/>
      <c r="W106" s="54">
        <f t="shared" si="28"/>
        <v>0</v>
      </c>
      <c r="X106" s="54">
        <f t="shared" si="29"/>
        <v>0</v>
      </c>
      <c r="AJ106" s="20" t="b">
        <f t="shared" si="15"/>
        <v>0</v>
      </c>
      <c r="AK106" s="20" t="b">
        <f t="shared" si="16"/>
        <v>0</v>
      </c>
      <c r="AL106" s="20" t="b">
        <f t="shared" si="17"/>
        <v>0</v>
      </c>
      <c r="AM106" s="20" t="b">
        <f t="shared" si="18"/>
        <v>0</v>
      </c>
      <c r="AN106" s="20" t="b">
        <f t="shared" si="19"/>
        <v>0</v>
      </c>
      <c r="AO106" s="20" t="b">
        <f t="shared" si="20"/>
        <v>0</v>
      </c>
      <c r="AP106" s="20" t="b">
        <f t="shared" si="21"/>
        <v>0</v>
      </c>
      <c r="AQ106" s="20" t="b">
        <f t="shared" si="22"/>
        <v>0</v>
      </c>
      <c r="AR106" s="20" t="b">
        <f t="shared" si="23"/>
        <v>0</v>
      </c>
      <c r="AS106" s="20" t="b">
        <f t="shared" si="24"/>
        <v>0</v>
      </c>
      <c r="AT106" s="20" t="b">
        <f t="shared" si="25"/>
        <v>0</v>
      </c>
      <c r="AU106" s="20" t="b">
        <f t="shared" si="26"/>
        <v>0</v>
      </c>
    </row>
    <row r="107" spans="1:47">
      <c r="A107" s="20">
        <f t="shared" si="27"/>
        <v>2</v>
      </c>
      <c r="B107" s="564"/>
      <c r="C107" s="564"/>
      <c r="D107" s="564"/>
      <c r="E107" s="564"/>
      <c r="F107" s="568"/>
      <c r="G107" s="568"/>
      <c r="H107" s="564"/>
      <c r="I107" s="568"/>
      <c r="J107" s="564"/>
      <c r="K107" s="564"/>
      <c r="L107" s="569"/>
      <c r="M107" s="569"/>
      <c r="N107" s="569"/>
      <c r="O107" s="570"/>
      <c r="P107" s="564"/>
      <c r="Q107" s="564"/>
      <c r="R107" s="569"/>
      <c r="S107" s="569"/>
      <c r="T107" s="564"/>
      <c r="U107" s="564"/>
      <c r="V107" s="564"/>
      <c r="W107" s="54">
        <f t="shared" si="28"/>
        <v>0</v>
      </c>
      <c r="X107" s="54">
        <f t="shared" si="29"/>
        <v>0</v>
      </c>
      <c r="AJ107" s="20" t="b">
        <f t="shared" si="15"/>
        <v>0</v>
      </c>
      <c r="AK107" s="20" t="b">
        <f t="shared" si="16"/>
        <v>0</v>
      </c>
      <c r="AL107" s="20" t="b">
        <f t="shared" si="17"/>
        <v>0</v>
      </c>
      <c r="AM107" s="20" t="b">
        <f t="shared" si="18"/>
        <v>0</v>
      </c>
      <c r="AN107" s="20" t="b">
        <f t="shared" si="19"/>
        <v>0</v>
      </c>
      <c r="AO107" s="20" t="b">
        <f t="shared" si="20"/>
        <v>0</v>
      </c>
      <c r="AP107" s="20" t="b">
        <f t="shared" si="21"/>
        <v>0</v>
      </c>
      <c r="AQ107" s="20" t="b">
        <f t="shared" si="22"/>
        <v>0</v>
      </c>
      <c r="AR107" s="20" t="b">
        <f t="shared" si="23"/>
        <v>0</v>
      </c>
      <c r="AS107" s="20" t="b">
        <f t="shared" si="24"/>
        <v>0</v>
      </c>
      <c r="AT107" s="20" t="b">
        <f t="shared" si="25"/>
        <v>0</v>
      </c>
      <c r="AU107" s="20" t="b">
        <f t="shared" si="26"/>
        <v>0</v>
      </c>
    </row>
    <row r="108" spans="1:47">
      <c r="A108" s="20">
        <f t="shared" si="27"/>
        <v>2</v>
      </c>
      <c r="B108" s="564"/>
      <c r="C108" s="564"/>
      <c r="D108" s="564"/>
      <c r="E108" s="564"/>
      <c r="F108" s="568"/>
      <c r="G108" s="568"/>
      <c r="H108" s="564"/>
      <c r="I108" s="568"/>
      <c r="J108" s="564"/>
      <c r="K108" s="564"/>
      <c r="L108" s="569"/>
      <c r="M108" s="569"/>
      <c r="N108" s="569"/>
      <c r="O108" s="570"/>
      <c r="P108" s="564"/>
      <c r="Q108" s="564"/>
      <c r="R108" s="569"/>
      <c r="S108" s="569"/>
      <c r="T108" s="564"/>
      <c r="U108" s="564"/>
      <c r="V108" s="564"/>
      <c r="W108" s="54">
        <f t="shared" si="28"/>
        <v>0</v>
      </c>
      <c r="X108" s="54">
        <f t="shared" si="29"/>
        <v>0</v>
      </c>
      <c r="AJ108" s="20" t="b">
        <f t="shared" si="15"/>
        <v>0</v>
      </c>
      <c r="AK108" s="20" t="b">
        <f t="shared" si="16"/>
        <v>0</v>
      </c>
      <c r="AL108" s="20" t="b">
        <f t="shared" si="17"/>
        <v>0</v>
      </c>
      <c r="AM108" s="20" t="b">
        <f t="shared" si="18"/>
        <v>0</v>
      </c>
      <c r="AN108" s="20" t="b">
        <f t="shared" si="19"/>
        <v>0</v>
      </c>
      <c r="AO108" s="20" t="b">
        <f t="shared" si="20"/>
        <v>0</v>
      </c>
      <c r="AP108" s="20" t="b">
        <f t="shared" si="21"/>
        <v>0</v>
      </c>
      <c r="AQ108" s="20" t="b">
        <f t="shared" si="22"/>
        <v>0</v>
      </c>
      <c r="AR108" s="20" t="b">
        <f t="shared" si="23"/>
        <v>0</v>
      </c>
      <c r="AS108" s="20" t="b">
        <f t="shared" si="24"/>
        <v>0</v>
      </c>
      <c r="AT108" s="20" t="b">
        <f t="shared" si="25"/>
        <v>0</v>
      </c>
      <c r="AU108" s="20" t="b">
        <f t="shared" si="26"/>
        <v>0</v>
      </c>
    </row>
    <row r="109" spans="1:47">
      <c r="A109" s="20">
        <f t="shared" si="27"/>
        <v>2</v>
      </c>
      <c r="B109" s="564"/>
      <c r="C109" s="564"/>
      <c r="D109" s="564"/>
      <c r="E109" s="564"/>
      <c r="F109" s="568"/>
      <c r="G109" s="568"/>
      <c r="H109" s="564"/>
      <c r="I109" s="568"/>
      <c r="J109" s="564"/>
      <c r="K109" s="564"/>
      <c r="L109" s="569"/>
      <c r="M109" s="569"/>
      <c r="N109" s="569"/>
      <c r="O109" s="570"/>
      <c r="P109" s="564"/>
      <c r="Q109" s="564"/>
      <c r="R109" s="569"/>
      <c r="S109" s="569"/>
      <c r="T109" s="564"/>
      <c r="U109" s="564"/>
      <c r="V109" s="564"/>
      <c r="W109" s="54">
        <f t="shared" si="28"/>
        <v>0</v>
      </c>
      <c r="X109" s="54">
        <f t="shared" si="29"/>
        <v>0</v>
      </c>
      <c r="AJ109" s="20" t="b">
        <f t="shared" si="15"/>
        <v>0</v>
      </c>
      <c r="AK109" s="20" t="b">
        <f t="shared" si="16"/>
        <v>0</v>
      </c>
      <c r="AL109" s="20" t="b">
        <f t="shared" si="17"/>
        <v>0</v>
      </c>
      <c r="AM109" s="20" t="b">
        <f t="shared" si="18"/>
        <v>0</v>
      </c>
      <c r="AN109" s="20" t="b">
        <f t="shared" si="19"/>
        <v>0</v>
      </c>
      <c r="AO109" s="20" t="b">
        <f t="shared" si="20"/>
        <v>0</v>
      </c>
      <c r="AP109" s="20" t="b">
        <f t="shared" si="21"/>
        <v>0</v>
      </c>
      <c r="AQ109" s="20" t="b">
        <f t="shared" si="22"/>
        <v>0</v>
      </c>
      <c r="AR109" s="20" t="b">
        <f t="shared" si="23"/>
        <v>0</v>
      </c>
      <c r="AS109" s="20" t="b">
        <f t="shared" si="24"/>
        <v>0</v>
      </c>
      <c r="AT109" s="20" t="b">
        <f t="shared" si="25"/>
        <v>0</v>
      </c>
      <c r="AU109" s="20" t="b">
        <f t="shared" si="26"/>
        <v>0</v>
      </c>
    </row>
    <row r="110" spans="1:47">
      <c r="A110" s="20">
        <f t="shared" si="27"/>
        <v>2</v>
      </c>
      <c r="B110" s="564"/>
      <c r="C110" s="564"/>
      <c r="D110" s="564"/>
      <c r="E110" s="564"/>
      <c r="F110" s="568"/>
      <c r="G110" s="568"/>
      <c r="H110" s="564"/>
      <c r="I110" s="568"/>
      <c r="J110" s="564"/>
      <c r="K110" s="564"/>
      <c r="L110" s="569"/>
      <c r="M110" s="569"/>
      <c r="N110" s="569"/>
      <c r="O110" s="570"/>
      <c r="P110" s="564"/>
      <c r="Q110" s="564"/>
      <c r="R110" s="569"/>
      <c r="S110" s="569"/>
      <c r="T110" s="564"/>
      <c r="U110" s="564"/>
      <c r="V110" s="564"/>
      <c r="W110" s="54">
        <f t="shared" si="28"/>
        <v>0</v>
      </c>
      <c r="X110" s="54">
        <f t="shared" si="29"/>
        <v>0</v>
      </c>
      <c r="AJ110" s="20" t="b">
        <f t="shared" si="15"/>
        <v>0</v>
      </c>
      <c r="AK110" s="20" t="b">
        <f t="shared" si="16"/>
        <v>0</v>
      </c>
      <c r="AL110" s="20" t="b">
        <f t="shared" si="17"/>
        <v>0</v>
      </c>
      <c r="AM110" s="20" t="b">
        <f t="shared" si="18"/>
        <v>0</v>
      </c>
      <c r="AN110" s="20" t="b">
        <f t="shared" si="19"/>
        <v>0</v>
      </c>
      <c r="AO110" s="20" t="b">
        <f t="shared" si="20"/>
        <v>0</v>
      </c>
      <c r="AP110" s="20" t="b">
        <f t="shared" si="21"/>
        <v>0</v>
      </c>
      <c r="AQ110" s="20" t="b">
        <f t="shared" si="22"/>
        <v>0</v>
      </c>
      <c r="AR110" s="20" t="b">
        <f t="shared" si="23"/>
        <v>0</v>
      </c>
      <c r="AS110" s="20" t="b">
        <f t="shared" si="24"/>
        <v>0</v>
      </c>
      <c r="AT110" s="20" t="b">
        <f t="shared" si="25"/>
        <v>0</v>
      </c>
      <c r="AU110" s="20" t="b">
        <f t="shared" si="26"/>
        <v>0</v>
      </c>
    </row>
    <row r="111" spans="1:47">
      <c r="A111" s="20">
        <f t="shared" si="27"/>
        <v>2</v>
      </c>
      <c r="B111" s="564"/>
      <c r="C111" s="564"/>
      <c r="D111" s="564"/>
      <c r="E111" s="564"/>
      <c r="F111" s="568"/>
      <c r="G111" s="568"/>
      <c r="H111" s="564"/>
      <c r="I111" s="568"/>
      <c r="J111" s="564"/>
      <c r="K111" s="564"/>
      <c r="L111" s="569"/>
      <c r="M111" s="569"/>
      <c r="N111" s="569"/>
      <c r="O111" s="570"/>
      <c r="P111" s="564"/>
      <c r="Q111" s="564"/>
      <c r="R111" s="569"/>
      <c r="S111" s="569"/>
      <c r="T111" s="564"/>
      <c r="U111" s="564"/>
      <c r="V111" s="564"/>
      <c r="W111" s="54">
        <f t="shared" si="28"/>
        <v>0</v>
      </c>
      <c r="X111" s="54">
        <f t="shared" si="29"/>
        <v>0</v>
      </c>
      <c r="AJ111" s="20" t="b">
        <f t="shared" si="15"/>
        <v>0</v>
      </c>
      <c r="AK111" s="20" t="b">
        <f t="shared" si="16"/>
        <v>0</v>
      </c>
      <c r="AL111" s="20" t="b">
        <f t="shared" si="17"/>
        <v>0</v>
      </c>
      <c r="AM111" s="20" t="b">
        <f t="shared" si="18"/>
        <v>0</v>
      </c>
      <c r="AN111" s="20" t="b">
        <f t="shared" si="19"/>
        <v>0</v>
      </c>
      <c r="AO111" s="20" t="b">
        <f t="shared" si="20"/>
        <v>0</v>
      </c>
      <c r="AP111" s="20" t="b">
        <f t="shared" si="21"/>
        <v>0</v>
      </c>
      <c r="AQ111" s="20" t="b">
        <f t="shared" si="22"/>
        <v>0</v>
      </c>
      <c r="AR111" s="20" t="b">
        <f t="shared" si="23"/>
        <v>0</v>
      </c>
      <c r="AS111" s="20" t="b">
        <f t="shared" si="24"/>
        <v>0</v>
      </c>
      <c r="AT111" s="20" t="b">
        <f t="shared" si="25"/>
        <v>0</v>
      </c>
      <c r="AU111" s="20" t="b">
        <f t="shared" si="26"/>
        <v>0</v>
      </c>
    </row>
    <row r="112" spans="1:47">
      <c r="A112" s="20">
        <f t="shared" si="27"/>
        <v>2</v>
      </c>
      <c r="B112" s="564"/>
      <c r="C112" s="564"/>
      <c r="D112" s="564"/>
      <c r="E112" s="564"/>
      <c r="F112" s="568"/>
      <c r="G112" s="568"/>
      <c r="H112" s="564"/>
      <c r="I112" s="568"/>
      <c r="J112" s="564"/>
      <c r="K112" s="564"/>
      <c r="L112" s="569"/>
      <c r="M112" s="569"/>
      <c r="N112" s="569"/>
      <c r="O112" s="570"/>
      <c r="P112" s="564"/>
      <c r="Q112" s="564"/>
      <c r="R112" s="569"/>
      <c r="S112" s="569"/>
      <c r="T112" s="564"/>
      <c r="U112" s="564"/>
      <c r="V112" s="564"/>
      <c r="W112" s="54">
        <f t="shared" si="28"/>
        <v>0</v>
      </c>
      <c r="X112" s="54">
        <f t="shared" si="29"/>
        <v>0</v>
      </c>
      <c r="AJ112" s="20" t="b">
        <f t="shared" si="15"/>
        <v>0</v>
      </c>
      <c r="AK112" s="20" t="b">
        <f t="shared" si="16"/>
        <v>0</v>
      </c>
      <c r="AL112" s="20" t="b">
        <f t="shared" si="17"/>
        <v>0</v>
      </c>
      <c r="AM112" s="20" t="b">
        <f t="shared" si="18"/>
        <v>0</v>
      </c>
      <c r="AN112" s="20" t="b">
        <f t="shared" si="19"/>
        <v>0</v>
      </c>
      <c r="AO112" s="20" t="b">
        <f t="shared" si="20"/>
        <v>0</v>
      </c>
      <c r="AP112" s="20" t="b">
        <f t="shared" si="21"/>
        <v>0</v>
      </c>
      <c r="AQ112" s="20" t="b">
        <f t="shared" si="22"/>
        <v>0</v>
      </c>
      <c r="AR112" s="20" t="b">
        <f t="shared" si="23"/>
        <v>0</v>
      </c>
      <c r="AS112" s="20" t="b">
        <f t="shared" si="24"/>
        <v>0</v>
      </c>
      <c r="AT112" s="20" t="b">
        <f t="shared" si="25"/>
        <v>0</v>
      </c>
      <c r="AU112" s="20" t="b">
        <f t="shared" si="26"/>
        <v>0</v>
      </c>
    </row>
    <row r="113" spans="1:47">
      <c r="A113" s="20">
        <f t="shared" si="27"/>
        <v>2</v>
      </c>
      <c r="B113" s="564"/>
      <c r="C113" s="564"/>
      <c r="D113" s="564"/>
      <c r="E113" s="564"/>
      <c r="F113" s="568"/>
      <c r="G113" s="568"/>
      <c r="H113" s="564"/>
      <c r="I113" s="568"/>
      <c r="J113" s="564"/>
      <c r="K113" s="564"/>
      <c r="L113" s="569"/>
      <c r="M113" s="569"/>
      <c r="N113" s="569"/>
      <c r="O113" s="570"/>
      <c r="P113" s="564"/>
      <c r="Q113" s="564"/>
      <c r="R113" s="569"/>
      <c r="S113" s="569"/>
      <c r="T113" s="564"/>
      <c r="U113" s="564"/>
      <c r="V113" s="564"/>
      <c r="W113" s="54">
        <f t="shared" si="28"/>
        <v>0</v>
      </c>
      <c r="X113" s="54">
        <f t="shared" si="29"/>
        <v>0</v>
      </c>
      <c r="AJ113" s="20" t="b">
        <f t="shared" si="15"/>
        <v>0</v>
      </c>
      <c r="AK113" s="20" t="b">
        <f t="shared" si="16"/>
        <v>0</v>
      </c>
      <c r="AL113" s="20" t="b">
        <f t="shared" si="17"/>
        <v>0</v>
      </c>
      <c r="AM113" s="20" t="b">
        <f t="shared" si="18"/>
        <v>0</v>
      </c>
      <c r="AN113" s="20" t="b">
        <f t="shared" si="19"/>
        <v>0</v>
      </c>
      <c r="AO113" s="20" t="b">
        <f t="shared" si="20"/>
        <v>0</v>
      </c>
      <c r="AP113" s="20" t="b">
        <f t="shared" si="21"/>
        <v>0</v>
      </c>
      <c r="AQ113" s="20" t="b">
        <f t="shared" si="22"/>
        <v>0</v>
      </c>
      <c r="AR113" s="20" t="b">
        <f t="shared" si="23"/>
        <v>0</v>
      </c>
      <c r="AS113" s="20" t="b">
        <f t="shared" si="24"/>
        <v>0</v>
      </c>
      <c r="AT113" s="20" t="b">
        <f t="shared" si="25"/>
        <v>0</v>
      </c>
      <c r="AU113" s="20" t="b">
        <f t="shared" si="26"/>
        <v>0</v>
      </c>
    </row>
    <row r="114" spans="1:47">
      <c r="A114" s="20">
        <f t="shared" si="27"/>
        <v>2</v>
      </c>
      <c r="B114" s="564"/>
      <c r="C114" s="564"/>
      <c r="D114" s="564"/>
      <c r="E114" s="564"/>
      <c r="F114" s="568"/>
      <c r="G114" s="568"/>
      <c r="H114" s="564"/>
      <c r="I114" s="568"/>
      <c r="J114" s="564"/>
      <c r="K114" s="564"/>
      <c r="L114" s="569"/>
      <c r="M114" s="569"/>
      <c r="N114" s="569"/>
      <c r="O114" s="570"/>
      <c r="P114" s="564"/>
      <c r="Q114" s="564"/>
      <c r="R114" s="569"/>
      <c r="S114" s="569"/>
      <c r="T114" s="564"/>
      <c r="U114" s="564"/>
      <c r="V114" s="564"/>
      <c r="W114" s="54">
        <f t="shared" si="28"/>
        <v>0</v>
      </c>
      <c r="X114" s="54">
        <f t="shared" si="29"/>
        <v>0</v>
      </c>
      <c r="AJ114" s="20" t="b">
        <f t="shared" si="15"/>
        <v>0</v>
      </c>
      <c r="AK114" s="20" t="b">
        <f t="shared" si="16"/>
        <v>0</v>
      </c>
      <c r="AL114" s="20" t="b">
        <f t="shared" si="17"/>
        <v>0</v>
      </c>
      <c r="AM114" s="20" t="b">
        <f t="shared" si="18"/>
        <v>0</v>
      </c>
      <c r="AN114" s="20" t="b">
        <f t="shared" si="19"/>
        <v>0</v>
      </c>
      <c r="AO114" s="20" t="b">
        <f t="shared" si="20"/>
        <v>0</v>
      </c>
      <c r="AP114" s="20" t="b">
        <f t="shared" si="21"/>
        <v>0</v>
      </c>
      <c r="AQ114" s="20" t="b">
        <f t="shared" si="22"/>
        <v>0</v>
      </c>
      <c r="AR114" s="20" t="b">
        <f t="shared" si="23"/>
        <v>0</v>
      </c>
      <c r="AS114" s="20" t="b">
        <f t="shared" si="24"/>
        <v>0</v>
      </c>
      <c r="AT114" s="20" t="b">
        <f t="shared" si="25"/>
        <v>0</v>
      </c>
      <c r="AU114" s="20" t="b">
        <f t="shared" si="26"/>
        <v>0</v>
      </c>
    </row>
    <row r="115" spans="1:47">
      <c r="A115" s="20">
        <f t="shared" si="27"/>
        <v>2</v>
      </c>
      <c r="B115" s="564"/>
      <c r="C115" s="564"/>
      <c r="D115" s="564"/>
      <c r="E115" s="564"/>
      <c r="F115" s="568"/>
      <c r="G115" s="568"/>
      <c r="H115" s="564"/>
      <c r="I115" s="568"/>
      <c r="J115" s="564"/>
      <c r="K115" s="564"/>
      <c r="L115" s="569"/>
      <c r="M115" s="569"/>
      <c r="N115" s="569"/>
      <c r="O115" s="570"/>
      <c r="P115" s="564"/>
      <c r="Q115" s="564"/>
      <c r="R115" s="569"/>
      <c r="S115" s="569"/>
      <c r="T115" s="564"/>
      <c r="U115" s="564"/>
      <c r="V115" s="564"/>
      <c r="W115" s="54">
        <f t="shared" si="28"/>
        <v>0</v>
      </c>
      <c r="X115" s="54">
        <f t="shared" si="29"/>
        <v>0</v>
      </c>
      <c r="AJ115" s="20" t="b">
        <f t="shared" si="15"/>
        <v>0</v>
      </c>
      <c r="AK115" s="20" t="b">
        <f t="shared" si="16"/>
        <v>0</v>
      </c>
      <c r="AL115" s="20" t="b">
        <f t="shared" si="17"/>
        <v>0</v>
      </c>
      <c r="AM115" s="20" t="b">
        <f t="shared" si="18"/>
        <v>0</v>
      </c>
      <c r="AN115" s="20" t="b">
        <f t="shared" si="19"/>
        <v>0</v>
      </c>
      <c r="AO115" s="20" t="b">
        <f t="shared" si="20"/>
        <v>0</v>
      </c>
      <c r="AP115" s="20" t="b">
        <f t="shared" si="21"/>
        <v>0</v>
      </c>
      <c r="AQ115" s="20" t="b">
        <f t="shared" si="22"/>
        <v>0</v>
      </c>
      <c r="AR115" s="20" t="b">
        <f t="shared" si="23"/>
        <v>0</v>
      </c>
      <c r="AS115" s="20" t="b">
        <f t="shared" si="24"/>
        <v>0</v>
      </c>
      <c r="AT115" s="20" t="b">
        <f t="shared" si="25"/>
        <v>0</v>
      </c>
      <c r="AU115" s="20" t="b">
        <f t="shared" si="26"/>
        <v>0</v>
      </c>
    </row>
    <row r="116" spans="1:47">
      <c r="A116" s="20">
        <f t="shared" si="27"/>
        <v>2</v>
      </c>
      <c r="B116" s="564"/>
      <c r="C116" s="564"/>
      <c r="D116" s="564"/>
      <c r="E116" s="564"/>
      <c r="F116" s="568"/>
      <c r="G116" s="568"/>
      <c r="H116" s="564"/>
      <c r="I116" s="568"/>
      <c r="J116" s="564"/>
      <c r="K116" s="564"/>
      <c r="L116" s="569"/>
      <c r="M116" s="569"/>
      <c r="N116" s="569"/>
      <c r="O116" s="570"/>
      <c r="P116" s="564"/>
      <c r="Q116" s="564"/>
      <c r="R116" s="569"/>
      <c r="S116" s="569"/>
      <c r="T116" s="564"/>
      <c r="U116" s="564"/>
      <c r="V116" s="564"/>
      <c r="W116" s="54">
        <f t="shared" si="28"/>
        <v>0</v>
      </c>
      <c r="X116" s="54">
        <f t="shared" si="29"/>
        <v>0</v>
      </c>
      <c r="AJ116" s="20" t="b">
        <f t="shared" si="15"/>
        <v>0</v>
      </c>
      <c r="AK116" s="20" t="b">
        <f t="shared" si="16"/>
        <v>0</v>
      </c>
      <c r="AL116" s="20" t="b">
        <f t="shared" si="17"/>
        <v>0</v>
      </c>
      <c r="AM116" s="20" t="b">
        <f t="shared" si="18"/>
        <v>0</v>
      </c>
      <c r="AN116" s="20" t="b">
        <f t="shared" si="19"/>
        <v>0</v>
      </c>
      <c r="AO116" s="20" t="b">
        <f t="shared" si="20"/>
        <v>0</v>
      </c>
      <c r="AP116" s="20" t="b">
        <f t="shared" si="21"/>
        <v>0</v>
      </c>
      <c r="AQ116" s="20" t="b">
        <f t="shared" si="22"/>
        <v>0</v>
      </c>
      <c r="AR116" s="20" t="b">
        <f t="shared" si="23"/>
        <v>0</v>
      </c>
      <c r="AS116" s="20" t="b">
        <f t="shared" si="24"/>
        <v>0</v>
      </c>
      <c r="AT116" s="20" t="b">
        <f t="shared" si="25"/>
        <v>0</v>
      </c>
      <c r="AU116" s="20" t="b">
        <f t="shared" si="26"/>
        <v>0</v>
      </c>
    </row>
    <row r="117" spans="1:47">
      <c r="A117" s="20">
        <f t="shared" si="27"/>
        <v>2</v>
      </c>
      <c r="B117" s="564"/>
      <c r="C117" s="564"/>
      <c r="D117" s="564"/>
      <c r="E117" s="564"/>
      <c r="F117" s="568"/>
      <c r="G117" s="568"/>
      <c r="H117" s="564"/>
      <c r="I117" s="568"/>
      <c r="J117" s="564"/>
      <c r="K117" s="564"/>
      <c r="L117" s="569"/>
      <c r="M117" s="569"/>
      <c r="N117" s="569"/>
      <c r="O117" s="570"/>
      <c r="P117" s="564"/>
      <c r="Q117" s="564"/>
      <c r="R117" s="569"/>
      <c r="S117" s="569"/>
      <c r="T117" s="564"/>
      <c r="U117" s="564"/>
      <c r="V117" s="564"/>
      <c r="W117" s="54">
        <f t="shared" si="28"/>
        <v>0</v>
      </c>
      <c r="X117" s="54">
        <f t="shared" si="29"/>
        <v>0</v>
      </c>
      <c r="AJ117" s="20" t="b">
        <f t="shared" si="15"/>
        <v>0</v>
      </c>
      <c r="AK117" s="20" t="b">
        <f t="shared" si="16"/>
        <v>0</v>
      </c>
      <c r="AL117" s="20" t="b">
        <f t="shared" si="17"/>
        <v>0</v>
      </c>
      <c r="AM117" s="20" t="b">
        <f t="shared" si="18"/>
        <v>0</v>
      </c>
      <c r="AN117" s="20" t="b">
        <f t="shared" si="19"/>
        <v>0</v>
      </c>
      <c r="AO117" s="20" t="b">
        <f t="shared" si="20"/>
        <v>0</v>
      </c>
      <c r="AP117" s="20" t="b">
        <f t="shared" si="21"/>
        <v>0</v>
      </c>
      <c r="AQ117" s="20" t="b">
        <f t="shared" si="22"/>
        <v>0</v>
      </c>
      <c r="AR117" s="20" t="b">
        <f t="shared" si="23"/>
        <v>0</v>
      </c>
      <c r="AS117" s="20" t="b">
        <f t="shared" si="24"/>
        <v>0</v>
      </c>
      <c r="AT117" s="20" t="b">
        <f t="shared" si="25"/>
        <v>0</v>
      </c>
      <c r="AU117" s="20" t="b">
        <f t="shared" si="26"/>
        <v>0</v>
      </c>
    </row>
    <row r="118" spans="1:47">
      <c r="A118" s="20">
        <f t="shared" si="27"/>
        <v>2</v>
      </c>
      <c r="B118" s="564"/>
      <c r="C118" s="564"/>
      <c r="D118" s="564"/>
      <c r="E118" s="564"/>
      <c r="F118" s="568"/>
      <c r="G118" s="568"/>
      <c r="H118" s="564"/>
      <c r="I118" s="568"/>
      <c r="J118" s="564"/>
      <c r="K118" s="564"/>
      <c r="L118" s="569"/>
      <c r="M118" s="569"/>
      <c r="N118" s="569"/>
      <c r="O118" s="570"/>
      <c r="P118" s="564"/>
      <c r="Q118" s="564"/>
      <c r="R118" s="569"/>
      <c r="S118" s="569"/>
      <c r="T118" s="564"/>
      <c r="U118" s="564"/>
      <c r="V118" s="564"/>
      <c r="W118" s="54">
        <f t="shared" si="28"/>
        <v>0</v>
      </c>
      <c r="X118" s="54">
        <f t="shared" si="29"/>
        <v>0</v>
      </c>
      <c r="AJ118" s="20" t="b">
        <f t="shared" si="15"/>
        <v>0</v>
      </c>
      <c r="AK118" s="20" t="b">
        <f t="shared" si="16"/>
        <v>0</v>
      </c>
      <c r="AL118" s="20" t="b">
        <f t="shared" si="17"/>
        <v>0</v>
      </c>
      <c r="AM118" s="20" t="b">
        <f t="shared" si="18"/>
        <v>0</v>
      </c>
      <c r="AN118" s="20" t="b">
        <f t="shared" si="19"/>
        <v>0</v>
      </c>
      <c r="AO118" s="20" t="b">
        <f t="shared" si="20"/>
        <v>0</v>
      </c>
      <c r="AP118" s="20" t="b">
        <f t="shared" si="21"/>
        <v>0</v>
      </c>
      <c r="AQ118" s="20" t="b">
        <f t="shared" si="22"/>
        <v>0</v>
      </c>
      <c r="AR118" s="20" t="b">
        <f t="shared" si="23"/>
        <v>0</v>
      </c>
      <c r="AS118" s="20" t="b">
        <f t="shared" si="24"/>
        <v>0</v>
      </c>
      <c r="AT118" s="20" t="b">
        <f t="shared" si="25"/>
        <v>0</v>
      </c>
      <c r="AU118" s="20" t="b">
        <f t="shared" si="26"/>
        <v>0</v>
      </c>
    </row>
    <row r="119" spans="1:47">
      <c r="A119" s="20">
        <f t="shared" si="27"/>
        <v>2</v>
      </c>
      <c r="B119" s="564"/>
      <c r="C119" s="564"/>
      <c r="D119" s="564"/>
      <c r="E119" s="564"/>
      <c r="F119" s="568"/>
      <c r="G119" s="568"/>
      <c r="H119" s="564"/>
      <c r="I119" s="568"/>
      <c r="J119" s="564"/>
      <c r="K119" s="564"/>
      <c r="L119" s="569"/>
      <c r="M119" s="569"/>
      <c r="N119" s="569"/>
      <c r="O119" s="570"/>
      <c r="P119" s="564"/>
      <c r="Q119" s="564"/>
      <c r="R119" s="569"/>
      <c r="S119" s="569"/>
      <c r="T119" s="564"/>
      <c r="U119" s="564"/>
      <c r="V119" s="564"/>
      <c r="W119" s="54">
        <f t="shared" si="28"/>
        <v>0</v>
      </c>
      <c r="X119" s="54">
        <f t="shared" si="29"/>
        <v>0</v>
      </c>
      <c r="AJ119" s="20" t="b">
        <f t="shared" si="15"/>
        <v>0</v>
      </c>
      <c r="AK119" s="20" t="b">
        <f t="shared" si="16"/>
        <v>0</v>
      </c>
      <c r="AL119" s="20" t="b">
        <f t="shared" si="17"/>
        <v>0</v>
      </c>
      <c r="AM119" s="20" t="b">
        <f t="shared" si="18"/>
        <v>0</v>
      </c>
      <c r="AN119" s="20" t="b">
        <f t="shared" si="19"/>
        <v>0</v>
      </c>
      <c r="AO119" s="20" t="b">
        <f t="shared" si="20"/>
        <v>0</v>
      </c>
      <c r="AP119" s="20" t="b">
        <f t="shared" si="21"/>
        <v>0</v>
      </c>
      <c r="AQ119" s="20" t="b">
        <f t="shared" si="22"/>
        <v>0</v>
      </c>
      <c r="AR119" s="20" t="b">
        <f t="shared" si="23"/>
        <v>0</v>
      </c>
      <c r="AS119" s="20" t="b">
        <f t="shared" si="24"/>
        <v>0</v>
      </c>
      <c r="AT119" s="20" t="b">
        <f t="shared" si="25"/>
        <v>0</v>
      </c>
      <c r="AU119" s="20" t="b">
        <f t="shared" si="26"/>
        <v>0</v>
      </c>
    </row>
    <row r="120" spans="1:47">
      <c r="A120" s="20">
        <f t="shared" si="27"/>
        <v>2</v>
      </c>
      <c r="B120" s="564"/>
      <c r="C120" s="564"/>
      <c r="D120" s="564"/>
      <c r="E120" s="564"/>
      <c r="F120" s="568"/>
      <c r="G120" s="568"/>
      <c r="H120" s="564"/>
      <c r="I120" s="568"/>
      <c r="J120" s="564"/>
      <c r="K120" s="564"/>
      <c r="L120" s="569"/>
      <c r="M120" s="569"/>
      <c r="N120" s="569"/>
      <c r="O120" s="570"/>
      <c r="P120" s="564"/>
      <c r="Q120" s="564"/>
      <c r="R120" s="569"/>
      <c r="S120" s="569"/>
      <c r="T120" s="564"/>
      <c r="U120" s="564"/>
      <c r="V120" s="564"/>
      <c r="W120" s="54">
        <f t="shared" si="28"/>
        <v>0</v>
      </c>
      <c r="X120" s="54">
        <f t="shared" si="29"/>
        <v>0</v>
      </c>
      <c r="AJ120" s="20" t="b">
        <f t="shared" si="15"/>
        <v>0</v>
      </c>
      <c r="AK120" s="20" t="b">
        <f t="shared" si="16"/>
        <v>0</v>
      </c>
      <c r="AL120" s="20" t="b">
        <f t="shared" si="17"/>
        <v>0</v>
      </c>
      <c r="AM120" s="20" t="b">
        <f t="shared" si="18"/>
        <v>0</v>
      </c>
      <c r="AN120" s="20" t="b">
        <f t="shared" si="19"/>
        <v>0</v>
      </c>
      <c r="AO120" s="20" t="b">
        <f t="shared" si="20"/>
        <v>0</v>
      </c>
      <c r="AP120" s="20" t="b">
        <f t="shared" si="21"/>
        <v>0</v>
      </c>
      <c r="AQ120" s="20" t="b">
        <f t="shared" si="22"/>
        <v>0</v>
      </c>
      <c r="AR120" s="20" t="b">
        <f t="shared" si="23"/>
        <v>0</v>
      </c>
      <c r="AS120" s="20" t="b">
        <f t="shared" si="24"/>
        <v>0</v>
      </c>
      <c r="AT120" s="20" t="b">
        <f t="shared" si="25"/>
        <v>0</v>
      </c>
      <c r="AU120" s="20" t="b">
        <f t="shared" si="26"/>
        <v>0</v>
      </c>
    </row>
    <row r="121" spans="1:47">
      <c r="A121" s="20">
        <f t="shared" si="27"/>
        <v>2</v>
      </c>
      <c r="B121" s="564"/>
      <c r="C121" s="564"/>
      <c r="D121" s="564"/>
      <c r="E121" s="564"/>
      <c r="F121" s="568"/>
      <c r="G121" s="568"/>
      <c r="H121" s="564"/>
      <c r="I121" s="568"/>
      <c r="J121" s="564"/>
      <c r="K121" s="564"/>
      <c r="L121" s="569"/>
      <c r="M121" s="569"/>
      <c r="N121" s="569"/>
      <c r="O121" s="570"/>
      <c r="P121" s="564"/>
      <c r="Q121" s="564"/>
      <c r="R121" s="569"/>
      <c r="S121" s="569"/>
      <c r="T121" s="564"/>
      <c r="U121" s="564"/>
      <c r="V121" s="564"/>
      <c r="W121" s="54">
        <f t="shared" si="28"/>
        <v>0</v>
      </c>
      <c r="X121" s="54">
        <f t="shared" si="29"/>
        <v>0</v>
      </c>
      <c r="AJ121" s="20" t="b">
        <f t="shared" si="15"/>
        <v>0</v>
      </c>
      <c r="AK121" s="20" t="b">
        <f t="shared" si="16"/>
        <v>0</v>
      </c>
      <c r="AL121" s="20" t="b">
        <f t="shared" si="17"/>
        <v>0</v>
      </c>
      <c r="AM121" s="20" t="b">
        <f t="shared" si="18"/>
        <v>0</v>
      </c>
      <c r="AN121" s="20" t="b">
        <f t="shared" si="19"/>
        <v>0</v>
      </c>
      <c r="AO121" s="20" t="b">
        <f t="shared" si="20"/>
        <v>0</v>
      </c>
      <c r="AP121" s="20" t="b">
        <f t="shared" si="21"/>
        <v>0</v>
      </c>
      <c r="AQ121" s="20" t="b">
        <f t="shared" si="22"/>
        <v>0</v>
      </c>
      <c r="AR121" s="20" t="b">
        <f t="shared" si="23"/>
        <v>0</v>
      </c>
      <c r="AS121" s="20" t="b">
        <f t="shared" si="24"/>
        <v>0</v>
      </c>
      <c r="AT121" s="20" t="b">
        <f t="shared" si="25"/>
        <v>0</v>
      </c>
      <c r="AU121" s="20" t="b">
        <f t="shared" si="26"/>
        <v>0</v>
      </c>
    </row>
    <row r="122" spans="1:47">
      <c r="A122" s="20">
        <f t="shared" si="27"/>
        <v>2</v>
      </c>
      <c r="B122" s="564"/>
      <c r="C122" s="564"/>
      <c r="D122" s="564"/>
      <c r="E122" s="564"/>
      <c r="F122" s="568"/>
      <c r="G122" s="568"/>
      <c r="H122" s="564"/>
      <c r="I122" s="568"/>
      <c r="J122" s="564"/>
      <c r="K122" s="564"/>
      <c r="L122" s="569"/>
      <c r="M122" s="569"/>
      <c r="N122" s="569"/>
      <c r="O122" s="570"/>
      <c r="P122" s="564"/>
      <c r="Q122" s="564"/>
      <c r="R122" s="569"/>
      <c r="S122" s="569"/>
      <c r="T122" s="564"/>
      <c r="U122" s="564"/>
      <c r="V122" s="564"/>
      <c r="W122" s="54">
        <f t="shared" si="28"/>
        <v>0</v>
      </c>
      <c r="X122" s="54">
        <f t="shared" si="29"/>
        <v>0</v>
      </c>
      <c r="AJ122" s="20" t="b">
        <f t="shared" si="15"/>
        <v>0</v>
      </c>
      <c r="AK122" s="20" t="b">
        <f t="shared" si="16"/>
        <v>0</v>
      </c>
      <c r="AL122" s="20" t="b">
        <f t="shared" si="17"/>
        <v>0</v>
      </c>
      <c r="AM122" s="20" t="b">
        <f t="shared" si="18"/>
        <v>0</v>
      </c>
      <c r="AN122" s="20" t="b">
        <f t="shared" si="19"/>
        <v>0</v>
      </c>
      <c r="AO122" s="20" t="b">
        <f t="shared" si="20"/>
        <v>0</v>
      </c>
      <c r="AP122" s="20" t="b">
        <f t="shared" si="21"/>
        <v>0</v>
      </c>
      <c r="AQ122" s="20" t="b">
        <f t="shared" si="22"/>
        <v>0</v>
      </c>
      <c r="AR122" s="20" t="b">
        <f t="shared" si="23"/>
        <v>0</v>
      </c>
      <c r="AS122" s="20" t="b">
        <f t="shared" si="24"/>
        <v>0</v>
      </c>
      <c r="AT122" s="20" t="b">
        <f t="shared" si="25"/>
        <v>0</v>
      </c>
      <c r="AU122" s="20" t="b">
        <f t="shared" si="26"/>
        <v>0</v>
      </c>
    </row>
    <row r="123" spans="1:47">
      <c r="A123" s="20">
        <f t="shared" si="27"/>
        <v>2</v>
      </c>
      <c r="B123" s="564"/>
      <c r="C123" s="564"/>
      <c r="D123" s="564"/>
      <c r="E123" s="564"/>
      <c r="F123" s="568"/>
      <c r="G123" s="568"/>
      <c r="H123" s="564"/>
      <c r="I123" s="568"/>
      <c r="J123" s="564"/>
      <c r="K123" s="564"/>
      <c r="L123" s="569"/>
      <c r="M123" s="569"/>
      <c r="N123" s="569"/>
      <c r="O123" s="570"/>
      <c r="P123" s="564"/>
      <c r="Q123" s="564"/>
      <c r="R123" s="569"/>
      <c r="S123" s="569"/>
      <c r="T123" s="564"/>
      <c r="U123" s="564"/>
      <c r="V123" s="564"/>
      <c r="W123" s="54">
        <f t="shared" si="28"/>
        <v>0</v>
      </c>
      <c r="X123" s="54">
        <f t="shared" si="29"/>
        <v>0</v>
      </c>
      <c r="AJ123" s="20" t="b">
        <f t="shared" si="15"/>
        <v>0</v>
      </c>
      <c r="AK123" s="20" t="b">
        <f t="shared" si="16"/>
        <v>0</v>
      </c>
      <c r="AL123" s="20" t="b">
        <f t="shared" si="17"/>
        <v>0</v>
      </c>
      <c r="AM123" s="20" t="b">
        <f t="shared" si="18"/>
        <v>0</v>
      </c>
      <c r="AN123" s="20" t="b">
        <f t="shared" si="19"/>
        <v>0</v>
      </c>
      <c r="AO123" s="20" t="b">
        <f t="shared" si="20"/>
        <v>0</v>
      </c>
      <c r="AP123" s="20" t="b">
        <f t="shared" si="21"/>
        <v>0</v>
      </c>
      <c r="AQ123" s="20" t="b">
        <f t="shared" si="22"/>
        <v>0</v>
      </c>
      <c r="AR123" s="20" t="b">
        <f t="shared" si="23"/>
        <v>0</v>
      </c>
      <c r="AS123" s="20" t="b">
        <f t="shared" si="24"/>
        <v>0</v>
      </c>
      <c r="AT123" s="20" t="b">
        <f t="shared" si="25"/>
        <v>0</v>
      </c>
      <c r="AU123" s="20" t="b">
        <f t="shared" si="26"/>
        <v>0</v>
      </c>
    </row>
    <row r="124" spans="1:47">
      <c r="A124" s="20">
        <f t="shared" si="27"/>
        <v>2</v>
      </c>
      <c r="B124" s="564"/>
      <c r="C124" s="564"/>
      <c r="D124" s="564"/>
      <c r="E124" s="564"/>
      <c r="F124" s="568"/>
      <c r="G124" s="568"/>
      <c r="H124" s="564"/>
      <c r="I124" s="568"/>
      <c r="J124" s="564"/>
      <c r="K124" s="564"/>
      <c r="L124" s="569"/>
      <c r="M124" s="569"/>
      <c r="N124" s="569"/>
      <c r="O124" s="570"/>
      <c r="P124" s="564"/>
      <c r="Q124" s="564"/>
      <c r="R124" s="569"/>
      <c r="S124" s="569"/>
      <c r="T124" s="564"/>
      <c r="U124" s="564"/>
      <c r="V124" s="564"/>
      <c r="W124" s="54">
        <f t="shared" si="28"/>
        <v>0</v>
      </c>
      <c r="X124" s="54">
        <f t="shared" si="29"/>
        <v>0</v>
      </c>
      <c r="AJ124" s="20" t="b">
        <f t="shared" si="15"/>
        <v>0</v>
      </c>
      <c r="AK124" s="20" t="b">
        <f t="shared" si="16"/>
        <v>0</v>
      </c>
      <c r="AL124" s="20" t="b">
        <f t="shared" si="17"/>
        <v>0</v>
      </c>
      <c r="AM124" s="20" t="b">
        <f t="shared" si="18"/>
        <v>0</v>
      </c>
      <c r="AN124" s="20" t="b">
        <f t="shared" si="19"/>
        <v>0</v>
      </c>
      <c r="AO124" s="20" t="b">
        <f t="shared" si="20"/>
        <v>0</v>
      </c>
      <c r="AP124" s="20" t="b">
        <f t="shared" si="21"/>
        <v>0</v>
      </c>
      <c r="AQ124" s="20" t="b">
        <f t="shared" si="22"/>
        <v>0</v>
      </c>
      <c r="AR124" s="20" t="b">
        <f t="shared" si="23"/>
        <v>0</v>
      </c>
      <c r="AS124" s="20" t="b">
        <f t="shared" si="24"/>
        <v>0</v>
      </c>
      <c r="AT124" s="20" t="b">
        <f t="shared" si="25"/>
        <v>0</v>
      </c>
      <c r="AU124" s="20" t="b">
        <f t="shared" si="26"/>
        <v>0</v>
      </c>
    </row>
    <row r="125" spans="1:47">
      <c r="A125" s="20">
        <f t="shared" si="27"/>
        <v>2</v>
      </c>
      <c r="B125" s="564"/>
      <c r="C125" s="564"/>
      <c r="D125" s="564"/>
      <c r="E125" s="564"/>
      <c r="F125" s="568"/>
      <c r="G125" s="568"/>
      <c r="H125" s="564"/>
      <c r="I125" s="568"/>
      <c r="J125" s="564"/>
      <c r="K125" s="564"/>
      <c r="L125" s="569"/>
      <c r="M125" s="569"/>
      <c r="N125" s="569"/>
      <c r="O125" s="570"/>
      <c r="P125" s="564"/>
      <c r="Q125" s="564"/>
      <c r="R125" s="569"/>
      <c r="S125" s="569"/>
      <c r="T125" s="564"/>
      <c r="U125" s="564"/>
      <c r="V125" s="564"/>
      <c r="W125" s="54">
        <f t="shared" si="28"/>
        <v>0</v>
      </c>
      <c r="X125" s="54">
        <f t="shared" si="29"/>
        <v>0</v>
      </c>
      <c r="AJ125" s="20" t="b">
        <f t="shared" si="15"/>
        <v>0</v>
      </c>
      <c r="AK125" s="20" t="b">
        <f t="shared" si="16"/>
        <v>0</v>
      </c>
      <c r="AL125" s="20" t="b">
        <f t="shared" si="17"/>
        <v>0</v>
      </c>
      <c r="AM125" s="20" t="b">
        <f t="shared" si="18"/>
        <v>0</v>
      </c>
      <c r="AN125" s="20" t="b">
        <f t="shared" si="19"/>
        <v>0</v>
      </c>
      <c r="AO125" s="20" t="b">
        <f t="shared" si="20"/>
        <v>0</v>
      </c>
      <c r="AP125" s="20" t="b">
        <f t="shared" si="21"/>
        <v>0</v>
      </c>
      <c r="AQ125" s="20" t="b">
        <f t="shared" si="22"/>
        <v>0</v>
      </c>
      <c r="AR125" s="20" t="b">
        <f t="shared" si="23"/>
        <v>0</v>
      </c>
      <c r="AS125" s="20" t="b">
        <f t="shared" si="24"/>
        <v>0</v>
      </c>
      <c r="AT125" s="20" t="b">
        <f t="shared" si="25"/>
        <v>0</v>
      </c>
      <c r="AU125" s="20" t="b">
        <f t="shared" si="26"/>
        <v>0</v>
      </c>
    </row>
    <row r="126" spans="1:47">
      <c r="A126" s="20">
        <f t="shared" si="27"/>
        <v>2</v>
      </c>
      <c r="B126" s="564"/>
      <c r="C126" s="564"/>
      <c r="D126" s="564"/>
      <c r="E126" s="564"/>
      <c r="F126" s="568"/>
      <c r="G126" s="568"/>
      <c r="H126" s="564"/>
      <c r="I126" s="568"/>
      <c r="J126" s="564"/>
      <c r="K126" s="564"/>
      <c r="L126" s="569"/>
      <c r="M126" s="569"/>
      <c r="N126" s="569"/>
      <c r="O126" s="570"/>
      <c r="P126" s="564"/>
      <c r="Q126" s="564"/>
      <c r="R126" s="569"/>
      <c r="S126" s="569"/>
      <c r="T126" s="564"/>
      <c r="U126" s="564"/>
      <c r="V126" s="564"/>
      <c r="W126" s="54">
        <f t="shared" si="28"/>
        <v>0</v>
      </c>
      <c r="X126" s="54">
        <f t="shared" si="29"/>
        <v>0</v>
      </c>
      <c r="AJ126" s="20" t="b">
        <f t="shared" si="15"/>
        <v>0</v>
      </c>
      <c r="AK126" s="20" t="b">
        <f t="shared" si="16"/>
        <v>0</v>
      </c>
      <c r="AL126" s="20" t="b">
        <f t="shared" si="17"/>
        <v>0</v>
      </c>
      <c r="AM126" s="20" t="b">
        <f t="shared" si="18"/>
        <v>0</v>
      </c>
      <c r="AN126" s="20" t="b">
        <f t="shared" si="19"/>
        <v>0</v>
      </c>
      <c r="AO126" s="20" t="b">
        <f t="shared" si="20"/>
        <v>0</v>
      </c>
      <c r="AP126" s="20" t="b">
        <f t="shared" si="21"/>
        <v>0</v>
      </c>
      <c r="AQ126" s="20" t="b">
        <f t="shared" si="22"/>
        <v>0</v>
      </c>
      <c r="AR126" s="20" t="b">
        <f t="shared" si="23"/>
        <v>0</v>
      </c>
      <c r="AS126" s="20" t="b">
        <f t="shared" si="24"/>
        <v>0</v>
      </c>
      <c r="AT126" s="20" t="b">
        <f t="shared" si="25"/>
        <v>0</v>
      </c>
      <c r="AU126" s="20" t="b">
        <f t="shared" si="26"/>
        <v>0</v>
      </c>
    </row>
    <row r="127" spans="1:47">
      <c r="A127" s="20">
        <f t="shared" si="27"/>
        <v>2</v>
      </c>
      <c r="B127" s="564"/>
      <c r="C127" s="564"/>
      <c r="D127" s="564"/>
      <c r="E127" s="564"/>
      <c r="F127" s="568"/>
      <c r="G127" s="568"/>
      <c r="H127" s="564"/>
      <c r="I127" s="568"/>
      <c r="J127" s="564"/>
      <c r="K127" s="564"/>
      <c r="L127" s="569"/>
      <c r="M127" s="569"/>
      <c r="N127" s="569"/>
      <c r="O127" s="570"/>
      <c r="P127" s="564"/>
      <c r="Q127" s="564"/>
      <c r="R127" s="569"/>
      <c r="S127" s="569"/>
      <c r="T127" s="564"/>
      <c r="U127" s="564"/>
      <c r="V127" s="564"/>
      <c r="W127" s="54">
        <f t="shared" si="28"/>
        <v>0</v>
      </c>
      <c r="X127" s="54">
        <f t="shared" si="29"/>
        <v>0</v>
      </c>
      <c r="AJ127" s="20" t="b">
        <f t="shared" si="15"/>
        <v>0</v>
      </c>
      <c r="AK127" s="20" t="b">
        <f t="shared" si="16"/>
        <v>0</v>
      </c>
      <c r="AL127" s="20" t="b">
        <f t="shared" si="17"/>
        <v>0</v>
      </c>
      <c r="AM127" s="20" t="b">
        <f t="shared" si="18"/>
        <v>0</v>
      </c>
      <c r="AN127" s="20" t="b">
        <f t="shared" si="19"/>
        <v>0</v>
      </c>
      <c r="AO127" s="20" t="b">
        <f t="shared" si="20"/>
        <v>0</v>
      </c>
      <c r="AP127" s="20" t="b">
        <f t="shared" si="21"/>
        <v>0</v>
      </c>
      <c r="AQ127" s="20" t="b">
        <f t="shared" si="22"/>
        <v>0</v>
      </c>
      <c r="AR127" s="20" t="b">
        <f t="shared" si="23"/>
        <v>0</v>
      </c>
      <c r="AS127" s="20" t="b">
        <f t="shared" si="24"/>
        <v>0</v>
      </c>
      <c r="AT127" s="20" t="b">
        <f t="shared" si="25"/>
        <v>0</v>
      </c>
      <c r="AU127" s="20" t="b">
        <f t="shared" si="26"/>
        <v>0</v>
      </c>
    </row>
    <row r="128" spans="1:47">
      <c r="A128" s="20">
        <f t="shared" si="27"/>
        <v>2</v>
      </c>
      <c r="B128" s="564"/>
      <c r="C128" s="564"/>
      <c r="D128" s="564"/>
      <c r="E128" s="564"/>
      <c r="F128" s="568"/>
      <c r="G128" s="568"/>
      <c r="H128" s="564"/>
      <c r="I128" s="568"/>
      <c r="J128" s="564"/>
      <c r="K128" s="564"/>
      <c r="L128" s="569"/>
      <c r="M128" s="569"/>
      <c r="N128" s="569"/>
      <c r="O128" s="570"/>
      <c r="P128" s="564"/>
      <c r="Q128" s="564"/>
      <c r="R128" s="569"/>
      <c r="S128" s="569"/>
      <c r="T128" s="564"/>
      <c r="U128" s="564"/>
      <c r="V128" s="564"/>
      <c r="W128" s="54">
        <f t="shared" si="28"/>
        <v>0</v>
      </c>
      <c r="X128" s="54">
        <f t="shared" si="29"/>
        <v>0</v>
      </c>
      <c r="AJ128" s="20" t="b">
        <f t="shared" si="15"/>
        <v>0</v>
      </c>
      <c r="AK128" s="20" t="b">
        <f t="shared" si="16"/>
        <v>0</v>
      </c>
      <c r="AL128" s="20" t="b">
        <f t="shared" si="17"/>
        <v>0</v>
      </c>
      <c r="AM128" s="20" t="b">
        <f t="shared" si="18"/>
        <v>0</v>
      </c>
      <c r="AN128" s="20" t="b">
        <f t="shared" si="19"/>
        <v>0</v>
      </c>
      <c r="AO128" s="20" t="b">
        <f t="shared" si="20"/>
        <v>0</v>
      </c>
      <c r="AP128" s="20" t="b">
        <f t="shared" si="21"/>
        <v>0</v>
      </c>
      <c r="AQ128" s="20" t="b">
        <f t="shared" si="22"/>
        <v>0</v>
      </c>
      <c r="AR128" s="20" t="b">
        <f t="shared" si="23"/>
        <v>0</v>
      </c>
      <c r="AS128" s="20" t="b">
        <f t="shared" si="24"/>
        <v>0</v>
      </c>
      <c r="AT128" s="20" t="b">
        <f t="shared" si="25"/>
        <v>0</v>
      </c>
      <c r="AU128" s="20" t="b">
        <f t="shared" si="26"/>
        <v>0</v>
      </c>
    </row>
    <row r="129" spans="1:47">
      <c r="A129" s="20">
        <f t="shared" si="27"/>
        <v>2</v>
      </c>
      <c r="B129" s="564"/>
      <c r="C129" s="564"/>
      <c r="D129" s="564"/>
      <c r="E129" s="564"/>
      <c r="F129" s="568"/>
      <c r="G129" s="568"/>
      <c r="H129" s="564"/>
      <c r="I129" s="568"/>
      <c r="J129" s="564"/>
      <c r="K129" s="564"/>
      <c r="L129" s="569"/>
      <c r="M129" s="569"/>
      <c r="N129" s="569"/>
      <c r="O129" s="570"/>
      <c r="P129" s="564"/>
      <c r="Q129" s="564"/>
      <c r="R129" s="569"/>
      <c r="S129" s="569"/>
      <c r="T129" s="564"/>
      <c r="U129" s="564"/>
      <c r="V129" s="564"/>
      <c r="W129" s="54">
        <f t="shared" si="28"/>
        <v>0</v>
      </c>
      <c r="X129" s="54">
        <f t="shared" si="29"/>
        <v>0</v>
      </c>
      <c r="AJ129" s="20" t="b">
        <f t="shared" si="15"/>
        <v>0</v>
      </c>
      <c r="AK129" s="20" t="b">
        <f t="shared" si="16"/>
        <v>0</v>
      </c>
      <c r="AL129" s="20" t="b">
        <f t="shared" si="17"/>
        <v>0</v>
      </c>
      <c r="AM129" s="20" t="b">
        <f t="shared" si="18"/>
        <v>0</v>
      </c>
      <c r="AN129" s="20" t="b">
        <f t="shared" si="19"/>
        <v>0</v>
      </c>
      <c r="AO129" s="20" t="b">
        <f t="shared" si="20"/>
        <v>0</v>
      </c>
      <c r="AP129" s="20" t="b">
        <f t="shared" si="21"/>
        <v>0</v>
      </c>
      <c r="AQ129" s="20" t="b">
        <f t="shared" si="22"/>
        <v>0</v>
      </c>
      <c r="AR129" s="20" t="b">
        <f t="shared" si="23"/>
        <v>0</v>
      </c>
      <c r="AS129" s="20" t="b">
        <f t="shared" si="24"/>
        <v>0</v>
      </c>
      <c r="AT129" s="20" t="b">
        <f t="shared" si="25"/>
        <v>0</v>
      </c>
      <c r="AU129" s="20" t="b">
        <f t="shared" si="26"/>
        <v>0</v>
      </c>
    </row>
    <row r="130" spans="1:47">
      <c r="A130" s="20">
        <f t="shared" si="27"/>
        <v>2</v>
      </c>
      <c r="B130" s="564"/>
      <c r="C130" s="564"/>
      <c r="D130" s="564"/>
      <c r="E130" s="564"/>
      <c r="F130" s="568"/>
      <c r="G130" s="568"/>
      <c r="H130" s="564"/>
      <c r="I130" s="568"/>
      <c r="J130" s="564"/>
      <c r="K130" s="564"/>
      <c r="L130" s="569"/>
      <c r="M130" s="569"/>
      <c r="N130" s="569"/>
      <c r="O130" s="570"/>
      <c r="P130" s="564"/>
      <c r="Q130" s="564"/>
      <c r="R130" s="569"/>
      <c r="S130" s="569"/>
      <c r="T130" s="564"/>
      <c r="U130" s="564"/>
      <c r="V130" s="564"/>
      <c r="W130" s="54">
        <f t="shared" si="28"/>
        <v>0</v>
      </c>
      <c r="X130" s="54">
        <f t="shared" si="29"/>
        <v>0</v>
      </c>
      <c r="AJ130" s="20" t="b">
        <f t="shared" ref="AJ130:AJ193" si="30">IF(AND(A130=2, J130="PF", T130="YES", V130="A"), L130)</f>
        <v>0</v>
      </c>
      <c r="AK130" s="20" t="b">
        <f t="shared" ref="AK130:AK193" si="31">IF(AND(A130=3, J130="PF", T130="YES", V130="A"), L130)</f>
        <v>0</v>
      </c>
      <c r="AL130" s="20" t="b">
        <f t="shared" ref="AL130:AL193" si="32">IF(AND(A130=4, J130="PF", T130="YES", V130="A"), L130)</f>
        <v>0</v>
      </c>
      <c r="AM130" s="20" t="b">
        <f t="shared" ref="AM130:AM193" si="33">IF(AND(A130=5, J130="PF", T130="YES", V130="A"), L130)</f>
        <v>0</v>
      </c>
      <c r="AN130" s="20" t="b">
        <f t="shared" ref="AN130:AN193" si="34">IF(AND(A130=6, J130="PF", T130="YES", V130="A"), L130)</f>
        <v>0</v>
      </c>
      <c r="AO130" s="20" t="b">
        <f t="shared" ref="AO130:AO193" si="35">IF(AND(A130=7, J130="PF", T130="YES", V130="A"), L130)</f>
        <v>0</v>
      </c>
      <c r="AP130" s="20" t="b">
        <f t="shared" ref="AP130:AP193" si="36">IF(AND(A130=8, J130="PF", T130="YES", V130="A"), L130)</f>
        <v>0</v>
      </c>
      <c r="AQ130" s="20" t="b">
        <f t="shared" ref="AQ130:AQ193" si="37">IF(AND(A130=9, J130="PF", T130="YES", V130="A"), L130)</f>
        <v>0</v>
      </c>
      <c r="AR130" s="20" t="b">
        <f t="shared" ref="AR130:AR193" si="38">IF(AND(A130=10, J130="PF", T130="YES", V130="A"), L130)</f>
        <v>0</v>
      </c>
      <c r="AS130" s="20" t="b">
        <f t="shared" ref="AS130:AS193" si="39">IF(AND(A130=11, J130="PF", T130="YES", V130="A"), L130)</f>
        <v>0</v>
      </c>
      <c r="AT130" s="20" t="b">
        <f t="shared" ref="AT130:AT193" si="40">IF(AND(A130=12, J130="PF", T130="YES", V130="A"), L130)</f>
        <v>0</v>
      </c>
      <c r="AU130" s="20" t="b">
        <f t="shared" ref="AU130:AU193" si="41">IF(AND(A130=13, J130="PF", T130="YES", V130="A"), L130)</f>
        <v>0</v>
      </c>
    </row>
    <row r="131" spans="1:47">
      <c r="B131" s="564"/>
      <c r="C131" s="564"/>
      <c r="D131" s="564"/>
      <c r="E131" s="564"/>
      <c r="F131" s="568"/>
      <c r="G131" s="568"/>
      <c r="H131" s="564"/>
      <c r="I131" s="568"/>
      <c r="J131" s="564"/>
      <c r="K131" s="564"/>
      <c r="L131" s="569"/>
      <c r="M131" s="569"/>
      <c r="N131" s="569"/>
      <c r="O131" s="570"/>
      <c r="P131" s="564"/>
      <c r="Q131" s="564"/>
      <c r="R131" s="569"/>
      <c r="S131" s="569"/>
      <c r="T131" s="564"/>
      <c r="U131" s="564"/>
      <c r="V131" s="564"/>
      <c r="W131" s="54">
        <f t="shared" ref="W131:W194" si="42">IF(J131="pf", L131, 0)</f>
        <v>0</v>
      </c>
      <c r="X131" s="54">
        <f t="shared" ref="X131:X194" si="43">IF(J131&lt;&gt;"PF", L131, 0)</f>
        <v>0</v>
      </c>
      <c r="AJ131" s="20" t="b">
        <f t="shared" si="30"/>
        <v>0</v>
      </c>
      <c r="AK131" s="20" t="b">
        <f t="shared" si="31"/>
        <v>0</v>
      </c>
      <c r="AL131" s="20" t="b">
        <f t="shared" si="32"/>
        <v>0</v>
      </c>
      <c r="AM131" s="20" t="b">
        <f t="shared" si="33"/>
        <v>0</v>
      </c>
      <c r="AN131" s="20" t="b">
        <f t="shared" si="34"/>
        <v>0</v>
      </c>
      <c r="AO131" s="20" t="b">
        <f t="shared" si="35"/>
        <v>0</v>
      </c>
      <c r="AP131" s="20" t="b">
        <f t="shared" si="36"/>
        <v>0</v>
      </c>
      <c r="AQ131" s="20" t="b">
        <f t="shared" si="37"/>
        <v>0</v>
      </c>
      <c r="AR131" s="20" t="b">
        <f t="shared" si="38"/>
        <v>0</v>
      </c>
      <c r="AS131" s="20" t="b">
        <f t="shared" si="39"/>
        <v>0</v>
      </c>
      <c r="AT131" s="20" t="b">
        <f t="shared" si="40"/>
        <v>0</v>
      </c>
      <c r="AU131" s="20" t="b">
        <f t="shared" si="41"/>
        <v>0</v>
      </c>
    </row>
    <row r="132" spans="1:47">
      <c r="A132" s="20">
        <f>IF(F132=F130,A130,A130+1)</f>
        <v>2</v>
      </c>
      <c r="B132" s="564"/>
      <c r="C132" s="564"/>
      <c r="D132" s="564"/>
      <c r="E132" s="564"/>
      <c r="F132" s="568"/>
      <c r="G132" s="568"/>
      <c r="H132" s="564"/>
      <c r="I132" s="568"/>
      <c r="J132" s="564"/>
      <c r="K132" s="564"/>
      <c r="L132" s="569"/>
      <c r="M132" s="569"/>
      <c r="N132" s="569"/>
      <c r="O132" s="570"/>
      <c r="P132" s="564"/>
      <c r="Q132" s="564"/>
      <c r="R132" s="569"/>
      <c r="S132" s="569"/>
      <c r="T132" s="564"/>
      <c r="U132" s="564"/>
      <c r="V132" s="564"/>
      <c r="W132" s="54">
        <f t="shared" si="42"/>
        <v>0</v>
      </c>
      <c r="X132" s="54">
        <f t="shared" si="43"/>
        <v>0</v>
      </c>
      <c r="AJ132" s="20" t="b">
        <f t="shared" si="30"/>
        <v>0</v>
      </c>
      <c r="AK132" s="20" t="b">
        <f t="shared" si="31"/>
        <v>0</v>
      </c>
      <c r="AL132" s="20" t="b">
        <f t="shared" si="32"/>
        <v>0</v>
      </c>
      <c r="AM132" s="20" t="b">
        <f t="shared" si="33"/>
        <v>0</v>
      </c>
      <c r="AN132" s="20" t="b">
        <f t="shared" si="34"/>
        <v>0</v>
      </c>
      <c r="AO132" s="20" t="b">
        <f t="shared" si="35"/>
        <v>0</v>
      </c>
      <c r="AP132" s="20" t="b">
        <f t="shared" si="36"/>
        <v>0</v>
      </c>
      <c r="AQ132" s="20" t="b">
        <f t="shared" si="37"/>
        <v>0</v>
      </c>
      <c r="AR132" s="20" t="b">
        <f t="shared" si="38"/>
        <v>0</v>
      </c>
      <c r="AS132" s="20" t="b">
        <f t="shared" si="39"/>
        <v>0</v>
      </c>
      <c r="AT132" s="20" t="b">
        <f t="shared" si="40"/>
        <v>0</v>
      </c>
      <c r="AU132" s="20" t="b">
        <f t="shared" si="41"/>
        <v>0</v>
      </c>
    </row>
    <row r="133" spans="1:47">
      <c r="A133" s="20">
        <f t="shared" ref="A133:A196" si="44">IF(F133=F132,A132,A132+1)</f>
        <v>2</v>
      </c>
      <c r="B133" s="564"/>
      <c r="C133" s="564"/>
      <c r="D133" s="564"/>
      <c r="E133" s="564"/>
      <c r="F133" s="568"/>
      <c r="G133" s="568"/>
      <c r="H133" s="564"/>
      <c r="I133" s="568"/>
      <c r="J133" s="564"/>
      <c r="K133" s="564"/>
      <c r="L133" s="569"/>
      <c r="M133" s="569"/>
      <c r="N133" s="569"/>
      <c r="O133" s="570"/>
      <c r="P133" s="564"/>
      <c r="Q133" s="564"/>
      <c r="R133" s="569"/>
      <c r="S133" s="569"/>
      <c r="T133" s="564"/>
      <c r="U133" s="564"/>
      <c r="V133" s="564"/>
      <c r="W133" s="54">
        <f t="shared" si="42"/>
        <v>0</v>
      </c>
      <c r="X133" s="54">
        <f t="shared" si="43"/>
        <v>0</v>
      </c>
      <c r="AJ133" s="20" t="b">
        <f t="shared" si="30"/>
        <v>0</v>
      </c>
      <c r="AK133" s="20" t="b">
        <f t="shared" si="31"/>
        <v>0</v>
      </c>
      <c r="AL133" s="20" t="b">
        <f t="shared" si="32"/>
        <v>0</v>
      </c>
      <c r="AM133" s="20" t="b">
        <f t="shared" si="33"/>
        <v>0</v>
      </c>
      <c r="AN133" s="20" t="b">
        <f t="shared" si="34"/>
        <v>0</v>
      </c>
      <c r="AO133" s="20" t="b">
        <f t="shared" si="35"/>
        <v>0</v>
      </c>
      <c r="AP133" s="20" t="b">
        <f t="shared" si="36"/>
        <v>0</v>
      </c>
      <c r="AQ133" s="20" t="b">
        <f t="shared" si="37"/>
        <v>0</v>
      </c>
      <c r="AR133" s="20" t="b">
        <f t="shared" si="38"/>
        <v>0</v>
      </c>
      <c r="AS133" s="20" t="b">
        <f t="shared" si="39"/>
        <v>0</v>
      </c>
      <c r="AT133" s="20" t="b">
        <f t="shared" si="40"/>
        <v>0</v>
      </c>
      <c r="AU133" s="20" t="b">
        <f t="shared" si="41"/>
        <v>0</v>
      </c>
    </row>
    <row r="134" spans="1:47">
      <c r="A134" s="20">
        <f t="shared" si="44"/>
        <v>2</v>
      </c>
      <c r="B134" s="564"/>
      <c r="C134" s="564"/>
      <c r="D134" s="564"/>
      <c r="E134" s="564"/>
      <c r="F134" s="568"/>
      <c r="G134" s="568"/>
      <c r="H134" s="564"/>
      <c r="I134" s="568"/>
      <c r="J134" s="564"/>
      <c r="K134" s="564"/>
      <c r="L134" s="569"/>
      <c r="M134" s="569"/>
      <c r="N134" s="569"/>
      <c r="O134" s="570"/>
      <c r="P134" s="564"/>
      <c r="Q134" s="564"/>
      <c r="R134" s="569"/>
      <c r="S134" s="569"/>
      <c r="T134" s="564"/>
      <c r="U134" s="564"/>
      <c r="V134" s="564"/>
      <c r="W134" s="54">
        <f t="shared" si="42"/>
        <v>0</v>
      </c>
      <c r="X134" s="54">
        <f t="shared" si="43"/>
        <v>0</v>
      </c>
      <c r="AJ134" s="20" t="b">
        <f t="shared" si="30"/>
        <v>0</v>
      </c>
      <c r="AK134" s="20" t="b">
        <f t="shared" si="31"/>
        <v>0</v>
      </c>
      <c r="AL134" s="20" t="b">
        <f t="shared" si="32"/>
        <v>0</v>
      </c>
      <c r="AM134" s="20" t="b">
        <f t="shared" si="33"/>
        <v>0</v>
      </c>
      <c r="AN134" s="20" t="b">
        <f t="shared" si="34"/>
        <v>0</v>
      </c>
      <c r="AO134" s="20" t="b">
        <f t="shared" si="35"/>
        <v>0</v>
      </c>
      <c r="AP134" s="20" t="b">
        <f t="shared" si="36"/>
        <v>0</v>
      </c>
      <c r="AQ134" s="20" t="b">
        <f t="shared" si="37"/>
        <v>0</v>
      </c>
      <c r="AR134" s="20" t="b">
        <f t="shared" si="38"/>
        <v>0</v>
      </c>
      <c r="AS134" s="20" t="b">
        <f t="shared" si="39"/>
        <v>0</v>
      </c>
      <c r="AT134" s="20" t="b">
        <f t="shared" si="40"/>
        <v>0</v>
      </c>
      <c r="AU134" s="20" t="b">
        <f t="shared" si="41"/>
        <v>0</v>
      </c>
    </row>
    <row r="135" spans="1:47">
      <c r="A135" s="20">
        <f t="shared" si="44"/>
        <v>2</v>
      </c>
      <c r="B135" s="564"/>
      <c r="C135" s="564"/>
      <c r="D135" s="564"/>
      <c r="E135" s="564"/>
      <c r="F135" s="568"/>
      <c r="G135" s="568"/>
      <c r="H135" s="564"/>
      <c r="I135" s="568"/>
      <c r="J135" s="564"/>
      <c r="K135" s="564"/>
      <c r="L135" s="569"/>
      <c r="M135" s="569"/>
      <c r="N135" s="569"/>
      <c r="O135" s="570"/>
      <c r="P135" s="564"/>
      <c r="Q135" s="564"/>
      <c r="R135" s="569"/>
      <c r="S135" s="569"/>
      <c r="T135" s="564"/>
      <c r="U135" s="564"/>
      <c r="V135" s="564"/>
      <c r="W135" s="54">
        <f t="shared" si="42"/>
        <v>0</v>
      </c>
      <c r="X135" s="54">
        <f t="shared" si="43"/>
        <v>0</v>
      </c>
      <c r="AJ135" s="20" t="b">
        <f t="shared" si="30"/>
        <v>0</v>
      </c>
      <c r="AK135" s="20" t="b">
        <f t="shared" si="31"/>
        <v>0</v>
      </c>
      <c r="AL135" s="20" t="b">
        <f t="shared" si="32"/>
        <v>0</v>
      </c>
      <c r="AM135" s="20" t="b">
        <f t="shared" si="33"/>
        <v>0</v>
      </c>
      <c r="AN135" s="20" t="b">
        <f t="shared" si="34"/>
        <v>0</v>
      </c>
      <c r="AO135" s="20" t="b">
        <f t="shared" si="35"/>
        <v>0</v>
      </c>
      <c r="AP135" s="20" t="b">
        <f t="shared" si="36"/>
        <v>0</v>
      </c>
      <c r="AQ135" s="20" t="b">
        <f t="shared" si="37"/>
        <v>0</v>
      </c>
      <c r="AR135" s="20" t="b">
        <f t="shared" si="38"/>
        <v>0</v>
      </c>
      <c r="AS135" s="20" t="b">
        <f t="shared" si="39"/>
        <v>0</v>
      </c>
      <c r="AT135" s="20" t="b">
        <f t="shared" si="40"/>
        <v>0</v>
      </c>
      <c r="AU135" s="20" t="b">
        <f t="shared" si="41"/>
        <v>0</v>
      </c>
    </row>
    <row r="136" spans="1:47">
      <c r="A136" s="20">
        <f t="shared" si="44"/>
        <v>2</v>
      </c>
      <c r="B136" s="564"/>
      <c r="C136" s="564"/>
      <c r="D136" s="564"/>
      <c r="E136" s="564"/>
      <c r="F136" s="568"/>
      <c r="G136" s="568"/>
      <c r="H136" s="564"/>
      <c r="I136" s="568"/>
      <c r="J136" s="564"/>
      <c r="K136" s="564"/>
      <c r="L136" s="569"/>
      <c r="M136" s="569"/>
      <c r="N136" s="569"/>
      <c r="O136" s="570"/>
      <c r="P136" s="564"/>
      <c r="Q136" s="564"/>
      <c r="R136" s="569"/>
      <c r="S136" s="569"/>
      <c r="T136" s="564"/>
      <c r="U136" s="564"/>
      <c r="V136" s="564"/>
      <c r="W136" s="54">
        <f t="shared" si="42"/>
        <v>0</v>
      </c>
      <c r="X136" s="54">
        <f t="shared" si="43"/>
        <v>0</v>
      </c>
      <c r="AJ136" s="20" t="b">
        <f t="shared" si="30"/>
        <v>0</v>
      </c>
      <c r="AK136" s="20" t="b">
        <f t="shared" si="31"/>
        <v>0</v>
      </c>
      <c r="AL136" s="20" t="b">
        <f t="shared" si="32"/>
        <v>0</v>
      </c>
      <c r="AM136" s="20" t="b">
        <f t="shared" si="33"/>
        <v>0</v>
      </c>
      <c r="AN136" s="20" t="b">
        <f t="shared" si="34"/>
        <v>0</v>
      </c>
      <c r="AO136" s="20" t="b">
        <f t="shared" si="35"/>
        <v>0</v>
      </c>
      <c r="AP136" s="20" t="b">
        <f t="shared" si="36"/>
        <v>0</v>
      </c>
      <c r="AQ136" s="20" t="b">
        <f t="shared" si="37"/>
        <v>0</v>
      </c>
      <c r="AR136" s="20" t="b">
        <f t="shared" si="38"/>
        <v>0</v>
      </c>
      <c r="AS136" s="20" t="b">
        <f t="shared" si="39"/>
        <v>0</v>
      </c>
      <c r="AT136" s="20" t="b">
        <f t="shared" si="40"/>
        <v>0</v>
      </c>
      <c r="AU136" s="20" t="b">
        <f t="shared" si="41"/>
        <v>0</v>
      </c>
    </row>
    <row r="137" spans="1:47">
      <c r="A137" s="20">
        <f t="shared" si="44"/>
        <v>2</v>
      </c>
      <c r="B137" s="564"/>
      <c r="C137" s="564"/>
      <c r="D137" s="564"/>
      <c r="E137" s="564"/>
      <c r="F137" s="568"/>
      <c r="G137" s="568"/>
      <c r="H137" s="564"/>
      <c r="I137" s="568"/>
      <c r="J137" s="564"/>
      <c r="K137" s="564"/>
      <c r="L137" s="569"/>
      <c r="M137" s="569"/>
      <c r="N137" s="569"/>
      <c r="O137" s="570"/>
      <c r="P137" s="564"/>
      <c r="Q137" s="564"/>
      <c r="R137" s="569"/>
      <c r="S137" s="569"/>
      <c r="T137" s="564"/>
      <c r="U137" s="564"/>
      <c r="V137" s="564"/>
      <c r="W137" s="54">
        <f t="shared" si="42"/>
        <v>0</v>
      </c>
      <c r="X137" s="54">
        <f t="shared" si="43"/>
        <v>0</v>
      </c>
      <c r="AJ137" s="20" t="b">
        <f t="shared" si="30"/>
        <v>0</v>
      </c>
      <c r="AK137" s="20" t="b">
        <f t="shared" si="31"/>
        <v>0</v>
      </c>
      <c r="AL137" s="20" t="b">
        <f t="shared" si="32"/>
        <v>0</v>
      </c>
      <c r="AM137" s="20" t="b">
        <f t="shared" si="33"/>
        <v>0</v>
      </c>
      <c r="AN137" s="20" t="b">
        <f t="shared" si="34"/>
        <v>0</v>
      </c>
      <c r="AO137" s="20" t="b">
        <f t="shared" si="35"/>
        <v>0</v>
      </c>
      <c r="AP137" s="20" t="b">
        <f t="shared" si="36"/>
        <v>0</v>
      </c>
      <c r="AQ137" s="20" t="b">
        <f t="shared" si="37"/>
        <v>0</v>
      </c>
      <c r="AR137" s="20" t="b">
        <f t="shared" si="38"/>
        <v>0</v>
      </c>
      <c r="AS137" s="20" t="b">
        <f t="shared" si="39"/>
        <v>0</v>
      </c>
      <c r="AT137" s="20" t="b">
        <f t="shared" si="40"/>
        <v>0</v>
      </c>
      <c r="AU137" s="20" t="b">
        <f t="shared" si="41"/>
        <v>0</v>
      </c>
    </row>
    <row r="138" spans="1:47">
      <c r="A138" s="20">
        <f t="shared" si="44"/>
        <v>2</v>
      </c>
      <c r="B138" s="564"/>
      <c r="C138" s="564"/>
      <c r="D138" s="564"/>
      <c r="E138" s="564"/>
      <c r="F138" s="568"/>
      <c r="G138" s="568"/>
      <c r="H138" s="564"/>
      <c r="I138" s="568"/>
      <c r="J138" s="564"/>
      <c r="K138" s="564"/>
      <c r="L138" s="569"/>
      <c r="M138" s="569"/>
      <c r="N138" s="569"/>
      <c r="O138" s="570"/>
      <c r="P138" s="564"/>
      <c r="Q138" s="564"/>
      <c r="R138" s="569"/>
      <c r="S138" s="569"/>
      <c r="T138" s="564"/>
      <c r="U138" s="564"/>
      <c r="V138" s="564"/>
      <c r="W138" s="54">
        <f t="shared" si="42"/>
        <v>0</v>
      </c>
      <c r="X138" s="54">
        <f t="shared" si="43"/>
        <v>0</v>
      </c>
      <c r="AJ138" s="20" t="b">
        <f t="shared" si="30"/>
        <v>0</v>
      </c>
      <c r="AK138" s="20" t="b">
        <f t="shared" si="31"/>
        <v>0</v>
      </c>
      <c r="AL138" s="20" t="b">
        <f t="shared" si="32"/>
        <v>0</v>
      </c>
      <c r="AM138" s="20" t="b">
        <f t="shared" si="33"/>
        <v>0</v>
      </c>
      <c r="AN138" s="20" t="b">
        <f t="shared" si="34"/>
        <v>0</v>
      </c>
      <c r="AO138" s="20" t="b">
        <f t="shared" si="35"/>
        <v>0</v>
      </c>
      <c r="AP138" s="20" t="b">
        <f t="shared" si="36"/>
        <v>0</v>
      </c>
      <c r="AQ138" s="20" t="b">
        <f t="shared" si="37"/>
        <v>0</v>
      </c>
      <c r="AR138" s="20" t="b">
        <f t="shared" si="38"/>
        <v>0</v>
      </c>
      <c r="AS138" s="20" t="b">
        <f t="shared" si="39"/>
        <v>0</v>
      </c>
      <c r="AT138" s="20" t="b">
        <f t="shared" si="40"/>
        <v>0</v>
      </c>
      <c r="AU138" s="20" t="b">
        <f t="shared" si="41"/>
        <v>0</v>
      </c>
    </row>
    <row r="139" spans="1:47">
      <c r="A139" s="20">
        <f t="shared" si="44"/>
        <v>2</v>
      </c>
      <c r="B139" s="564"/>
      <c r="C139" s="564"/>
      <c r="D139" s="564"/>
      <c r="E139" s="564"/>
      <c r="F139" s="568"/>
      <c r="G139" s="568"/>
      <c r="H139" s="564"/>
      <c r="I139" s="568"/>
      <c r="J139" s="564"/>
      <c r="K139" s="564"/>
      <c r="L139" s="569"/>
      <c r="M139" s="569"/>
      <c r="N139" s="569"/>
      <c r="O139" s="570"/>
      <c r="P139" s="564"/>
      <c r="Q139" s="564"/>
      <c r="R139" s="569"/>
      <c r="S139" s="569"/>
      <c r="T139" s="564"/>
      <c r="U139" s="564"/>
      <c r="V139" s="564"/>
      <c r="W139" s="54">
        <f t="shared" si="42"/>
        <v>0</v>
      </c>
      <c r="X139" s="54">
        <f t="shared" si="43"/>
        <v>0</v>
      </c>
      <c r="AJ139" s="20" t="b">
        <f t="shared" si="30"/>
        <v>0</v>
      </c>
      <c r="AK139" s="20" t="b">
        <f t="shared" si="31"/>
        <v>0</v>
      </c>
      <c r="AL139" s="20" t="b">
        <f t="shared" si="32"/>
        <v>0</v>
      </c>
      <c r="AM139" s="20" t="b">
        <f t="shared" si="33"/>
        <v>0</v>
      </c>
      <c r="AN139" s="20" t="b">
        <f t="shared" si="34"/>
        <v>0</v>
      </c>
      <c r="AO139" s="20" t="b">
        <f t="shared" si="35"/>
        <v>0</v>
      </c>
      <c r="AP139" s="20" t="b">
        <f t="shared" si="36"/>
        <v>0</v>
      </c>
      <c r="AQ139" s="20" t="b">
        <f t="shared" si="37"/>
        <v>0</v>
      </c>
      <c r="AR139" s="20" t="b">
        <f t="shared" si="38"/>
        <v>0</v>
      </c>
      <c r="AS139" s="20" t="b">
        <f t="shared" si="39"/>
        <v>0</v>
      </c>
      <c r="AT139" s="20" t="b">
        <f t="shared" si="40"/>
        <v>0</v>
      </c>
      <c r="AU139" s="20" t="b">
        <f t="shared" si="41"/>
        <v>0</v>
      </c>
    </row>
    <row r="140" spans="1:47">
      <c r="A140" s="20">
        <f t="shared" si="44"/>
        <v>2</v>
      </c>
      <c r="B140" s="564"/>
      <c r="C140" s="564"/>
      <c r="D140" s="564"/>
      <c r="E140" s="564"/>
      <c r="F140" s="568"/>
      <c r="G140" s="568"/>
      <c r="H140" s="564"/>
      <c r="I140" s="568"/>
      <c r="J140" s="564"/>
      <c r="K140" s="564"/>
      <c r="L140" s="569"/>
      <c r="M140" s="569"/>
      <c r="N140" s="569"/>
      <c r="O140" s="570"/>
      <c r="P140" s="564"/>
      <c r="Q140" s="564"/>
      <c r="R140" s="569"/>
      <c r="S140" s="569"/>
      <c r="T140" s="564"/>
      <c r="U140" s="564"/>
      <c r="V140" s="564"/>
      <c r="W140" s="54">
        <f t="shared" si="42"/>
        <v>0</v>
      </c>
      <c r="X140" s="54">
        <f t="shared" si="43"/>
        <v>0</v>
      </c>
      <c r="AJ140" s="20" t="b">
        <f t="shared" si="30"/>
        <v>0</v>
      </c>
      <c r="AK140" s="20" t="b">
        <f t="shared" si="31"/>
        <v>0</v>
      </c>
      <c r="AL140" s="20" t="b">
        <f t="shared" si="32"/>
        <v>0</v>
      </c>
      <c r="AM140" s="20" t="b">
        <f t="shared" si="33"/>
        <v>0</v>
      </c>
      <c r="AN140" s="20" t="b">
        <f t="shared" si="34"/>
        <v>0</v>
      </c>
      <c r="AO140" s="20" t="b">
        <f t="shared" si="35"/>
        <v>0</v>
      </c>
      <c r="AP140" s="20" t="b">
        <f t="shared" si="36"/>
        <v>0</v>
      </c>
      <c r="AQ140" s="20" t="b">
        <f t="shared" si="37"/>
        <v>0</v>
      </c>
      <c r="AR140" s="20" t="b">
        <f t="shared" si="38"/>
        <v>0</v>
      </c>
      <c r="AS140" s="20" t="b">
        <f t="shared" si="39"/>
        <v>0</v>
      </c>
      <c r="AT140" s="20" t="b">
        <f t="shared" si="40"/>
        <v>0</v>
      </c>
      <c r="AU140" s="20" t="b">
        <f t="shared" si="41"/>
        <v>0</v>
      </c>
    </row>
    <row r="141" spans="1:47">
      <c r="A141" s="20">
        <f t="shared" si="44"/>
        <v>2</v>
      </c>
      <c r="B141" s="564"/>
      <c r="C141" s="564"/>
      <c r="D141" s="564"/>
      <c r="E141" s="564"/>
      <c r="F141" s="568"/>
      <c r="G141" s="568"/>
      <c r="H141" s="564"/>
      <c r="I141" s="568"/>
      <c r="J141" s="564"/>
      <c r="K141" s="564"/>
      <c r="L141" s="569"/>
      <c r="M141" s="569"/>
      <c r="N141" s="569"/>
      <c r="O141" s="570"/>
      <c r="P141" s="564"/>
      <c r="Q141" s="564"/>
      <c r="R141" s="569"/>
      <c r="S141" s="569"/>
      <c r="T141" s="564"/>
      <c r="U141" s="564"/>
      <c r="V141" s="564"/>
      <c r="W141" s="54">
        <f t="shared" si="42"/>
        <v>0</v>
      </c>
      <c r="X141" s="54">
        <f t="shared" si="43"/>
        <v>0</v>
      </c>
      <c r="AJ141" s="20" t="b">
        <f t="shared" si="30"/>
        <v>0</v>
      </c>
      <c r="AK141" s="20" t="b">
        <f t="shared" si="31"/>
        <v>0</v>
      </c>
      <c r="AL141" s="20" t="b">
        <f t="shared" si="32"/>
        <v>0</v>
      </c>
      <c r="AM141" s="20" t="b">
        <f t="shared" si="33"/>
        <v>0</v>
      </c>
      <c r="AN141" s="20" t="b">
        <f t="shared" si="34"/>
        <v>0</v>
      </c>
      <c r="AO141" s="20" t="b">
        <f t="shared" si="35"/>
        <v>0</v>
      </c>
      <c r="AP141" s="20" t="b">
        <f t="shared" si="36"/>
        <v>0</v>
      </c>
      <c r="AQ141" s="20" t="b">
        <f t="shared" si="37"/>
        <v>0</v>
      </c>
      <c r="AR141" s="20" t="b">
        <f t="shared" si="38"/>
        <v>0</v>
      </c>
      <c r="AS141" s="20" t="b">
        <f t="shared" si="39"/>
        <v>0</v>
      </c>
      <c r="AT141" s="20" t="b">
        <f t="shared" si="40"/>
        <v>0</v>
      </c>
      <c r="AU141" s="20" t="b">
        <f t="shared" si="41"/>
        <v>0</v>
      </c>
    </row>
    <row r="142" spans="1:47">
      <c r="A142" s="20">
        <f t="shared" si="44"/>
        <v>2</v>
      </c>
      <c r="B142" s="564"/>
      <c r="C142" s="564"/>
      <c r="D142" s="564"/>
      <c r="E142" s="564"/>
      <c r="F142" s="568"/>
      <c r="G142" s="568"/>
      <c r="H142" s="564"/>
      <c r="I142" s="568"/>
      <c r="J142" s="564"/>
      <c r="K142" s="564"/>
      <c r="L142" s="569"/>
      <c r="M142" s="569"/>
      <c r="N142" s="569"/>
      <c r="O142" s="570"/>
      <c r="P142" s="564"/>
      <c r="Q142" s="564"/>
      <c r="R142" s="569"/>
      <c r="S142" s="569"/>
      <c r="T142" s="564"/>
      <c r="U142" s="564"/>
      <c r="V142" s="564"/>
      <c r="W142" s="54">
        <f t="shared" si="42"/>
        <v>0</v>
      </c>
      <c r="X142" s="54">
        <f t="shared" si="43"/>
        <v>0</v>
      </c>
      <c r="AJ142" s="20" t="b">
        <f t="shared" si="30"/>
        <v>0</v>
      </c>
      <c r="AK142" s="20" t="b">
        <f t="shared" si="31"/>
        <v>0</v>
      </c>
      <c r="AL142" s="20" t="b">
        <f t="shared" si="32"/>
        <v>0</v>
      </c>
      <c r="AM142" s="20" t="b">
        <f t="shared" si="33"/>
        <v>0</v>
      </c>
      <c r="AN142" s="20" t="b">
        <f t="shared" si="34"/>
        <v>0</v>
      </c>
      <c r="AO142" s="20" t="b">
        <f t="shared" si="35"/>
        <v>0</v>
      </c>
      <c r="AP142" s="20" t="b">
        <f t="shared" si="36"/>
        <v>0</v>
      </c>
      <c r="AQ142" s="20" t="b">
        <f t="shared" si="37"/>
        <v>0</v>
      </c>
      <c r="AR142" s="20" t="b">
        <f t="shared" si="38"/>
        <v>0</v>
      </c>
      <c r="AS142" s="20" t="b">
        <f t="shared" si="39"/>
        <v>0</v>
      </c>
      <c r="AT142" s="20" t="b">
        <f t="shared" si="40"/>
        <v>0</v>
      </c>
      <c r="AU142" s="20" t="b">
        <f t="shared" si="41"/>
        <v>0</v>
      </c>
    </row>
    <row r="143" spans="1:47">
      <c r="A143" s="20">
        <f t="shared" si="44"/>
        <v>2</v>
      </c>
      <c r="B143" s="564"/>
      <c r="C143" s="564"/>
      <c r="D143" s="564"/>
      <c r="E143" s="564"/>
      <c r="F143" s="568"/>
      <c r="G143" s="568"/>
      <c r="H143" s="564"/>
      <c r="I143" s="568"/>
      <c r="J143" s="564"/>
      <c r="K143" s="564"/>
      <c r="L143" s="569"/>
      <c r="M143" s="569"/>
      <c r="N143" s="569"/>
      <c r="O143" s="570"/>
      <c r="P143" s="564"/>
      <c r="Q143" s="564"/>
      <c r="R143" s="569"/>
      <c r="S143" s="569"/>
      <c r="T143" s="564"/>
      <c r="U143" s="564"/>
      <c r="V143" s="564"/>
      <c r="W143" s="54">
        <f t="shared" si="42"/>
        <v>0</v>
      </c>
      <c r="X143" s="54">
        <f t="shared" si="43"/>
        <v>0</v>
      </c>
      <c r="AJ143" s="20" t="b">
        <f t="shared" si="30"/>
        <v>0</v>
      </c>
      <c r="AK143" s="20" t="b">
        <f t="shared" si="31"/>
        <v>0</v>
      </c>
      <c r="AL143" s="20" t="b">
        <f t="shared" si="32"/>
        <v>0</v>
      </c>
      <c r="AM143" s="20" t="b">
        <f t="shared" si="33"/>
        <v>0</v>
      </c>
      <c r="AN143" s="20" t="b">
        <f t="shared" si="34"/>
        <v>0</v>
      </c>
      <c r="AO143" s="20" t="b">
        <f t="shared" si="35"/>
        <v>0</v>
      </c>
      <c r="AP143" s="20" t="b">
        <f t="shared" si="36"/>
        <v>0</v>
      </c>
      <c r="AQ143" s="20" t="b">
        <f t="shared" si="37"/>
        <v>0</v>
      </c>
      <c r="AR143" s="20" t="b">
        <f t="shared" si="38"/>
        <v>0</v>
      </c>
      <c r="AS143" s="20" t="b">
        <f t="shared" si="39"/>
        <v>0</v>
      </c>
      <c r="AT143" s="20" t="b">
        <f t="shared" si="40"/>
        <v>0</v>
      </c>
      <c r="AU143" s="20" t="b">
        <f t="shared" si="41"/>
        <v>0</v>
      </c>
    </row>
    <row r="144" spans="1:47">
      <c r="A144" s="20">
        <f t="shared" si="44"/>
        <v>2</v>
      </c>
      <c r="B144" s="564"/>
      <c r="C144" s="564"/>
      <c r="D144" s="564"/>
      <c r="E144" s="564"/>
      <c r="F144" s="568"/>
      <c r="G144" s="568"/>
      <c r="H144" s="564"/>
      <c r="I144" s="568"/>
      <c r="J144" s="564"/>
      <c r="K144" s="564"/>
      <c r="L144" s="569"/>
      <c r="M144" s="569"/>
      <c r="N144" s="569"/>
      <c r="O144" s="570"/>
      <c r="P144" s="564"/>
      <c r="Q144" s="564"/>
      <c r="R144" s="569"/>
      <c r="S144" s="569"/>
      <c r="T144" s="564"/>
      <c r="U144" s="564"/>
      <c r="V144" s="564"/>
      <c r="W144" s="54">
        <f t="shared" si="42"/>
        <v>0</v>
      </c>
      <c r="X144" s="54">
        <f t="shared" si="43"/>
        <v>0</v>
      </c>
      <c r="AJ144" s="20" t="b">
        <f t="shared" si="30"/>
        <v>0</v>
      </c>
      <c r="AK144" s="20" t="b">
        <f t="shared" si="31"/>
        <v>0</v>
      </c>
      <c r="AL144" s="20" t="b">
        <f t="shared" si="32"/>
        <v>0</v>
      </c>
      <c r="AM144" s="20" t="b">
        <f t="shared" si="33"/>
        <v>0</v>
      </c>
      <c r="AN144" s="20" t="b">
        <f t="shared" si="34"/>
        <v>0</v>
      </c>
      <c r="AO144" s="20" t="b">
        <f t="shared" si="35"/>
        <v>0</v>
      </c>
      <c r="AP144" s="20" t="b">
        <f t="shared" si="36"/>
        <v>0</v>
      </c>
      <c r="AQ144" s="20" t="b">
        <f t="shared" si="37"/>
        <v>0</v>
      </c>
      <c r="AR144" s="20" t="b">
        <f t="shared" si="38"/>
        <v>0</v>
      </c>
      <c r="AS144" s="20" t="b">
        <f t="shared" si="39"/>
        <v>0</v>
      </c>
      <c r="AT144" s="20" t="b">
        <f t="shared" si="40"/>
        <v>0</v>
      </c>
      <c r="AU144" s="20" t="b">
        <f t="shared" si="41"/>
        <v>0</v>
      </c>
    </row>
    <row r="145" spans="1:47">
      <c r="A145" s="20">
        <f t="shared" si="44"/>
        <v>2</v>
      </c>
      <c r="B145" s="564"/>
      <c r="C145" s="564"/>
      <c r="D145" s="564"/>
      <c r="E145" s="564"/>
      <c r="F145" s="568"/>
      <c r="G145" s="568"/>
      <c r="H145" s="564"/>
      <c r="I145" s="568"/>
      <c r="J145" s="564"/>
      <c r="K145" s="564"/>
      <c r="L145" s="569"/>
      <c r="M145" s="569"/>
      <c r="N145" s="569"/>
      <c r="O145" s="570"/>
      <c r="P145" s="564"/>
      <c r="Q145" s="564"/>
      <c r="R145" s="569"/>
      <c r="S145" s="569"/>
      <c r="T145" s="564"/>
      <c r="U145" s="564"/>
      <c r="V145" s="564"/>
      <c r="W145" s="54">
        <f t="shared" si="42"/>
        <v>0</v>
      </c>
      <c r="X145" s="54">
        <f t="shared" si="43"/>
        <v>0</v>
      </c>
      <c r="AJ145" s="20" t="b">
        <f t="shared" si="30"/>
        <v>0</v>
      </c>
      <c r="AK145" s="20" t="b">
        <f t="shared" si="31"/>
        <v>0</v>
      </c>
      <c r="AL145" s="20" t="b">
        <f t="shared" si="32"/>
        <v>0</v>
      </c>
      <c r="AM145" s="20" t="b">
        <f t="shared" si="33"/>
        <v>0</v>
      </c>
      <c r="AN145" s="20" t="b">
        <f t="shared" si="34"/>
        <v>0</v>
      </c>
      <c r="AO145" s="20" t="b">
        <f t="shared" si="35"/>
        <v>0</v>
      </c>
      <c r="AP145" s="20" t="b">
        <f t="shared" si="36"/>
        <v>0</v>
      </c>
      <c r="AQ145" s="20" t="b">
        <f t="shared" si="37"/>
        <v>0</v>
      </c>
      <c r="AR145" s="20" t="b">
        <f t="shared" si="38"/>
        <v>0</v>
      </c>
      <c r="AS145" s="20" t="b">
        <f t="shared" si="39"/>
        <v>0</v>
      </c>
      <c r="AT145" s="20" t="b">
        <f t="shared" si="40"/>
        <v>0</v>
      </c>
      <c r="AU145" s="20" t="b">
        <f t="shared" si="41"/>
        <v>0</v>
      </c>
    </row>
    <row r="146" spans="1:47">
      <c r="A146" s="20">
        <f t="shared" si="44"/>
        <v>2</v>
      </c>
      <c r="B146" s="564"/>
      <c r="C146" s="564"/>
      <c r="D146" s="564"/>
      <c r="E146" s="564"/>
      <c r="F146" s="568"/>
      <c r="G146" s="568"/>
      <c r="H146" s="564"/>
      <c r="I146" s="568"/>
      <c r="J146" s="564"/>
      <c r="K146" s="564"/>
      <c r="L146" s="569"/>
      <c r="M146" s="569"/>
      <c r="N146" s="569"/>
      <c r="O146" s="570"/>
      <c r="P146" s="564"/>
      <c r="Q146" s="564"/>
      <c r="R146" s="569"/>
      <c r="S146" s="569"/>
      <c r="T146" s="564"/>
      <c r="U146" s="564"/>
      <c r="V146" s="564"/>
      <c r="W146" s="54">
        <f t="shared" si="42"/>
        <v>0</v>
      </c>
      <c r="X146" s="54">
        <f t="shared" si="43"/>
        <v>0</v>
      </c>
      <c r="AJ146" s="20" t="b">
        <f t="shared" si="30"/>
        <v>0</v>
      </c>
      <c r="AK146" s="20" t="b">
        <f t="shared" si="31"/>
        <v>0</v>
      </c>
      <c r="AL146" s="20" t="b">
        <f t="shared" si="32"/>
        <v>0</v>
      </c>
      <c r="AM146" s="20" t="b">
        <f t="shared" si="33"/>
        <v>0</v>
      </c>
      <c r="AN146" s="20" t="b">
        <f t="shared" si="34"/>
        <v>0</v>
      </c>
      <c r="AO146" s="20" t="b">
        <f t="shared" si="35"/>
        <v>0</v>
      </c>
      <c r="AP146" s="20" t="b">
        <f t="shared" si="36"/>
        <v>0</v>
      </c>
      <c r="AQ146" s="20" t="b">
        <f t="shared" si="37"/>
        <v>0</v>
      </c>
      <c r="AR146" s="20" t="b">
        <f t="shared" si="38"/>
        <v>0</v>
      </c>
      <c r="AS146" s="20" t="b">
        <f t="shared" si="39"/>
        <v>0</v>
      </c>
      <c r="AT146" s="20" t="b">
        <f t="shared" si="40"/>
        <v>0</v>
      </c>
      <c r="AU146" s="20" t="b">
        <f t="shared" si="41"/>
        <v>0</v>
      </c>
    </row>
    <row r="147" spans="1:47">
      <c r="A147" s="20">
        <f t="shared" si="44"/>
        <v>2</v>
      </c>
      <c r="B147" s="564"/>
      <c r="C147" s="564"/>
      <c r="D147" s="564"/>
      <c r="E147" s="564"/>
      <c r="F147" s="568"/>
      <c r="G147" s="568"/>
      <c r="H147" s="564"/>
      <c r="I147" s="568"/>
      <c r="J147" s="564"/>
      <c r="K147" s="564"/>
      <c r="L147" s="569"/>
      <c r="M147" s="569"/>
      <c r="N147" s="569"/>
      <c r="O147" s="570"/>
      <c r="P147" s="564"/>
      <c r="Q147" s="564"/>
      <c r="R147" s="569"/>
      <c r="S147" s="569"/>
      <c r="T147" s="564"/>
      <c r="U147" s="564"/>
      <c r="V147" s="564"/>
      <c r="W147" s="54">
        <f t="shared" si="42"/>
        <v>0</v>
      </c>
      <c r="X147" s="54">
        <f t="shared" si="43"/>
        <v>0</v>
      </c>
      <c r="AJ147" s="20" t="b">
        <f t="shared" si="30"/>
        <v>0</v>
      </c>
      <c r="AK147" s="20" t="b">
        <f t="shared" si="31"/>
        <v>0</v>
      </c>
      <c r="AL147" s="20" t="b">
        <f t="shared" si="32"/>
        <v>0</v>
      </c>
      <c r="AM147" s="20" t="b">
        <f t="shared" si="33"/>
        <v>0</v>
      </c>
      <c r="AN147" s="20" t="b">
        <f t="shared" si="34"/>
        <v>0</v>
      </c>
      <c r="AO147" s="20" t="b">
        <f t="shared" si="35"/>
        <v>0</v>
      </c>
      <c r="AP147" s="20" t="b">
        <f t="shared" si="36"/>
        <v>0</v>
      </c>
      <c r="AQ147" s="20" t="b">
        <f t="shared" si="37"/>
        <v>0</v>
      </c>
      <c r="AR147" s="20" t="b">
        <f t="shared" si="38"/>
        <v>0</v>
      </c>
      <c r="AS147" s="20" t="b">
        <f t="shared" si="39"/>
        <v>0</v>
      </c>
      <c r="AT147" s="20" t="b">
        <f t="shared" si="40"/>
        <v>0</v>
      </c>
      <c r="AU147" s="20" t="b">
        <f t="shared" si="41"/>
        <v>0</v>
      </c>
    </row>
    <row r="148" spans="1:47">
      <c r="A148" s="20">
        <f t="shared" si="44"/>
        <v>2</v>
      </c>
      <c r="B148" s="564"/>
      <c r="C148" s="564"/>
      <c r="D148" s="564"/>
      <c r="E148" s="564"/>
      <c r="F148" s="568"/>
      <c r="G148" s="568"/>
      <c r="H148" s="564"/>
      <c r="I148" s="568"/>
      <c r="J148" s="564"/>
      <c r="K148" s="564"/>
      <c r="L148" s="569"/>
      <c r="M148" s="569"/>
      <c r="N148" s="569"/>
      <c r="O148" s="570"/>
      <c r="P148" s="564"/>
      <c r="Q148" s="564"/>
      <c r="R148" s="569"/>
      <c r="S148" s="569"/>
      <c r="T148" s="564"/>
      <c r="U148" s="564"/>
      <c r="V148" s="564"/>
      <c r="W148" s="54">
        <f t="shared" si="42"/>
        <v>0</v>
      </c>
      <c r="X148" s="54">
        <f t="shared" si="43"/>
        <v>0</v>
      </c>
      <c r="AJ148" s="20" t="b">
        <f t="shared" si="30"/>
        <v>0</v>
      </c>
      <c r="AK148" s="20" t="b">
        <f t="shared" si="31"/>
        <v>0</v>
      </c>
      <c r="AL148" s="20" t="b">
        <f t="shared" si="32"/>
        <v>0</v>
      </c>
      <c r="AM148" s="20" t="b">
        <f t="shared" si="33"/>
        <v>0</v>
      </c>
      <c r="AN148" s="20" t="b">
        <f t="shared" si="34"/>
        <v>0</v>
      </c>
      <c r="AO148" s="20" t="b">
        <f t="shared" si="35"/>
        <v>0</v>
      </c>
      <c r="AP148" s="20" t="b">
        <f t="shared" si="36"/>
        <v>0</v>
      </c>
      <c r="AQ148" s="20" t="b">
        <f t="shared" si="37"/>
        <v>0</v>
      </c>
      <c r="AR148" s="20" t="b">
        <f t="shared" si="38"/>
        <v>0</v>
      </c>
      <c r="AS148" s="20" t="b">
        <f t="shared" si="39"/>
        <v>0</v>
      </c>
      <c r="AT148" s="20" t="b">
        <f t="shared" si="40"/>
        <v>0</v>
      </c>
      <c r="AU148" s="20" t="b">
        <f t="shared" si="41"/>
        <v>0</v>
      </c>
    </row>
    <row r="149" spans="1:47">
      <c r="A149" s="20">
        <f t="shared" si="44"/>
        <v>2</v>
      </c>
      <c r="B149" s="564"/>
      <c r="C149" s="564"/>
      <c r="D149" s="564"/>
      <c r="E149" s="564"/>
      <c r="F149" s="568"/>
      <c r="G149" s="568"/>
      <c r="H149" s="564"/>
      <c r="I149" s="568"/>
      <c r="J149" s="564"/>
      <c r="K149" s="564"/>
      <c r="L149" s="569"/>
      <c r="M149" s="569"/>
      <c r="N149" s="569"/>
      <c r="O149" s="570"/>
      <c r="P149" s="564"/>
      <c r="Q149" s="564"/>
      <c r="R149" s="569"/>
      <c r="S149" s="569"/>
      <c r="T149" s="564"/>
      <c r="U149" s="564"/>
      <c r="V149" s="564"/>
      <c r="W149" s="54">
        <f t="shared" si="42"/>
        <v>0</v>
      </c>
      <c r="X149" s="54">
        <f t="shared" si="43"/>
        <v>0</v>
      </c>
      <c r="AJ149" s="20" t="b">
        <f t="shared" si="30"/>
        <v>0</v>
      </c>
      <c r="AK149" s="20" t="b">
        <f t="shared" si="31"/>
        <v>0</v>
      </c>
      <c r="AL149" s="20" t="b">
        <f t="shared" si="32"/>
        <v>0</v>
      </c>
      <c r="AM149" s="20" t="b">
        <f t="shared" si="33"/>
        <v>0</v>
      </c>
      <c r="AN149" s="20" t="b">
        <f t="shared" si="34"/>
        <v>0</v>
      </c>
      <c r="AO149" s="20" t="b">
        <f t="shared" si="35"/>
        <v>0</v>
      </c>
      <c r="AP149" s="20" t="b">
        <f t="shared" si="36"/>
        <v>0</v>
      </c>
      <c r="AQ149" s="20" t="b">
        <f t="shared" si="37"/>
        <v>0</v>
      </c>
      <c r="AR149" s="20" t="b">
        <f t="shared" si="38"/>
        <v>0</v>
      </c>
      <c r="AS149" s="20" t="b">
        <f t="shared" si="39"/>
        <v>0</v>
      </c>
      <c r="AT149" s="20" t="b">
        <f t="shared" si="40"/>
        <v>0</v>
      </c>
      <c r="AU149" s="20" t="b">
        <f t="shared" si="41"/>
        <v>0</v>
      </c>
    </row>
    <row r="150" spans="1:47">
      <c r="A150" s="20">
        <f t="shared" si="44"/>
        <v>2</v>
      </c>
      <c r="B150" s="564"/>
      <c r="C150" s="564"/>
      <c r="D150" s="564"/>
      <c r="E150" s="564"/>
      <c r="F150" s="568"/>
      <c r="G150" s="568"/>
      <c r="H150" s="564"/>
      <c r="I150" s="568"/>
      <c r="J150" s="564"/>
      <c r="K150" s="564"/>
      <c r="L150" s="569"/>
      <c r="M150" s="569"/>
      <c r="N150" s="569"/>
      <c r="O150" s="570"/>
      <c r="P150" s="564"/>
      <c r="Q150" s="564"/>
      <c r="R150" s="569"/>
      <c r="S150" s="569"/>
      <c r="T150" s="564"/>
      <c r="U150" s="564"/>
      <c r="V150" s="564"/>
      <c r="W150" s="54">
        <f t="shared" si="42"/>
        <v>0</v>
      </c>
      <c r="X150" s="54">
        <f t="shared" si="43"/>
        <v>0</v>
      </c>
      <c r="AJ150" s="20" t="b">
        <f t="shared" si="30"/>
        <v>0</v>
      </c>
      <c r="AK150" s="20" t="b">
        <f t="shared" si="31"/>
        <v>0</v>
      </c>
      <c r="AL150" s="20" t="b">
        <f t="shared" si="32"/>
        <v>0</v>
      </c>
      <c r="AM150" s="20" t="b">
        <f t="shared" si="33"/>
        <v>0</v>
      </c>
      <c r="AN150" s="20" t="b">
        <f t="shared" si="34"/>
        <v>0</v>
      </c>
      <c r="AO150" s="20" t="b">
        <f t="shared" si="35"/>
        <v>0</v>
      </c>
      <c r="AP150" s="20" t="b">
        <f t="shared" si="36"/>
        <v>0</v>
      </c>
      <c r="AQ150" s="20" t="b">
        <f t="shared" si="37"/>
        <v>0</v>
      </c>
      <c r="AR150" s="20" t="b">
        <f t="shared" si="38"/>
        <v>0</v>
      </c>
      <c r="AS150" s="20" t="b">
        <f t="shared" si="39"/>
        <v>0</v>
      </c>
      <c r="AT150" s="20" t="b">
        <f t="shared" si="40"/>
        <v>0</v>
      </c>
      <c r="AU150" s="20" t="b">
        <f t="shared" si="41"/>
        <v>0</v>
      </c>
    </row>
    <row r="151" spans="1:47">
      <c r="A151" s="20">
        <f t="shared" si="44"/>
        <v>2</v>
      </c>
      <c r="B151" s="564"/>
      <c r="C151" s="564"/>
      <c r="D151" s="564"/>
      <c r="E151" s="564"/>
      <c r="F151" s="568"/>
      <c r="G151" s="568"/>
      <c r="H151" s="564"/>
      <c r="I151" s="568"/>
      <c r="J151" s="564"/>
      <c r="K151" s="564"/>
      <c r="L151" s="569"/>
      <c r="M151" s="569"/>
      <c r="N151" s="569"/>
      <c r="O151" s="570"/>
      <c r="P151" s="564"/>
      <c r="Q151" s="564"/>
      <c r="R151" s="569"/>
      <c r="S151" s="569"/>
      <c r="T151" s="564"/>
      <c r="U151" s="564"/>
      <c r="V151" s="564"/>
      <c r="W151" s="54">
        <f t="shared" si="42"/>
        <v>0</v>
      </c>
      <c r="X151" s="54">
        <f t="shared" si="43"/>
        <v>0</v>
      </c>
      <c r="AJ151" s="20" t="b">
        <f t="shared" si="30"/>
        <v>0</v>
      </c>
      <c r="AK151" s="20" t="b">
        <f t="shared" si="31"/>
        <v>0</v>
      </c>
      <c r="AL151" s="20" t="b">
        <f t="shared" si="32"/>
        <v>0</v>
      </c>
      <c r="AM151" s="20" t="b">
        <f t="shared" si="33"/>
        <v>0</v>
      </c>
      <c r="AN151" s="20" t="b">
        <f t="shared" si="34"/>
        <v>0</v>
      </c>
      <c r="AO151" s="20" t="b">
        <f t="shared" si="35"/>
        <v>0</v>
      </c>
      <c r="AP151" s="20" t="b">
        <f t="shared" si="36"/>
        <v>0</v>
      </c>
      <c r="AQ151" s="20" t="b">
        <f t="shared" si="37"/>
        <v>0</v>
      </c>
      <c r="AR151" s="20" t="b">
        <f t="shared" si="38"/>
        <v>0</v>
      </c>
      <c r="AS151" s="20" t="b">
        <f t="shared" si="39"/>
        <v>0</v>
      </c>
      <c r="AT151" s="20" t="b">
        <f t="shared" si="40"/>
        <v>0</v>
      </c>
      <c r="AU151" s="20" t="b">
        <f t="shared" si="41"/>
        <v>0</v>
      </c>
    </row>
    <row r="152" spans="1:47">
      <c r="A152" s="20">
        <f t="shared" si="44"/>
        <v>2</v>
      </c>
      <c r="B152" s="564"/>
      <c r="C152" s="564"/>
      <c r="D152" s="564"/>
      <c r="E152" s="564"/>
      <c r="F152" s="568"/>
      <c r="G152" s="568"/>
      <c r="H152" s="564"/>
      <c r="I152" s="568"/>
      <c r="J152" s="564"/>
      <c r="K152" s="564"/>
      <c r="L152" s="569"/>
      <c r="M152" s="569"/>
      <c r="N152" s="569"/>
      <c r="O152" s="570"/>
      <c r="P152" s="564"/>
      <c r="Q152" s="564"/>
      <c r="R152" s="569"/>
      <c r="S152" s="569"/>
      <c r="T152" s="564"/>
      <c r="U152" s="564"/>
      <c r="V152" s="564"/>
      <c r="W152" s="54">
        <f t="shared" si="42"/>
        <v>0</v>
      </c>
      <c r="X152" s="54">
        <f t="shared" si="43"/>
        <v>0</v>
      </c>
      <c r="AJ152" s="20" t="b">
        <f t="shared" si="30"/>
        <v>0</v>
      </c>
      <c r="AK152" s="20" t="b">
        <f t="shared" si="31"/>
        <v>0</v>
      </c>
      <c r="AL152" s="20" t="b">
        <f t="shared" si="32"/>
        <v>0</v>
      </c>
      <c r="AM152" s="20" t="b">
        <f t="shared" si="33"/>
        <v>0</v>
      </c>
      <c r="AN152" s="20" t="b">
        <f t="shared" si="34"/>
        <v>0</v>
      </c>
      <c r="AO152" s="20" t="b">
        <f t="shared" si="35"/>
        <v>0</v>
      </c>
      <c r="AP152" s="20" t="b">
        <f t="shared" si="36"/>
        <v>0</v>
      </c>
      <c r="AQ152" s="20" t="b">
        <f t="shared" si="37"/>
        <v>0</v>
      </c>
      <c r="AR152" s="20" t="b">
        <f t="shared" si="38"/>
        <v>0</v>
      </c>
      <c r="AS152" s="20" t="b">
        <f t="shared" si="39"/>
        <v>0</v>
      </c>
      <c r="AT152" s="20" t="b">
        <f t="shared" si="40"/>
        <v>0</v>
      </c>
      <c r="AU152" s="20" t="b">
        <f t="shared" si="41"/>
        <v>0</v>
      </c>
    </row>
    <row r="153" spans="1:47">
      <c r="A153" s="20">
        <f t="shared" si="44"/>
        <v>2</v>
      </c>
      <c r="B153" s="564"/>
      <c r="C153" s="564"/>
      <c r="D153" s="564"/>
      <c r="E153" s="564"/>
      <c r="F153" s="568"/>
      <c r="G153" s="568"/>
      <c r="H153" s="564"/>
      <c r="I153" s="568"/>
      <c r="J153" s="564"/>
      <c r="K153" s="564"/>
      <c r="L153" s="569"/>
      <c r="M153" s="569"/>
      <c r="N153" s="569"/>
      <c r="O153" s="570"/>
      <c r="P153" s="564"/>
      <c r="Q153" s="564"/>
      <c r="R153" s="569"/>
      <c r="S153" s="569"/>
      <c r="T153" s="564"/>
      <c r="U153" s="564"/>
      <c r="V153" s="564"/>
      <c r="W153" s="54">
        <f t="shared" si="42"/>
        <v>0</v>
      </c>
      <c r="X153" s="54">
        <f t="shared" si="43"/>
        <v>0</v>
      </c>
      <c r="AJ153" s="20" t="b">
        <f t="shared" si="30"/>
        <v>0</v>
      </c>
      <c r="AK153" s="20" t="b">
        <f t="shared" si="31"/>
        <v>0</v>
      </c>
      <c r="AL153" s="20" t="b">
        <f t="shared" si="32"/>
        <v>0</v>
      </c>
      <c r="AM153" s="20" t="b">
        <f t="shared" si="33"/>
        <v>0</v>
      </c>
      <c r="AN153" s="20" t="b">
        <f t="shared" si="34"/>
        <v>0</v>
      </c>
      <c r="AO153" s="20" t="b">
        <f t="shared" si="35"/>
        <v>0</v>
      </c>
      <c r="AP153" s="20" t="b">
        <f t="shared" si="36"/>
        <v>0</v>
      </c>
      <c r="AQ153" s="20" t="b">
        <f t="shared" si="37"/>
        <v>0</v>
      </c>
      <c r="AR153" s="20" t="b">
        <f t="shared" si="38"/>
        <v>0</v>
      </c>
      <c r="AS153" s="20" t="b">
        <f t="shared" si="39"/>
        <v>0</v>
      </c>
      <c r="AT153" s="20" t="b">
        <f t="shared" si="40"/>
        <v>0</v>
      </c>
      <c r="AU153" s="20" t="b">
        <f t="shared" si="41"/>
        <v>0</v>
      </c>
    </row>
    <row r="154" spans="1:47">
      <c r="A154" s="20">
        <f t="shared" si="44"/>
        <v>2</v>
      </c>
      <c r="B154" s="564"/>
      <c r="C154" s="564"/>
      <c r="D154" s="564"/>
      <c r="E154" s="564"/>
      <c r="F154" s="568"/>
      <c r="G154" s="568"/>
      <c r="H154" s="564"/>
      <c r="I154" s="568"/>
      <c r="J154" s="564"/>
      <c r="K154" s="564"/>
      <c r="L154" s="569"/>
      <c r="M154" s="569"/>
      <c r="N154" s="569"/>
      <c r="O154" s="570"/>
      <c r="P154" s="564"/>
      <c r="Q154" s="564"/>
      <c r="R154" s="569"/>
      <c r="S154" s="569"/>
      <c r="T154" s="564"/>
      <c r="U154" s="564"/>
      <c r="V154" s="564"/>
      <c r="W154" s="54">
        <f t="shared" si="42"/>
        <v>0</v>
      </c>
      <c r="X154" s="54">
        <f t="shared" si="43"/>
        <v>0</v>
      </c>
      <c r="AJ154" s="20" t="b">
        <f t="shared" si="30"/>
        <v>0</v>
      </c>
      <c r="AK154" s="20" t="b">
        <f t="shared" si="31"/>
        <v>0</v>
      </c>
      <c r="AL154" s="20" t="b">
        <f t="shared" si="32"/>
        <v>0</v>
      </c>
      <c r="AM154" s="20" t="b">
        <f t="shared" si="33"/>
        <v>0</v>
      </c>
      <c r="AN154" s="20" t="b">
        <f t="shared" si="34"/>
        <v>0</v>
      </c>
      <c r="AO154" s="20" t="b">
        <f t="shared" si="35"/>
        <v>0</v>
      </c>
      <c r="AP154" s="20" t="b">
        <f t="shared" si="36"/>
        <v>0</v>
      </c>
      <c r="AQ154" s="20" t="b">
        <f t="shared" si="37"/>
        <v>0</v>
      </c>
      <c r="AR154" s="20" t="b">
        <f t="shared" si="38"/>
        <v>0</v>
      </c>
      <c r="AS154" s="20" t="b">
        <f t="shared" si="39"/>
        <v>0</v>
      </c>
      <c r="AT154" s="20" t="b">
        <f t="shared" si="40"/>
        <v>0</v>
      </c>
      <c r="AU154" s="20" t="b">
        <f t="shared" si="41"/>
        <v>0</v>
      </c>
    </row>
    <row r="155" spans="1:47">
      <c r="A155" s="20">
        <f t="shared" si="44"/>
        <v>2</v>
      </c>
      <c r="B155" s="564"/>
      <c r="C155" s="564"/>
      <c r="D155" s="564"/>
      <c r="E155" s="564"/>
      <c r="F155" s="568"/>
      <c r="G155" s="568"/>
      <c r="H155" s="564"/>
      <c r="I155" s="568"/>
      <c r="J155" s="564"/>
      <c r="K155" s="564"/>
      <c r="L155" s="569"/>
      <c r="M155" s="569"/>
      <c r="N155" s="569"/>
      <c r="O155" s="570"/>
      <c r="P155" s="564"/>
      <c r="Q155" s="564"/>
      <c r="R155" s="569"/>
      <c r="S155" s="569"/>
      <c r="T155" s="564"/>
      <c r="U155" s="564"/>
      <c r="V155" s="564"/>
      <c r="W155" s="54">
        <f t="shared" si="42"/>
        <v>0</v>
      </c>
      <c r="X155" s="54">
        <f t="shared" si="43"/>
        <v>0</v>
      </c>
      <c r="AJ155" s="20" t="b">
        <f t="shared" si="30"/>
        <v>0</v>
      </c>
      <c r="AK155" s="20" t="b">
        <f t="shared" si="31"/>
        <v>0</v>
      </c>
      <c r="AL155" s="20" t="b">
        <f t="shared" si="32"/>
        <v>0</v>
      </c>
      <c r="AM155" s="20" t="b">
        <f t="shared" si="33"/>
        <v>0</v>
      </c>
      <c r="AN155" s="20" t="b">
        <f t="shared" si="34"/>
        <v>0</v>
      </c>
      <c r="AO155" s="20" t="b">
        <f t="shared" si="35"/>
        <v>0</v>
      </c>
      <c r="AP155" s="20" t="b">
        <f t="shared" si="36"/>
        <v>0</v>
      </c>
      <c r="AQ155" s="20" t="b">
        <f t="shared" si="37"/>
        <v>0</v>
      </c>
      <c r="AR155" s="20" t="b">
        <f t="shared" si="38"/>
        <v>0</v>
      </c>
      <c r="AS155" s="20" t="b">
        <f t="shared" si="39"/>
        <v>0</v>
      </c>
      <c r="AT155" s="20" t="b">
        <f t="shared" si="40"/>
        <v>0</v>
      </c>
      <c r="AU155" s="20" t="b">
        <f t="shared" si="41"/>
        <v>0</v>
      </c>
    </row>
    <row r="156" spans="1:47">
      <c r="A156" s="20">
        <f t="shared" si="44"/>
        <v>2</v>
      </c>
      <c r="B156" s="564"/>
      <c r="C156" s="564"/>
      <c r="D156" s="564"/>
      <c r="E156" s="564"/>
      <c r="F156" s="568"/>
      <c r="G156" s="568"/>
      <c r="H156" s="564"/>
      <c r="I156" s="568"/>
      <c r="J156" s="564"/>
      <c r="K156" s="564"/>
      <c r="L156" s="569"/>
      <c r="M156" s="569"/>
      <c r="N156" s="569"/>
      <c r="O156" s="570"/>
      <c r="P156" s="564"/>
      <c r="Q156" s="564"/>
      <c r="R156" s="569"/>
      <c r="S156" s="569"/>
      <c r="T156" s="564"/>
      <c r="U156" s="564"/>
      <c r="V156" s="564"/>
      <c r="W156" s="54">
        <f t="shared" si="42"/>
        <v>0</v>
      </c>
      <c r="X156" s="54">
        <f t="shared" si="43"/>
        <v>0</v>
      </c>
      <c r="AJ156" s="20" t="b">
        <f t="shared" si="30"/>
        <v>0</v>
      </c>
      <c r="AK156" s="20" t="b">
        <f t="shared" si="31"/>
        <v>0</v>
      </c>
      <c r="AL156" s="20" t="b">
        <f t="shared" si="32"/>
        <v>0</v>
      </c>
      <c r="AM156" s="20" t="b">
        <f t="shared" si="33"/>
        <v>0</v>
      </c>
      <c r="AN156" s="20" t="b">
        <f t="shared" si="34"/>
        <v>0</v>
      </c>
      <c r="AO156" s="20" t="b">
        <f t="shared" si="35"/>
        <v>0</v>
      </c>
      <c r="AP156" s="20" t="b">
        <f t="shared" si="36"/>
        <v>0</v>
      </c>
      <c r="AQ156" s="20" t="b">
        <f t="shared" si="37"/>
        <v>0</v>
      </c>
      <c r="AR156" s="20" t="b">
        <f t="shared" si="38"/>
        <v>0</v>
      </c>
      <c r="AS156" s="20" t="b">
        <f t="shared" si="39"/>
        <v>0</v>
      </c>
      <c r="AT156" s="20" t="b">
        <f t="shared" si="40"/>
        <v>0</v>
      </c>
      <c r="AU156" s="20" t="b">
        <f t="shared" si="41"/>
        <v>0</v>
      </c>
    </row>
    <row r="157" spans="1:47">
      <c r="B157" s="564"/>
      <c r="C157" s="564"/>
      <c r="D157" s="564"/>
      <c r="E157" s="564"/>
      <c r="F157" s="568"/>
      <c r="G157" s="568"/>
      <c r="H157" s="564"/>
      <c r="I157" s="568"/>
      <c r="J157" s="564"/>
      <c r="K157" s="564"/>
      <c r="L157" s="569"/>
      <c r="M157" s="569"/>
      <c r="N157" s="569"/>
      <c r="O157" s="570"/>
      <c r="P157" s="564"/>
      <c r="Q157" s="564"/>
      <c r="R157" s="569"/>
      <c r="S157" s="569"/>
      <c r="T157" s="564"/>
      <c r="U157" s="564"/>
      <c r="V157" s="564"/>
      <c r="W157" s="54">
        <f t="shared" si="42"/>
        <v>0</v>
      </c>
      <c r="X157" s="54">
        <f t="shared" si="43"/>
        <v>0</v>
      </c>
      <c r="AJ157" s="20" t="b">
        <f t="shared" si="30"/>
        <v>0</v>
      </c>
      <c r="AK157" s="20" t="b">
        <f t="shared" si="31"/>
        <v>0</v>
      </c>
      <c r="AL157" s="20" t="b">
        <f t="shared" si="32"/>
        <v>0</v>
      </c>
      <c r="AM157" s="20" t="b">
        <f t="shared" si="33"/>
        <v>0</v>
      </c>
      <c r="AN157" s="20" t="b">
        <f t="shared" si="34"/>
        <v>0</v>
      </c>
      <c r="AO157" s="20" t="b">
        <f t="shared" si="35"/>
        <v>0</v>
      </c>
      <c r="AP157" s="20" t="b">
        <f t="shared" si="36"/>
        <v>0</v>
      </c>
      <c r="AQ157" s="20" t="b">
        <f t="shared" si="37"/>
        <v>0</v>
      </c>
      <c r="AR157" s="20" t="b">
        <f t="shared" si="38"/>
        <v>0</v>
      </c>
      <c r="AS157" s="20" t="b">
        <f t="shared" si="39"/>
        <v>0</v>
      </c>
      <c r="AT157" s="20" t="b">
        <f t="shared" si="40"/>
        <v>0</v>
      </c>
      <c r="AU157" s="20" t="b">
        <f t="shared" si="41"/>
        <v>0</v>
      </c>
    </row>
    <row r="158" spans="1:47">
      <c r="A158" s="20">
        <f>IF(F158=F156,A156,A156+1)</f>
        <v>2</v>
      </c>
      <c r="B158" s="564"/>
      <c r="C158" s="564"/>
      <c r="D158" s="564"/>
      <c r="E158" s="564"/>
      <c r="F158" s="568"/>
      <c r="G158" s="568"/>
      <c r="H158" s="564"/>
      <c r="I158" s="568"/>
      <c r="J158" s="564"/>
      <c r="K158" s="564"/>
      <c r="L158" s="569"/>
      <c r="M158" s="569"/>
      <c r="N158" s="569"/>
      <c r="O158" s="570"/>
      <c r="P158" s="564"/>
      <c r="Q158" s="564"/>
      <c r="R158" s="569"/>
      <c r="S158" s="569"/>
      <c r="T158" s="564"/>
      <c r="U158" s="564"/>
      <c r="V158" s="564"/>
      <c r="W158" s="54">
        <f t="shared" si="42"/>
        <v>0</v>
      </c>
      <c r="X158" s="54">
        <f t="shared" si="43"/>
        <v>0</v>
      </c>
      <c r="AJ158" s="20" t="b">
        <f t="shared" si="30"/>
        <v>0</v>
      </c>
      <c r="AK158" s="20" t="b">
        <f t="shared" si="31"/>
        <v>0</v>
      </c>
      <c r="AL158" s="20" t="b">
        <f t="shared" si="32"/>
        <v>0</v>
      </c>
      <c r="AM158" s="20" t="b">
        <f t="shared" si="33"/>
        <v>0</v>
      </c>
      <c r="AN158" s="20" t="b">
        <f t="shared" si="34"/>
        <v>0</v>
      </c>
      <c r="AO158" s="20" t="b">
        <f t="shared" si="35"/>
        <v>0</v>
      </c>
      <c r="AP158" s="20" t="b">
        <f t="shared" si="36"/>
        <v>0</v>
      </c>
      <c r="AQ158" s="20" t="b">
        <f t="shared" si="37"/>
        <v>0</v>
      </c>
      <c r="AR158" s="20" t="b">
        <f t="shared" si="38"/>
        <v>0</v>
      </c>
      <c r="AS158" s="20" t="b">
        <f t="shared" si="39"/>
        <v>0</v>
      </c>
      <c r="AT158" s="20" t="b">
        <f t="shared" si="40"/>
        <v>0</v>
      </c>
      <c r="AU158" s="20" t="b">
        <f t="shared" si="41"/>
        <v>0</v>
      </c>
    </row>
    <row r="159" spans="1:47">
      <c r="A159" s="20">
        <f t="shared" si="44"/>
        <v>2</v>
      </c>
      <c r="B159" s="564"/>
      <c r="C159" s="564"/>
      <c r="D159" s="564"/>
      <c r="E159" s="564"/>
      <c r="F159" s="568"/>
      <c r="G159" s="568"/>
      <c r="H159" s="564"/>
      <c r="I159" s="568"/>
      <c r="J159" s="564"/>
      <c r="K159" s="564"/>
      <c r="L159" s="569"/>
      <c r="M159" s="569"/>
      <c r="N159" s="569"/>
      <c r="O159" s="570"/>
      <c r="P159" s="564"/>
      <c r="Q159" s="564"/>
      <c r="R159" s="569"/>
      <c r="S159" s="569"/>
      <c r="T159" s="564"/>
      <c r="U159" s="564"/>
      <c r="V159" s="564"/>
      <c r="W159" s="54">
        <f t="shared" si="42"/>
        <v>0</v>
      </c>
      <c r="X159" s="54">
        <f t="shared" si="43"/>
        <v>0</v>
      </c>
      <c r="AJ159" s="20" t="b">
        <f t="shared" si="30"/>
        <v>0</v>
      </c>
      <c r="AK159" s="20" t="b">
        <f t="shared" si="31"/>
        <v>0</v>
      </c>
      <c r="AL159" s="20" t="b">
        <f t="shared" si="32"/>
        <v>0</v>
      </c>
      <c r="AM159" s="20" t="b">
        <f t="shared" si="33"/>
        <v>0</v>
      </c>
      <c r="AN159" s="20" t="b">
        <f t="shared" si="34"/>
        <v>0</v>
      </c>
      <c r="AO159" s="20" t="b">
        <f t="shared" si="35"/>
        <v>0</v>
      </c>
      <c r="AP159" s="20" t="b">
        <f t="shared" si="36"/>
        <v>0</v>
      </c>
      <c r="AQ159" s="20" t="b">
        <f t="shared" si="37"/>
        <v>0</v>
      </c>
      <c r="AR159" s="20" t="b">
        <f t="shared" si="38"/>
        <v>0</v>
      </c>
      <c r="AS159" s="20" t="b">
        <f t="shared" si="39"/>
        <v>0</v>
      </c>
      <c r="AT159" s="20" t="b">
        <f t="shared" si="40"/>
        <v>0</v>
      </c>
      <c r="AU159" s="20" t="b">
        <f t="shared" si="41"/>
        <v>0</v>
      </c>
    </row>
    <row r="160" spans="1:47">
      <c r="A160" s="20">
        <f t="shared" si="44"/>
        <v>2</v>
      </c>
      <c r="B160" s="564"/>
      <c r="C160" s="564"/>
      <c r="D160" s="564"/>
      <c r="E160" s="564"/>
      <c r="F160" s="568"/>
      <c r="G160" s="568"/>
      <c r="H160" s="564"/>
      <c r="I160" s="568"/>
      <c r="J160" s="564"/>
      <c r="K160" s="564"/>
      <c r="L160" s="569"/>
      <c r="M160" s="569"/>
      <c r="N160" s="569"/>
      <c r="O160" s="570"/>
      <c r="P160" s="564"/>
      <c r="Q160" s="564"/>
      <c r="R160" s="569"/>
      <c r="S160" s="569"/>
      <c r="T160" s="564"/>
      <c r="U160" s="564"/>
      <c r="V160" s="564"/>
      <c r="W160" s="54">
        <f t="shared" si="42"/>
        <v>0</v>
      </c>
      <c r="X160" s="54">
        <f t="shared" si="43"/>
        <v>0</v>
      </c>
      <c r="AJ160" s="20" t="b">
        <f t="shared" si="30"/>
        <v>0</v>
      </c>
      <c r="AK160" s="20" t="b">
        <f t="shared" si="31"/>
        <v>0</v>
      </c>
      <c r="AL160" s="20" t="b">
        <f t="shared" si="32"/>
        <v>0</v>
      </c>
      <c r="AM160" s="20" t="b">
        <f t="shared" si="33"/>
        <v>0</v>
      </c>
      <c r="AN160" s="20" t="b">
        <f t="shared" si="34"/>
        <v>0</v>
      </c>
      <c r="AO160" s="20" t="b">
        <f t="shared" si="35"/>
        <v>0</v>
      </c>
      <c r="AP160" s="20" t="b">
        <f t="shared" si="36"/>
        <v>0</v>
      </c>
      <c r="AQ160" s="20" t="b">
        <f t="shared" si="37"/>
        <v>0</v>
      </c>
      <c r="AR160" s="20" t="b">
        <f t="shared" si="38"/>
        <v>0</v>
      </c>
      <c r="AS160" s="20" t="b">
        <f t="shared" si="39"/>
        <v>0</v>
      </c>
      <c r="AT160" s="20" t="b">
        <f t="shared" si="40"/>
        <v>0</v>
      </c>
      <c r="AU160" s="20" t="b">
        <f t="shared" si="41"/>
        <v>0</v>
      </c>
    </row>
    <row r="161" spans="1:47">
      <c r="A161" s="20">
        <f t="shared" si="44"/>
        <v>2</v>
      </c>
      <c r="B161" s="564"/>
      <c r="C161" s="564"/>
      <c r="D161" s="564"/>
      <c r="E161" s="564"/>
      <c r="F161" s="568"/>
      <c r="G161" s="568"/>
      <c r="H161" s="564"/>
      <c r="I161" s="568"/>
      <c r="J161" s="564"/>
      <c r="K161" s="564"/>
      <c r="L161" s="569"/>
      <c r="M161" s="569"/>
      <c r="N161" s="569"/>
      <c r="O161" s="570"/>
      <c r="P161" s="564"/>
      <c r="Q161" s="564"/>
      <c r="R161" s="569"/>
      <c r="S161" s="569"/>
      <c r="T161" s="564"/>
      <c r="U161" s="564"/>
      <c r="V161" s="564"/>
      <c r="W161" s="54">
        <f t="shared" si="42"/>
        <v>0</v>
      </c>
      <c r="X161" s="54">
        <f t="shared" si="43"/>
        <v>0</v>
      </c>
      <c r="AJ161" s="20" t="b">
        <f t="shared" si="30"/>
        <v>0</v>
      </c>
      <c r="AK161" s="20" t="b">
        <f t="shared" si="31"/>
        <v>0</v>
      </c>
      <c r="AL161" s="20" t="b">
        <f t="shared" si="32"/>
        <v>0</v>
      </c>
      <c r="AM161" s="20" t="b">
        <f t="shared" si="33"/>
        <v>0</v>
      </c>
      <c r="AN161" s="20" t="b">
        <f t="shared" si="34"/>
        <v>0</v>
      </c>
      <c r="AO161" s="20" t="b">
        <f t="shared" si="35"/>
        <v>0</v>
      </c>
      <c r="AP161" s="20" t="b">
        <f t="shared" si="36"/>
        <v>0</v>
      </c>
      <c r="AQ161" s="20" t="b">
        <f t="shared" si="37"/>
        <v>0</v>
      </c>
      <c r="AR161" s="20" t="b">
        <f t="shared" si="38"/>
        <v>0</v>
      </c>
      <c r="AS161" s="20" t="b">
        <f t="shared" si="39"/>
        <v>0</v>
      </c>
      <c r="AT161" s="20" t="b">
        <f t="shared" si="40"/>
        <v>0</v>
      </c>
      <c r="AU161" s="20" t="b">
        <f t="shared" si="41"/>
        <v>0</v>
      </c>
    </row>
    <row r="162" spans="1:47">
      <c r="A162" s="20">
        <f t="shared" si="44"/>
        <v>2</v>
      </c>
      <c r="B162" s="564"/>
      <c r="C162" s="564"/>
      <c r="D162" s="564"/>
      <c r="E162" s="564"/>
      <c r="F162" s="568"/>
      <c r="G162" s="568"/>
      <c r="H162" s="564"/>
      <c r="I162" s="568"/>
      <c r="J162" s="564"/>
      <c r="K162" s="564"/>
      <c r="L162" s="569"/>
      <c r="M162" s="569"/>
      <c r="N162" s="569"/>
      <c r="O162" s="570"/>
      <c r="P162" s="564"/>
      <c r="Q162" s="564"/>
      <c r="R162" s="569"/>
      <c r="S162" s="569"/>
      <c r="T162" s="564"/>
      <c r="U162" s="564"/>
      <c r="V162" s="564"/>
      <c r="W162" s="54">
        <f t="shared" si="42"/>
        <v>0</v>
      </c>
      <c r="X162" s="54">
        <f t="shared" si="43"/>
        <v>0</v>
      </c>
      <c r="AJ162" s="20" t="b">
        <f t="shared" si="30"/>
        <v>0</v>
      </c>
      <c r="AK162" s="20" t="b">
        <f t="shared" si="31"/>
        <v>0</v>
      </c>
      <c r="AL162" s="20" t="b">
        <f t="shared" si="32"/>
        <v>0</v>
      </c>
      <c r="AM162" s="20" t="b">
        <f t="shared" si="33"/>
        <v>0</v>
      </c>
      <c r="AN162" s="20" t="b">
        <f t="shared" si="34"/>
        <v>0</v>
      </c>
      <c r="AO162" s="20" t="b">
        <f t="shared" si="35"/>
        <v>0</v>
      </c>
      <c r="AP162" s="20" t="b">
        <f t="shared" si="36"/>
        <v>0</v>
      </c>
      <c r="AQ162" s="20" t="b">
        <f t="shared" si="37"/>
        <v>0</v>
      </c>
      <c r="AR162" s="20" t="b">
        <f t="shared" si="38"/>
        <v>0</v>
      </c>
      <c r="AS162" s="20" t="b">
        <f t="shared" si="39"/>
        <v>0</v>
      </c>
      <c r="AT162" s="20" t="b">
        <f t="shared" si="40"/>
        <v>0</v>
      </c>
      <c r="AU162" s="20" t="b">
        <f t="shared" si="41"/>
        <v>0</v>
      </c>
    </row>
    <row r="163" spans="1:47">
      <c r="A163" s="20">
        <f t="shared" si="44"/>
        <v>2</v>
      </c>
      <c r="B163" s="564"/>
      <c r="C163" s="564"/>
      <c r="D163" s="564"/>
      <c r="E163" s="564"/>
      <c r="F163" s="568"/>
      <c r="G163" s="568"/>
      <c r="H163" s="564"/>
      <c r="I163" s="568"/>
      <c r="J163" s="564"/>
      <c r="K163" s="564"/>
      <c r="L163" s="569"/>
      <c r="M163" s="569"/>
      <c r="N163" s="569"/>
      <c r="O163" s="570"/>
      <c r="P163" s="564"/>
      <c r="Q163" s="564"/>
      <c r="R163" s="569"/>
      <c r="S163" s="569"/>
      <c r="T163" s="564"/>
      <c r="U163" s="564"/>
      <c r="V163" s="564"/>
      <c r="W163" s="54">
        <f t="shared" si="42"/>
        <v>0</v>
      </c>
      <c r="X163" s="54">
        <f t="shared" si="43"/>
        <v>0</v>
      </c>
      <c r="AJ163" s="20" t="b">
        <f t="shared" si="30"/>
        <v>0</v>
      </c>
      <c r="AK163" s="20" t="b">
        <f t="shared" si="31"/>
        <v>0</v>
      </c>
      <c r="AL163" s="20" t="b">
        <f t="shared" si="32"/>
        <v>0</v>
      </c>
      <c r="AM163" s="20" t="b">
        <f t="shared" si="33"/>
        <v>0</v>
      </c>
      <c r="AN163" s="20" t="b">
        <f t="shared" si="34"/>
        <v>0</v>
      </c>
      <c r="AO163" s="20" t="b">
        <f t="shared" si="35"/>
        <v>0</v>
      </c>
      <c r="AP163" s="20" t="b">
        <f t="shared" si="36"/>
        <v>0</v>
      </c>
      <c r="AQ163" s="20" t="b">
        <f t="shared" si="37"/>
        <v>0</v>
      </c>
      <c r="AR163" s="20" t="b">
        <f t="shared" si="38"/>
        <v>0</v>
      </c>
      <c r="AS163" s="20" t="b">
        <f t="shared" si="39"/>
        <v>0</v>
      </c>
      <c r="AT163" s="20" t="b">
        <f t="shared" si="40"/>
        <v>0</v>
      </c>
      <c r="AU163" s="20" t="b">
        <f t="shared" si="41"/>
        <v>0</v>
      </c>
    </row>
    <row r="164" spans="1:47">
      <c r="A164" s="20">
        <f t="shared" si="44"/>
        <v>2</v>
      </c>
      <c r="B164" s="564"/>
      <c r="C164" s="564"/>
      <c r="D164" s="564"/>
      <c r="E164" s="564"/>
      <c r="F164" s="568"/>
      <c r="G164" s="568"/>
      <c r="H164" s="564"/>
      <c r="I164" s="568"/>
      <c r="J164" s="564"/>
      <c r="K164" s="564"/>
      <c r="L164" s="569"/>
      <c r="M164" s="569"/>
      <c r="N164" s="569"/>
      <c r="O164" s="570"/>
      <c r="P164" s="564"/>
      <c r="Q164" s="564"/>
      <c r="R164" s="569"/>
      <c r="S164" s="569"/>
      <c r="T164" s="564"/>
      <c r="U164" s="564"/>
      <c r="V164" s="564"/>
      <c r="W164" s="54">
        <f t="shared" si="42"/>
        <v>0</v>
      </c>
      <c r="X164" s="54">
        <f t="shared" si="43"/>
        <v>0</v>
      </c>
      <c r="AJ164" s="20" t="b">
        <f t="shared" si="30"/>
        <v>0</v>
      </c>
      <c r="AK164" s="20" t="b">
        <f t="shared" si="31"/>
        <v>0</v>
      </c>
      <c r="AL164" s="20" t="b">
        <f t="shared" si="32"/>
        <v>0</v>
      </c>
      <c r="AM164" s="20" t="b">
        <f t="shared" si="33"/>
        <v>0</v>
      </c>
      <c r="AN164" s="20" t="b">
        <f t="shared" si="34"/>
        <v>0</v>
      </c>
      <c r="AO164" s="20" t="b">
        <f t="shared" si="35"/>
        <v>0</v>
      </c>
      <c r="AP164" s="20" t="b">
        <f t="shared" si="36"/>
        <v>0</v>
      </c>
      <c r="AQ164" s="20" t="b">
        <f t="shared" si="37"/>
        <v>0</v>
      </c>
      <c r="AR164" s="20" t="b">
        <f t="shared" si="38"/>
        <v>0</v>
      </c>
      <c r="AS164" s="20" t="b">
        <f t="shared" si="39"/>
        <v>0</v>
      </c>
      <c r="AT164" s="20" t="b">
        <f t="shared" si="40"/>
        <v>0</v>
      </c>
      <c r="AU164" s="20" t="b">
        <f t="shared" si="41"/>
        <v>0</v>
      </c>
    </row>
    <row r="165" spans="1:47">
      <c r="A165" s="20">
        <f t="shared" si="44"/>
        <v>2</v>
      </c>
      <c r="B165" s="564"/>
      <c r="C165" s="564"/>
      <c r="D165" s="564"/>
      <c r="E165" s="564"/>
      <c r="F165" s="568"/>
      <c r="G165" s="568"/>
      <c r="H165" s="564"/>
      <c r="I165" s="568"/>
      <c r="J165" s="564"/>
      <c r="K165" s="564"/>
      <c r="L165" s="569"/>
      <c r="M165" s="569"/>
      <c r="N165" s="569"/>
      <c r="O165" s="570"/>
      <c r="P165" s="564"/>
      <c r="Q165" s="564"/>
      <c r="R165" s="569"/>
      <c r="S165" s="569"/>
      <c r="T165" s="564"/>
      <c r="U165" s="564"/>
      <c r="V165" s="564"/>
      <c r="W165" s="54">
        <f t="shared" si="42"/>
        <v>0</v>
      </c>
      <c r="X165" s="54">
        <f t="shared" si="43"/>
        <v>0</v>
      </c>
      <c r="AJ165" s="20" t="b">
        <f t="shared" si="30"/>
        <v>0</v>
      </c>
      <c r="AK165" s="20" t="b">
        <f t="shared" si="31"/>
        <v>0</v>
      </c>
      <c r="AL165" s="20" t="b">
        <f t="shared" si="32"/>
        <v>0</v>
      </c>
      <c r="AM165" s="20" t="b">
        <f t="shared" si="33"/>
        <v>0</v>
      </c>
      <c r="AN165" s="20" t="b">
        <f t="shared" si="34"/>
        <v>0</v>
      </c>
      <c r="AO165" s="20" t="b">
        <f t="shared" si="35"/>
        <v>0</v>
      </c>
      <c r="AP165" s="20" t="b">
        <f t="shared" si="36"/>
        <v>0</v>
      </c>
      <c r="AQ165" s="20" t="b">
        <f t="shared" si="37"/>
        <v>0</v>
      </c>
      <c r="AR165" s="20" t="b">
        <f t="shared" si="38"/>
        <v>0</v>
      </c>
      <c r="AS165" s="20" t="b">
        <f t="shared" si="39"/>
        <v>0</v>
      </c>
      <c r="AT165" s="20" t="b">
        <f t="shared" si="40"/>
        <v>0</v>
      </c>
      <c r="AU165" s="20" t="b">
        <f t="shared" si="41"/>
        <v>0</v>
      </c>
    </row>
    <row r="166" spans="1:47">
      <c r="A166" s="20">
        <f t="shared" si="44"/>
        <v>2</v>
      </c>
      <c r="B166" s="564"/>
      <c r="C166" s="564"/>
      <c r="D166" s="564"/>
      <c r="E166" s="564"/>
      <c r="F166" s="568"/>
      <c r="G166" s="568"/>
      <c r="H166" s="564"/>
      <c r="I166" s="568"/>
      <c r="J166" s="564"/>
      <c r="K166" s="564"/>
      <c r="L166" s="569"/>
      <c r="M166" s="569"/>
      <c r="N166" s="569"/>
      <c r="O166" s="570"/>
      <c r="P166" s="564"/>
      <c r="Q166" s="564"/>
      <c r="R166" s="569"/>
      <c r="S166" s="569"/>
      <c r="T166" s="564"/>
      <c r="U166" s="564"/>
      <c r="V166" s="564"/>
      <c r="W166" s="54">
        <f t="shared" si="42"/>
        <v>0</v>
      </c>
      <c r="X166" s="54">
        <f t="shared" si="43"/>
        <v>0</v>
      </c>
      <c r="AJ166" s="20" t="b">
        <f t="shared" si="30"/>
        <v>0</v>
      </c>
      <c r="AK166" s="20" t="b">
        <f t="shared" si="31"/>
        <v>0</v>
      </c>
      <c r="AL166" s="20" t="b">
        <f t="shared" si="32"/>
        <v>0</v>
      </c>
      <c r="AM166" s="20" t="b">
        <f t="shared" si="33"/>
        <v>0</v>
      </c>
      <c r="AN166" s="20" t="b">
        <f t="shared" si="34"/>
        <v>0</v>
      </c>
      <c r="AO166" s="20" t="b">
        <f t="shared" si="35"/>
        <v>0</v>
      </c>
      <c r="AP166" s="20" t="b">
        <f t="shared" si="36"/>
        <v>0</v>
      </c>
      <c r="AQ166" s="20" t="b">
        <f t="shared" si="37"/>
        <v>0</v>
      </c>
      <c r="AR166" s="20" t="b">
        <f t="shared" si="38"/>
        <v>0</v>
      </c>
      <c r="AS166" s="20" t="b">
        <f t="shared" si="39"/>
        <v>0</v>
      </c>
      <c r="AT166" s="20" t="b">
        <f t="shared" si="40"/>
        <v>0</v>
      </c>
      <c r="AU166" s="20" t="b">
        <f t="shared" si="41"/>
        <v>0</v>
      </c>
    </row>
    <row r="167" spans="1:47">
      <c r="A167" s="20">
        <f t="shared" si="44"/>
        <v>2</v>
      </c>
      <c r="B167" s="564"/>
      <c r="C167" s="564"/>
      <c r="D167" s="564"/>
      <c r="E167" s="564"/>
      <c r="F167" s="568"/>
      <c r="G167" s="568"/>
      <c r="H167" s="564"/>
      <c r="I167" s="568"/>
      <c r="J167" s="564"/>
      <c r="K167" s="564"/>
      <c r="L167" s="569"/>
      <c r="M167" s="569"/>
      <c r="N167" s="569"/>
      <c r="O167" s="570"/>
      <c r="P167" s="564"/>
      <c r="Q167" s="564"/>
      <c r="R167" s="569"/>
      <c r="S167" s="569"/>
      <c r="T167" s="564"/>
      <c r="U167" s="564"/>
      <c r="V167" s="564"/>
      <c r="W167" s="54">
        <f t="shared" si="42"/>
        <v>0</v>
      </c>
      <c r="X167" s="54">
        <f t="shared" si="43"/>
        <v>0</v>
      </c>
      <c r="AJ167" s="20" t="b">
        <f t="shared" si="30"/>
        <v>0</v>
      </c>
      <c r="AK167" s="20" t="b">
        <f t="shared" si="31"/>
        <v>0</v>
      </c>
      <c r="AL167" s="20" t="b">
        <f t="shared" si="32"/>
        <v>0</v>
      </c>
      <c r="AM167" s="20" t="b">
        <f t="shared" si="33"/>
        <v>0</v>
      </c>
      <c r="AN167" s="20" t="b">
        <f t="shared" si="34"/>
        <v>0</v>
      </c>
      <c r="AO167" s="20" t="b">
        <f t="shared" si="35"/>
        <v>0</v>
      </c>
      <c r="AP167" s="20" t="b">
        <f t="shared" si="36"/>
        <v>0</v>
      </c>
      <c r="AQ167" s="20" t="b">
        <f t="shared" si="37"/>
        <v>0</v>
      </c>
      <c r="AR167" s="20" t="b">
        <f t="shared" si="38"/>
        <v>0</v>
      </c>
      <c r="AS167" s="20" t="b">
        <f t="shared" si="39"/>
        <v>0</v>
      </c>
      <c r="AT167" s="20" t="b">
        <f t="shared" si="40"/>
        <v>0</v>
      </c>
      <c r="AU167" s="20" t="b">
        <f t="shared" si="41"/>
        <v>0</v>
      </c>
    </row>
    <row r="168" spans="1:47">
      <c r="A168" s="20">
        <f t="shared" si="44"/>
        <v>2</v>
      </c>
      <c r="B168" s="564"/>
      <c r="C168" s="564"/>
      <c r="D168" s="564"/>
      <c r="E168" s="564"/>
      <c r="F168" s="568"/>
      <c r="G168" s="568"/>
      <c r="H168" s="564"/>
      <c r="I168" s="568"/>
      <c r="J168" s="564"/>
      <c r="K168" s="564"/>
      <c r="L168" s="569"/>
      <c r="M168" s="569"/>
      <c r="N168" s="569"/>
      <c r="O168" s="570"/>
      <c r="P168" s="564"/>
      <c r="Q168" s="564"/>
      <c r="R168" s="569"/>
      <c r="S168" s="569"/>
      <c r="T168" s="564"/>
      <c r="U168" s="564"/>
      <c r="V168" s="564"/>
      <c r="W168" s="54">
        <f t="shared" si="42"/>
        <v>0</v>
      </c>
      <c r="X168" s="54">
        <f t="shared" si="43"/>
        <v>0</v>
      </c>
      <c r="AJ168" s="20" t="b">
        <f t="shared" si="30"/>
        <v>0</v>
      </c>
      <c r="AK168" s="20" t="b">
        <f t="shared" si="31"/>
        <v>0</v>
      </c>
      <c r="AL168" s="20" t="b">
        <f t="shared" si="32"/>
        <v>0</v>
      </c>
      <c r="AM168" s="20" t="b">
        <f t="shared" si="33"/>
        <v>0</v>
      </c>
      <c r="AN168" s="20" t="b">
        <f t="shared" si="34"/>
        <v>0</v>
      </c>
      <c r="AO168" s="20" t="b">
        <f t="shared" si="35"/>
        <v>0</v>
      </c>
      <c r="AP168" s="20" t="b">
        <f t="shared" si="36"/>
        <v>0</v>
      </c>
      <c r="AQ168" s="20" t="b">
        <f t="shared" si="37"/>
        <v>0</v>
      </c>
      <c r="AR168" s="20" t="b">
        <f t="shared" si="38"/>
        <v>0</v>
      </c>
      <c r="AS168" s="20" t="b">
        <f t="shared" si="39"/>
        <v>0</v>
      </c>
      <c r="AT168" s="20" t="b">
        <f t="shared" si="40"/>
        <v>0</v>
      </c>
      <c r="AU168" s="20" t="b">
        <f t="shared" si="41"/>
        <v>0</v>
      </c>
    </row>
    <row r="169" spans="1:47">
      <c r="A169" s="20">
        <f t="shared" si="44"/>
        <v>2</v>
      </c>
      <c r="B169" s="564"/>
      <c r="C169" s="564"/>
      <c r="D169" s="564"/>
      <c r="E169" s="564"/>
      <c r="F169" s="568"/>
      <c r="G169" s="568"/>
      <c r="H169" s="564"/>
      <c r="I169" s="568"/>
      <c r="J169" s="564"/>
      <c r="K169" s="564"/>
      <c r="L169" s="569"/>
      <c r="M169" s="569"/>
      <c r="N169" s="569"/>
      <c r="O169" s="570"/>
      <c r="P169" s="564"/>
      <c r="Q169" s="564"/>
      <c r="R169" s="569"/>
      <c r="S169" s="569"/>
      <c r="T169" s="564"/>
      <c r="U169" s="564"/>
      <c r="V169" s="564"/>
      <c r="W169" s="54">
        <f t="shared" si="42"/>
        <v>0</v>
      </c>
      <c r="X169" s="54">
        <f t="shared" si="43"/>
        <v>0</v>
      </c>
      <c r="AJ169" s="20" t="b">
        <f t="shared" si="30"/>
        <v>0</v>
      </c>
      <c r="AK169" s="20" t="b">
        <f t="shared" si="31"/>
        <v>0</v>
      </c>
      <c r="AL169" s="20" t="b">
        <f t="shared" si="32"/>
        <v>0</v>
      </c>
      <c r="AM169" s="20" t="b">
        <f t="shared" si="33"/>
        <v>0</v>
      </c>
      <c r="AN169" s="20" t="b">
        <f t="shared" si="34"/>
        <v>0</v>
      </c>
      <c r="AO169" s="20" t="b">
        <f t="shared" si="35"/>
        <v>0</v>
      </c>
      <c r="AP169" s="20" t="b">
        <f t="shared" si="36"/>
        <v>0</v>
      </c>
      <c r="AQ169" s="20" t="b">
        <f t="shared" si="37"/>
        <v>0</v>
      </c>
      <c r="AR169" s="20" t="b">
        <f t="shared" si="38"/>
        <v>0</v>
      </c>
      <c r="AS169" s="20" t="b">
        <f t="shared" si="39"/>
        <v>0</v>
      </c>
      <c r="AT169" s="20" t="b">
        <f t="shared" si="40"/>
        <v>0</v>
      </c>
      <c r="AU169" s="20" t="b">
        <f t="shared" si="41"/>
        <v>0</v>
      </c>
    </row>
    <row r="170" spans="1:47">
      <c r="A170" s="20">
        <f t="shared" si="44"/>
        <v>2</v>
      </c>
      <c r="B170" s="564"/>
      <c r="C170" s="564"/>
      <c r="D170" s="564"/>
      <c r="E170" s="564"/>
      <c r="F170" s="568"/>
      <c r="G170" s="568"/>
      <c r="H170" s="564"/>
      <c r="I170" s="568"/>
      <c r="J170" s="564"/>
      <c r="K170" s="564"/>
      <c r="L170" s="569"/>
      <c r="M170" s="569"/>
      <c r="N170" s="569"/>
      <c r="O170" s="570"/>
      <c r="P170" s="564"/>
      <c r="Q170" s="564"/>
      <c r="R170" s="569"/>
      <c r="S170" s="569"/>
      <c r="T170" s="564"/>
      <c r="U170" s="564"/>
      <c r="V170" s="564"/>
      <c r="W170" s="54">
        <f t="shared" si="42"/>
        <v>0</v>
      </c>
      <c r="X170" s="54">
        <f t="shared" si="43"/>
        <v>0</v>
      </c>
      <c r="AJ170" s="20" t="b">
        <f t="shared" si="30"/>
        <v>0</v>
      </c>
      <c r="AK170" s="20" t="b">
        <f t="shared" si="31"/>
        <v>0</v>
      </c>
      <c r="AL170" s="20" t="b">
        <f t="shared" si="32"/>
        <v>0</v>
      </c>
      <c r="AM170" s="20" t="b">
        <f t="shared" si="33"/>
        <v>0</v>
      </c>
      <c r="AN170" s="20" t="b">
        <f t="shared" si="34"/>
        <v>0</v>
      </c>
      <c r="AO170" s="20" t="b">
        <f t="shared" si="35"/>
        <v>0</v>
      </c>
      <c r="AP170" s="20" t="b">
        <f t="shared" si="36"/>
        <v>0</v>
      </c>
      <c r="AQ170" s="20" t="b">
        <f t="shared" si="37"/>
        <v>0</v>
      </c>
      <c r="AR170" s="20" t="b">
        <f t="shared" si="38"/>
        <v>0</v>
      </c>
      <c r="AS170" s="20" t="b">
        <f t="shared" si="39"/>
        <v>0</v>
      </c>
      <c r="AT170" s="20" t="b">
        <f t="shared" si="40"/>
        <v>0</v>
      </c>
      <c r="AU170" s="20" t="b">
        <f t="shared" si="41"/>
        <v>0</v>
      </c>
    </row>
    <row r="171" spans="1:47">
      <c r="A171" s="20">
        <f t="shared" si="44"/>
        <v>2</v>
      </c>
      <c r="B171" s="564"/>
      <c r="C171" s="564"/>
      <c r="D171" s="564"/>
      <c r="E171" s="564"/>
      <c r="F171" s="568"/>
      <c r="G171" s="568"/>
      <c r="H171" s="564"/>
      <c r="I171" s="568"/>
      <c r="J171" s="564"/>
      <c r="K171" s="564"/>
      <c r="L171" s="569"/>
      <c r="M171" s="569"/>
      <c r="N171" s="569"/>
      <c r="O171" s="570"/>
      <c r="P171" s="564"/>
      <c r="Q171" s="564"/>
      <c r="R171" s="569"/>
      <c r="S171" s="569"/>
      <c r="T171" s="564"/>
      <c r="U171" s="564"/>
      <c r="V171" s="564"/>
      <c r="W171" s="54">
        <f t="shared" si="42"/>
        <v>0</v>
      </c>
      <c r="X171" s="54">
        <f t="shared" si="43"/>
        <v>0</v>
      </c>
      <c r="AJ171" s="20" t="b">
        <f t="shared" si="30"/>
        <v>0</v>
      </c>
      <c r="AK171" s="20" t="b">
        <f t="shared" si="31"/>
        <v>0</v>
      </c>
      <c r="AL171" s="20" t="b">
        <f t="shared" si="32"/>
        <v>0</v>
      </c>
      <c r="AM171" s="20" t="b">
        <f t="shared" si="33"/>
        <v>0</v>
      </c>
      <c r="AN171" s="20" t="b">
        <f t="shared" si="34"/>
        <v>0</v>
      </c>
      <c r="AO171" s="20" t="b">
        <f t="shared" si="35"/>
        <v>0</v>
      </c>
      <c r="AP171" s="20" t="b">
        <f t="shared" si="36"/>
        <v>0</v>
      </c>
      <c r="AQ171" s="20" t="b">
        <f t="shared" si="37"/>
        <v>0</v>
      </c>
      <c r="AR171" s="20" t="b">
        <f t="shared" si="38"/>
        <v>0</v>
      </c>
      <c r="AS171" s="20" t="b">
        <f t="shared" si="39"/>
        <v>0</v>
      </c>
      <c r="AT171" s="20" t="b">
        <f t="shared" si="40"/>
        <v>0</v>
      </c>
      <c r="AU171" s="20" t="b">
        <f t="shared" si="41"/>
        <v>0</v>
      </c>
    </row>
    <row r="172" spans="1:47">
      <c r="A172" s="20">
        <f t="shared" si="44"/>
        <v>2</v>
      </c>
      <c r="B172" s="564"/>
      <c r="C172" s="564"/>
      <c r="D172" s="564"/>
      <c r="E172" s="564"/>
      <c r="F172" s="568"/>
      <c r="G172" s="568"/>
      <c r="H172" s="564"/>
      <c r="I172" s="568"/>
      <c r="J172" s="564"/>
      <c r="K172" s="564"/>
      <c r="L172" s="569"/>
      <c r="M172" s="569"/>
      <c r="N172" s="569"/>
      <c r="O172" s="570"/>
      <c r="P172" s="564"/>
      <c r="Q172" s="564"/>
      <c r="R172" s="569"/>
      <c r="S172" s="569"/>
      <c r="T172" s="564"/>
      <c r="U172" s="564"/>
      <c r="V172" s="564"/>
      <c r="W172" s="54">
        <f t="shared" si="42"/>
        <v>0</v>
      </c>
      <c r="X172" s="54">
        <f t="shared" si="43"/>
        <v>0</v>
      </c>
      <c r="AJ172" s="20" t="b">
        <f t="shared" si="30"/>
        <v>0</v>
      </c>
      <c r="AK172" s="20" t="b">
        <f t="shared" si="31"/>
        <v>0</v>
      </c>
      <c r="AL172" s="20" t="b">
        <f t="shared" si="32"/>
        <v>0</v>
      </c>
      <c r="AM172" s="20" t="b">
        <f t="shared" si="33"/>
        <v>0</v>
      </c>
      <c r="AN172" s="20" t="b">
        <f t="shared" si="34"/>
        <v>0</v>
      </c>
      <c r="AO172" s="20" t="b">
        <f t="shared" si="35"/>
        <v>0</v>
      </c>
      <c r="AP172" s="20" t="b">
        <f t="shared" si="36"/>
        <v>0</v>
      </c>
      <c r="AQ172" s="20" t="b">
        <f t="shared" si="37"/>
        <v>0</v>
      </c>
      <c r="AR172" s="20" t="b">
        <f t="shared" si="38"/>
        <v>0</v>
      </c>
      <c r="AS172" s="20" t="b">
        <f t="shared" si="39"/>
        <v>0</v>
      </c>
      <c r="AT172" s="20" t="b">
        <f t="shared" si="40"/>
        <v>0</v>
      </c>
      <c r="AU172" s="20" t="b">
        <f t="shared" si="41"/>
        <v>0</v>
      </c>
    </row>
    <row r="173" spans="1:47">
      <c r="A173" s="20">
        <f t="shared" si="44"/>
        <v>2</v>
      </c>
      <c r="B173" s="564"/>
      <c r="C173" s="564"/>
      <c r="D173" s="564"/>
      <c r="E173" s="564"/>
      <c r="F173" s="568"/>
      <c r="G173" s="568"/>
      <c r="H173" s="564"/>
      <c r="I173" s="568"/>
      <c r="J173" s="564"/>
      <c r="K173" s="564"/>
      <c r="L173" s="569"/>
      <c r="M173" s="569"/>
      <c r="N173" s="569"/>
      <c r="O173" s="570"/>
      <c r="P173" s="564"/>
      <c r="Q173" s="564"/>
      <c r="R173" s="569"/>
      <c r="S173" s="569"/>
      <c r="T173" s="564"/>
      <c r="U173" s="564"/>
      <c r="V173" s="564"/>
      <c r="W173" s="54">
        <f t="shared" si="42"/>
        <v>0</v>
      </c>
      <c r="X173" s="54">
        <f t="shared" si="43"/>
        <v>0</v>
      </c>
      <c r="AJ173" s="20" t="b">
        <f t="shared" si="30"/>
        <v>0</v>
      </c>
      <c r="AK173" s="20" t="b">
        <f t="shared" si="31"/>
        <v>0</v>
      </c>
      <c r="AL173" s="20" t="b">
        <f t="shared" si="32"/>
        <v>0</v>
      </c>
      <c r="AM173" s="20" t="b">
        <f t="shared" si="33"/>
        <v>0</v>
      </c>
      <c r="AN173" s="20" t="b">
        <f t="shared" si="34"/>
        <v>0</v>
      </c>
      <c r="AO173" s="20" t="b">
        <f t="shared" si="35"/>
        <v>0</v>
      </c>
      <c r="AP173" s="20" t="b">
        <f t="shared" si="36"/>
        <v>0</v>
      </c>
      <c r="AQ173" s="20" t="b">
        <f t="shared" si="37"/>
        <v>0</v>
      </c>
      <c r="AR173" s="20" t="b">
        <f t="shared" si="38"/>
        <v>0</v>
      </c>
      <c r="AS173" s="20" t="b">
        <f t="shared" si="39"/>
        <v>0</v>
      </c>
      <c r="AT173" s="20" t="b">
        <f t="shared" si="40"/>
        <v>0</v>
      </c>
      <c r="AU173" s="20" t="b">
        <f t="shared" si="41"/>
        <v>0</v>
      </c>
    </row>
    <row r="174" spans="1:47">
      <c r="A174" s="20">
        <f t="shared" si="44"/>
        <v>2</v>
      </c>
      <c r="B174" s="564"/>
      <c r="C174" s="564"/>
      <c r="D174" s="564"/>
      <c r="E174" s="564"/>
      <c r="F174" s="568"/>
      <c r="G174" s="568"/>
      <c r="H174" s="564"/>
      <c r="I174" s="568"/>
      <c r="J174" s="564"/>
      <c r="K174" s="564"/>
      <c r="L174" s="569"/>
      <c r="M174" s="569"/>
      <c r="N174" s="569"/>
      <c r="O174" s="570"/>
      <c r="P174" s="564"/>
      <c r="Q174" s="564"/>
      <c r="R174" s="569"/>
      <c r="S174" s="569"/>
      <c r="T174" s="564"/>
      <c r="U174" s="564"/>
      <c r="V174" s="564"/>
      <c r="W174" s="54">
        <f t="shared" si="42"/>
        <v>0</v>
      </c>
      <c r="X174" s="54">
        <f t="shared" si="43"/>
        <v>0</v>
      </c>
      <c r="AJ174" s="20" t="b">
        <f t="shared" si="30"/>
        <v>0</v>
      </c>
      <c r="AK174" s="20" t="b">
        <f t="shared" si="31"/>
        <v>0</v>
      </c>
      <c r="AL174" s="20" t="b">
        <f t="shared" si="32"/>
        <v>0</v>
      </c>
      <c r="AM174" s="20" t="b">
        <f t="shared" si="33"/>
        <v>0</v>
      </c>
      <c r="AN174" s="20" t="b">
        <f t="shared" si="34"/>
        <v>0</v>
      </c>
      <c r="AO174" s="20" t="b">
        <f t="shared" si="35"/>
        <v>0</v>
      </c>
      <c r="AP174" s="20" t="b">
        <f t="shared" si="36"/>
        <v>0</v>
      </c>
      <c r="AQ174" s="20" t="b">
        <f t="shared" si="37"/>
        <v>0</v>
      </c>
      <c r="AR174" s="20" t="b">
        <f t="shared" si="38"/>
        <v>0</v>
      </c>
      <c r="AS174" s="20" t="b">
        <f t="shared" si="39"/>
        <v>0</v>
      </c>
      <c r="AT174" s="20" t="b">
        <f t="shared" si="40"/>
        <v>0</v>
      </c>
      <c r="AU174" s="20" t="b">
        <f t="shared" si="41"/>
        <v>0</v>
      </c>
    </row>
    <row r="175" spans="1:47">
      <c r="A175" s="20">
        <f t="shared" si="44"/>
        <v>2</v>
      </c>
      <c r="B175" s="564"/>
      <c r="C175" s="564"/>
      <c r="D175" s="564"/>
      <c r="E175" s="564"/>
      <c r="F175" s="568"/>
      <c r="G175" s="568"/>
      <c r="H175" s="564"/>
      <c r="I175" s="568"/>
      <c r="J175" s="564"/>
      <c r="K175" s="564"/>
      <c r="L175" s="569"/>
      <c r="M175" s="569"/>
      <c r="N175" s="569"/>
      <c r="O175" s="570"/>
      <c r="P175" s="564"/>
      <c r="Q175" s="564"/>
      <c r="R175" s="569"/>
      <c r="S175" s="569"/>
      <c r="T175" s="564"/>
      <c r="U175" s="564"/>
      <c r="V175" s="564"/>
      <c r="W175" s="54">
        <f t="shared" si="42"/>
        <v>0</v>
      </c>
      <c r="X175" s="54">
        <f t="shared" si="43"/>
        <v>0</v>
      </c>
      <c r="AJ175" s="20" t="b">
        <f t="shared" si="30"/>
        <v>0</v>
      </c>
      <c r="AK175" s="20" t="b">
        <f t="shared" si="31"/>
        <v>0</v>
      </c>
      <c r="AL175" s="20" t="b">
        <f t="shared" si="32"/>
        <v>0</v>
      </c>
      <c r="AM175" s="20" t="b">
        <f t="shared" si="33"/>
        <v>0</v>
      </c>
      <c r="AN175" s="20" t="b">
        <f t="shared" si="34"/>
        <v>0</v>
      </c>
      <c r="AO175" s="20" t="b">
        <f t="shared" si="35"/>
        <v>0</v>
      </c>
      <c r="AP175" s="20" t="b">
        <f t="shared" si="36"/>
        <v>0</v>
      </c>
      <c r="AQ175" s="20" t="b">
        <f t="shared" si="37"/>
        <v>0</v>
      </c>
      <c r="AR175" s="20" t="b">
        <f t="shared" si="38"/>
        <v>0</v>
      </c>
      <c r="AS175" s="20" t="b">
        <f t="shared" si="39"/>
        <v>0</v>
      </c>
      <c r="AT175" s="20" t="b">
        <f t="shared" si="40"/>
        <v>0</v>
      </c>
      <c r="AU175" s="20" t="b">
        <f t="shared" si="41"/>
        <v>0</v>
      </c>
    </row>
    <row r="176" spans="1:47">
      <c r="A176" s="20">
        <f t="shared" si="44"/>
        <v>2</v>
      </c>
      <c r="B176" s="564"/>
      <c r="C176" s="564"/>
      <c r="D176" s="564"/>
      <c r="E176" s="564"/>
      <c r="F176" s="568"/>
      <c r="G176" s="568"/>
      <c r="H176" s="564"/>
      <c r="I176" s="568"/>
      <c r="J176" s="564"/>
      <c r="K176" s="564"/>
      <c r="L176" s="569"/>
      <c r="M176" s="569"/>
      <c r="N176" s="569"/>
      <c r="O176" s="570"/>
      <c r="P176" s="564"/>
      <c r="Q176" s="564"/>
      <c r="R176" s="569"/>
      <c r="S176" s="569"/>
      <c r="T176" s="564"/>
      <c r="U176" s="564"/>
      <c r="V176" s="564"/>
      <c r="W176" s="54">
        <f t="shared" si="42"/>
        <v>0</v>
      </c>
      <c r="X176" s="54">
        <f t="shared" si="43"/>
        <v>0</v>
      </c>
      <c r="AJ176" s="20" t="b">
        <f t="shared" si="30"/>
        <v>0</v>
      </c>
      <c r="AK176" s="20" t="b">
        <f t="shared" si="31"/>
        <v>0</v>
      </c>
      <c r="AL176" s="20" t="b">
        <f t="shared" si="32"/>
        <v>0</v>
      </c>
      <c r="AM176" s="20" t="b">
        <f t="shared" si="33"/>
        <v>0</v>
      </c>
      <c r="AN176" s="20" t="b">
        <f t="shared" si="34"/>
        <v>0</v>
      </c>
      <c r="AO176" s="20" t="b">
        <f t="shared" si="35"/>
        <v>0</v>
      </c>
      <c r="AP176" s="20" t="b">
        <f t="shared" si="36"/>
        <v>0</v>
      </c>
      <c r="AQ176" s="20" t="b">
        <f t="shared" si="37"/>
        <v>0</v>
      </c>
      <c r="AR176" s="20" t="b">
        <f t="shared" si="38"/>
        <v>0</v>
      </c>
      <c r="AS176" s="20" t="b">
        <f t="shared" si="39"/>
        <v>0</v>
      </c>
      <c r="AT176" s="20" t="b">
        <f t="shared" si="40"/>
        <v>0</v>
      </c>
      <c r="AU176" s="20" t="b">
        <f t="shared" si="41"/>
        <v>0</v>
      </c>
    </row>
    <row r="177" spans="1:47">
      <c r="A177" s="20">
        <f t="shared" si="44"/>
        <v>2</v>
      </c>
      <c r="B177" s="564"/>
      <c r="C177" s="564"/>
      <c r="D177" s="564"/>
      <c r="E177" s="564"/>
      <c r="F177" s="568"/>
      <c r="G177" s="568"/>
      <c r="H177" s="564"/>
      <c r="I177" s="568"/>
      <c r="J177" s="564"/>
      <c r="K177" s="564"/>
      <c r="L177" s="569"/>
      <c r="M177" s="569"/>
      <c r="N177" s="569"/>
      <c r="O177" s="570"/>
      <c r="P177" s="564"/>
      <c r="Q177" s="564"/>
      <c r="R177" s="569"/>
      <c r="S177" s="569"/>
      <c r="T177" s="564"/>
      <c r="U177" s="564"/>
      <c r="V177" s="564"/>
      <c r="W177" s="54">
        <f t="shared" si="42"/>
        <v>0</v>
      </c>
      <c r="X177" s="54">
        <f t="shared" si="43"/>
        <v>0</v>
      </c>
      <c r="AJ177" s="20" t="b">
        <f t="shared" si="30"/>
        <v>0</v>
      </c>
      <c r="AK177" s="20" t="b">
        <f t="shared" si="31"/>
        <v>0</v>
      </c>
      <c r="AL177" s="20" t="b">
        <f t="shared" si="32"/>
        <v>0</v>
      </c>
      <c r="AM177" s="20" t="b">
        <f t="shared" si="33"/>
        <v>0</v>
      </c>
      <c r="AN177" s="20" t="b">
        <f t="shared" si="34"/>
        <v>0</v>
      </c>
      <c r="AO177" s="20" t="b">
        <f t="shared" si="35"/>
        <v>0</v>
      </c>
      <c r="AP177" s="20" t="b">
        <f t="shared" si="36"/>
        <v>0</v>
      </c>
      <c r="AQ177" s="20" t="b">
        <f t="shared" si="37"/>
        <v>0</v>
      </c>
      <c r="AR177" s="20" t="b">
        <f t="shared" si="38"/>
        <v>0</v>
      </c>
      <c r="AS177" s="20" t="b">
        <f t="shared" si="39"/>
        <v>0</v>
      </c>
      <c r="AT177" s="20" t="b">
        <f t="shared" si="40"/>
        <v>0</v>
      </c>
      <c r="AU177" s="20" t="b">
        <f t="shared" si="41"/>
        <v>0</v>
      </c>
    </row>
    <row r="178" spans="1:47">
      <c r="A178" s="20">
        <f t="shared" si="44"/>
        <v>2</v>
      </c>
      <c r="B178" s="564"/>
      <c r="C178" s="564"/>
      <c r="D178" s="564"/>
      <c r="E178" s="564"/>
      <c r="F178" s="568"/>
      <c r="G178" s="568"/>
      <c r="H178" s="564"/>
      <c r="I178" s="568"/>
      <c r="J178" s="564"/>
      <c r="K178" s="564"/>
      <c r="L178" s="569"/>
      <c r="M178" s="569"/>
      <c r="N178" s="569"/>
      <c r="O178" s="570"/>
      <c r="P178" s="564"/>
      <c r="Q178" s="564"/>
      <c r="R178" s="569"/>
      <c r="S178" s="569"/>
      <c r="T178" s="564"/>
      <c r="U178" s="564"/>
      <c r="V178" s="564"/>
      <c r="W178" s="54">
        <f t="shared" si="42"/>
        <v>0</v>
      </c>
      <c r="X178" s="54">
        <f t="shared" si="43"/>
        <v>0</v>
      </c>
      <c r="AJ178" s="20" t="b">
        <f t="shared" si="30"/>
        <v>0</v>
      </c>
      <c r="AK178" s="20" t="b">
        <f t="shared" si="31"/>
        <v>0</v>
      </c>
      <c r="AL178" s="20" t="b">
        <f t="shared" si="32"/>
        <v>0</v>
      </c>
      <c r="AM178" s="20" t="b">
        <f t="shared" si="33"/>
        <v>0</v>
      </c>
      <c r="AN178" s="20" t="b">
        <f t="shared" si="34"/>
        <v>0</v>
      </c>
      <c r="AO178" s="20" t="b">
        <f t="shared" si="35"/>
        <v>0</v>
      </c>
      <c r="AP178" s="20" t="b">
        <f t="shared" si="36"/>
        <v>0</v>
      </c>
      <c r="AQ178" s="20" t="b">
        <f t="shared" si="37"/>
        <v>0</v>
      </c>
      <c r="AR178" s="20" t="b">
        <f t="shared" si="38"/>
        <v>0</v>
      </c>
      <c r="AS178" s="20" t="b">
        <f t="shared" si="39"/>
        <v>0</v>
      </c>
      <c r="AT178" s="20" t="b">
        <f t="shared" si="40"/>
        <v>0</v>
      </c>
      <c r="AU178" s="20" t="b">
        <f t="shared" si="41"/>
        <v>0</v>
      </c>
    </row>
    <row r="179" spans="1:47">
      <c r="A179" s="20">
        <f t="shared" si="44"/>
        <v>2</v>
      </c>
      <c r="B179" s="564"/>
      <c r="C179" s="564"/>
      <c r="D179" s="564"/>
      <c r="E179" s="564"/>
      <c r="F179" s="568"/>
      <c r="G179" s="568"/>
      <c r="H179" s="564"/>
      <c r="I179" s="568"/>
      <c r="J179" s="564"/>
      <c r="K179" s="564"/>
      <c r="L179" s="569"/>
      <c r="M179" s="569"/>
      <c r="N179" s="569"/>
      <c r="O179" s="570"/>
      <c r="P179" s="564"/>
      <c r="Q179" s="564"/>
      <c r="R179" s="569"/>
      <c r="S179" s="569"/>
      <c r="T179" s="564"/>
      <c r="U179" s="564"/>
      <c r="V179" s="564"/>
      <c r="W179" s="54">
        <f t="shared" si="42"/>
        <v>0</v>
      </c>
      <c r="X179" s="54">
        <f t="shared" si="43"/>
        <v>0</v>
      </c>
      <c r="AJ179" s="20" t="b">
        <f t="shared" si="30"/>
        <v>0</v>
      </c>
      <c r="AK179" s="20" t="b">
        <f t="shared" si="31"/>
        <v>0</v>
      </c>
      <c r="AL179" s="20" t="b">
        <f t="shared" si="32"/>
        <v>0</v>
      </c>
      <c r="AM179" s="20" t="b">
        <f t="shared" si="33"/>
        <v>0</v>
      </c>
      <c r="AN179" s="20" t="b">
        <f t="shared" si="34"/>
        <v>0</v>
      </c>
      <c r="AO179" s="20" t="b">
        <f t="shared" si="35"/>
        <v>0</v>
      </c>
      <c r="AP179" s="20" t="b">
        <f t="shared" si="36"/>
        <v>0</v>
      </c>
      <c r="AQ179" s="20" t="b">
        <f t="shared" si="37"/>
        <v>0</v>
      </c>
      <c r="AR179" s="20" t="b">
        <f t="shared" si="38"/>
        <v>0</v>
      </c>
      <c r="AS179" s="20" t="b">
        <f t="shared" si="39"/>
        <v>0</v>
      </c>
      <c r="AT179" s="20" t="b">
        <f t="shared" si="40"/>
        <v>0</v>
      </c>
      <c r="AU179" s="20" t="b">
        <f t="shared" si="41"/>
        <v>0</v>
      </c>
    </row>
    <row r="180" spans="1:47">
      <c r="A180" s="20">
        <f t="shared" si="44"/>
        <v>2</v>
      </c>
      <c r="B180" s="564"/>
      <c r="C180" s="564"/>
      <c r="D180" s="564"/>
      <c r="E180" s="564"/>
      <c r="F180" s="568"/>
      <c r="G180" s="568"/>
      <c r="H180" s="564"/>
      <c r="I180" s="568"/>
      <c r="J180" s="564"/>
      <c r="K180" s="564"/>
      <c r="L180" s="569"/>
      <c r="M180" s="569"/>
      <c r="N180" s="569"/>
      <c r="O180" s="570"/>
      <c r="P180" s="564"/>
      <c r="Q180" s="564"/>
      <c r="R180" s="569"/>
      <c r="S180" s="569"/>
      <c r="T180" s="564"/>
      <c r="U180" s="564"/>
      <c r="V180" s="564"/>
      <c r="W180" s="54">
        <f t="shared" si="42"/>
        <v>0</v>
      </c>
      <c r="X180" s="54">
        <f t="shared" si="43"/>
        <v>0</v>
      </c>
      <c r="AJ180" s="20" t="b">
        <f t="shared" si="30"/>
        <v>0</v>
      </c>
      <c r="AK180" s="20" t="b">
        <f t="shared" si="31"/>
        <v>0</v>
      </c>
      <c r="AL180" s="20" t="b">
        <f t="shared" si="32"/>
        <v>0</v>
      </c>
      <c r="AM180" s="20" t="b">
        <f t="shared" si="33"/>
        <v>0</v>
      </c>
      <c r="AN180" s="20" t="b">
        <f t="shared" si="34"/>
        <v>0</v>
      </c>
      <c r="AO180" s="20" t="b">
        <f t="shared" si="35"/>
        <v>0</v>
      </c>
      <c r="AP180" s="20" t="b">
        <f t="shared" si="36"/>
        <v>0</v>
      </c>
      <c r="AQ180" s="20" t="b">
        <f t="shared" si="37"/>
        <v>0</v>
      </c>
      <c r="AR180" s="20" t="b">
        <f t="shared" si="38"/>
        <v>0</v>
      </c>
      <c r="AS180" s="20" t="b">
        <f t="shared" si="39"/>
        <v>0</v>
      </c>
      <c r="AT180" s="20" t="b">
        <f t="shared" si="40"/>
        <v>0</v>
      </c>
      <c r="AU180" s="20" t="b">
        <f t="shared" si="41"/>
        <v>0</v>
      </c>
    </row>
    <row r="181" spans="1:47">
      <c r="A181" s="20">
        <f t="shared" si="44"/>
        <v>2</v>
      </c>
      <c r="B181" s="564"/>
      <c r="C181" s="564"/>
      <c r="D181" s="564"/>
      <c r="E181" s="564"/>
      <c r="F181" s="568"/>
      <c r="G181" s="568"/>
      <c r="H181" s="564"/>
      <c r="I181" s="568"/>
      <c r="J181" s="564"/>
      <c r="K181" s="564"/>
      <c r="L181" s="569"/>
      <c r="M181" s="569"/>
      <c r="N181" s="569"/>
      <c r="O181" s="570"/>
      <c r="P181" s="564"/>
      <c r="Q181" s="564"/>
      <c r="R181" s="569"/>
      <c r="S181" s="569"/>
      <c r="T181" s="564"/>
      <c r="U181" s="564"/>
      <c r="V181" s="564"/>
      <c r="W181" s="54">
        <f t="shared" si="42"/>
        <v>0</v>
      </c>
      <c r="X181" s="54">
        <f t="shared" si="43"/>
        <v>0</v>
      </c>
      <c r="AJ181" s="20" t="b">
        <f t="shared" si="30"/>
        <v>0</v>
      </c>
      <c r="AK181" s="20" t="b">
        <f t="shared" si="31"/>
        <v>0</v>
      </c>
      <c r="AL181" s="20" t="b">
        <f t="shared" si="32"/>
        <v>0</v>
      </c>
      <c r="AM181" s="20" t="b">
        <f t="shared" si="33"/>
        <v>0</v>
      </c>
      <c r="AN181" s="20" t="b">
        <f t="shared" si="34"/>
        <v>0</v>
      </c>
      <c r="AO181" s="20" t="b">
        <f t="shared" si="35"/>
        <v>0</v>
      </c>
      <c r="AP181" s="20" t="b">
        <f t="shared" si="36"/>
        <v>0</v>
      </c>
      <c r="AQ181" s="20" t="b">
        <f t="shared" si="37"/>
        <v>0</v>
      </c>
      <c r="AR181" s="20" t="b">
        <f t="shared" si="38"/>
        <v>0</v>
      </c>
      <c r="AS181" s="20" t="b">
        <f t="shared" si="39"/>
        <v>0</v>
      </c>
      <c r="AT181" s="20" t="b">
        <f t="shared" si="40"/>
        <v>0</v>
      </c>
      <c r="AU181" s="20" t="b">
        <f t="shared" si="41"/>
        <v>0</v>
      </c>
    </row>
    <row r="182" spans="1:47">
      <c r="A182" s="20">
        <f t="shared" si="44"/>
        <v>2</v>
      </c>
      <c r="B182" s="564"/>
      <c r="C182" s="564"/>
      <c r="D182" s="564"/>
      <c r="E182" s="564"/>
      <c r="F182" s="568"/>
      <c r="G182" s="568"/>
      <c r="H182" s="564"/>
      <c r="I182" s="568"/>
      <c r="J182" s="564"/>
      <c r="K182" s="564"/>
      <c r="L182" s="569"/>
      <c r="M182" s="569"/>
      <c r="N182" s="569"/>
      <c r="O182" s="570"/>
      <c r="P182" s="564"/>
      <c r="Q182" s="564"/>
      <c r="R182" s="569"/>
      <c r="S182" s="569"/>
      <c r="T182" s="564"/>
      <c r="U182" s="564"/>
      <c r="V182" s="564"/>
      <c r="W182" s="54">
        <f t="shared" si="42"/>
        <v>0</v>
      </c>
      <c r="X182" s="54">
        <f t="shared" si="43"/>
        <v>0</v>
      </c>
      <c r="AJ182" s="20" t="b">
        <f t="shared" si="30"/>
        <v>0</v>
      </c>
      <c r="AK182" s="20" t="b">
        <f t="shared" si="31"/>
        <v>0</v>
      </c>
      <c r="AL182" s="20" t="b">
        <f t="shared" si="32"/>
        <v>0</v>
      </c>
      <c r="AM182" s="20" t="b">
        <f t="shared" si="33"/>
        <v>0</v>
      </c>
      <c r="AN182" s="20" t="b">
        <f t="shared" si="34"/>
        <v>0</v>
      </c>
      <c r="AO182" s="20" t="b">
        <f t="shared" si="35"/>
        <v>0</v>
      </c>
      <c r="AP182" s="20" t="b">
        <f t="shared" si="36"/>
        <v>0</v>
      </c>
      <c r="AQ182" s="20" t="b">
        <f t="shared" si="37"/>
        <v>0</v>
      </c>
      <c r="AR182" s="20" t="b">
        <f t="shared" si="38"/>
        <v>0</v>
      </c>
      <c r="AS182" s="20" t="b">
        <f t="shared" si="39"/>
        <v>0</v>
      </c>
      <c r="AT182" s="20" t="b">
        <f t="shared" si="40"/>
        <v>0</v>
      </c>
      <c r="AU182" s="20" t="b">
        <f t="shared" si="41"/>
        <v>0</v>
      </c>
    </row>
    <row r="183" spans="1:47">
      <c r="A183" s="20">
        <f t="shared" si="44"/>
        <v>2</v>
      </c>
      <c r="B183" s="564"/>
      <c r="C183" s="564"/>
      <c r="D183" s="564"/>
      <c r="E183" s="564"/>
      <c r="F183" s="568"/>
      <c r="G183" s="568"/>
      <c r="H183" s="564"/>
      <c r="I183" s="568"/>
      <c r="J183" s="564"/>
      <c r="K183" s="564"/>
      <c r="L183" s="569"/>
      <c r="M183" s="569"/>
      <c r="N183" s="569"/>
      <c r="O183" s="570"/>
      <c r="P183" s="564"/>
      <c r="Q183" s="564"/>
      <c r="R183" s="569"/>
      <c r="S183" s="569"/>
      <c r="T183" s="564"/>
      <c r="U183" s="564"/>
      <c r="V183" s="564"/>
      <c r="W183" s="54">
        <f t="shared" si="42"/>
        <v>0</v>
      </c>
      <c r="X183" s="54">
        <f t="shared" si="43"/>
        <v>0</v>
      </c>
      <c r="AJ183" s="20" t="b">
        <f t="shared" si="30"/>
        <v>0</v>
      </c>
      <c r="AK183" s="20" t="b">
        <f t="shared" si="31"/>
        <v>0</v>
      </c>
      <c r="AL183" s="20" t="b">
        <f t="shared" si="32"/>
        <v>0</v>
      </c>
      <c r="AM183" s="20" t="b">
        <f t="shared" si="33"/>
        <v>0</v>
      </c>
      <c r="AN183" s="20" t="b">
        <f t="shared" si="34"/>
        <v>0</v>
      </c>
      <c r="AO183" s="20" t="b">
        <f t="shared" si="35"/>
        <v>0</v>
      </c>
      <c r="AP183" s="20" t="b">
        <f t="shared" si="36"/>
        <v>0</v>
      </c>
      <c r="AQ183" s="20" t="b">
        <f t="shared" si="37"/>
        <v>0</v>
      </c>
      <c r="AR183" s="20" t="b">
        <f t="shared" si="38"/>
        <v>0</v>
      </c>
      <c r="AS183" s="20" t="b">
        <f t="shared" si="39"/>
        <v>0</v>
      </c>
      <c r="AT183" s="20" t="b">
        <f t="shared" si="40"/>
        <v>0</v>
      </c>
      <c r="AU183" s="20" t="b">
        <f t="shared" si="41"/>
        <v>0</v>
      </c>
    </row>
    <row r="184" spans="1:47">
      <c r="A184" s="20">
        <f t="shared" si="44"/>
        <v>2</v>
      </c>
      <c r="B184" s="564"/>
      <c r="C184" s="564"/>
      <c r="D184" s="564"/>
      <c r="E184" s="564"/>
      <c r="F184" s="568"/>
      <c r="G184" s="568"/>
      <c r="H184" s="564"/>
      <c r="I184" s="568"/>
      <c r="J184" s="564"/>
      <c r="K184" s="564"/>
      <c r="L184" s="569"/>
      <c r="M184" s="569"/>
      <c r="N184" s="569"/>
      <c r="O184" s="570"/>
      <c r="P184" s="564"/>
      <c r="Q184" s="564"/>
      <c r="R184" s="569"/>
      <c r="S184" s="569"/>
      <c r="T184" s="564"/>
      <c r="U184" s="564"/>
      <c r="V184" s="564"/>
      <c r="W184" s="54">
        <f t="shared" si="42"/>
        <v>0</v>
      </c>
      <c r="X184" s="54">
        <f t="shared" si="43"/>
        <v>0</v>
      </c>
      <c r="AJ184" s="20" t="b">
        <f t="shared" si="30"/>
        <v>0</v>
      </c>
      <c r="AK184" s="20" t="b">
        <f t="shared" si="31"/>
        <v>0</v>
      </c>
      <c r="AL184" s="20" t="b">
        <f t="shared" si="32"/>
        <v>0</v>
      </c>
      <c r="AM184" s="20" t="b">
        <f t="shared" si="33"/>
        <v>0</v>
      </c>
      <c r="AN184" s="20" t="b">
        <f t="shared" si="34"/>
        <v>0</v>
      </c>
      <c r="AO184" s="20" t="b">
        <f t="shared" si="35"/>
        <v>0</v>
      </c>
      <c r="AP184" s="20" t="b">
        <f t="shared" si="36"/>
        <v>0</v>
      </c>
      <c r="AQ184" s="20" t="b">
        <f t="shared" si="37"/>
        <v>0</v>
      </c>
      <c r="AR184" s="20" t="b">
        <f t="shared" si="38"/>
        <v>0</v>
      </c>
      <c r="AS184" s="20" t="b">
        <f t="shared" si="39"/>
        <v>0</v>
      </c>
      <c r="AT184" s="20" t="b">
        <f t="shared" si="40"/>
        <v>0</v>
      </c>
      <c r="AU184" s="20" t="b">
        <f t="shared" si="41"/>
        <v>0</v>
      </c>
    </row>
    <row r="185" spans="1:47">
      <c r="A185" s="20">
        <f t="shared" si="44"/>
        <v>2</v>
      </c>
      <c r="B185" s="564"/>
      <c r="C185" s="564"/>
      <c r="D185" s="564"/>
      <c r="E185" s="564"/>
      <c r="F185" s="568"/>
      <c r="G185" s="568"/>
      <c r="H185" s="564"/>
      <c r="I185" s="568"/>
      <c r="J185" s="564"/>
      <c r="K185" s="564"/>
      <c r="L185" s="569"/>
      <c r="M185" s="569"/>
      <c r="N185" s="569"/>
      <c r="O185" s="570"/>
      <c r="P185" s="564"/>
      <c r="Q185" s="564"/>
      <c r="R185" s="569"/>
      <c r="S185" s="569"/>
      <c r="T185" s="564"/>
      <c r="U185" s="564"/>
      <c r="V185" s="564"/>
      <c r="W185" s="54">
        <f t="shared" si="42"/>
        <v>0</v>
      </c>
      <c r="X185" s="54">
        <f t="shared" si="43"/>
        <v>0</v>
      </c>
      <c r="AJ185" s="20" t="b">
        <f t="shared" si="30"/>
        <v>0</v>
      </c>
      <c r="AK185" s="20" t="b">
        <f t="shared" si="31"/>
        <v>0</v>
      </c>
      <c r="AL185" s="20" t="b">
        <f t="shared" si="32"/>
        <v>0</v>
      </c>
      <c r="AM185" s="20" t="b">
        <f t="shared" si="33"/>
        <v>0</v>
      </c>
      <c r="AN185" s="20" t="b">
        <f t="shared" si="34"/>
        <v>0</v>
      </c>
      <c r="AO185" s="20" t="b">
        <f t="shared" si="35"/>
        <v>0</v>
      </c>
      <c r="AP185" s="20" t="b">
        <f t="shared" si="36"/>
        <v>0</v>
      </c>
      <c r="AQ185" s="20" t="b">
        <f t="shared" si="37"/>
        <v>0</v>
      </c>
      <c r="AR185" s="20" t="b">
        <f t="shared" si="38"/>
        <v>0</v>
      </c>
      <c r="AS185" s="20" t="b">
        <f t="shared" si="39"/>
        <v>0</v>
      </c>
      <c r="AT185" s="20" t="b">
        <f t="shared" si="40"/>
        <v>0</v>
      </c>
      <c r="AU185" s="20" t="b">
        <f t="shared" si="41"/>
        <v>0</v>
      </c>
    </row>
    <row r="186" spans="1:47">
      <c r="B186" s="564"/>
      <c r="C186" s="564"/>
      <c r="D186" s="564"/>
      <c r="E186" s="564"/>
      <c r="F186" s="568"/>
      <c r="G186" s="568"/>
      <c r="H186" s="564"/>
      <c r="I186" s="568"/>
      <c r="J186" s="564"/>
      <c r="K186" s="564"/>
      <c r="L186" s="569"/>
      <c r="M186" s="569"/>
      <c r="N186" s="569"/>
      <c r="O186" s="570"/>
      <c r="P186" s="564"/>
      <c r="Q186" s="564"/>
      <c r="R186" s="569"/>
      <c r="S186" s="569"/>
      <c r="T186" s="564"/>
      <c r="U186" s="564"/>
      <c r="V186" s="564"/>
      <c r="W186" s="54">
        <f t="shared" si="42"/>
        <v>0</v>
      </c>
      <c r="X186" s="54">
        <f t="shared" si="43"/>
        <v>0</v>
      </c>
      <c r="AJ186" s="20" t="b">
        <f t="shared" si="30"/>
        <v>0</v>
      </c>
      <c r="AK186" s="20" t="b">
        <f t="shared" si="31"/>
        <v>0</v>
      </c>
      <c r="AL186" s="20" t="b">
        <f t="shared" si="32"/>
        <v>0</v>
      </c>
      <c r="AM186" s="20" t="b">
        <f t="shared" si="33"/>
        <v>0</v>
      </c>
      <c r="AN186" s="20" t="b">
        <f t="shared" si="34"/>
        <v>0</v>
      </c>
      <c r="AO186" s="20" t="b">
        <f t="shared" si="35"/>
        <v>0</v>
      </c>
      <c r="AP186" s="20" t="b">
        <f t="shared" si="36"/>
        <v>0</v>
      </c>
      <c r="AQ186" s="20" t="b">
        <f t="shared" si="37"/>
        <v>0</v>
      </c>
      <c r="AR186" s="20" t="b">
        <f t="shared" si="38"/>
        <v>0</v>
      </c>
      <c r="AS186" s="20" t="b">
        <f t="shared" si="39"/>
        <v>0</v>
      </c>
      <c r="AT186" s="20" t="b">
        <f t="shared" si="40"/>
        <v>0</v>
      </c>
      <c r="AU186" s="20" t="b">
        <f t="shared" si="41"/>
        <v>0</v>
      </c>
    </row>
    <row r="187" spans="1:47">
      <c r="A187" s="20">
        <f>IF(F187=F185,A185,A185+1)</f>
        <v>2</v>
      </c>
      <c r="B187" s="564"/>
      <c r="C187" s="564"/>
      <c r="D187" s="564"/>
      <c r="E187" s="564"/>
      <c r="F187" s="568"/>
      <c r="G187" s="568"/>
      <c r="H187" s="564"/>
      <c r="I187" s="568"/>
      <c r="J187" s="564"/>
      <c r="K187" s="564"/>
      <c r="L187" s="569"/>
      <c r="M187" s="569"/>
      <c r="N187" s="569"/>
      <c r="O187" s="570"/>
      <c r="P187" s="564"/>
      <c r="Q187" s="564"/>
      <c r="R187" s="569"/>
      <c r="S187" s="569"/>
      <c r="T187" s="564"/>
      <c r="U187" s="564"/>
      <c r="V187" s="564"/>
      <c r="W187" s="54">
        <f t="shared" si="42"/>
        <v>0</v>
      </c>
      <c r="X187" s="54">
        <f t="shared" si="43"/>
        <v>0</v>
      </c>
      <c r="AJ187" s="20" t="b">
        <f t="shared" si="30"/>
        <v>0</v>
      </c>
      <c r="AK187" s="20" t="b">
        <f t="shared" si="31"/>
        <v>0</v>
      </c>
      <c r="AL187" s="20" t="b">
        <f t="shared" si="32"/>
        <v>0</v>
      </c>
      <c r="AM187" s="20" t="b">
        <f t="shared" si="33"/>
        <v>0</v>
      </c>
      <c r="AN187" s="20" t="b">
        <f t="shared" si="34"/>
        <v>0</v>
      </c>
      <c r="AO187" s="20" t="b">
        <f t="shared" si="35"/>
        <v>0</v>
      </c>
      <c r="AP187" s="20" t="b">
        <f t="shared" si="36"/>
        <v>0</v>
      </c>
      <c r="AQ187" s="20" t="b">
        <f t="shared" si="37"/>
        <v>0</v>
      </c>
      <c r="AR187" s="20" t="b">
        <f t="shared" si="38"/>
        <v>0</v>
      </c>
      <c r="AS187" s="20" t="b">
        <f t="shared" si="39"/>
        <v>0</v>
      </c>
      <c r="AT187" s="20" t="b">
        <f t="shared" si="40"/>
        <v>0</v>
      </c>
      <c r="AU187" s="20" t="b">
        <f t="shared" si="41"/>
        <v>0</v>
      </c>
    </row>
    <row r="188" spans="1:47">
      <c r="A188" s="20">
        <f t="shared" si="44"/>
        <v>2</v>
      </c>
      <c r="B188" s="564"/>
      <c r="C188" s="564"/>
      <c r="D188" s="564"/>
      <c r="E188" s="564"/>
      <c r="F188" s="568"/>
      <c r="G188" s="568"/>
      <c r="H188" s="564"/>
      <c r="I188" s="568"/>
      <c r="J188" s="564"/>
      <c r="K188" s="564"/>
      <c r="L188" s="569"/>
      <c r="M188" s="569"/>
      <c r="N188" s="569"/>
      <c r="O188" s="570"/>
      <c r="P188" s="564"/>
      <c r="Q188" s="564"/>
      <c r="R188" s="569"/>
      <c r="S188" s="569"/>
      <c r="T188" s="564"/>
      <c r="U188" s="564"/>
      <c r="V188" s="564"/>
      <c r="W188" s="54">
        <f t="shared" si="42"/>
        <v>0</v>
      </c>
      <c r="X188" s="54">
        <f t="shared" si="43"/>
        <v>0</v>
      </c>
      <c r="AJ188" s="20" t="b">
        <f t="shared" si="30"/>
        <v>0</v>
      </c>
      <c r="AK188" s="20" t="b">
        <f t="shared" si="31"/>
        <v>0</v>
      </c>
      <c r="AL188" s="20" t="b">
        <f t="shared" si="32"/>
        <v>0</v>
      </c>
      <c r="AM188" s="20" t="b">
        <f t="shared" si="33"/>
        <v>0</v>
      </c>
      <c r="AN188" s="20" t="b">
        <f t="shared" si="34"/>
        <v>0</v>
      </c>
      <c r="AO188" s="20" t="b">
        <f t="shared" si="35"/>
        <v>0</v>
      </c>
      <c r="AP188" s="20" t="b">
        <f t="shared" si="36"/>
        <v>0</v>
      </c>
      <c r="AQ188" s="20" t="b">
        <f t="shared" si="37"/>
        <v>0</v>
      </c>
      <c r="AR188" s="20" t="b">
        <f t="shared" si="38"/>
        <v>0</v>
      </c>
      <c r="AS188" s="20" t="b">
        <f t="shared" si="39"/>
        <v>0</v>
      </c>
      <c r="AT188" s="20" t="b">
        <f t="shared" si="40"/>
        <v>0</v>
      </c>
      <c r="AU188" s="20" t="b">
        <f t="shared" si="41"/>
        <v>0</v>
      </c>
    </row>
    <row r="189" spans="1:47">
      <c r="A189" s="20">
        <f t="shared" si="44"/>
        <v>2</v>
      </c>
      <c r="B189" s="564"/>
      <c r="C189" s="564"/>
      <c r="D189" s="564"/>
      <c r="E189" s="564"/>
      <c r="F189" s="568"/>
      <c r="G189" s="568"/>
      <c r="H189" s="564"/>
      <c r="I189" s="568"/>
      <c r="J189" s="564"/>
      <c r="K189" s="564"/>
      <c r="L189" s="569"/>
      <c r="M189" s="569"/>
      <c r="N189" s="569"/>
      <c r="O189" s="570"/>
      <c r="P189" s="564"/>
      <c r="Q189" s="564"/>
      <c r="R189" s="569"/>
      <c r="S189" s="569"/>
      <c r="T189" s="564"/>
      <c r="U189" s="564"/>
      <c r="V189" s="564"/>
      <c r="W189" s="54">
        <f t="shared" si="42"/>
        <v>0</v>
      </c>
      <c r="X189" s="54">
        <f t="shared" si="43"/>
        <v>0</v>
      </c>
      <c r="AJ189" s="20" t="b">
        <f t="shared" si="30"/>
        <v>0</v>
      </c>
      <c r="AK189" s="20" t="b">
        <f t="shared" si="31"/>
        <v>0</v>
      </c>
      <c r="AL189" s="20" t="b">
        <f t="shared" si="32"/>
        <v>0</v>
      </c>
      <c r="AM189" s="20" t="b">
        <f t="shared" si="33"/>
        <v>0</v>
      </c>
      <c r="AN189" s="20" t="b">
        <f t="shared" si="34"/>
        <v>0</v>
      </c>
      <c r="AO189" s="20" t="b">
        <f t="shared" si="35"/>
        <v>0</v>
      </c>
      <c r="AP189" s="20" t="b">
        <f t="shared" si="36"/>
        <v>0</v>
      </c>
      <c r="AQ189" s="20" t="b">
        <f t="shared" si="37"/>
        <v>0</v>
      </c>
      <c r="AR189" s="20" t="b">
        <f t="shared" si="38"/>
        <v>0</v>
      </c>
      <c r="AS189" s="20" t="b">
        <f t="shared" si="39"/>
        <v>0</v>
      </c>
      <c r="AT189" s="20" t="b">
        <f t="shared" si="40"/>
        <v>0</v>
      </c>
      <c r="AU189" s="20" t="b">
        <f t="shared" si="41"/>
        <v>0</v>
      </c>
    </row>
    <row r="190" spans="1:47">
      <c r="A190" s="20">
        <f t="shared" si="44"/>
        <v>2</v>
      </c>
      <c r="B190" s="564"/>
      <c r="C190" s="564"/>
      <c r="D190" s="564"/>
      <c r="E190" s="564"/>
      <c r="F190" s="568"/>
      <c r="G190" s="568"/>
      <c r="H190" s="564"/>
      <c r="I190" s="568"/>
      <c r="J190" s="564"/>
      <c r="K190" s="564"/>
      <c r="L190" s="569"/>
      <c r="M190" s="569"/>
      <c r="N190" s="569"/>
      <c r="O190" s="570"/>
      <c r="P190" s="564"/>
      <c r="Q190" s="564"/>
      <c r="R190" s="569"/>
      <c r="S190" s="569"/>
      <c r="T190" s="564"/>
      <c r="U190" s="564"/>
      <c r="V190" s="564"/>
      <c r="W190" s="54">
        <f t="shared" si="42"/>
        <v>0</v>
      </c>
      <c r="X190" s="54">
        <f t="shared" si="43"/>
        <v>0</v>
      </c>
      <c r="AJ190" s="20" t="b">
        <f t="shared" si="30"/>
        <v>0</v>
      </c>
      <c r="AK190" s="20" t="b">
        <f t="shared" si="31"/>
        <v>0</v>
      </c>
      <c r="AL190" s="20" t="b">
        <f t="shared" si="32"/>
        <v>0</v>
      </c>
      <c r="AM190" s="20" t="b">
        <f t="shared" si="33"/>
        <v>0</v>
      </c>
      <c r="AN190" s="20" t="b">
        <f t="shared" si="34"/>
        <v>0</v>
      </c>
      <c r="AO190" s="20" t="b">
        <f t="shared" si="35"/>
        <v>0</v>
      </c>
      <c r="AP190" s="20" t="b">
        <f t="shared" si="36"/>
        <v>0</v>
      </c>
      <c r="AQ190" s="20" t="b">
        <f t="shared" si="37"/>
        <v>0</v>
      </c>
      <c r="AR190" s="20" t="b">
        <f t="shared" si="38"/>
        <v>0</v>
      </c>
      <c r="AS190" s="20" t="b">
        <f t="shared" si="39"/>
        <v>0</v>
      </c>
      <c r="AT190" s="20" t="b">
        <f t="shared" si="40"/>
        <v>0</v>
      </c>
      <c r="AU190" s="20" t="b">
        <f t="shared" si="41"/>
        <v>0</v>
      </c>
    </row>
    <row r="191" spans="1:47">
      <c r="A191" s="20">
        <f t="shared" si="44"/>
        <v>2</v>
      </c>
      <c r="B191" s="564"/>
      <c r="C191" s="564"/>
      <c r="D191" s="564"/>
      <c r="E191" s="564"/>
      <c r="F191" s="568"/>
      <c r="G191" s="568"/>
      <c r="H191" s="564"/>
      <c r="I191" s="568"/>
      <c r="J191" s="564"/>
      <c r="K191" s="564"/>
      <c r="L191" s="569"/>
      <c r="M191" s="569"/>
      <c r="N191" s="569"/>
      <c r="O191" s="570"/>
      <c r="P191" s="564"/>
      <c r="Q191" s="564"/>
      <c r="R191" s="569"/>
      <c r="S191" s="569"/>
      <c r="T191" s="564"/>
      <c r="U191" s="564"/>
      <c r="V191" s="564"/>
      <c r="W191" s="54">
        <f t="shared" si="42"/>
        <v>0</v>
      </c>
      <c r="X191" s="54">
        <f t="shared" si="43"/>
        <v>0</v>
      </c>
      <c r="AJ191" s="20" t="b">
        <f t="shared" si="30"/>
        <v>0</v>
      </c>
      <c r="AK191" s="20" t="b">
        <f t="shared" si="31"/>
        <v>0</v>
      </c>
      <c r="AL191" s="20" t="b">
        <f t="shared" si="32"/>
        <v>0</v>
      </c>
      <c r="AM191" s="20" t="b">
        <f t="shared" si="33"/>
        <v>0</v>
      </c>
      <c r="AN191" s="20" t="b">
        <f t="shared" si="34"/>
        <v>0</v>
      </c>
      <c r="AO191" s="20" t="b">
        <f t="shared" si="35"/>
        <v>0</v>
      </c>
      <c r="AP191" s="20" t="b">
        <f t="shared" si="36"/>
        <v>0</v>
      </c>
      <c r="AQ191" s="20" t="b">
        <f t="shared" si="37"/>
        <v>0</v>
      </c>
      <c r="AR191" s="20" t="b">
        <f t="shared" si="38"/>
        <v>0</v>
      </c>
      <c r="AS191" s="20" t="b">
        <f t="shared" si="39"/>
        <v>0</v>
      </c>
      <c r="AT191" s="20" t="b">
        <f t="shared" si="40"/>
        <v>0</v>
      </c>
      <c r="AU191" s="20" t="b">
        <f t="shared" si="41"/>
        <v>0</v>
      </c>
    </row>
    <row r="192" spans="1:47">
      <c r="A192" s="20">
        <f t="shared" si="44"/>
        <v>2</v>
      </c>
      <c r="B192" s="564"/>
      <c r="C192" s="564"/>
      <c r="D192" s="564"/>
      <c r="E192" s="564"/>
      <c r="F192" s="568"/>
      <c r="G192" s="568"/>
      <c r="H192" s="564"/>
      <c r="I192" s="568"/>
      <c r="J192" s="564"/>
      <c r="K192" s="564"/>
      <c r="L192" s="569"/>
      <c r="M192" s="569"/>
      <c r="N192" s="569"/>
      <c r="O192" s="570"/>
      <c r="P192" s="564"/>
      <c r="Q192" s="564"/>
      <c r="R192" s="569"/>
      <c r="S192" s="569"/>
      <c r="T192" s="564"/>
      <c r="U192" s="564"/>
      <c r="V192" s="564"/>
      <c r="W192" s="54">
        <f t="shared" si="42"/>
        <v>0</v>
      </c>
      <c r="X192" s="54">
        <f t="shared" si="43"/>
        <v>0</v>
      </c>
      <c r="AJ192" s="20" t="b">
        <f t="shared" si="30"/>
        <v>0</v>
      </c>
      <c r="AK192" s="20" t="b">
        <f t="shared" si="31"/>
        <v>0</v>
      </c>
      <c r="AL192" s="20" t="b">
        <f t="shared" si="32"/>
        <v>0</v>
      </c>
      <c r="AM192" s="20" t="b">
        <f t="shared" si="33"/>
        <v>0</v>
      </c>
      <c r="AN192" s="20" t="b">
        <f t="shared" si="34"/>
        <v>0</v>
      </c>
      <c r="AO192" s="20" t="b">
        <f t="shared" si="35"/>
        <v>0</v>
      </c>
      <c r="AP192" s="20" t="b">
        <f t="shared" si="36"/>
        <v>0</v>
      </c>
      <c r="AQ192" s="20" t="b">
        <f t="shared" si="37"/>
        <v>0</v>
      </c>
      <c r="AR192" s="20" t="b">
        <f t="shared" si="38"/>
        <v>0</v>
      </c>
      <c r="AS192" s="20" t="b">
        <f t="shared" si="39"/>
        <v>0</v>
      </c>
      <c r="AT192" s="20" t="b">
        <f t="shared" si="40"/>
        <v>0</v>
      </c>
      <c r="AU192" s="20" t="b">
        <f t="shared" si="41"/>
        <v>0</v>
      </c>
    </row>
    <row r="193" spans="1:47">
      <c r="A193" s="20">
        <f t="shared" si="44"/>
        <v>2</v>
      </c>
      <c r="B193" s="564"/>
      <c r="C193" s="564"/>
      <c r="D193" s="564"/>
      <c r="E193" s="564"/>
      <c r="F193" s="568"/>
      <c r="G193" s="568"/>
      <c r="H193" s="564"/>
      <c r="I193" s="568"/>
      <c r="J193" s="564"/>
      <c r="K193" s="564"/>
      <c r="L193" s="569"/>
      <c r="M193" s="569"/>
      <c r="N193" s="569"/>
      <c r="O193" s="570"/>
      <c r="P193" s="564"/>
      <c r="Q193" s="564"/>
      <c r="R193" s="569"/>
      <c r="S193" s="569"/>
      <c r="T193" s="564"/>
      <c r="U193" s="564"/>
      <c r="V193" s="564"/>
      <c r="W193" s="54">
        <f t="shared" si="42"/>
        <v>0</v>
      </c>
      <c r="X193" s="54">
        <f t="shared" si="43"/>
        <v>0</v>
      </c>
      <c r="AJ193" s="20" t="b">
        <f t="shared" si="30"/>
        <v>0</v>
      </c>
      <c r="AK193" s="20" t="b">
        <f t="shared" si="31"/>
        <v>0</v>
      </c>
      <c r="AL193" s="20" t="b">
        <f t="shared" si="32"/>
        <v>0</v>
      </c>
      <c r="AM193" s="20" t="b">
        <f t="shared" si="33"/>
        <v>0</v>
      </c>
      <c r="AN193" s="20" t="b">
        <f t="shared" si="34"/>
        <v>0</v>
      </c>
      <c r="AO193" s="20" t="b">
        <f t="shared" si="35"/>
        <v>0</v>
      </c>
      <c r="AP193" s="20" t="b">
        <f t="shared" si="36"/>
        <v>0</v>
      </c>
      <c r="AQ193" s="20" t="b">
        <f t="shared" si="37"/>
        <v>0</v>
      </c>
      <c r="AR193" s="20" t="b">
        <f t="shared" si="38"/>
        <v>0</v>
      </c>
      <c r="AS193" s="20" t="b">
        <f t="shared" si="39"/>
        <v>0</v>
      </c>
      <c r="AT193" s="20" t="b">
        <f t="shared" si="40"/>
        <v>0</v>
      </c>
      <c r="AU193" s="20" t="b">
        <f t="shared" si="41"/>
        <v>0</v>
      </c>
    </row>
    <row r="194" spans="1:47">
      <c r="A194" s="20">
        <f t="shared" si="44"/>
        <v>2</v>
      </c>
      <c r="B194" s="564"/>
      <c r="C194" s="564"/>
      <c r="D194" s="564"/>
      <c r="E194" s="564"/>
      <c r="F194" s="568"/>
      <c r="G194" s="568"/>
      <c r="H194" s="564"/>
      <c r="I194" s="568"/>
      <c r="J194" s="564"/>
      <c r="K194" s="564"/>
      <c r="L194" s="569"/>
      <c r="M194" s="569"/>
      <c r="N194" s="569"/>
      <c r="O194" s="570"/>
      <c r="P194" s="564"/>
      <c r="Q194" s="564"/>
      <c r="R194" s="569"/>
      <c r="S194" s="569"/>
      <c r="T194" s="564"/>
      <c r="U194" s="564"/>
      <c r="V194" s="564"/>
      <c r="W194" s="54">
        <f t="shared" si="42"/>
        <v>0</v>
      </c>
      <c r="X194" s="54">
        <f t="shared" si="43"/>
        <v>0</v>
      </c>
      <c r="AJ194" s="20" t="b">
        <f t="shared" ref="AJ194:AJ257" si="45">IF(AND(A194=2, J194="PF", T194="YES", V194="A"), L194)</f>
        <v>0</v>
      </c>
      <c r="AK194" s="20" t="b">
        <f t="shared" ref="AK194:AK257" si="46">IF(AND(A194=3, J194="PF", T194="YES", V194="A"), L194)</f>
        <v>0</v>
      </c>
      <c r="AL194" s="20" t="b">
        <f t="shared" ref="AL194:AL257" si="47">IF(AND(A194=4, J194="PF", T194="YES", V194="A"), L194)</f>
        <v>0</v>
      </c>
      <c r="AM194" s="20" t="b">
        <f t="shared" ref="AM194:AM257" si="48">IF(AND(A194=5, J194="PF", T194="YES", V194="A"), L194)</f>
        <v>0</v>
      </c>
      <c r="AN194" s="20" t="b">
        <f t="shared" ref="AN194:AN257" si="49">IF(AND(A194=6, J194="PF", T194="YES", V194="A"), L194)</f>
        <v>0</v>
      </c>
      <c r="AO194" s="20" t="b">
        <f t="shared" ref="AO194:AO257" si="50">IF(AND(A194=7, J194="PF", T194="YES", V194="A"), L194)</f>
        <v>0</v>
      </c>
      <c r="AP194" s="20" t="b">
        <f t="shared" ref="AP194:AP257" si="51">IF(AND(A194=8, J194="PF", T194="YES", V194="A"), L194)</f>
        <v>0</v>
      </c>
      <c r="AQ194" s="20" t="b">
        <f t="shared" ref="AQ194:AQ257" si="52">IF(AND(A194=9, J194="PF", T194="YES", V194="A"), L194)</f>
        <v>0</v>
      </c>
      <c r="AR194" s="20" t="b">
        <f t="shared" ref="AR194:AR257" si="53">IF(AND(A194=10, J194="PF", T194="YES", V194="A"), L194)</f>
        <v>0</v>
      </c>
      <c r="AS194" s="20" t="b">
        <f t="shared" ref="AS194:AS257" si="54">IF(AND(A194=11, J194="PF", T194="YES", V194="A"), L194)</f>
        <v>0</v>
      </c>
      <c r="AT194" s="20" t="b">
        <f t="shared" ref="AT194:AT257" si="55">IF(AND(A194=12, J194="PF", T194="YES", V194="A"), L194)</f>
        <v>0</v>
      </c>
      <c r="AU194" s="20" t="b">
        <f t="shared" ref="AU194:AU257" si="56">IF(AND(A194=13, J194="PF", T194="YES", V194="A"), L194)</f>
        <v>0</v>
      </c>
    </row>
    <row r="195" spans="1:47">
      <c r="A195" s="20">
        <f t="shared" si="44"/>
        <v>2</v>
      </c>
      <c r="B195" s="564"/>
      <c r="C195" s="564"/>
      <c r="D195" s="564"/>
      <c r="E195" s="564"/>
      <c r="F195" s="568"/>
      <c r="G195" s="568"/>
      <c r="H195" s="564"/>
      <c r="I195" s="568"/>
      <c r="J195" s="564"/>
      <c r="K195" s="564"/>
      <c r="L195" s="569"/>
      <c r="M195" s="569"/>
      <c r="N195" s="569"/>
      <c r="O195" s="570"/>
      <c r="P195" s="564"/>
      <c r="Q195" s="564"/>
      <c r="R195" s="569"/>
      <c r="S195" s="569"/>
      <c r="T195" s="564"/>
      <c r="U195" s="564"/>
      <c r="V195" s="564"/>
      <c r="W195" s="54">
        <f t="shared" ref="W195:W258" si="57">IF(J195="pf", L195, 0)</f>
        <v>0</v>
      </c>
      <c r="X195" s="54">
        <f t="shared" ref="X195:X258" si="58">IF(J195&lt;&gt;"PF", L195, 0)</f>
        <v>0</v>
      </c>
      <c r="AJ195" s="20" t="b">
        <f t="shared" si="45"/>
        <v>0</v>
      </c>
      <c r="AK195" s="20" t="b">
        <f t="shared" si="46"/>
        <v>0</v>
      </c>
      <c r="AL195" s="20" t="b">
        <f t="shared" si="47"/>
        <v>0</v>
      </c>
      <c r="AM195" s="20" t="b">
        <f t="shared" si="48"/>
        <v>0</v>
      </c>
      <c r="AN195" s="20" t="b">
        <f t="shared" si="49"/>
        <v>0</v>
      </c>
      <c r="AO195" s="20" t="b">
        <f t="shared" si="50"/>
        <v>0</v>
      </c>
      <c r="AP195" s="20" t="b">
        <f t="shared" si="51"/>
        <v>0</v>
      </c>
      <c r="AQ195" s="20" t="b">
        <f t="shared" si="52"/>
        <v>0</v>
      </c>
      <c r="AR195" s="20" t="b">
        <f t="shared" si="53"/>
        <v>0</v>
      </c>
      <c r="AS195" s="20" t="b">
        <f t="shared" si="54"/>
        <v>0</v>
      </c>
      <c r="AT195" s="20" t="b">
        <f t="shared" si="55"/>
        <v>0</v>
      </c>
      <c r="AU195" s="20" t="b">
        <f t="shared" si="56"/>
        <v>0</v>
      </c>
    </row>
    <row r="196" spans="1:47">
      <c r="A196" s="20">
        <f t="shared" si="44"/>
        <v>2</v>
      </c>
      <c r="B196" s="564"/>
      <c r="C196" s="564"/>
      <c r="D196" s="564"/>
      <c r="E196" s="564"/>
      <c r="F196" s="568"/>
      <c r="G196" s="568"/>
      <c r="H196" s="564"/>
      <c r="I196" s="568"/>
      <c r="J196" s="564"/>
      <c r="K196" s="564"/>
      <c r="L196" s="569"/>
      <c r="M196" s="569"/>
      <c r="N196" s="569"/>
      <c r="O196" s="570"/>
      <c r="P196" s="564"/>
      <c r="Q196" s="564"/>
      <c r="R196" s="569"/>
      <c r="S196" s="569"/>
      <c r="T196" s="564"/>
      <c r="U196" s="564"/>
      <c r="V196" s="564"/>
      <c r="W196" s="54">
        <f t="shared" si="57"/>
        <v>0</v>
      </c>
      <c r="X196" s="54">
        <f t="shared" si="58"/>
        <v>0</v>
      </c>
      <c r="AJ196" s="20" t="b">
        <f t="shared" si="45"/>
        <v>0</v>
      </c>
      <c r="AK196" s="20" t="b">
        <f t="shared" si="46"/>
        <v>0</v>
      </c>
      <c r="AL196" s="20" t="b">
        <f t="shared" si="47"/>
        <v>0</v>
      </c>
      <c r="AM196" s="20" t="b">
        <f t="shared" si="48"/>
        <v>0</v>
      </c>
      <c r="AN196" s="20" t="b">
        <f t="shared" si="49"/>
        <v>0</v>
      </c>
      <c r="AO196" s="20" t="b">
        <f t="shared" si="50"/>
        <v>0</v>
      </c>
      <c r="AP196" s="20" t="b">
        <f t="shared" si="51"/>
        <v>0</v>
      </c>
      <c r="AQ196" s="20" t="b">
        <f t="shared" si="52"/>
        <v>0</v>
      </c>
      <c r="AR196" s="20" t="b">
        <f t="shared" si="53"/>
        <v>0</v>
      </c>
      <c r="AS196" s="20" t="b">
        <f t="shared" si="54"/>
        <v>0</v>
      </c>
      <c r="AT196" s="20" t="b">
        <f t="shared" si="55"/>
        <v>0</v>
      </c>
      <c r="AU196" s="20" t="b">
        <f t="shared" si="56"/>
        <v>0</v>
      </c>
    </row>
    <row r="197" spans="1:47">
      <c r="A197" s="20">
        <f t="shared" ref="A197:A260" si="59">IF(F197=F196,A196,A196+1)</f>
        <v>2</v>
      </c>
      <c r="B197" s="564"/>
      <c r="C197" s="564"/>
      <c r="D197" s="564"/>
      <c r="E197" s="564"/>
      <c r="F197" s="568"/>
      <c r="G197" s="568"/>
      <c r="H197" s="564"/>
      <c r="I197" s="568"/>
      <c r="J197" s="564"/>
      <c r="K197" s="564"/>
      <c r="L197" s="569"/>
      <c r="M197" s="569"/>
      <c r="N197" s="569"/>
      <c r="O197" s="570"/>
      <c r="P197" s="564"/>
      <c r="Q197" s="564"/>
      <c r="R197" s="569"/>
      <c r="S197" s="569"/>
      <c r="T197" s="564"/>
      <c r="U197" s="564"/>
      <c r="V197" s="564"/>
      <c r="W197" s="54">
        <f t="shared" si="57"/>
        <v>0</v>
      </c>
      <c r="X197" s="54">
        <f t="shared" si="58"/>
        <v>0</v>
      </c>
      <c r="AJ197" s="20" t="b">
        <f t="shared" si="45"/>
        <v>0</v>
      </c>
      <c r="AK197" s="20" t="b">
        <f t="shared" si="46"/>
        <v>0</v>
      </c>
      <c r="AL197" s="20" t="b">
        <f t="shared" si="47"/>
        <v>0</v>
      </c>
      <c r="AM197" s="20" t="b">
        <f t="shared" si="48"/>
        <v>0</v>
      </c>
      <c r="AN197" s="20" t="b">
        <f t="shared" si="49"/>
        <v>0</v>
      </c>
      <c r="AO197" s="20" t="b">
        <f t="shared" si="50"/>
        <v>0</v>
      </c>
      <c r="AP197" s="20" t="b">
        <f t="shared" si="51"/>
        <v>0</v>
      </c>
      <c r="AQ197" s="20" t="b">
        <f t="shared" si="52"/>
        <v>0</v>
      </c>
      <c r="AR197" s="20" t="b">
        <f t="shared" si="53"/>
        <v>0</v>
      </c>
      <c r="AS197" s="20" t="b">
        <f t="shared" si="54"/>
        <v>0</v>
      </c>
      <c r="AT197" s="20" t="b">
        <f t="shared" si="55"/>
        <v>0</v>
      </c>
      <c r="AU197" s="20" t="b">
        <f t="shared" si="56"/>
        <v>0</v>
      </c>
    </row>
    <row r="198" spans="1:47">
      <c r="A198" s="20">
        <f t="shared" si="59"/>
        <v>2</v>
      </c>
      <c r="B198" s="564"/>
      <c r="C198" s="564"/>
      <c r="D198" s="564"/>
      <c r="E198" s="564"/>
      <c r="F198" s="568"/>
      <c r="G198" s="568"/>
      <c r="H198" s="564"/>
      <c r="I198" s="568"/>
      <c r="J198" s="564"/>
      <c r="K198" s="564"/>
      <c r="L198" s="569"/>
      <c r="M198" s="569"/>
      <c r="N198" s="569"/>
      <c r="O198" s="570"/>
      <c r="P198" s="564"/>
      <c r="Q198" s="564"/>
      <c r="R198" s="569"/>
      <c r="S198" s="569"/>
      <c r="T198" s="564"/>
      <c r="U198" s="564"/>
      <c r="V198" s="564"/>
      <c r="W198" s="54">
        <f t="shared" si="57"/>
        <v>0</v>
      </c>
      <c r="X198" s="54">
        <f t="shared" si="58"/>
        <v>0</v>
      </c>
      <c r="AJ198" s="20" t="b">
        <f t="shared" si="45"/>
        <v>0</v>
      </c>
      <c r="AK198" s="20" t="b">
        <f t="shared" si="46"/>
        <v>0</v>
      </c>
      <c r="AL198" s="20" t="b">
        <f t="shared" si="47"/>
        <v>0</v>
      </c>
      <c r="AM198" s="20" t="b">
        <f t="shared" si="48"/>
        <v>0</v>
      </c>
      <c r="AN198" s="20" t="b">
        <f t="shared" si="49"/>
        <v>0</v>
      </c>
      <c r="AO198" s="20" t="b">
        <f t="shared" si="50"/>
        <v>0</v>
      </c>
      <c r="AP198" s="20" t="b">
        <f t="shared" si="51"/>
        <v>0</v>
      </c>
      <c r="AQ198" s="20" t="b">
        <f t="shared" si="52"/>
        <v>0</v>
      </c>
      <c r="AR198" s="20" t="b">
        <f t="shared" si="53"/>
        <v>0</v>
      </c>
      <c r="AS198" s="20" t="b">
        <f t="shared" si="54"/>
        <v>0</v>
      </c>
      <c r="AT198" s="20" t="b">
        <f t="shared" si="55"/>
        <v>0</v>
      </c>
      <c r="AU198" s="20" t="b">
        <f t="shared" si="56"/>
        <v>0</v>
      </c>
    </row>
    <row r="199" spans="1:47">
      <c r="A199" s="20">
        <f t="shared" si="59"/>
        <v>2</v>
      </c>
      <c r="B199" s="564"/>
      <c r="C199" s="564"/>
      <c r="D199" s="564"/>
      <c r="E199" s="564"/>
      <c r="F199" s="568"/>
      <c r="G199" s="568"/>
      <c r="H199" s="564"/>
      <c r="I199" s="568"/>
      <c r="J199" s="564"/>
      <c r="K199" s="564"/>
      <c r="L199" s="569"/>
      <c r="M199" s="569"/>
      <c r="N199" s="569"/>
      <c r="O199" s="570"/>
      <c r="P199" s="564"/>
      <c r="Q199" s="564"/>
      <c r="R199" s="569"/>
      <c r="S199" s="569"/>
      <c r="T199" s="564"/>
      <c r="U199" s="564"/>
      <c r="V199" s="564"/>
      <c r="W199" s="54">
        <f t="shared" si="57"/>
        <v>0</v>
      </c>
      <c r="X199" s="54">
        <f t="shared" si="58"/>
        <v>0</v>
      </c>
      <c r="AJ199" s="20" t="b">
        <f t="shared" si="45"/>
        <v>0</v>
      </c>
      <c r="AK199" s="20" t="b">
        <f t="shared" si="46"/>
        <v>0</v>
      </c>
      <c r="AL199" s="20" t="b">
        <f t="shared" si="47"/>
        <v>0</v>
      </c>
      <c r="AM199" s="20" t="b">
        <f t="shared" si="48"/>
        <v>0</v>
      </c>
      <c r="AN199" s="20" t="b">
        <f t="shared" si="49"/>
        <v>0</v>
      </c>
      <c r="AO199" s="20" t="b">
        <f t="shared" si="50"/>
        <v>0</v>
      </c>
      <c r="AP199" s="20" t="b">
        <f t="shared" si="51"/>
        <v>0</v>
      </c>
      <c r="AQ199" s="20" t="b">
        <f t="shared" si="52"/>
        <v>0</v>
      </c>
      <c r="AR199" s="20" t="b">
        <f t="shared" si="53"/>
        <v>0</v>
      </c>
      <c r="AS199" s="20" t="b">
        <f t="shared" si="54"/>
        <v>0</v>
      </c>
      <c r="AT199" s="20" t="b">
        <f t="shared" si="55"/>
        <v>0</v>
      </c>
      <c r="AU199" s="20" t="b">
        <f t="shared" si="56"/>
        <v>0</v>
      </c>
    </row>
    <row r="200" spans="1:47">
      <c r="A200" s="20">
        <f t="shared" si="59"/>
        <v>2</v>
      </c>
      <c r="B200" s="564"/>
      <c r="C200" s="564"/>
      <c r="D200" s="564"/>
      <c r="E200" s="564"/>
      <c r="F200" s="568"/>
      <c r="G200" s="568"/>
      <c r="H200" s="564"/>
      <c r="I200" s="568"/>
      <c r="J200" s="564"/>
      <c r="K200" s="564"/>
      <c r="L200" s="569"/>
      <c r="M200" s="569"/>
      <c r="N200" s="569"/>
      <c r="O200" s="570"/>
      <c r="P200" s="564"/>
      <c r="Q200" s="564"/>
      <c r="R200" s="569"/>
      <c r="S200" s="569"/>
      <c r="T200" s="564"/>
      <c r="U200" s="564"/>
      <c r="V200" s="564"/>
      <c r="W200" s="54">
        <f t="shared" si="57"/>
        <v>0</v>
      </c>
      <c r="X200" s="54">
        <f t="shared" si="58"/>
        <v>0</v>
      </c>
      <c r="AJ200" s="20" t="b">
        <f t="shared" si="45"/>
        <v>0</v>
      </c>
      <c r="AK200" s="20" t="b">
        <f t="shared" si="46"/>
        <v>0</v>
      </c>
      <c r="AL200" s="20" t="b">
        <f t="shared" si="47"/>
        <v>0</v>
      </c>
      <c r="AM200" s="20" t="b">
        <f t="shared" si="48"/>
        <v>0</v>
      </c>
      <c r="AN200" s="20" t="b">
        <f t="shared" si="49"/>
        <v>0</v>
      </c>
      <c r="AO200" s="20" t="b">
        <f t="shared" si="50"/>
        <v>0</v>
      </c>
      <c r="AP200" s="20" t="b">
        <f t="shared" si="51"/>
        <v>0</v>
      </c>
      <c r="AQ200" s="20" t="b">
        <f t="shared" si="52"/>
        <v>0</v>
      </c>
      <c r="AR200" s="20" t="b">
        <f t="shared" si="53"/>
        <v>0</v>
      </c>
      <c r="AS200" s="20" t="b">
        <f t="shared" si="54"/>
        <v>0</v>
      </c>
      <c r="AT200" s="20" t="b">
        <f t="shared" si="55"/>
        <v>0</v>
      </c>
      <c r="AU200" s="20" t="b">
        <f t="shared" si="56"/>
        <v>0</v>
      </c>
    </row>
    <row r="201" spans="1:47">
      <c r="A201" s="20">
        <f t="shared" si="59"/>
        <v>2</v>
      </c>
      <c r="B201" s="564"/>
      <c r="C201" s="564"/>
      <c r="D201" s="564"/>
      <c r="E201" s="564"/>
      <c r="F201" s="568"/>
      <c r="G201" s="568"/>
      <c r="H201" s="564"/>
      <c r="I201" s="568"/>
      <c r="J201" s="564"/>
      <c r="K201" s="564"/>
      <c r="L201" s="569"/>
      <c r="M201" s="569"/>
      <c r="N201" s="569"/>
      <c r="O201" s="570"/>
      <c r="P201" s="564"/>
      <c r="Q201" s="564"/>
      <c r="R201" s="569"/>
      <c r="S201" s="569"/>
      <c r="T201" s="564"/>
      <c r="U201" s="564"/>
      <c r="V201" s="564"/>
      <c r="W201" s="54">
        <f t="shared" si="57"/>
        <v>0</v>
      </c>
      <c r="X201" s="54">
        <f t="shared" si="58"/>
        <v>0</v>
      </c>
      <c r="AJ201" s="20" t="b">
        <f t="shared" si="45"/>
        <v>0</v>
      </c>
      <c r="AK201" s="20" t="b">
        <f t="shared" si="46"/>
        <v>0</v>
      </c>
      <c r="AL201" s="20" t="b">
        <f t="shared" si="47"/>
        <v>0</v>
      </c>
      <c r="AM201" s="20" t="b">
        <f t="shared" si="48"/>
        <v>0</v>
      </c>
      <c r="AN201" s="20" t="b">
        <f t="shared" si="49"/>
        <v>0</v>
      </c>
      <c r="AO201" s="20" t="b">
        <f t="shared" si="50"/>
        <v>0</v>
      </c>
      <c r="AP201" s="20" t="b">
        <f t="shared" si="51"/>
        <v>0</v>
      </c>
      <c r="AQ201" s="20" t="b">
        <f t="shared" si="52"/>
        <v>0</v>
      </c>
      <c r="AR201" s="20" t="b">
        <f t="shared" si="53"/>
        <v>0</v>
      </c>
      <c r="AS201" s="20" t="b">
        <f t="shared" si="54"/>
        <v>0</v>
      </c>
      <c r="AT201" s="20" t="b">
        <f t="shared" si="55"/>
        <v>0</v>
      </c>
      <c r="AU201" s="20" t="b">
        <f t="shared" si="56"/>
        <v>0</v>
      </c>
    </row>
    <row r="202" spans="1:47">
      <c r="A202" s="20">
        <f t="shared" si="59"/>
        <v>2</v>
      </c>
      <c r="B202" s="564"/>
      <c r="C202" s="564"/>
      <c r="D202" s="564"/>
      <c r="E202" s="564"/>
      <c r="F202" s="568"/>
      <c r="G202" s="568"/>
      <c r="H202" s="564"/>
      <c r="I202" s="568"/>
      <c r="J202" s="564"/>
      <c r="K202" s="564"/>
      <c r="L202" s="569"/>
      <c r="M202" s="569"/>
      <c r="N202" s="569"/>
      <c r="O202" s="570"/>
      <c r="P202" s="564"/>
      <c r="Q202" s="564"/>
      <c r="R202" s="569"/>
      <c r="S202" s="569"/>
      <c r="T202" s="564"/>
      <c r="U202" s="564"/>
      <c r="V202" s="564"/>
      <c r="W202" s="54">
        <f t="shared" si="57"/>
        <v>0</v>
      </c>
      <c r="X202" s="54">
        <f t="shared" si="58"/>
        <v>0</v>
      </c>
      <c r="AJ202" s="20" t="b">
        <f t="shared" si="45"/>
        <v>0</v>
      </c>
      <c r="AK202" s="20" t="b">
        <f t="shared" si="46"/>
        <v>0</v>
      </c>
      <c r="AL202" s="20" t="b">
        <f t="shared" si="47"/>
        <v>0</v>
      </c>
      <c r="AM202" s="20" t="b">
        <f t="shared" si="48"/>
        <v>0</v>
      </c>
      <c r="AN202" s="20" t="b">
        <f t="shared" si="49"/>
        <v>0</v>
      </c>
      <c r="AO202" s="20" t="b">
        <f t="shared" si="50"/>
        <v>0</v>
      </c>
      <c r="AP202" s="20" t="b">
        <f t="shared" si="51"/>
        <v>0</v>
      </c>
      <c r="AQ202" s="20" t="b">
        <f t="shared" si="52"/>
        <v>0</v>
      </c>
      <c r="AR202" s="20" t="b">
        <f t="shared" si="53"/>
        <v>0</v>
      </c>
      <c r="AS202" s="20" t="b">
        <f t="shared" si="54"/>
        <v>0</v>
      </c>
      <c r="AT202" s="20" t="b">
        <f t="shared" si="55"/>
        <v>0</v>
      </c>
      <c r="AU202" s="20" t="b">
        <f t="shared" si="56"/>
        <v>0</v>
      </c>
    </row>
    <row r="203" spans="1:47">
      <c r="A203" s="20">
        <f t="shared" si="59"/>
        <v>2</v>
      </c>
      <c r="B203" s="564"/>
      <c r="C203" s="564"/>
      <c r="D203" s="564"/>
      <c r="E203" s="564"/>
      <c r="F203" s="568"/>
      <c r="G203" s="568"/>
      <c r="H203" s="564"/>
      <c r="I203" s="568"/>
      <c r="J203" s="564"/>
      <c r="K203" s="564"/>
      <c r="L203" s="569"/>
      <c r="M203" s="569"/>
      <c r="N203" s="569"/>
      <c r="O203" s="570"/>
      <c r="P203" s="564"/>
      <c r="Q203" s="564"/>
      <c r="R203" s="569"/>
      <c r="S203" s="569"/>
      <c r="T203" s="564"/>
      <c r="U203" s="564"/>
      <c r="V203" s="564"/>
      <c r="W203" s="54">
        <f t="shared" si="57"/>
        <v>0</v>
      </c>
      <c r="X203" s="54">
        <f t="shared" si="58"/>
        <v>0</v>
      </c>
      <c r="AJ203" s="20" t="b">
        <f t="shared" si="45"/>
        <v>0</v>
      </c>
      <c r="AK203" s="20" t="b">
        <f t="shared" si="46"/>
        <v>0</v>
      </c>
      <c r="AL203" s="20" t="b">
        <f t="shared" si="47"/>
        <v>0</v>
      </c>
      <c r="AM203" s="20" t="b">
        <f t="shared" si="48"/>
        <v>0</v>
      </c>
      <c r="AN203" s="20" t="b">
        <f t="shared" si="49"/>
        <v>0</v>
      </c>
      <c r="AO203" s="20" t="b">
        <f t="shared" si="50"/>
        <v>0</v>
      </c>
      <c r="AP203" s="20" t="b">
        <f t="shared" si="51"/>
        <v>0</v>
      </c>
      <c r="AQ203" s="20" t="b">
        <f t="shared" si="52"/>
        <v>0</v>
      </c>
      <c r="AR203" s="20" t="b">
        <f t="shared" si="53"/>
        <v>0</v>
      </c>
      <c r="AS203" s="20" t="b">
        <f t="shared" si="54"/>
        <v>0</v>
      </c>
      <c r="AT203" s="20" t="b">
        <f t="shared" si="55"/>
        <v>0</v>
      </c>
      <c r="AU203" s="20" t="b">
        <f t="shared" si="56"/>
        <v>0</v>
      </c>
    </row>
    <row r="204" spans="1:47">
      <c r="A204" s="20">
        <f t="shared" si="59"/>
        <v>2</v>
      </c>
      <c r="B204" s="564"/>
      <c r="C204" s="564"/>
      <c r="D204" s="564"/>
      <c r="E204" s="564"/>
      <c r="F204" s="568"/>
      <c r="G204" s="568"/>
      <c r="H204" s="564"/>
      <c r="I204" s="568"/>
      <c r="J204" s="564"/>
      <c r="K204" s="564"/>
      <c r="L204" s="569"/>
      <c r="M204" s="569"/>
      <c r="N204" s="569"/>
      <c r="O204" s="570"/>
      <c r="P204" s="564"/>
      <c r="Q204" s="564"/>
      <c r="R204" s="569"/>
      <c r="S204" s="569"/>
      <c r="T204" s="564"/>
      <c r="U204" s="564"/>
      <c r="V204" s="564"/>
      <c r="W204" s="54">
        <f t="shared" si="57"/>
        <v>0</v>
      </c>
      <c r="X204" s="54">
        <f t="shared" si="58"/>
        <v>0</v>
      </c>
      <c r="AJ204" s="20" t="b">
        <f t="shared" si="45"/>
        <v>0</v>
      </c>
      <c r="AK204" s="20" t="b">
        <f t="shared" si="46"/>
        <v>0</v>
      </c>
      <c r="AL204" s="20" t="b">
        <f t="shared" si="47"/>
        <v>0</v>
      </c>
      <c r="AM204" s="20" t="b">
        <f t="shared" si="48"/>
        <v>0</v>
      </c>
      <c r="AN204" s="20" t="b">
        <f t="shared" si="49"/>
        <v>0</v>
      </c>
      <c r="AO204" s="20" t="b">
        <f t="shared" si="50"/>
        <v>0</v>
      </c>
      <c r="AP204" s="20" t="b">
        <f t="shared" si="51"/>
        <v>0</v>
      </c>
      <c r="AQ204" s="20" t="b">
        <f t="shared" si="52"/>
        <v>0</v>
      </c>
      <c r="AR204" s="20" t="b">
        <f t="shared" si="53"/>
        <v>0</v>
      </c>
      <c r="AS204" s="20" t="b">
        <f t="shared" si="54"/>
        <v>0</v>
      </c>
      <c r="AT204" s="20" t="b">
        <f t="shared" si="55"/>
        <v>0</v>
      </c>
      <c r="AU204" s="20" t="b">
        <f t="shared" si="56"/>
        <v>0</v>
      </c>
    </row>
    <row r="205" spans="1:47">
      <c r="A205" s="20">
        <f t="shared" si="59"/>
        <v>2</v>
      </c>
      <c r="B205" s="564"/>
      <c r="C205" s="564"/>
      <c r="D205" s="564"/>
      <c r="E205" s="564"/>
      <c r="F205" s="568"/>
      <c r="G205" s="568"/>
      <c r="H205" s="564"/>
      <c r="I205" s="568"/>
      <c r="J205" s="564"/>
      <c r="K205" s="564"/>
      <c r="L205" s="569"/>
      <c r="M205" s="569"/>
      <c r="N205" s="569"/>
      <c r="O205" s="570"/>
      <c r="P205" s="564"/>
      <c r="Q205" s="564"/>
      <c r="R205" s="569"/>
      <c r="S205" s="569"/>
      <c r="T205" s="564"/>
      <c r="U205" s="564"/>
      <c r="V205" s="564"/>
      <c r="W205" s="54">
        <f t="shared" si="57"/>
        <v>0</v>
      </c>
      <c r="X205" s="54">
        <f t="shared" si="58"/>
        <v>0</v>
      </c>
      <c r="AJ205" s="20" t="b">
        <f t="shared" si="45"/>
        <v>0</v>
      </c>
      <c r="AK205" s="20" t="b">
        <f t="shared" si="46"/>
        <v>0</v>
      </c>
      <c r="AL205" s="20" t="b">
        <f t="shared" si="47"/>
        <v>0</v>
      </c>
      <c r="AM205" s="20" t="b">
        <f t="shared" si="48"/>
        <v>0</v>
      </c>
      <c r="AN205" s="20" t="b">
        <f t="shared" si="49"/>
        <v>0</v>
      </c>
      <c r="AO205" s="20" t="b">
        <f t="shared" si="50"/>
        <v>0</v>
      </c>
      <c r="AP205" s="20" t="b">
        <f t="shared" si="51"/>
        <v>0</v>
      </c>
      <c r="AQ205" s="20" t="b">
        <f t="shared" si="52"/>
        <v>0</v>
      </c>
      <c r="AR205" s="20" t="b">
        <f t="shared" si="53"/>
        <v>0</v>
      </c>
      <c r="AS205" s="20" t="b">
        <f t="shared" si="54"/>
        <v>0</v>
      </c>
      <c r="AT205" s="20" t="b">
        <f t="shared" si="55"/>
        <v>0</v>
      </c>
      <c r="AU205" s="20" t="b">
        <f t="shared" si="56"/>
        <v>0</v>
      </c>
    </row>
    <row r="206" spans="1:47">
      <c r="A206" s="20">
        <f t="shared" si="59"/>
        <v>2</v>
      </c>
      <c r="B206" s="564"/>
      <c r="C206" s="564"/>
      <c r="D206" s="564"/>
      <c r="E206" s="564"/>
      <c r="F206" s="568"/>
      <c r="G206" s="568"/>
      <c r="H206" s="564"/>
      <c r="I206" s="568"/>
      <c r="J206" s="564"/>
      <c r="K206" s="564"/>
      <c r="L206" s="569"/>
      <c r="M206" s="569"/>
      <c r="N206" s="569"/>
      <c r="O206" s="570"/>
      <c r="P206" s="564"/>
      <c r="Q206" s="564"/>
      <c r="R206" s="569"/>
      <c r="S206" s="569"/>
      <c r="T206" s="564"/>
      <c r="U206" s="564"/>
      <c r="V206" s="564"/>
      <c r="W206" s="54">
        <f t="shared" si="57"/>
        <v>0</v>
      </c>
      <c r="X206" s="54">
        <f t="shared" si="58"/>
        <v>0</v>
      </c>
      <c r="AJ206" s="20" t="b">
        <f t="shared" si="45"/>
        <v>0</v>
      </c>
      <c r="AK206" s="20" t="b">
        <f t="shared" si="46"/>
        <v>0</v>
      </c>
      <c r="AL206" s="20" t="b">
        <f t="shared" si="47"/>
        <v>0</v>
      </c>
      <c r="AM206" s="20" t="b">
        <f t="shared" si="48"/>
        <v>0</v>
      </c>
      <c r="AN206" s="20" t="b">
        <f t="shared" si="49"/>
        <v>0</v>
      </c>
      <c r="AO206" s="20" t="b">
        <f t="shared" si="50"/>
        <v>0</v>
      </c>
      <c r="AP206" s="20" t="b">
        <f t="shared" si="51"/>
        <v>0</v>
      </c>
      <c r="AQ206" s="20" t="b">
        <f t="shared" si="52"/>
        <v>0</v>
      </c>
      <c r="AR206" s="20" t="b">
        <f t="shared" si="53"/>
        <v>0</v>
      </c>
      <c r="AS206" s="20" t="b">
        <f t="shared" si="54"/>
        <v>0</v>
      </c>
      <c r="AT206" s="20" t="b">
        <f t="shared" si="55"/>
        <v>0</v>
      </c>
      <c r="AU206" s="20" t="b">
        <f t="shared" si="56"/>
        <v>0</v>
      </c>
    </row>
    <row r="207" spans="1:47">
      <c r="A207" s="20">
        <f t="shared" si="59"/>
        <v>2</v>
      </c>
      <c r="B207" s="564"/>
      <c r="C207" s="564"/>
      <c r="D207" s="564"/>
      <c r="E207" s="564"/>
      <c r="F207" s="568"/>
      <c r="G207" s="568"/>
      <c r="H207" s="564"/>
      <c r="I207" s="568"/>
      <c r="J207" s="564"/>
      <c r="K207" s="564"/>
      <c r="L207" s="569"/>
      <c r="M207" s="569"/>
      <c r="N207" s="569"/>
      <c r="O207" s="570"/>
      <c r="P207" s="564"/>
      <c r="Q207" s="564"/>
      <c r="R207" s="569"/>
      <c r="S207" s="569"/>
      <c r="T207" s="564"/>
      <c r="U207" s="564"/>
      <c r="V207" s="564"/>
      <c r="W207" s="54">
        <f t="shared" si="57"/>
        <v>0</v>
      </c>
      <c r="X207" s="54">
        <f t="shared" si="58"/>
        <v>0</v>
      </c>
      <c r="AJ207" s="20" t="b">
        <f t="shared" si="45"/>
        <v>0</v>
      </c>
      <c r="AK207" s="20" t="b">
        <f t="shared" si="46"/>
        <v>0</v>
      </c>
      <c r="AL207" s="20" t="b">
        <f t="shared" si="47"/>
        <v>0</v>
      </c>
      <c r="AM207" s="20" t="b">
        <f t="shared" si="48"/>
        <v>0</v>
      </c>
      <c r="AN207" s="20" t="b">
        <f t="shared" si="49"/>
        <v>0</v>
      </c>
      <c r="AO207" s="20" t="b">
        <f t="shared" si="50"/>
        <v>0</v>
      </c>
      <c r="AP207" s="20" t="b">
        <f t="shared" si="51"/>
        <v>0</v>
      </c>
      <c r="AQ207" s="20" t="b">
        <f t="shared" si="52"/>
        <v>0</v>
      </c>
      <c r="AR207" s="20" t="b">
        <f t="shared" si="53"/>
        <v>0</v>
      </c>
      <c r="AS207" s="20" t="b">
        <f t="shared" si="54"/>
        <v>0</v>
      </c>
      <c r="AT207" s="20" t="b">
        <f t="shared" si="55"/>
        <v>0</v>
      </c>
      <c r="AU207" s="20" t="b">
        <f t="shared" si="56"/>
        <v>0</v>
      </c>
    </row>
    <row r="208" spans="1:47">
      <c r="A208" s="20">
        <f t="shared" si="59"/>
        <v>2</v>
      </c>
      <c r="B208" s="564"/>
      <c r="C208" s="564"/>
      <c r="D208" s="564"/>
      <c r="E208" s="564"/>
      <c r="F208" s="568"/>
      <c r="G208" s="568"/>
      <c r="H208" s="564"/>
      <c r="I208" s="568"/>
      <c r="J208" s="564"/>
      <c r="K208" s="564"/>
      <c r="L208" s="569"/>
      <c r="M208" s="569"/>
      <c r="N208" s="569"/>
      <c r="O208" s="570"/>
      <c r="P208" s="564"/>
      <c r="Q208" s="564"/>
      <c r="R208" s="569"/>
      <c r="S208" s="569"/>
      <c r="T208" s="564"/>
      <c r="U208" s="564"/>
      <c r="V208" s="564"/>
      <c r="W208" s="54">
        <f t="shared" si="57"/>
        <v>0</v>
      </c>
      <c r="X208" s="54">
        <f t="shared" si="58"/>
        <v>0</v>
      </c>
      <c r="AJ208" s="20" t="b">
        <f t="shared" si="45"/>
        <v>0</v>
      </c>
      <c r="AK208" s="20" t="b">
        <f t="shared" si="46"/>
        <v>0</v>
      </c>
      <c r="AL208" s="20" t="b">
        <f t="shared" si="47"/>
        <v>0</v>
      </c>
      <c r="AM208" s="20" t="b">
        <f t="shared" si="48"/>
        <v>0</v>
      </c>
      <c r="AN208" s="20" t="b">
        <f t="shared" si="49"/>
        <v>0</v>
      </c>
      <c r="AO208" s="20" t="b">
        <f t="shared" si="50"/>
        <v>0</v>
      </c>
      <c r="AP208" s="20" t="b">
        <f t="shared" si="51"/>
        <v>0</v>
      </c>
      <c r="AQ208" s="20" t="b">
        <f t="shared" si="52"/>
        <v>0</v>
      </c>
      <c r="AR208" s="20" t="b">
        <f t="shared" si="53"/>
        <v>0</v>
      </c>
      <c r="AS208" s="20" t="b">
        <f t="shared" si="54"/>
        <v>0</v>
      </c>
      <c r="AT208" s="20" t="b">
        <f t="shared" si="55"/>
        <v>0</v>
      </c>
      <c r="AU208" s="20" t="b">
        <f t="shared" si="56"/>
        <v>0</v>
      </c>
    </row>
    <row r="209" spans="1:47">
      <c r="A209" s="20">
        <f t="shared" si="59"/>
        <v>2</v>
      </c>
      <c r="B209" s="564"/>
      <c r="C209" s="564"/>
      <c r="D209" s="564"/>
      <c r="E209" s="564"/>
      <c r="F209" s="568"/>
      <c r="G209" s="568"/>
      <c r="H209" s="564"/>
      <c r="I209" s="568"/>
      <c r="J209" s="564"/>
      <c r="K209" s="564"/>
      <c r="L209" s="569"/>
      <c r="M209" s="569"/>
      <c r="N209" s="569"/>
      <c r="O209" s="570"/>
      <c r="P209" s="564"/>
      <c r="Q209" s="564"/>
      <c r="R209" s="569"/>
      <c r="S209" s="569"/>
      <c r="T209" s="564"/>
      <c r="U209" s="564"/>
      <c r="V209" s="564"/>
      <c r="W209" s="54">
        <f t="shared" si="57"/>
        <v>0</v>
      </c>
      <c r="X209" s="54">
        <f t="shared" si="58"/>
        <v>0</v>
      </c>
      <c r="AJ209" s="20" t="b">
        <f t="shared" si="45"/>
        <v>0</v>
      </c>
      <c r="AK209" s="20" t="b">
        <f t="shared" si="46"/>
        <v>0</v>
      </c>
      <c r="AL209" s="20" t="b">
        <f t="shared" si="47"/>
        <v>0</v>
      </c>
      <c r="AM209" s="20" t="b">
        <f t="shared" si="48"/>
        <v>0</v>
      </c>
      <c r="AN209" s="20" t="b">
        <f t="shared" si="49"/>
        <v>0</v>
      </c>
      <c r="AO209" s="20" t="b">
        <f t="shared" si="50"/>
        <v>0</v>
      </c>
      <c r="AP209" s="20" t="b">
        <f t="shared" si="51"/>
        <v>0</v>
      </c>
      <c r="AQ209" s="20" t="b">
        <f t="shared" si="52"/>
        <v>0</v>
      </c>
      <c r="AR209" s="20" t="b">
        <f t="shared" si="53"/>
        <v>0</v>
      </c>
      <c r="AS209" s="20" t="b">
        <f t="shared" si="54"/>
        <v>0</v>
      </c>
      <c r="AT209" s="20" t="b">
        <f t="shared" si="55"/>
        <v>0</v>
      </c>
      <c r="AU209" s="20" t="b">
        <f t="shared" si="56"/>
        <v>0</v>
      </c>
    </row>
    <row r="210" spans="1:47">
      <c r="A210" s="20">
        <f t="shared" si="59"/>
        <v>2</v>
      </c>
      <c r="B210" s="564"/>
      <c r="C210" s="564"/>
      <c r="D210" s="564"/>
      <c r="E210" s="564"/>
      <c r="F210" s="568"/>
      <c r="G210" s="568"/>
      <c r="H210" s="564"/>
      <c r="I210" s="568"/>
      <c r="J210" s="564"/>
      <c r="K210" s="564"/>
      <c r="L210" s="569"/>
      <c r="M210" s="569"/>
      <c r="N210" s="569"/>
      <c r="O210" s="570"/>
      <c r="P210" s="564"/>
      <c r="Q210" s="564"/>
      <c r="R210" s="569"/>
      <c r="S210" s="569"/>
      <c r="T210" s="564"/>
      <c r="U210" s="564"/>
      <c r="V210" s="564"/>
      <c r="W210" s="54">
        <f t="shared" si="57"/>
        <v>0</v>
      </c>
      <c r="X210" s="54">
        <f t="shared" si="58"/>
        <v>0</v>
      </c>
      <c r="AJ210" s="20" t="b">
        <f t="shared" si="45"/>
        <v>0</v>
      </c>
      <c r="AK210" s="20" t="b">
        <f t="shared" si="46"/>
        <v>0</v>
      </c>
      <c r="AL210" s="20" t="b">
        <f t="shared" si="47"/>
        <v>0</v>
      </c>
      <c r="AM210" s="20" t="b">
        <f t="shared" si="48"/>
        <v>0</v>
      </c>
      <c r="AN210" s="20" t="b">
        <f t="shared" si="49"/>
        <v>0</v>
      </c>
      <c r="AO210" s="20" t="b">
        <f t="shared" si="50"/>
        <v>0</v>
      </c>
      <c r="AP210" s="20" t="b">
        <f t="shared" si="51"/>
        <v>0</v>
      </c>
      <c r="AQ210" s="20" t="b">
        <f t="shared" si="52"/>
        <v>0</v>
      </c>
      <c r="AR210" s="20" t="b">
        <f t="shared" si="53"/>
        <v>0</v>
      </c>
      <c r="AS210" s="20" t="b">
        <f t="shared" si="54"/>
        <v>0</v>
      </c>
      <c r="AT210" s="20" t="b">
        <f t="shared" si="55"/>
        <v>0</v>
      </c>
      <c r="AU210" s="20" t="b">
        <f t="shared" si="56"/>
        <v>0</v>
      </c>
    </row>
    <row r="211" spans="1:47">
      <c r="A211" s="20">
        <f t="shared" si="59"/>
        <v>2</v>
      </c>
      <c r="B211" s="564"/>
      <c r="C211" s="564"/>
      <c r="D211" s="564"/>
      <c r="E211" s="564"/>
      <c r="F211" s="568"/>
      <c r="G211" s="568"/>
      <c r="H211" s="564"/>
      <c r="I211" s="568"/>
      <c r="J211" s="564"/>
      <c r="K211" s="564"/>
      <c r="L211" s="569"/>
      <c r="M211" s="569"/>
      <c r="N211" s="569"/>
      <c r="O211" s="570"/>
      <c r="P211" s="564"/>
      <c r="Q211" s="564"/>
      <c r="R211" s="569"/>
      <c r="S211" s="569"/>
      <c r="T211" s="564"/>
      <c r="U211" s="564"/>
      <c r="V211" s="564"/>
      <c r="W211" s="54">
        <f t="shared" si="57"/>
        <v>0</v>
      </c>
      <c r="X211" s="54">
        <f t="shared" si="58"/>
        <v>0</v>
      </c>
      <c r="AJ211" s="20" t="b">
        <f t="shared" si="45"/>
        <v>0</v>
      </c>
      <c r="AK211" s="20" t="b">
        <f t="shared" si="46"/>
        <v>0</v>
      </c>
      <c r="AL211" s="20" t="b">
        <f t="shared" si="47"/>
        <v>0</v>
      </c>
      <c r="AM211" s="20" t="b">
        <f t="shared" si="48"/>
        <v>0</v>
      </c>
      <c r="AN211" s="20" t="b">
        <f t="shared" si="49"/>
        <v>0</v>
      </c>
      <c r="AO211" s="20" t="b">
        <f t="shared" si="50"/>
        <v>0</v>
      </c>
      <c r="AP211" s="20" t="b">
        <f t="shared" si="51"/>
        <v>0</v>
      </c>
      <c r="AQ211" s="20" t="b">
        <f t="shared" si="52"/>
        <v>0</v>
      </c>
      <c r="AR211" s="20" t="b">
        <f t="shared" si="53"/>
        <v>0</v>
      </c>
      <c r="AS211" s="20" t="b">
        <f t="shared" si="54"/>
        <v>0</v>
      </c>
      <c r="AT211" s="20" t="b">
        <f t="shared" si="55"/>
        <v>0</v>
      </c>
      <c r="AU211" s="20" t="b">
        <f t="shared" si="56"/>
        <v>0</v>
      </c>
    </row>
    <row r="212" spans="1:47">
      <c r="A212" s="20">
        <f t="shared" si="59"/>
        <v>2</v>
      </c>
      <c r="B212" s="564"/>
      <c r="C212" s="564"/>
      <c r="D212" s="564"/>
      <c r="E212" s="564"/>
      <c r="F212" s="568"/>
      <c r="G212" s="568"/>
      <c r="H212" s="564"/>
      <c r="I212" s="568"/>
      <c r="J212" s="564"/>
      <c r="K212" s="564"/>
      <c r="L212" s="569"/>
      <c r="M212" s="569"/>
      <c r="N212" s="569"/>
      <c r="O212" s="570"/>
      <c r="P212" s="564"/>
      <c r="Q212" s="564"/>
      <c r="R212" s="569"/>
      <c r="S212" s="569"/>
      <c r="T212" s="564"/>
      <c r="U212" s="564"/>
      <c r="V212" s="564"/>
      <c r="W212" s="54">
        <f t="shared" si="57"/>
        <v>0</v>
      </c>
      <c r="X212" s="54">
        <f t="shared" si="58"/>
        <v>0</v>
      </c>
      <c r="AJ212" s="20" t="b">
        <f t="shared" si="45"/>
        <v>0</v>
      </c>
      <c r="AK212" s="20" t="b">
        <f t="shared" si="46"/>
        <v>0</v>
      </c>
      <c r="AL212" s="20" t="b">
        <f t="shared" si="47"/>
        <v>0</v>
      </c>
      <c r="AM212" s="20" t="b">
        <f t="shared" si="48"/>
        <v>0</v>
      </c>
      <c r="AN212" s="20" t="b">
        <f t="shared" si="49"/>
        <v>0</v>
      </c>
      <c r="AO212" s="20" t="b">
        <f t="shared" si="50"/>
        <v>0</v>
      </c>
      <c r="AP212" s="20" t="b">
        <f t="shared" si="51"/>
        <v>0</v>
      </c>
      <c r="AQ212" s="20" t="b">
        <f t="shared" si="52"/>
        <v>0</v>
      </c>
      <c r="AR212" s="20" t="b">
        <f t="shared" si="53"/>
        <v>0</v>
      </c>
      <c r="AS212" s="20" t="b">
        <f t="shared" si="54"/>
        <v>0</v>
      </c>
      <c r="AT212" s="20" t="b">
        <f t="shared" si="55"/>
        <v>0</v>
      </c>
      <c r="AU212" s="20" t="b">
        <f t="shared" si="56"/>
        <v>0</v>
      </c>
    </row>
    <row r="213" spans="1:47">
      <c r="A213" s="20">
        <f t="shared" si="59"/>
        <v>2</v>
      </c>
      <c r="B213" s="564"/>
      <c r="C213" s="564"/>
      <c r="D213" s="564"/>
      <c r="E213" s="564"/>
      <c r="F213" s="568"/>
      <c r="G213" s="568"/>
      <c r="H213" s="564"/>
      <c r="I213" s="568"/>
      <c r="J213" s="564"/>
      <c r="K213" s="564"/>
      <c r="L213" s="569"/>
      <c r="M213" s="569"/>
      <c r="N213" s="569"/>
      <c r="O213" s="570"/>
      <c r="P213" s="564"/>
      <c r="Q213" s="564"/>
      <c r="R213" s="569"/>
      <c r="S213" s="569"/>
      <c r="T213" s="564"/>
      <c r="U213" s="564"/>
      <c r="V213" s="564"/>
      <c r="W213" s="54">
        <f t="shared" si="57"/>
        <v>0</v>
      </c>
      <c r="X213" s="54">
        <f t="shared" si="58"/>
        <v>0</v>
      </c>
      <c r="AJ213" s="20" t="b">
        <f t="shared" si="45"/>
        <v>0</v>
      </c>
      <c r="AK213" s="20" t="b">
        <f t="shared" si="46"/>
        <v>0</v>
      </c>
      <c r="AL213" s="20" t="b">
        <f t="shared" si="47"/>
        <v>0</v>
      </c>
      <c r="AM213" s="20" t="b">
        <f t="shared" si="48"/>
        <v>0</v>
      </c>
      <c r="AN213" s="20" t="b">
        <f t="shared" si="49"/>
        <v>0</v>
      </c>
      <c r="AO213" s="20" t="b">
        <f t="shared" si="50"/>
        <v>0</v>
      </c>
      <c r="AP213" s="20" t="b">
        <f t="shared" si="51"/>
        <v>0</v>
      </c>
      <c r="AQ213" s="20" t="b">
        <f t="shared" si="52"/>
        <v>0</v>
      </c>
      <c r="AR213" s="20" t="b">
        <f t="shared" si="53"/>
        <v>0</v>
      </c>
      <c r="AS213" s="20" t="b">
        <f t="shared" si="54"/>
        <v>0</v>
      </c>
      <c r="AT213" s="20" t="b">
        <f t="shared" si="55"/>
        <v>0</v>
      </c>
      <c r="AU213" s="20" t="b">
        <f t="shared" si="56"/>
        <v>0</v>
      </c>
    </row>
    <row r="214" spans="1:47">
      <c r="A214" s="20">
        <f t="shared" si="59"/>
        <v>2</v>
      </c>
      <c r="B214" s="564"/>
      <c r="C214" s="564"/>
      <c r="D214" s="564"/>
      <c r="E214" s="564"/>
      <c r="F214" s="568"/>
      <c r="G214" s="568"/>
      <c r="H214" s="564"/>
      <c r="I214" s="568"/>
      <c r="J214" s="564"/>
      <c r="K214" s="564"/>
      <c r="L214" s="569"/>
      <c r="M214" s="569"/>
      <c r="N214" s="569"/>
      <c r="O214" s="570"/>
      <c r="P214" s="564"/>
      <c r="Q214" s="564"/>
      <c r="R214" s="569"/>
      <c r="S214" s="569"/>
      <c r="T214" s="564"/>
      <c r="U214" s="564"/>
      <c r="V214" s="564"/>
      <c r="W214" s="54">
        <f t="shared" si="57"/>
        <v>0</v>
      </c>
      <c r="X214" s="54">
        <f t="shared" si="58"/>
        <v>0</v>
      </c>
      <c r="AJ214" s="20" t="b">
        <f t="shared" si="45"/>
        <v>0</v>
      </c>
      <c r="AK214" s="20" t="b">
        <f t="shared" si="46"/>
        <v>0</v>
      </c>
      <c r="AL214" s="20" t="b">
        <f t="shared" si="47"/>
        <v>0</v>
      </c>
      <c r="AM214" s="20" t="b">
        <f t="shared" si="48"/>
        <v>0</v>
      </c>
      <c r="AN214" s="20" t="b">
        <f t="shared" si="49"/>
        <v>0</v>
      </c>
      <c r="AO214" s="20" t="b">
        <f t="shared" si="50"/>
        <v>0</v>
      </c>
      <c r="AP214" s="20" t="b">
        <f t="shared" si="51"/>
        <v>0</v>
      </c>
      <c r="AQ214" s="20" t="b">
        <f t="shared" si="52"/>
        <v>0</v>
      </c>
      <c r="AR214" s="20" t="b">
        <f t="shared" si="53"/>
        <v>0</v>
      </c>
      <c r="AS214" s="20" t="b">
        <f t="shared" si="54"/>
        <v>0</v>
      </c>
      <c r="AT214" s="20" t="b">
        <f t="shared" si="55"/>
        <v>0</v>
      </c>
      <c r="AU214" s="20" t="b">
        <f t="shared" si="56"/>
        <v>0</v>
      </c>
    </row>
    <row r="215" spans="1:47">
      <c r="B215" s="564"/>
      <c r="C215" s="564"/>
      <c r="D215" s="564"/>
      <c r="E215" s="564"/>
      <c r="F215" s="568"/>
      <c r="G215" s="568"/>
      <c r="H215" s="564"/>
      <c r="I215" s="568"/>
      <c r="J215" s="564"/>
      <c r="K215" s="564"/>
      <c r="L215" s="569"/>
      <c r="M215" s="569"/>
      <c r="N215" s="569"/>
      <c r="O215" s="570"/>
      <c r="P215" s="564"/>
      <c r="Q215" s="564"/>
      <c r="R215" s="569"/>
      <c r="S215" s="569"/>
      <c r="T215" s="564"/>
      <c r="U215" s="564"/>
      <c r="V215" s="564"/>
      <c r="W215" s="54">
        <f t="shared" si="57"/>
        <v>0</v>
      </c>
      <c r="X215" s="54">
        <f t="shared" si="58"/>
        <v>0</v>
      </c>
      <c r="AJ215" s="20" t="b">
        <f t="shared" si="45"/>
        <v>0</v>
      </c>
      <c r="AK215" s="20" t="b">
        <f t="shared" si="46"/>
        <v>0</v>
      </c>
      <c r="AL215" s="20" t="b">
        <f t="shared" si="47"/>
        <v>0</v>
      </c>
      <c r="AM215" s="20" t="b">
        <f t="shared" si="48"/>
        <v>0</v>
      </c>
      <c r="AN215" s="20" t="b">
        <f t="shared" si="49"/>
        <v>0</v>
      </c>
      <c r="AO215" s="20" t="b">
        <f t="shared" si="50"/>
        <v>0</v>
      </c>
      <c r="AP215" s="20" t="b">
        <f t="shared" si="51"/>
        <v>0</v>
      </c>
      <c r="AQ215" s="20" t="b">
        <f t="shared" si="52"/>
        <v>0</v>
      </c>
      <c r="AR215" s="20" t="b">
        <f t="shared" si="53"/>
        <v>0</v>
      </c>
      <c r="AS215" s="20" t="b">
        <f t="shared" si="54"/>
        <v>0</v>
      </c>
      <c r="AT215" s="20" t="b">
        <f t="shared" si="55"/>
        <v>0</v>
      </c>
      <c r="AU215" s="20" t="b">
        <f t="shared" si="56"/>
        <v>0</v>
      </c>
    </row>
    <row r="216" spans="1:47">
      <c r="A216" s="20">
        <f>IF(F216=F214,A214,A214+1)</f>
        <v>2</v>
      </c>
      <c r="B216" s="564"/>
      <c r="C216" s="564"/>
      <c r="D216" s="564"/>
      <c r="E216" s="564"/>
      <c r="F216" s="568"/>
      <c r="G216" s="568"/>
      <c r="H216" s="564"/>
      <c r="I216" s="568"/>
      <c r="J216" s="564"/>
      <c r="K216" s="564"/>
      <c r="L216" s="569"/>
      <c r="M216" s="569"/>
      <c r="N216" s="569"/>
      <c r="O216" s="570"/>
      <c r="P216" s="564"/>
      <c r="Q216" s="564"/>
      <c r="R216" s="569"/>
      <c r="S216" s="569"/>
      <c r="T216" s="564"/>
      <c r="U216" s="564"/>
      <c r="V216" s="564"/>
      <c r="W216" s="54">
        <f t="shared" si="57"/>
        <v>0</v>
      </c>
      <c r="X216" s="54">
        <f t="shared" si="58"/>
        <v>0</v>
      </c>
      <c r="AJ216" s="20" t="b">
        <f t="shared" si="45"/>
        <v>0</v>
      </c>
      <c r="AK216" s="20" t="b">
        <f t="shared" si="46"/>
        <v>0</v>
      </c>
      <c r="AL216" s="20" t="b">
        <f t="shared" si="47"/>
        <v>0</v>
      </c>
      <c r="AM216" s="20" t="b">
        <f t="shared" si="48"/>
        <v>0</v>
      </c>
      <c r="AN216" s="20" t="b">
        <f t="shared" si="49"/>
        <v>0</v>
      </c>
      <c r="AO216" s="20" t="b">
        <f t="shared" si="50"/>
        <v>0</v>
      </c>
      <c r="AP216" s="20" t="b">
        <f t="shared" si="51"/>
        <v>0</v>
      </c>
      <c r="AQ216" s="20" t="b">
        <f t="shared" si="52"/>
        <v>0</v>
      </c>
      <c r="AR216" s="20" t="b">
        <f t="shared" si="53"/>
        <v>0</v>
      </c>
      <c r="AS216" s="20" t="b">
        <f t="shared" si="54"/>
        <v>0</v>
      </c>
      <c r="AT216" s="20" t="b">
        <f t="shared" si="55"/>
        <v>0</v>
      </c>
      <c r="AU216" s="20" t="b">
        <f t="shared" si="56"/>
        <v>0</v>
      </c>
    </row>
    <row r="217" spans="1:47">
      <c r="A217" s="20">
        <f t="shared" si="59"/>
        <v>2</v>
      </c>
      <c r="B217" s="564"/>
      <c r="C217" s="564"/>
      <c r="D217" s="564"/>
      <c r="E217" s="564"/>
      <c r="F217" s="568"/>
      <c r="G217" s="568"/>
      <c r="H217" s="564"/>
      <c r="I217" s="568"/>
      <c r="J217" s="564"/>
      <c r="K217" s="564"/>
      <c r="L217" s="569"/>
      <c r="M217" s="569"/>
      <c r="N217" s="569"/>
      <c r="O217" s="570"/>
      <c r="P217" s="564"/>
      <c r="Q217" s="564"/>
      <c r="R217" s="569"/>
      <c r="S217" s="569"/>
      <c r="T217" s="564"/>
      <c r="U217" s="564"/>
      <c r="V217" s="564"/>
      <c r="W217" s="54">
        <f t="shared" si="57"/>
        <v>0</v>
      </c>
      <c r="X217" s="54">
        <f t="shared" si="58"/>
        <v>0</v>
      </c>
      <c r="AJ217" s="20" t="b">
        <f t="shared" si="45"/>
        <v>0</v>
      </c>
      <c r="AK217" s="20" t="b">
        <f t="shared" si="46"/>
        <v>0</v>
      </c>
      <c r="AL217" s="20" t="b">
        <f t="shared" si="47"/>
        <v>0</v>
      </c>
      <c r="AM217" s="20" t="b">
        <f t="shared" si="48"/>
        <v>0</v>
      </c>
      <c r="AN217" s="20" t="b">
        <f t="shared" si="49"/>
        <v>0</v>
      </c>
      <c r="AO217" s="20" t="b">
        <f t="shared" si="50"/>
        <v>0</v>
      </c>
      <c r="AP217" s="20" t="b">
        <f t="shared" si="51"/>
        <v>0</v>
      </c>
      <c r="AQ217" s="20" t="b">
        <f t="shared" si="52"/>
        <v>0</v>
      </c>
      <c r="AR217" s="20" t="b">
        <f t="shared" si="53"/>
        <v>0</v>
      </c>
      <c r="AS217" s="20" t="b">
        <f t="shared" si="54"/>
        <v>0</v>
      </c>
      <c r="AT217" s="20" t="b">
        <f t="shared" si="55"/>
        <v>0</v>
      </c>
      <c r="AU217" s="20" t="b">
        <f t="shared" si="56"/>
        <v>0</v>
      </c>
    </row>
    <row r="218" spans="1:47">
      <c r="A218" s="20">
        <f t="shared" si="59"/>
        <v>2</v>
      </c>
      <c r="B218" s="564"/>
      <c r="C218" s="564"/>
      <c r="D218" s="564"/>
      <c r="E218" s="564"/>
      <c r="F218" s="568"/>
      <c r="G218" s="568"/>
      <c r="H218" s="564"/>
      <c r="I218" s="568"/>
      <c r="J218" s="564"/>
      <c r="K218" s="564"/>
      <c r="L218" s="569"/>
      <c r="M218" s="569"/>
      <c r="N218" s="569"/>
      <c r="O218" s="570"/>
      <c r="P218" s="564"/>
      <c r="Q218" s="564"/>
      <c r="R218" s="569"/>
      <c r="S218" s="569"/>
      <c r="T218" s="564"/>
      <c r="U218" s="564"/>
      <c r="V218" s="564"/>
      <c r="W218" s="54">
        <f t="shared" si="57"/>
        <v>0</v>
      </c>
      <c r="X218" s="54">
        <f t="shared" si="58"/>
        <v>0</v>
      </c>
      <c r="AJ218" s="20" t="b">
        <f t="shared" si="45"/>
        <v>0</v>
      </c>
      <c r="AK218" s="20" t="b">
        <f t="shared" si="46"/>
        <v>0</v>
      </c>
      <c r="AL218" s="20" t="b">
        <f t="shared" si="47"/>
        <v>0</v>
      </c>
      <c r="AM218" s="20" t="b">
        <f t="shared" si="48"/>
        <v>0</v>
      </c>
      <c r="AN218" s="20" t="b">
        <f t="shared" si="49"/>
        <v>0</v>
      </c>
      <c r="AO218" s="20" t="b">
        <f t="shared" si="50"/>
        <v>0</v>
      </c>
      <c r="AP218" s="20" t="b">
        <f t="shared" si="51"/>
        <v>0</v>
      </c>
      <c r="AQ218" s="20" t="b">
        <f t="shared" si="52"/>
        <v>0</v>
      </c>
      <c r="AR218" s="20" t="b">
        <f t="shared" si="53"/>
        <v>0</v>
      </c>
      <c r="AS218" s="20" t="b">
        <f t="shared" si="54"/>
        <v>0</v>
      </c>
      <c r="AT218" s="20" t="b">
        <f t="shared" si="55"/>
        <v>0</v>
      </c>
      <c r="AU218" s="20" t="b">
        <f t="shared" si="56"/>
        <v>0</v>
      </c>
    </row>
    <row r="219" spans="1:47">
      <c r="A219" s="20">
        <f t="shared" si="59"/>
        <v>2</v>
      </c>
      <c r="B219" s="564"/>
      <c r="C219" s="564"/>
      <c r="D219" s="564"/>
      <c r="E219" s="564"/>
      <c r="F219" s="568"/>
      <c r="G219" s="568"/>
      <c r="H219" s="564"/>
      <c r="I219" s="568"/>
      <c r="J219" s="564"/>
      <c r="K219" s="564"/>
      <c r="L219" s="569"/>
      <c r="M219" s="569"/>
      <c r="N219" s="569"/>
      <c r="O219" s="570"/>
      <c r="P219" s="564"/>
      <c r="Q219" s="564"/>
      <c r="R219" s="569"/>
      <c r="S219" s="569"/>
      <c r="T219" s="564"/>
      <c r="U219" s="564"/>
      <c r="V219" s="564"/>
      <c r="W219" s="54">
        <f t="shared" si="57"/>
        <v>0</v>
      </c>
      <c r="X219" s="54">
        <f t="shared" si="58"/>
        <v>0</v>
      </c>
      <c r="AJ219" s="20" t="b">
        <f t="shared" si="45"/>
        <v>0</v>
      </c>
      <c r="AK219" s="20" t="b">
        <f t="shared" si="46"/>
        <v>0</v>
      </c>
      <c r="AL219" s="20" t="b">
        <f t="shared" si="47"/>
        <v>0</v>
      </c>
      <c r="AM219" s="20" t="b">
        <f t="shared" si="48"/>
        <v>0</v>
      </c>
      <c r="AN219" s="20" t="b">
        <f t="shared" si="49"/>
        <v>0</v>
      </c>
      <c r="AO219" s="20" t="b">
        <f t="shared" si="50"/>
        <v>0</v>
      </c>
      <c r="AP219" s="20" t="b">
        <f t="shared" si="51"/>
        <v>0</v>
      </c>
      <c r="AQ219" s="20" t="b">
        <f t="shared" si="52"/>
        <v>0</v>
      </c>
      <c r="AR219" s="20" t="b">
        <f t="shared" si="53"/>
        <v>0</v>
      </c>
      <c r="AS219" s="20" t="b">
        <f t="shared" si="54"/>
        <v>0</v>
      </c>
      <c r="AT219" s="20" t="b">
        <f t="shared" si="55"/>
        <v>0</v>
      </c>
      <c r="AU219" s="20" t="b">
        <f t="shared" si="56"/>
        <v>0</v>
      </c>
    </row>
    <row r="220" spans="1:47">
      <c r="A220" s="20">
        <f t="shared" si="59"/>
        <v>2</v>
      </c>
      <c r="B220" s="564"/>
      <c r="C220" s="564"/>
      <c r="D220" s="564"/>
      <c r="E220" s="564"/>
      <c r="F220" s="568"/>
      <c r="G220" s="568"/>
      <c r="H220" s="564"/>
      <c r="I220" s="568"/>
      <c r="J220" s="564"/>
      <c r="K220" s="564"/>
      <c r="L220" s="569"/>
      <c r="M220" s="569"/>
      <c r="N220" s="569"/>
      <c r="O220" s="570"/>
      <c r="P220" s="564"/>
      <c r="Q220" s="564"/>
      <c r="R220" s="569"/>
      <c r="S220" s="569"/>
      <c r="T220" s="564"/>
      <c r="U220" s="564"/>
      <c r="V220" s="564"/>
      <c r="W220" s="54">
        <f t="shared" si="57"/>
        <v>0</v>
      </c>
      <c r="X220" s="54">
        <f t="shared" si="58"/>
        <v>0</v>
      </c>
      <c r="AJ220" s="20" t="b">
        <f t="shared" si="45"/>
        <v>0</v>
      </c>
      <c r="AK220" s="20" t="b">
        <f t="shared" si="46"/>
        <v>0</v>
      </c>
      <c r="AL220" s="20" t="b">
        <f t="shared" si="47"/>
        <v>0</v>
      </c>
      <c r="AM220" s="20" t="b">
        <f t="shared" si="48"/>
        <v>0</v>
      </c>
      <c r="AN220" s="20" t="b">
        <f t="shared" si="49"/>
        <v>0</v>
      </c>
      <c r="AO220" s="20" t="b">
        <f t="shared" si="50"/>
        <v>0</v>
      </c>
      <c r="AP220" s="20" t="b">
        <f t="shared" si="51"/>
        <v>0</v>
      </c>
      <c r="AQ220" s="20" t="b">
        <f t="shared" si="52"/>
        <v>0</v>
      </c>
      <c r="AR220" s="20" t="b">
        <f t="shared" si="53"/>
        <v>0</v>
      </c>
      <c r="AS220" s="20" t="b">
        <f t="shared" si="54"/>
        <v>0</v>
      </c>
      <c r="AT220" s="20" t="b">
        <f t="shared" si="55"/>
        <v>0</v>
      </c>
      <c r="AU220" s="20" t="b">
        <f t="shared" si="56"/>
        <v>0</v>
      </c>
    </row>
    <row r="221" spans="1:47">
      <c r="A221" s="20">
        <f t="shared" si="59"/>
        <v>2</v>
      </c>
      <c r="B221" s="564"/>
      <c r="C221" s="564"/>
      <c r="D221" s="564"/>
      <c r="E221" s="564"/>
      <c r="F221" s="568"/>
      <c r="G221" s="568"/>
      <c r="H221" s="564"/>
      <c r="I221" s="568"/>
      <c r="J221" s="564"/>
      <c r="K221" s="564"/>
      <c r="L221" s="569"/>
      <c r="M221" s="569"/>
      <c r="N221" s="569"/>
      <c r="O221" s="570"/>
      <c r="P221" s="564"/>
      <c r="Q221" s="564"/>
      <c r="R221" s="569"/>
      <c r="S221" s="569"/>
      <c r="T221" s="564"/>
      <c r="U221" s="564"/>
      <c r="V221" s="564"/>
      <c r="W221" s="54">
        <f t="shared" si="57"/>
        <v>0</v>
      </c>
      <c r="X221" s="54">
        <f t="shared" si="58"/>
        <v>0</v>
      </c>
      <c r="AJ221" s="20" t="b">
        <f t="shared" si="45"/>
        <v>0</v>
      </c>
      <c r="AK221" s="20" t="b">
        <f t="shared" si="46"/>
        <v>0</v>
      </c>
      <c r="AL221" s="20" t="b">
        <f t="shared" si="47"/>
        <v>0</v>
      </c>
      <c r="AM221" s="20" t="b">
        <f t="shared" si="48"/>
        <v>0</v>
      </c>
      <c r="AN221" s="20" t="b">
        <f t="shared" si="49"/>
        <v>0</v>
      </c>
      <c r="AO221" s="20" t="b">
        <f t="shared" si="50"/>
        <v>0</v>
      </c>
      <c r="AP221" s="20" t="b">
        <f t="shared" si="51"/>
        <v>0</v>
      </c>
      <c r="AQ221" s="20" t="b">
        <f t="shared" si="52"/>
        <v>0</v>
      </c>
      <c r="AR221" s="20" t="b">
        <f t="shared" si="53"/>
        <v>0</v>
      </c>
      <c r="AS221" s="20" t="b">
        <f t="shared" si="54"/>
        <v>0</v>
      </c>
      <c r="AT221" s="20" t="b">
        <f t="shared" si="55"/>
        <v>0</v>
      </c>
      <c r="AU221" s="20" t="b">
        <f t="shared" si="56"/>
        <v>0</v>
      </c>
    </row>
    <row r="222" spans="1:47">
      <c r="A222" s="20">
        <f t="shared" si="59"/>
        <v>2</v>
      </c>
      <c r="B222" s="564"/>
      <c r="C222" s="564"/>
      <c r="D222" s="564"/>
      <c r="E222" s="564"/>
      <c r="F222" s="568"/>
      <c r="G222" s="568"/>
      <c r="H222" s="564"/>
      <c r="I222" s="568"/>
      <c r="J222" s="564"/>
      <c r="K222" s="564"/>
      <c r="L222" s="569"/>
      <c r="M222" s="569"/>
      <c r="N222" s="569"/>
      <c r="O222" s="570"/>
      <c r="P222" s="564"/>
      <c r="Q222" s="564"/>
      <c r="R222" s="569"/>
      <c r="S222" s="569"/>
      <c r="T222" s="564"/>
      <c r="U222" s="564"/>
      <c r="V222" s="564"/>
      <c r="W222" s="54">
        <f t="shared" si="57"/>
        <v>0</v>
      </c>
      <c r="X222" s="54">
        <f t="shared" si="58"/>
        <v>0</v>
      </c>
      <c r="AJ222" s="20" t="b">
        <f t="shared" si="45"/>
        <v>0</v>
      </c>
      <c r="AK222" s="20" t="b">
        <f t="shared" si="46"/>
        <v>0</v>
      </c>
      <c r="AL222" s="20" t="b">
        <f t="shared" si="47"/>
        <v>0</v>
      </c>
      <c r="AM222" s="20" t="b">
        <f t="shared" si="48"/>
        <v>0</v>
      </c>
      <c r="AN222" s="20" t="b">
        <f t="shared" si="49"/>
        <v>0</v>
      </c>
      <c r="AO222" s="20" t="b">
        <f t="shared" si="50"/>
        <v>0</v>
      </c>
      <c r="AP222" s="20" t="b">
        <f t="shared" si="51"/>
        <v>0</v>
      </c>
      <c r="AQ222" s="20" t="b">
        <f t="shared" si="52"/>
        <v>0</v>
      </c>
      <c r="AR222" s="20" t="b">
        <f t="shared" si="53"/>
        <v>0</v>
      </c>
      <c r="AS222" s="20" t="b">
        <f t="shared" si="54"/>
        <v>0</v>
      </c>
      <c r="AT222" s="20" t="b">
        <f t="shared" si="55"/>
        <v>0</v>
      </c>
      <c r="AU222" s="20" t="b">
        <f t="shared" si="56"/>
        <v>0</v>
      </c>
    </row>
    <row r="223" spans="1:47">
      <c r="A223" s="20">
        <f t="shared" si="59"/>
        <v>2</v>
      </c>
      <c r="B223" s="564"/>
      <c r="C223" s="564"/>
      <c r="D223" s="564"/>
      <c r="E223" s="564"/>
      <c r="F223" s="568"/>
      <c r="G223" s="568"/>
      <c r="H223" s="564"/>
      <c r="I223" s="568"/>
      <c r="J223" s="564"/>
      <c r="K223" s="564"/>
      <c r="L223" s="569"/>
      <c r="M223" s="569"/>
      <c r="N223" s="569"/>
      <c r="O223" s="570"/>
      <c r="P223" s="564"/>
      <c r="Q223" s="564"/>
      <c r="R223" s="569"/>
      <c r="S223" s="569"/>
      <c r="T223" s="564"/>
      <c r="U223" s="564"/>
      <c r="V223" s="564"/>
      <c r="W223" s="54">
        <f t="shared" si="57"/>
        <v>0</v>
      </c>
      <c r="X223" s="54">
        <f t="shared" si="58"/>
        <v>0</v>
      </c>
      <c r="AJ223" s="20" t="b">
        <f t="shared" si="45"/>
        <v>0</v>
      </c>
      <c r="AK223" s="20" t="b">
        <f t="shared" si="46"/>
        <v>0</v>
      </c>
      <c r="AL223" s="20" t="b">
        <f t="shared" si="47"/>
        <v>0</v>
      </c>
      <c r="AM223" s="20" t="b">
        <f t="shared" si="48"/>
        <v>0</v>
      </c>
      <c r="AN223" s="20" t="b">
        <f t="shared" si="49"/>
        <v>0</v>
      </c>
      <c r="AO223" s="20" t="b">
        <f t="shared" si="50"/>
        <v>0</v>
      </c>
      <c r="AP223" s="20" t="b">
        <f t="shared" si="51"/>
        <v>0</v>
      </c>
      <c r="AQ223" s="20" t="b">
        <f t="shared" si="52"/>
        <v>0</v>
      </c>
      <c r="AR223" s="20" t="b">
        <f t="shared" si="53"/>
        <v>0</v>
      </c>
      <c r="AS223" s="20" t="b">
        <f t="shared" si="54"/>
        <v>0</v>
      </c>
      <c r="AT223" s="20" t="b">
        <f t="shared" si="55"/>
        <v>0</v>
      </c>
      <c r="AU223" s="20" t="b">
        <f t="shared" si="56"/>
        <v>0</v>
      </c>
    </row>
    <row r="224" spans="1:47">
      <c r="A224" s="20">
        <f t="shared" si="59"/>
        <v>2</v>
      </c>
      <c r="B224" s="564"/>
      <c r="C224" s="564"/>
      <c r="D224" s="564"/>
      <c r="E224" s="564"/>
      <c r="F224" s="568"/>
      <c r="G224" s="568"/>
      <c r="H224" s="564"/>
      <c r="I224" s="568"/>
      <c r="J224" s="564"/>
      <c r="K224" s="564"/>
      <c r="L224" s="569"/>
      <c r="M224" s="569"/>
      <c r="N224" s="569"/>
      <c r="O224" s="570"/>
      <c r="P224" s="564"/>
      <c r="Q224" s="564"/>
      <c r="R224" s="569"/>
      <c r="S224" s="569"/>
      <c r="T224" s="564"/>
      <c r="U224" s="564"/>
      <c r="V224" s="564"/>
      <c r="W224" s="54">
        <f t="shared" si="57"/>
        <v>0</v>
      </c>
      <c r="X224" s="54">
        <f t="shared" si="58"/>
        <v>0</v>
      </c>
      <c r="AJ224" s="20" t="b">
        <f t="shared" si="45"/>
        <v>0</v>
      </c>
      <c r="AK224" s="20" t="b">
        <f t="shared" si="46"/>
        <v>0</v>
      </c>
      <c r="AL224" s="20" t="b">
        <f t="shared" si="47"/>
        <v>0</v>
      </c>
      <c r="AM224" s="20" t="b">
        <f t="shared" si="48"/>
        <v>0</v>
      </c>
      <c r="AN224" s="20" t="b">
        <f t="shared" si="49"/>
        <v>0</v>
      </c>
      <c r="AO224" s="20" t="b">
        <f t="shared" si="50"/>
        <v>0</v>
      </c>
      <c r="AP224" s="20" t="b">
        <f t="shared" si="51"/>
        <v>0</v>
      </c>
      <c r="AQ224" s="20" t="b">
        <f t="shared" si="52"/>
        <v>0</v>
      </c>
      <c r="AR224" s="20" t="b">
        <f t="shared" si="53"/>
        <v>0</v>
      </c>
      <c r="AS224" s="20" t="b">
        <f t="shared" si="54"/>
        <v>0</v>
      </c>
      <c r="AT224" s="20" t="b">
        <f t="shared" si="55"/>
        <v>0</v>
      </c>
      <c r="AU224" s="20" t="b">
        <f t="shared" si="56"/>
        <v>0</v>
      </c>
    </row>
    <row r="225" spans="1:47">
      <c r="A225" s="20">
        <f t="shared" si="59"/>
        <v>2</v>
      </c>
      <c r="B225" s="564"/>
      <c r="C225" s="564"/>
      <c r="D225" s="564"/>
      <c r="E225" s="564"/>
      <c r="F225" s="568"/>
      <c r="G225" s="568"/>
      <c r="H225" s="564"/>
      <c r="I225" s="568"/>
      <c r="J225" s="564"/>
      <c r="K225" s="564"/>
      <c r="L225" s="569"/>
      <c r="M225" s="569"/>
      <c r="N225" s="569"/>
      <c r="O225" s="570"/>
      <c r="P225" s="564"/>
      <c r="Q225" s="564"/>
      <c r="R225" s="569"/>
      <c r="S225" s="569"/>
      <c r="T225" s="564"/>
      <c r="U225" s="564"/>
      <c r="V225" s="564"/>
      <c r="W225" s="54">
        <f t="shared" si="57"/>
        <v>0</v>
      </c>
      <c r="X225" s="54">
        <f t="shared" si="58"/>
        <v>0</v>
      </c>
      <c r="AJ225" s="20" t="b">
        <f t="shared" si="45"/>
        <v>0</v>
      </c>
      <c r="AK225" s="20" t="b">
        <f t="shared" si="46"/>
        <v>0</v>
      </c>
      <c r="AL225" s="20" t="b">
        <f t="shared" si="47"/>
        <v>0</v>
      </c>
      <c r="AM225" s="20" t="b">
        <f t="shared" si="48"/>
        <v>0</v>
      </c>
      <c r="AN225" s="20" t="b">
        <f t="shared" si="49"/>
        <v>0</v>
      </c>
      <c r="AO225" s="20" t="b">
        <f t="shared" si="50"/>
        <v>0</v>
      </c>
      <c r="AP225" s="20" t="b">
        <f t="shared" si="51"/>
        <v>0</v>
      </c>
      <c r="AQ225" s="20" t="b">
        <f t="shared" si="52"/>
        <v>0</v>
      </c>
      <c r="AR225" s="20" t="b">
        <f t="shared" si="53"/>
        <v>0</v>
      </c>
      <c r="AS225" s="20" t="b">
        <f t="shared" si="54"/>
        <v>0</v>
      </c>
      <c r="AT225" s="20" t="b">
        <f t="shared" si="55"/>
        <v>0</v>
      </c>
      <c r="AU225" s="20" t="b">
        <f t="shared" si="56"/>
        <v>0</v>
      </c>
    </row>
    <row r="226" spans="1:47">
      <c r="A226" s="20">
        <f t="shared" si="59"/>
        <v>2</v>
      </c>
      <c r="B226" s="564"/>
      <c r="C226" s="564"/>
      <c r="D226" s="564"/>
      <c r="E226" s="564"/>
      <c r="F226" s="568"/>
      <c r="G226" s="568"/>
      <c r="H226" s="564"/>
      <c r="I226" s="568"/>
      <c r="J226" s="564"/>
      <c r="K226" s="564"/>
      <c r="L226" s="569"/>
      <c r="M226" s="569"/>
      <c r="N226" s="569"/>
      <c r="O226" s="570"/>
      <c r="P226" s="564"/>
      <c r="Q226" s="564"/>
      <c r="R226" s="569"/>
      <c r="S226" s="569"/>
      <c r="T226" s="564"/>
      <c r="U226" s="564"/>
      <c r="V226" s="564"/>
      <c r="W226" s="54">
        <f t="shared" si="57"/>
        <v>0</v>
      </c>
      <c r="X226" s="54">
        <f t="shared" si="58"/>
        <v>0</v>
      </c>
      <c r="AJ226" s="20" t="b">
        <f t="shared" si="45"/>
        <v>0</v>
      </c>
      <c r="AK226" s="20" t="b">
        <f t="shared" si="46"/>
        <v>0</v>
      </c>
      <c r="AL226" s="20" t="b">
        <f t="shared" si="47"/>
        <v>0</v>
      </c>
      <c r="AM226" s="20" t="b">
        <f t="shared" si="48"/>
        <v>0</v>
      </c>
      <c r="AN226" s="20" t="b">
        <f t="shared" si="49"/>
        <v>0</v>
      </c>
      <c r="AO226" s="20" t="b">
        <f t="shared" si="50"/>
        <v>0</v>
      </c>
      <c r="AP226" s="20" t="b">
        <f t="shared" si="51"/>
        <v>0</v>
      </c>
      <c r="AQ226" s="20" t="b">
        <f t="shared" si="52"/>
        <v>0</v>
      </c>
      <c r="AR226" s="20" t="b">
        <f t="shared" si="53"/>
        <v>0</v>
      </c>
      <c r="AS226" s="20" t="b">
        <f t="shared" si="54"/>
        <v>0</v>
      </c>
      <c r="AT226" s="20" t="b">
        <f t="shared" si="55"/>
        <v>0</v>
      </c>
      <c r="AU226" s="20" t="b">
        <f t="shared" si="56"/>
        <v>0</v>
      </c>
    </row>
    <row r="227" spans="1:47">
      <c r="A227" s="20">
        <f t="shared" si="59"/>
        <v>2</v>
      </c>
      <c r="B227" s="564"/>
      <c r="C227" s="564"/>
      <c r="D227" s="564"/>
      <c r="E227" s="564"/>
      <c r="F227" s="568"/>
      <c r="G227" s="568"/>
      <c r="H227" s="564"/>
      <c r="I227" s="568"/>
      <c r="J227" s="564"/>
      <c r="K227" s="564"/>
      <c r="L227" s="569"/>
      <c r="M227" s="569"/>
      <c r="N227" s="569"/>
      <c r="O227" s="570"/>
      <c r="P227" s="564"/>
      <c r="Q227" s="564"/>
      <c r="R227" s="569"/>
      <c r="S227" s="569"/>
      <c r="T227" s="564"/>
      <c r="U227" s="564"/>
      <c r="V227" s="564"/>
      <c r="W227" s="54">
        <f t="shared" si="57"/>
        <v>0</v>
      </c>
      <c r="X227" s="54">
        <f t="shared" si="58"/>
        <v>0</v>
      </c>
      <c r="AJ227" s="20" t="b">
        <f t="shared" si="45"/>
        <v>0</v>
      </c>
      <c r="AK227" s="20" t="b">
        <f t="shared" si="46"/>
        <v>0</v>
      </c>
      <c r="AL227" s="20" t="b">
        <f t="shared" si="47"/>
        <v>0</v>
      </c>
      <c r="AM227" s="20" t="b">
        <f t="shared" si="48"/>
        <v>0</v>
      </c>
      <c r="AN227" s="20" t="b">
        <f t="shared" si="49"/>
        <v>0</v>
      </c>
      <c r="AO227" s="20" t="b">
        <f t="shared" si="50"/>
        <v>0</v>
      </c>
      <c r="AP227" s="20" t="b">
        <f t="shared" si="51"/>
        <v>0</v>
      </c>
      <c r="AQ227" s="20" t="b">
        <f t="shared" si="52"/>
        <v>0</v>
      </c>
      <c r="AR227" s="20" t="b">
        <f t="shared" si="53"/>
        <v>0</v>
      </c>
      <c r="AS227" s="20" t="b">
        <f t="shared" si="54"/>
        <v>0</v>
      </c>
      <c r="AT227" s="20" t="b">
        <f t="shared" si="55"/>
        <v>0</v>
      </c>
      <c r="AU227" s="20" t="b">
        <f t="shared" si="56"/>
        <v>0</v>
      </c>
    </row>
    <row r="228" spans="1:47">
      <c r="A228" s="20">
        <f t="shared" si="59"/>
        <v>2</v>
      </c>
      <c r="B228" s="564"/>
      <c r="C228" s="564"/>
      <c r="D228" s="564"/>
      <c r="E228" s="564"/>
      <c r="F228" s="568"/>
      <c r="G228" s="568"/>
      <c r="H228" s="564"/>
      <c r="I228" s="568"/>
      <c r="J228" s="564"/>
      <c r="K228" s="564"/>
      <c r="L228" s="569"/>
      <c r="M228" s="569"/>
      <c r="N228" s="569"/>
      <c r="O228" s="570"/>
      <c r="P228" s="564"/>
      <c r="Q228" s="564"/>
      <c r="R228" s="569"/>
      <c r="S228" s="569"/>
      <c r="T228" s="564"/>
      <c r="U228" s="564"/>
      <c r="V228" s="564"/>
      <c r="W228" s="54">
        <f t="shared" si="57"/>
        <v>0</v>
      </c>
      <c r="X228" s="54">
        <f t="shared" si="58"/>
        <v>0</v>
      </c>
      <c r="AJ228" s="20" t="b">
        <f t="shared" si="45"/>
        <v>0</v>
      </c>
      <c r="AK228" s="20" t="b">
        <f t="shared" si="46"/>
        <v>0</v>
      </c>
      <c r="AL228" s="20" t="b">
        <f t="shared" si="47"/>
        <v>0</v>
      </c>
      <c r="AM228" s="20" t="b">
        <f t="shared" si="48"/>
        <v>0</v>
      </c>
      <c r="AN228" s="20" t="b">
        <f t="shared" si="49"/>
        <v>0</v>
      </c>
      <c r="AO228" s="20" t="b">
        <f t="shared" si="50"/>
        <v>0</v>
      </c>
      <c r="AP228" s="20" t="b">
        <f t="shared" si="51"/>
        <v>0</v>
      </c>
      <c r="AQ228" s="20" t="b">
        <f t="shared" si="52"/>
        <v>0</v>
      </c>
      <c r="AR228" s="20" t="b">
        <f t="shared" si="53"/>
        <v>0</v>
      </c>
      <c r="AS228" s="20" t="b">
        <f t="shared" si="54"/>
        <v>0</v>
      </c>
      <c r="AT228" s="20" t="b">
        <f t="shared" si="55"/>
        <v>0</v>
      </c>
      <c r="AU228" s="20" t="b">
        <f t="shared" si="56"/>
        <v>0</v>
      </c>
    </row>
    <row r="229" spans="1:47">
      <c r="A229" s="20">
        <f t="shared" si="59"/>
        <v>2</v>
      </c>
      <c r="B229" s="564"/>
      <c r="C229" s="564"/>
      <c r="D229" s="564"/>
      <c r="E229" s="564"/>
      <c r="F229" s="568"/>
      <c r="G229" s="568"/>
      <c r="H229" s="564"/>
      <c r="I229" s="568"/>
      <c r="J229" s="564"/>
      <c r="K229" s="564"/>
      <c r="L229" s="569"/>
      <c r="M229" s="569"/>
      <c r="N229" s="569"/>
      <c r="O229" s="570"/>
      <c r="P229" s="564"/>
      <c r="Q229" s="564"/>
      <c r="R229" s="569"/>
      <c r="S229" s="569"/>
      <c r="T229" s="564"/>
      <c r="U229" s="564"/>
      <c r="V229" s="564"/>
      <c r="W229" s="54">
        <f t="shared" si="57"/>
        <v>0</v>
      </c>
      <c r="X229" s="54">
        <f t="shared" si="58"/>
        <v>0</v>
      </c>
      <c r="AJ229" s="20" t="b">
        <f t="shared" si="45"/>
        <v>0</v>
      </c>
      <c r="AK229" s="20" t="b">
        <f t="shared" si="46"/>
        <v>0</v>
      </c>
      <c r="AL229" s="20" t="b">
        <f t="shared" si="47"/>
        <v>0</v>
      </c>
      <c r="AM229" s="20" t="b">
        <f t="shared" si="48"/>
        <v>0</v>
      </c>
      <c r="AN229" s="20" t="b">
        <f t="shared" si="49"/>
        <v>0</v>
      </c>
      <c r="AO229" s="20" t="b">
        <f t="shared" si="50"/>
        <v>0</v>
      </c>
      <c r="AP229" s="20" t="b">
        <f t="shared" si="51"/>
        <v>0</v>
      </c>
      <c r="AQ229" s="20" t="b">
        <f t="shared" si="52"/>
        <v>0</v>
      </c>
      <c r="AR229" s="20" t="b">
        <f t="shared" si="53"/>
        <v>0</v>
      </c>
      <c r="AS229" s="20" t="b">
        <f t="shared" si="54"/>
        <v>0</v>
      </c>
      <c r="AT229" s="20" t="b">
        <f t="shared" si="55"/>
        <v>0</v>
      </c>
      <c r="AU229" s="20" t="b">
        <f t="shared" si="56"/>
        <v>0</v>
      </c>
    </row>
    <row r="230" spans="1:47">
      <c r="A230" s="20">
        <f t="shared" si="59"/>
        <v>2</v>
      </c>
      <c r="B230" s="564"/>
      <c r="C230" s="564"/>
      <c r="D230" s="564"/>
      <c r="E230" s="564"/>
      <c r="F230" s="568"/>
      <c r="G230" s="568"/>
      <c r="H230" s="564"/>
      <c r="I230" s="568"/>
      <c r="J230" s="564"/>
      <c r="K230" s="564"/>
      <c r="L230" s="569"/>
      <c r="M230" s="569"/>
      <c r="N230" s="569"/>
      <c r="O230" s="570"/>
      <c r="P230" s="564"/>
      <c r="Q230" s="564"/>
      <c r="R230" s="569"/>
      <c r="S230" s="569"/>
      <c r="T230" s="564"/>
      <c r="U230" s="564"/>
      <c r="V230" s="564"/>
      <c r="W230" s="54">
        <f t="shared" si="57"/>
        <v>0</v>
      </c>
      <c r="X230" s="54">
        <f t="shared" si="58"/>
        <v>0</v>
      </c>
      <c r="AJ230" s="20" t="b">
        <f t="shared" si="45"/>
        <v>0</v>
      </c>
      <c r="AK230" s="20" t="b">
        <f t="shared" si="46"/>
        <v>0</v>
      </c>
      <c r="AL230" s="20" t="b">
        <f t="shared" si="47"/>
        <v>0</v>
      </c>
      <c r="AM230" s="20" t="b">
        <f t="shared" si="48"/>
        <v>0</v>
      </c>
      <c r="AN230" s="20" t="b">
        <f t="shared" si="49"/>
        <v>0</v>
      </c>
      <c r="AO230" s="20" t="b">
        <f t="shared" si="50"/>
        <v>0</v>
      </c>
      <c r="AP230" s="20" t="b">
        <f t="shared" si="51"/>
        <v>0</v>
      </c>
      <c r="AQ230" s="20" t="b">
        <f t="shared" si="52"/>
        <v>0</v>
      </c>
      <c r="AR230" s="20" t="b">
        <f t="shared" si="53"/>
        <v>0</v>
      </c>
      <c r="AS230" s="20" t="b">
        <f t="shared" si="54"/>
        <v>0</v>
      </c>
      <c r="AT230" s="20" t="b">
        <f t="shared" si="55"/>
        <v>0</v>
      </c>
      <c r="AU230" s="20" t="b">
        <f t="shared" si="56"/>
        <v>0</v>
      </c>
    </row>
    <row r="231" spans="1:47">
      <c r="A231" s="20">
        <f t="shared" si="59"/>
        <v>2</v>
      </c>
      <c r="B231" s="564"/>
      <c r="C231" s="564"/>
      <c r="D231" s="564"/>
      <c r="E231" s="564"/>
      <c r="F231" s="568"/>
      <c r="G231" s="568"/>
      <c r="H231" s="564"/>
      <c r="I231" s="568"/>
      <c r="J231" s="564"/>
      <c r="K231" s="564"/>
      <c r="L231" s="569"/>
      <c r="M231" s="569"/>
      <c r="N231" s="569"/>
      <c r="O231" s="570"/>
      <c r="P231" s="564"/>
      <c r="Q231" s="564"/>
      <c r="R231" s="569"/>
      <c r="S231" s="569"/>
      <c r="T231" s="564"/>
      <c r="U231" s="564"/>
      <c r="V231" s="564"/>
      <c r="W231" s="54">
        <f t="shared" si="57"/>
        <v>0</v>
      </c>
      <c r="X231" s="54">
        <f t="shared" si="58"/>
        <v>0</v>
      </c>
      <c r="AJ231" s="20" t="b">
        <f t="shared" si="45"/>
        <v>0</v>
      </c>
      <c r="AK231" s="20" t="b">
        <f t="shared" si="46"/>
        <v>0</v>
      </c>
      <c r="AL231" s="20" t="b">
        <f t="shared" si="47"/>
        <v>0</v>
      </c>
      <c r="AM231" s="20" t="b">
        <f t="shared" si="48"/>
        <v>0</v>
      </c>
      <c r="AN231" s="20" t="b">
        <f t="shared" si="49"/>
        <v>0</v>
      </c>
      <c r="AO231" s="20" t="b">
        <f t="shared" si="50"/>
        <v>0</v>
      </c>
      <c r="AP231" s="20" t="b">
        <f t="shared" si="51"/>
        <v>0</v>
      </c>
      <c r="AQ231" s="20" t="b">
        <f t="shared" si="52"/>
        <v>0</v>
      </c>
      <c r="AR231" s="20" t="b">
        <f t="shared" si="53"/>
        <v>0</v>
      </c>
      <c r="AS231" s="20" t="b">
        <f t="shared" si="54"/>
        <v>0</v>
      </c>
      <c r="AT231" s="20" t="b">
        <f t="shared" si="55"/>
        <v>0</v>
      </c>
      <c r="AU231" s="20" t="b">
        <f t="shared" si="56"/>
        <v>0</v>
      </c>
    </row>
    <row r="232" spans="1:47">
      <c r="A232" s="20">
        <f t="shared" si="59"/>
        <v>2</v>
      </c>
      <c r="B232" s="564"/>
      <c r="C232" s="564"/>
      <c r="D232" s="564"/>
      <c r="E232" s="564"/>
      <c r="F232" s="568"/>
      <c r="G232" s="568"/>
      <c r="H232" s="564"/>
      <c r="I232" s="568"/>
      <c r="J232" s="564"/>
      <c r="K232" s="564"/>
      <c r="L232" s="569"/>
      <c r="M232" s="569"/>
      <c r="N232" s="569"/>
      <c r="O232" s="570"/>
      <c r="P232" s="564"/>
      <c r="Q232" s="564"/>
      <c r="R232" s="569"/>
      <c r="S232" s="569"/>
      <c r="T232" s="564"/>
      <c r="U232" s="564"/>
      <c r="V232" s="564"/>
      <c r="W232" s="54">
        <f t="shared" si="57"/>
        <v>0</v>
      </c>
      <c r="X232" s="54">
        <f t="shared" si="58"/>
        <v>0</v>
      </c>
      <c r="AJ232" s="20" t="b">
        <f t="shared" si="45"/>
        <v>0</v>
      </c>
      <c r="AK232" s="20" t="b">
        <f t="shared" si="46"/>
        <v>0</v>
      </c>
      <c r="AL232" s="20" t="b">
        <f t="shared" si="47"/>
        <v>0</v>
      </c>
      <c r="AM232" s="20" t="b">
        <f t="shared" si="48"/>
        <v>0</v>
      </c>
      <c r="AN232" s="20" t="b">
        <f t="shared" si="49"/>
        <v>0</v>
      </c>
      <c r="AO232" s="20" t="b">
        <f t="shared" si="50"/>
        <v>0</v>
      </c>
      <c r="AP232" s="20" t="b">
        <f t="shared" si="51"/>
        <v>0</v>
      </c>
      <c r="AQ232" s="20" t="b">
        <f t="shared" si="52"/>
        <v>0</v>
      </c>
      <c r="AR232" s="20" t="b">
        <f t="shared" si="53"/>
        <v>0</v>
      </c>
      <c r="AS232" s="20" t="b">
        <f t="shared" si="54"/>
        <v>0</v>
      </c>
      <c r="AT232" s="20" t="b">
        <f t="shared" si="55"/>
        <v>0</v>
      </c>
      <c r="AU232" s="20" t="b">
        <f t="shared" si="56"/>
        <v>0</v>
      </c>
    </row>
    <row r="233" spans="1:47">
      <c r="B233" s="564"/>
      <c r="C233" s="564"/>
      <c r="D233" s="564"/>
      <c r="E233" s="564"/>
      <c r="F233" s="568"/>
      <c r="G233" s="568"/>
      <c r="H233" s="564"/>
      <c r="I233" s="568"/>
      <c r="J233" s="564"/>
      <c r="K233" s="564"/>
      <c r="L233" s="569"/>
      <c r="M233" s="569"/>
      <c r="N233" s="569"/>
      <c r="O233" s="570"/>
      <c r="P233" s="564"/>
      <c r="Q233" s="564"/>
      <c r="R233" s="569"/>
      <c r="S233" s="569"/>
      <c r="T233" s="564"/>
      <c r="U233" s="564"/>
      <c r="V233" s="564"/>
      <c r="W233" s="54">
        <f t="shared" si="57"/>
        <v>0</v>
      </c>
      <c r="X233" s="54">
        <f t="shared" si="58"/>
        <v>0</v>
      </c>
      <c r="AJ233" s="20" t="b">
        <f t="shared" si="45"/>
        <v>0</v>
      </c>
      <c r="AK233" s="20" t="b">
        <f t="shared" si="46"/>
        <v>0</v>
      </c>
      <c r="AL233" s="20" t="b">
        <f t="shared" si="47"/>
        <v>0</v>
      </c>
      <c r="AM233" s="20" t="b">
        <f t="shared" si="48"/>
        <v>0</v>
      </c>
      <c r="AN233" s="20" t="b">
        <f t="shared" si="49"/>
        <v>0</v>
      </c>
      <c r="AO233" s="20" t="b">
        <f t="shared" si="50"/>
        <v>0</v>
      </c>
      <c r="AP233" s="20" t="b">
        <f t="shared" si="51"/>
        <v>0</v>
      </c>
      <c r="AQ233" s="20" t="b">
        <f t="shared" si="52"/>
        <v>0</v>
      </c>
      <c r="AR233" s="20" t="b">
        <f t="shared" si="53"/>
        <v>0</v>
      </c>
      <c r="AS233" s="20" t="b">
        <f t="shared" si="54"/>
        <v>0</v>
      </c>
      <c r="AT233" s="20" t="b">
        <f t="shared" si="55"/>
        <v>0</v>
      </c>
      <c r="AU233" s="20" t="b">
        <f t="shared" si="56"/>
        <v>0</v>
      </c>
    </row>
    <row r="234" spans="1:47">
      <c r="A234" s="20">
        <f>IF(F234=F232,A232,A232+1)</f>
        <v>2</v>
      </c>
      <c r="B234" s="564"/>
      <c r="C234" s="564"/>
      <c r="D234" s="564"/>
      <c r="E234" s="564"/>
      <c r="F234" s="568"/>
      <c r="G234" s="568"/>
      <c r="H234" s="564"/>
      <c r="I234" s="568"/>
      <c r="J234" s="564"/>
      <c r="K234" s="564"/>
      <c r="L234" s="569"/>
      <c r="M234" s="569"/>
      <c r="N234" s="569"/>
      <c r="O234" s="570"/>
      <c r="P234" s="564"/>
      <c r="Q234" s="564"/>
      <c r="R234" s="569"/>
      <c r="S234" s="569"/>
      <c r="T234" s="564"/>
      <c r="U234" s="564"/>
      <c r="V234" s="564"/>
      <c r="W234" s="54">
        <f t="shared" si="57"/>
        <v>0</v>
      </c>
      <c r="X234" s="54">
        <f t="shared" si="58"/>
        <v>0</v>
      </c>
      <c r="AJ234" s="20" t="b">
        <f t="shared" si="45"/>
        <v>0</v>
      </c>
      <c r="AK234" s="20" t="b">
        <f t="shared" si="46"/>
        <v>0</v>
      </c>
      <c r="AL234" s="20" t="b">
        <f t="shared" si="47"/>
        <v>0</v>
      </c>
      <c r="AM234" s="20" t="b">
        <f t="shared" si="48"/>
        <v>0</v>
      </c>
      <c r="AN234" s="20" t="b">
        <f t="shared" si="49"/>
        <v>0</v>
      </c>
      <c r="AO234" s="20" t="b">
        <f t="shared" si="50"/>
        <v>0</v>
      </c>
      <c r="AP234" s="20" t="b">
        <f t="shared" si="51"/>
        <v>0</v>
      </c>
      <c r="AQ234" s="20" t="b">
        <f t="shared" si="52"/>
        <v>0</v>
      </c>
      <c r="AR234" s="20" t="b">
        <f t="shared" si="53"/>
        <v>0</v>
      </c>
      <c r="AS234" s="20" t="b">
        <f t="shared" si="54"/>
        <v>0</v>
      </c>
      <c r="AT234" s="20" t="b">
        <f t="shared" si="55"/>
        <v>0</v>
      </c>
      <c r="AU234" s="20" t="b">
        <f t="shared" si="56"/>
        <v>0</v>
      </c>
    </row>
    <row r="235" spans="1:47">
      <c r="A235" s="20">
        <f t="shared" si="59"/>
        <v>2</v>
      </c>
      <c r="B235" s="564"/>
      <c r="C235" s="564"/>
      <c r="D235" s="564"/>
      <c r="E235" s="564"/>
      <c r="F235" s="568"/>
      <c r="G235" s="568"/>
      <c r="H235" s="564"/>
      <c r="I235" s="568"/>
      <c r="J235" s="564"/>
      <c r="K235" s="564"/>
      <c r="L235" s="569"/>
      <c r="M235" s="569"/>
      <c r="N235" s="569"/>
      <c r="O235" s="570"/>
      <c r="P235" s="564"/>
      <c r="Q235" s="564"/>
      <c r="R235" s="569"/>
      <c r="S235" s="569"/>
      <c r="T235" s="564"/>
      <c r="U235" s="564"/>
      <c r="V235" s="564"/>
      <c r="W235" s="54">
        <f t="shared" si="57"/>
        <v>0</v>
      </c>
      <c r="X235" s="54">
        <f t="shared" si="58"/>
        <v>0</v>
      </c>
      <c r="AJ235" s="20" t="b">
        <f t="shared" si="45"/>
        <v>0</v>
      </c>
      <c r="AK235" s="20" t="b">
        <f t="shared" si="46"/>
        <v>0</v>
      </c>
      <c r="AL235" s="20" t="b">
        <f t="shared" si="47"/>
        <v>0</v>
      </c>
      <c r="AM235" s="20" t="b">
        <f t="shared" si="48"/>
        <v>0</v>
      </c>
      <c r="AN235" s="20" t="b">
        <f t="shared" si="49"/>
        <v>0</v>
      </c>
      <c r="AO235" s="20" t="b">
        <f t="shared" si="50"/>
        <v>0</v>
      </c>
      <c r="AP235" s="20" t="b">
        <f t="shared" si="51"/>
        <v>0</v>
      </c>
      <c r="AQ235" s="20" t="b">
        <f t="shared" si="52"/>
        <v>0</v>
      </c>
      <c r="AR235" s="20" t="b">
        <f t="shared" si="53"/>
        <v>0</v>
      </c>
      <c r="AS235" s="20" t="b">
        <f t="shared" si="54"/>
        <v>0</v>
      </c>
      <c r="AT235" s="20" t="b">
        <f t="shared" si="55"/>
        <v>0</v>
      </c>
      <c r="AU235" s="20" t="b">
        <f t="shared" si="56"/>
        <v>0</v>
      </c>
    </row>
    <row r="236" spans="1:47">
      <c r="A236" s="20">
        <f t="shared" si="59"/>
        <v>2</v>
      </c>
      <c r="B236" s="564"/>
      <c r="C236" s="564"/>
      <c r="D236" s="564"/>
      <c r="E236" s="564"/>
      <c r="F236" s="568"/>
      <c r="G236" s="568"/>
      <c r="H236" s="564"/>
      <c r="I236" s="568"/>
      <c r="J236" s="564"/>
      <c r="K236" s="564"/>
      <c r="L236" s="569"/>
      <c r="M236" s="569"/>
      <c r="N236" s="569"/>
      <c r="O236" s="570"/>
      <c r="P236" s="564"/>
      <c r="Q236" s="564"/>
      <c r="R236" s="569"/>
      <c r="S236" s="569"/>
      <c r="T236" s="564"/>
      <c r="U236" s="564"/>
      <c r="V236" s="564"/>
      <c r="W236" s="54">
        <f t="shared" si="57"/>
        <v>0</v>
      </c>
      <c r="X236" s="54">
        <f t="shared" si="58"/>
        <v>0</v>
      </c>
      <c r="AJ236" s="20" t="b">
        <f t="shared" si="45"/>
        <v>0</v>
      </c>
      <c r="AK236" s="20" t="b">
        <f t="shared" si="46"/>
        <v>0</v>
      </c>
      <c r="AL236" s="20" t="b">
        <f t="shared" si="47"/>
        <v>0</v>
      </c>
      <c r="AM236" s="20" t="b">
        <f t="shared" si="48"/>
        <v>0</v>
      </c>
      <c r="AN236" s="20" t="b">
        <f t="shared" si="49"/>
        <v>0</v>
      </c>
      <c r="AO236" s="20" t="b">
        <f t="shared" si="50"/>
        <v>0</v>
      </c>
      <c r="AP236" s="20" t="b">
        <f t="shared" si="51"/>
        <v>0</v>
      </c>
      <c r="AQ236" s="20" t="b">
        <f t="shared" si="52"/>
        <v>0</v>
      </c>
      <c r="AR236" s="20" t="b">
        <f t="shared" si="53"/>
        <v>0</v>
      </c>
      <c r="AS236" s="20" t="b">
        <f t="shared" si="54"/>
        <v>0</v>
      </c>
      <c r="AT236" s="20" t="b">
        <f t="shared" si="55"/>
        <v>0</v>
      </c>
      <c r="AU236" s="20" t="b">
        <f t="shared" si="56"/>
        <v>0</v>
      </c>
    </row>
    <row r="237" spans="1:47">
      <c r="A237" s="20">
        <f t="shared" si="59"/>
        <v>2</v>
      </c>
      <c r="B237" s="564"/>
      <c r="C237" s="564"/>
      <c r="D237" s="564"/>
      <c r="E237" s="564"/>
      <c r="F237" s="568"/>
      <c r="G237" s="568"/>
      <c r="H237" s="564"/>
      <c r="I237" s="568"/>
      <c r="J237" s="564"/>
      <c r="K237" s="564"/>
      <c r="L237" s="569"/>
      <c r="M237" s="569"/>
      <c r="N237" s="569"/>
      <c r="O237" s="570"/>
      <c r="P237" s="564"/>
      <c r="Q237" s="564"/>
      <c r="R237" s="569"/>
      <c r="S237" s="569"/>
      <c r="T237" s="564"/>
      <c r="U237" s="564"/>
      <c r="V237" s="564"/>
      <c r="W237" s="54">
        <f t="shared" si="57"/>
        <v>0</v>
      </c>
      <c r="X237" s="54">
        <f t="shared" si="58"/>
        <v>0</v>
      </c>
      <c r="AJ237" s="20" t="b">
        <f t="shared" si="45"/>
        <v>0</v>
      </c>
      <c r="AK237" s="20" t="b">
        <f t="shared" si="46"/>
        <v>0</v>
      </c>
      <c r="AL237" s="20" t="b">
        <f t="shared" si="47"/>
        <v>0</v>
      </c>
      <c r="AM237" s="20" t="b">
        <f t="shared" si="48"/>
        <v>0</v>
      </c>
      <c r="AN237" s="20" t="b">
        <f t="shared" si="49"/>
        <v>0</v>
      </c>
      <c r="AO237" s="20" t="b">
        <f t="shared" si="50"/>
        <v>0</v>
      </c>
      <c r="AP237" s="20" t="b">
        <f t="shared" si="51"/>
        <v>0</v>
      </c>
      <c r="AQ237" s="20" t="b">
        <f t="shared" si="52"/>
        <v>0</v>
      </c>
      <c r="AR237" s="20" t="b">
        <f t="shared" si="53"/>
        <v>0</v>
      </c>
      <c r="AS237" s="20" t="b">
        <f t="shared" si="54"/>
        <v>0</v>
      </c>
      <c r="AT237" s="20" t="b">
        <f t="shared" si="55"/>
        <v>0</v>
      </c>
      <c r="AU237" s="20" t="b">
        <f t="shared" si="56"/>
        <v>0</v>
      </c>
    </row>
    <row r="238" spans="1:47">
      <c r="A238" s="20">
        <f t="shared" si="59"/>
        <v>2</v>
      </c>
      <c r="B238" s="564"/>
      <c r="C238" s="564"/>
      <c r="D238" s="564"/>
      <c r="E238" s="564"/>
      <c r="F238" s="568"/>
      <c r="G238" s="568"/>
      <c r="H238" s="564"/>
      <c r="I238" s="568"/>
      <c r="J238" s="564"/>
      <c r="K238" s="564"/>
      <c r="L238" s="569"/>
      <c r="M238" s="569"/>
      <c r="N238" s="569"/>
      <c r="O238" s="570"/>
      <c r="P238" s="564"/>
      <c r="Q238" s="564"/>
      <c r="R238" s="569"/>
      <c r="S238" s="569"/>
      <c r="T238" s="564"/>
      <c r="U238" s="564"/>
      <c r="V238" s="564"/>
      <c r="W238" s="54">
        <f t="shared" si="57"/>
        <v>0</v>
      </c>
      <c r="X238" s="54">
        <f t="shared" si="58"/>
        <v>0</v>
      </c>
      <c r="AJ238" s="20" t="b">
        <f t="shared" si="45"/>
        <v>0</v>
      </c>
      <c r="AK238" s="20" t="b">
        <f t="shared" si="46"/>
        <v>0</v>
      </c>
      <c r="AL238" s="20" t="b">
        <f t="shared" si="47"/>
        <v>0</v>
      </c>
      <c r="AM238" s="20" t="b">
        <f t="shared" si="48"/>
        <v>0</v>
      </c>
      <c r="AN238" s="20" t="b">
        <f t="shared" si="49"/>
        <v>0</v>
      </c>
      <c r="AO238" s="20" t="b">
        <f t="shared" si="50"/>
        <v>0</v>
      </c>
      <c r="AP238" s="20" t="b">
        <f t="shared" si="51"/>
        <v>0</v>
      </c>
      <c r="AQ238" s="20" t="b">
        <f t="shared" si="52"/>
        <v>0</v>
      </c>
      <c r="AR238" s="20" t="b">
        <f t="shared" si="53"/>
        <v>0</v>
      </c>
      <c r="AS238" s="20" t="b">
        <f t="shared" si="54"/>
        <v>0</v>
      </c>
      <c r="AT238" s="20" t="b">
        <f t="shared" si="55"/>
        <v>0</v>
      </c>
      <c r="AU238" s="20" t="b">
        <f t="shared" si="56"/>
        <v>0</v>
      </c>
    </row>
    <row r="239" spans="1:47">
      <c r="A239" s="20">
        <f t="shared" si="59"/>
        <v>2</v>
      </c>
      <c r="B239" s="564"/>
      <c r="C239" s="564"/>
      <c r="D239" s="564"/>
      <c r="E239" s="564"/>
      <c r="F239" s="568"/>
      <c r="G239" s="568"/>
      <c r="H239" s="564"/>
      <c r="I239" s="568"/>
      <c r="J239" s="564"/>
      <c r="K239" s="564"/>
      <c r="L239" s="569"/>
      <c r="M239" s="569"/>
      <c r="N239" s="569"/>
      <c r="O239" s="570"/>
      <c r="P239" s="564"/>
      <c r="Q239" s="564"/>
      <c r="R239" s="569"/>
      <c r="S239" s="569"/>
      <c r="T239" s="564"/>
      <c r="U239" s="564"/>
      <c r="V239" s="564"/>
      <c r="W239" s="54">
        <f t="shared" si="57"/>
        <v>0</v>
      </c>
      <c r="X239" s="54">
        <f t="shared" si="58"/>
        <v>0</v>
      </c>
      <c r="AJ239" s="20" t="b">
        <f t="shared" si="45"/>
        <v>0</v>
      </c>
      <c r="AK239" s="20" t="b">
        <f t="shared" si="46"/>
        <v>0</v>
      </c>
      <c r="AL239" s="20" t="b">
        <f t="shared" si="47"/>
        <v>0</v>
      </c>
      <c r="AM239" s="20" t="b">
        <f t="shared" si="48"/>
        <v>0</v>
      </c>
      <c r="AN239" s="20" t="b">
        <f t="shared" si="49"/>
        <v>0</v>
      </c>
      <c r="AO239" s="20" t="b">
        <f t="shared" si="50"/>
        <v>0</v>
      </c>
      <c r="AP239" s="20" t="b">
        <f t="shared" si="51"/>
        <v>0</v>
      </c>
      <c r="AQ239" s="20" t="b">
        <f t="shared" si="52"/>
        <v>0</v>
      </c>
      <c r="AR239" s="20" t="b">
        <f t="shared" si="53"/>
        <v>0</v>
      </c>
      <c r="AS239" s="20" t="b">
        <f t="shared" si="54"/>
        <v>0</v>
      </c>
      <c r="AT239" s="20" t="b">
        <f t="shared" si="55"/>
        <v>0</v>
      </c>
      <c r="AU239" s="20" t="b">
        <f t="shared" si="56"/>
        <v>0</v>
      </c>
    </row>
    <row r="240" spans="1:47">
      <c r="A240" s="20">
        <f t="shared" si="59"/>
        <v>2</v>
      </c>
      <c r="B240" s="564"/>
      <c r="C240" s="564"/>
      <c r="D240" s="564"/>
      <c r="E240" s="564"/>
      <c r="F240" s="568"/>
      <c r="G240" s="568"/>
      <c r="H240" s="564"/>
      <c r="I240" s="568"/>
      <c r="J240" s="564"/>
      <c r="K240" s="564"/>
      <c r="L240" s="569"/>
      <c r="M240" s="569"/>
      <c r="N240" s="569"/>
      <c r="O240" s="570"/>
      <c r="P240" s="564"/>
      <c r="Q240" s="564"/>
      <c r="R240" s="569"/>
      <c r="S240" s="569"/>
      <c r="T240" s="564"/>
      <c r="U240" s="564"/>
      <c r="V240" s="564"/>
      <c r="W240" s="54">
        <f t="shared" si="57"/>
        <v>0</v>
      </c>
      <c r="X240" s="54">
        <f t="shared" si="58"/>
        <v>0</v>
      </c>
      <c r="AJ240" s="20" t="b">
        <f t="shared" si="45"/>
        <v>0</v>
      </c>
      <c r="AK240" s="20" t="b">
        <f t="shared" si="46"/>
        <v>0</v>
      </c>
      <c r="AL240" s="20" t="b">
        <f t="shared" si="47"/>
        <v>0</v>
      </c>
      <c r="AM240" s="20" t="b">
        <f t="shared" si="48"/>
        <v>0</v>
      </c>
      <c r="AN240" s="20" t="b">
        <f t="shared" si="49"/>
        <v>0</v>
      </c>
      <c r="AO240" s="20" t="b">
        <f t="shared" si="50"/>
        <v>0</v>
      </c>
      <c r="AP240" s="20" t="b">
        <f t="shared" si="51"/>
        <v>0</v>
      </c>
      <c r="AQ240" s="20" t="b">
        <f t="shared" si="52"/>
        <v>0</v>
      </c>
      <c r="AR240" s="20" t="b">
        <f t="shared" si="53"/>
        <v>0</v>
      </c>
      <c r="AS240" s="20" t="b">
        <f t="shared" si="54"/>
        <v>0</v>
      </c>
      <c r="AT240" s="20" t="b">
        <f t="shared" si="55"/>
        <v>0</v>
      </c>
      <c r="AU240" s="20" t="b">
        <f t="shared" si="56"/>
        <v>0</v>
      </c>
    </row>
    <row r="241" spans="1:47">
      <c r="A241" s="20">
        <f t="shared" si="59"/>
        <v>2</v>
      </c>
      <c r="B241" s="564"/>
      <c r="C241" s="564"/>
      <c r="D241" s="564"/>
      <c r="E241" s="564"/>
      <c r="F241" s="568"/>
      <c r="G241" s="568"/>
      <c r="H241" s="564"/>
      <c r="I241" s="568"/>
      <c r="J241" s="564"/>
      <c r="K241" s="564"/>
      <c r="L241" s="569"/>
      <c r="M241" s="569"/>
      <c r="N241" s="569"/>
      <c r="O241" s="570"/>
      <c r="P241" s="564"/>
      <c r="Q241" s="564"/>
      <c r="R241" s="569"/>
      <c r="S241" s="569"/>
      <c r="T241" s="564"/>
      <c r="U241" s="564"/>
      <c r="V241" s="564"/>
      <c r="W241" s="54">
        <f t="shared" si="57"/>
        <v>0</v>
      </c>
      <c r="X241" s="54">
        <f t="shared" si="58"/>
        <v>0</v>
      </c>
      <c r="AJ241" s="20" t="b">
        <f t="shared" si="45"/>
        <v>0</v>
      </c>
      <c r="AK241" s="20" t="b">
        <f t="shared" si="46"/>
        <v>0</v>
      </c>
      <c r="AL241" s="20" t="b">
        <f t="shared" si="47"/>
        <v>0</v>
      </c>
      <c r="AM241" s="20" t="b">
        <f t="shared" si="48"/>
        <v>0</v>
      </c>
      <c r="AN241" s="20" t="b">
        <f t="shared" si="49"/>
        <v>0</v>
      </c>
      <c r="AO241" s="20" t="b">
        <f t="shared" si="50"/>
        <v>0</v>
      </c>
      <c r="AP241" s="20" t="b">
        <f t="shared" si="51"/>
        <v>0</v>
      </c>
      <c r="AQ241" s="20" t="b">
        <f t="shared" si="52"/>
        <v>0</v>
      </c>
      <c r="AR241" s="20" t="b">
        <f t="shared" si="53"/>
        <v>0</v>
      </c>
      <c r="AS241" s="20" t="b">
        <f t="shared" si="54"/>
        <v>0</v>
      </c>
      <c r="AT241" s="20" t="b">
        <f t="shared" si="55"/>
        <v>0</v>
      </c>
      <c r="AU241" s="20" t="b">
        <f t="shared" si="56"/>
        <v>0</v>
      </c>
    </row>
    <row r="242" spans="1:47">
      <c r="A242" s="20">
        <f t="shared" si="59"/>
        <v>2</v>
      </c>
      <c r="B242" s="564"/>
      <c r="C242" s="564"/>
      <c r="D242" s="564"/>
      <c r="E242" s="564"/>
      <c r="F242" s="568"/>
      <c r="G242" s="568"/>
      <c r="H242" s="564"/>
      <c r="I242" s="568"/>
      <c r="J242" s="564"/>
      <c r="K242" s="564"/>
      <c r="L242" s="569"/>
      <c r="M242" s="569"/>
      <c r="N242" s="569"/>
      <c r="O242" s="570"/>
      <c r="P242" s="564"/>
      <c r="Q242" s="564"/>
      <c r="R242" s="569"/>
      <c r="S242" s="569"/>
      <c r="T242" s="564"/>
      <c r="U242" s="564"/>
      <c r="V242" s="564"/>
      <c r="W242" s="54">
        <f t="shared" si="57"/>
        <v>0</v>
      </c>
      <c r="X242" s="54">
        <f t="shared" si="58"/>
        <v>0</v>
      </c>
      <c r="AJ242" s="20" t="b">
        <f t="shared" si="45"/>
        <v>0</v>
      </c>
      <c r="AK242" s="20" t="b">
        <f t="shared" si="46"/>
        <v>0</v>
      </c>
      <c r="AL242" s="20" t="b">
        <f t="shared" si="47"/>
        <v>0</v>
      </c>
      <c r="AM242" s="20" t="b">
        <f t="shared" si="48"/>
        <v>0</v>
      </c>
      <c r="AN242" s="20" t="b">
        <f t="shared" si="49"/>
        <v>0</v>
      </c>
      <c r="AO242" s="20" t="b">
        <f t="shared" si="50"/>
        <v>0</v>
      </c>
      <c r="AP242" s="20" t="b">
        <f t="shared" si="51"/>
        <v>0</v>
      </c>
      <c r="AQ242" s="20" t="b">
        <f t="shared" si="52"/>
        <v>0</v>
      </c>
      <c r="AR242" s="20" t="b">
        <f t="shared" si="53"/>
        <v>0</v>
      </c>
      <c r="AS242" s="20" t="b">
        <f t="shared" si="54"/>
        <v>0</v>
      </c>
      <c r="AT242" s="20" t="b">
        <f t="shared" si="55"/>
        <v>0</v>
      </c>
      <c r="AU242" s="20" t="b">
        <f t="shared" si="56"/>
        <v>0</v>
      </c>
    </row>
    <row r="243" spans="1:47">
      <c r="A243" s="20">
        <f t="shared" si="59"/>
        <v>2</v>
      </c>
      <c r="B243" s="564"/>
      <c r="C243" s="564"/>
      <c r="D243" s="564"/>
      <c r="E243" s="564"/>
      <c r="F243" s="568"/>
      <c r="G243" s="568"/>
      <c r="H243" s="564"/>
      <c r="I243" s="568"/>
      <c r="J243" s="564"/>
      <c r="K243" s="564"/>
      <c r="L243" s="569"/>
      <c r="M243" s="569"/>
      <c r="N243" s="569"/>
      <c r="O243" s="570"/>
      <c r="P243" s="564"/>
      <c r="Q243" s="564"/>
      <c r="R243" s="569"/>
      <c r="S243" s="569"/>
      <c r="T243" s="564"/>
      <c r="U243" s="564"/>
      <c r="V243" s="564"/>
      <c r="W243" s="54">
        <f t="shared" si="57"/>
        <v>0</v>
      </c>
      <c r="X243" s="54">
        <f t="shared" si="58"/>
        <v>0</v>
      </c>
      <c r="AJ243" s="20" t="b">
        <f t="shared" si="45"/>
        <v>0</v>
      </c>
      <c r="AK243" s="20" t="b">
        <f t="shared" si="46"/>
        <v>0</v>
      </c>
      <c r="AL243" s="20" t="b">
        <f t="shared" si="47"/>
        <v>0</v>
      </c>
      <c r="AM243" s="20" t="b">
        <f t="shared" si="48"/>
        <v>0</v>
      </c>
      <c r="AN243" s="20" t="b">
        <f t="shared" si="49"/>
        <v>0</v>
      </c>
      <c r="AO243" s="20" t="b">
        <f t="shared" si="50"/>
        <v>0</v>
      </c>
      <c r="AP243" s="20" t="b">
        <f t="shared" si="51"/>
        <v>0</v>
      </c>
      <c r="AQ243" s="20" t="b">
        <f t="shared" si="52"/>
        <v>0</v>
      </c>
      <c r="AR243" s="20" t="b">
        <f t="shared" si="53"/>
        <v>0</v>
      </c>
      <c r="AS243" s="20" t="b">
        <f t="shared" si="54"/>
        <v>0</v>
      </c>
      <c r="AT243" s="20" t="b">
        <f t="shared" si="55"/>
        <v>0</v>
      </c>
      <c r="AU243" s="20" t="b">
        <f t="shared" si="56"/>
        <v>0</v>
      </c>
    </row>
    <row r="244" spans="1:47">
      <c r="A244" s="20">
        <f t="shared" si="59"/>
        <v>2</v>
      </c>
      <c r="B244" s="564"/>
      <c r="C244" s="564"/>
      <c r="D244" s="564"/>
      <c r="E244" s="564"/>
      <c r="F244" s="568"/>
      <c r="G244" s="568"/>
      <c r="H244" s="564"/>
      <c r="I244" s="568"/>
      <c r="J244" s="564"/>
      <c r="K244" s="564"/>
      <c r="L244" s="569"/>
      <c r="M244" s="569"/>
      <c r="N244" s="569"/>
      <c r="O244" s="570"/>
      <c r="P244" s="564"/>
      <c r="Q244" s="564"/>
      <c r="R244" s="569"/>
      <c r="S244" s="569"/>
      <c r="T244" s="564"/>
      <c r="U244" s="564"/>
      <c r="V244" s="564"/>
      <c r="W244" s="54">
        <f t="shared" si="57"/>
        <v>0</v>
      </c>
      <c r="X244" s="54">
        <f t="shared" si="58"/>
        <v>0</v>
      </c>
      <c r="AJ244" s="20" t="b">
        <f t="shared" si="45"/>
        <v>0</v>
      </c>
      <c r="AK244" s="20" t="b">
        <f t="shared" si="46"/>
        <v>0</v>
      </c>
      <c r="AL244" s="20" t="b">
        <f t="shared" si="47"/>
        <v>0</v>
      </c>
      <c r="AM244" s="20" t="b">
        <f t="shared" si="48"/>
        <v>0</v>
      </c>
      <c r="AN244" s="20" t="b">
        <f t="shared" si="49"/>
        <v>0</v>
      </c>
      <c r="AO244" s="20" t="b">
        <f t="shared" si="50"/>
        <v>0</v>
      </c>
      <c r="AP244" s="20" t="b">
        <f t="shared" si="51"/>
        <v>0</v>
      </c>
      <c r="AQ244" s="20" t="b">
        <f t="shared" si="52"/>
        <v>0</v>
      </c>
      <c r="AR244" s="20" t="b">
        <f t="shared" si="53"/>
        <v>0</v>
      </c>
      <c r="AS244" s="20" t="b">
        <f t="shared" si="54"/>
        <v>0</v>
      </c>
      <c r="AT244" s="20" t="b">
        <f t="shared" si="55"/>
        <v>0</v>
      </c>
      <c r="AU244" s="20" t="b">
        <f t="shared" si="56"/>
        <v>0</v>
      </c>
    </row>
    <row r="245" spans="1:47">
      <c r="A245" s="20">
        <f t="shared" si="59"/>
        <v>2</v>
      </c>
      <c r="B245" s="564"/>
      <c r="C245" s="564"/>
      <c r="D245" s="564"/>
      <c r="E245" s="564"/>
      <c r="F245" s="568"/>
      <c r="G245" s="568"/>
      <c r="H245" s="564"/>
      <c r="I245" s="568"/>
      <c r="J245" s="564"/>
      <c r="K245" s="564"/>
      <c r="L245" s="569"/>
      <c r="M245" s="569"/>
      <c r="N245" s="569"/>
      <c r="O245" s="570"/>
      <c r="P245" s="564"/>
      <c r="Q245" s="564"/>
      <c r="R245" s="569"/>
      <c r="S245" s="569"/>
      <c r="T245" s="564"/>
      <c r="U245" s="564"/>
      <c r="V245" s="564"/>
      <c r="W245" s="54">
        <f t="shared" si="57"/>
        <v>0</v>
      </c>
      <c r="X245" s="54">
        <f t="shared" si="58"/>
        <v>0</v>
      </c>
      <c r="AJ245" s="20" t="b">
        <f t="shared" si="45"/>
        <v>0</v>
      </c>
      <c r="AK245" s="20" t="b">
        <f t="shared" si="46"/>
        <v>0</v>
      </c>
      <c r="AL245" s="20" t="b">
        <f t="shared" si="47"/>
        <v>0</v>
      </c>
      <c r="AM245" s="20" t="b">
        <f t="shared" si="48"/>
        <v>0</v>
      </c>
      <c r="AN245" s="20" t="b">
        <f t="shared" si="49"/>
        <v>0</v>
      </c>
      <c r="AO245" s="20" t="b">
        <f t="shared" si="50"/>
        <v>0</v>
      </c>
      <c r="AP245" s="20" t="b">
        <f t="shared" si="51"/>
        <v>0</v>
      </c>
      <c r="AQ245" s="20" t="b">
        <f t="shared" si="52"/>
        <v>0</v>
      </c>
      <c r="AR245" s="20" t="b">
        <f t="shared" si="53"/>
        <v>0</v>
      </c>
      <c r="AS245" s="20" t="b">
        <f t="shared" si="54"/>
        <v>0</v>
      </c>
      <c r="AT245" s="20" t="b">
        <f t="shared" si="55"/>
        <v>0</v>
      </c>
      <c r="AU245" s="20" t="b">
        <f t="shared" si="56"/>
        <v>0</v>
      </c>
    </row>
    <row r="246" spans="1:47">
      <c r="A246" s="20">
        <f t="shared" si="59"/>
        <v>2</v>
      </c>
      <c r="B246" s="564"/>
      <c r="C246" s="564"/>
      <c r="D246" s="564"/>
      <c r="E246" s="564"/>
      <c r="F246" s="568"/>
      <c r="G246" s="568"/>
      <c r="H246" s="564"/>
      <c r="I246" s="568"/>
      <c r="J246" s="564"/>
      <c r="K246" s="564"/>
      <c r="L246" s="569"/>
      <c r="M246" s="569"/>
      <c r="N246" s="569"/>
      <c r="O246" s="570"/>
      <c r="P246" s="564"/>
      <c r="Q246" s="564"/>
      <c r="R246" s="569"/>
      <c r="S246" s="569"/>
      <c r="T246" s="564"/>
      <c r="U246" s="564"/>
      <c r="V246" s="564"/>
      <c r="W246" s="54">
        <f t="shared" si="57"/>
        <v>0</v>
      </c>
      <c r="X246" s="54">
        <f t="shared" si="58"/>
        <v>0</v>
      </c>
      <c r="AJ246" s="20" t="b">
        <f t="shared" si="45"/>
        <v>0</v>
      </c>
      <c r="AK246" s="20" t="b">
        <f t="shared" si="46"/>
        <v>0</v>
      </c>
      <c r="AL246" s="20" t="b">
        <f t="shared" si="47"/>
        <v>0</v>
      </c>
      <c r="AM246" s="20" t="b">
        <f t="shared" si="48"/>
        <v>0</v>
      </c>
      <c r="AN246" s="20" t="b">
        <f t="shared" si="49"/>
        <v>0</v>
      </c>
      <c r="AO246" s="20" t="b">
        <f t="shared" si="50"/>
        <v>0</v>
      </c>
      <c r="AP246" s="20" t="b">
        <f t="shared" si="51"/>
        <v>0</v>
      </c>
      <c r="AQ246" s="20" t="b">
        <f t="shared" si="52"/>
        <v>0</v>
      </c>
      <c r="AR246" s="20" t="b">
        <f t="shared" si="53"/>
        <v>0</v>
      </c>
      <c r="AS246" s="20" t="b">
        <f t="shared" si="54"/>
        <v>0</v>
      </c>
      <c r="AT246" s="20" t="b">
        <f t="shared" si="55"/>
        <v>0</v>
      </c>
      <c r="AU246" s="20" t="b">
        <f t="shared" si="56"/>
        <v>0</v>
      </c>
    </row>
    <row r="247" spans="1:47">
      <c r="A247" s="20">
        <f t="shared" si="59"/>
        <v>2</v>
      </c>
      <c r="B247" s="564"/>
      <c r="C247" s="564"/>
      <c r="D247" s="564"/>
      <c r="E247" s="564"/>
      <c r="F247" s="568"/>
      <c r="G247" s="568"/>
      <c r="H247" s="564"/>
      <c r="I247" s="568"/>
      <c r="J247" s="564"/>
      <c r="K247" s="564"/>
      <c r="L247" s="569"/>
      <c r="M247" s="569"/>
      <c r="N247" s="569"/>
      <c r="O247" s="570"/>
      <c r="P247" s="564"/>
      <c r="Q247" s="564"/>
      <c r="R247" s="569"/>
      <c r="S247" s="569"/>
      <c r="T247" s="564"/>
      <c r="U247" s="564"/>
      <c r="V247" s="564"/>
      <c r="W247" s="54">
        <f t="shared" si="57"/>
        <v>0</v>
      </c>
      <c r="X247" s="54">
        <f t="shared" si="58"/>
        <v>0</v>
      </c>
      <c r="AJ247" s="20" t="b">
        <f t="shared" si="45"/>
        <v>0</v>
      </c>
      <c r="AK247" s="20" t="b">
        <f t="shared" si="46"/>
        <v>0</v>
      </c>
      <c r="AL247" s="20" t="b">
        <f t="shared" si="47"/>
        <v>0</v>
      </c>
      <c r="AM247" s="20" t="b">
        <f t="shared" si="48"/>
        <v>0</v>
      </c>
      <c r="AN247" s="20" t="b">
        <f t="shared" si="49"/>
        <v>0</v>
      </c>
      <c r="AO247" s="20" t="b">
        <f t="shared" si="50"/>
        <v>0</v>
      </c>
      <c r="AP247" s="20" t="b">
        <f t="shared" si="51"/>
        <v>0</v>
      </c>
      <c r="AQ247" s="20" t="b">
        <f t="shared" si="52"/>
        <v>0</v>
      </c>
      <c r="AR247" s="20" t="b">
        <f t="shared" si="53"/>
        <v>0</v>
      </c>
      <c r="AS247" s="20" t="b">
        <f t="shared" si="54"/>
        <v>0</v>
      </c>
      <c r="AT247" s="20" t="b">
        <f t="shared" si="55"/>
        <v>0</v>
      </c>
      <c r="AU247" s="20" t="b">
        <f t="shared" si="56"/>
        <v>0</v>
      </c>
    </row>
    <row r="248" spans="1:47">
      <c r="A248" s="20">
        <f t="shared" si="59"/>
        <v>2</v>
      </c>
      <c r="B248" s="564"/>
      <c r="C248" s="564"/>
      <c r="D248" s="564"/>
      <c r="E248" s="564"/>
      <c r="F248" s="568"/>
      <c r="G248" s="568"/>
      <c r="H248" s="564"/>
      <c r="I248" s="568"/>
      <c r="J248" s="564"/>
      <c r="K248" s="564"/>
      <c r="L248" s="569"/>
      <c r="M248" s="569"/>
      <c r="N248" s="569"/>
      <c r="O248" s="570"/>
      <c r="P248" s="564"/>
      <c r="Q248" s="564"/>
      <c r="R248" s="569"/>
      <c r="S248" s="569"/>
      <c r="T248" s="564"/>
      <c r="U248" s="564"/>
      <c r="V248" s="564"/>
      <c r="W248" s="54">
        <f t="shared" si="57"/>
        <v>0</v>
      </c>
      <c r="X248" s="54">
        <f t="shared" si="58"/>
        <v>0</v>
      </c>
      <c r="AJ248" s="20" t="b">
        <f t="shared" si="45"/>
        <v>0</v>
      </c>
      <c r="AK248" s="20" t="b">
        <f t="shared" si="46"/>
        <v>0</v>
      </c>
      <c r="AL248" s="20" t="b">
        <f t="shared" si="47"/>
        <v>0</v>
      </c>
      <c r="AM248" s="20" t="b">
        <f t="shared" si="48"/>
        <v>0</v>
      </c>
      <c r="AN248" s="20" t="b">
        <f t="shared" si="49"/>
        <v>0</v>
      </c>
      <c r="AO248" s="20" t="b">
        <f t="shared" si="50"/>
        <v>0</v>
      </c>
      <c r="AP248" s="20" t="b">
        <f t="shared" si="51"/>
        <v>0</v>
      </c>
      <c r="AQ248" s="20" t="b">
        <f t="shared" si="52"/>
        <v>0</v>
      </c>
      <c r="AR248" s="20" t="b">
        <f t="shared" si="53"/>
        <v>0</v>
      </c>
      <c r="AS248" s="20" t="b">
        <f t="shared" si="54"/>
        <v>0</v>
      </c>
      <c r="AT248" s="20" t="b">
        <f t="shared" si="55"/>
        <v>0</v>
      </c>
      <c r="AU248" s="20" t="b">
        <f t="shared" si="56"/>
        <v>0</v>
      </c>
    </row>
    <row r="249" spans="1:47">
      <c r="A249" s="20">
        <f t="shared" si="59"/>
        <v>2</v>
      </c>
      <c r="B249" s="564"/>
      <c r="C249" s="564"/>
      <c r="D249" s="564"/>
      <c r="E249" s="564"/>
      <c r="F249" s="568"/>
      <c r="G249" s="568"/>
      <c r="H249" s="564"/>
      <c r="I249" s="568"/>
      <c r="J249" s="564"/>
      <c r="K249" s="564"/>
      <c r="L249" s="569"/>
      <c r="M249" s="569"/>
      <c r="N249" s="569"/>
      <c r="O249" s="570"/>
      <c r="P249" s="564"/>
      <c r="Q249" s="564"/>
      <c r="R249" s="569"/>
      <c r="S249" s="569"/>
      <c r="T249" s="564"/>
      <c r="U249" s="564"/>
      <c r="V249" s="564"/>
      <c r="W249" s="54">
        <f t="shared" si="57"/>
        <v>0</v>
      </c>
      <c r="X249" s="54">
        <f t="shared" si="58"/>
        <v>0</v>
      </c>
      <c r="AJ249" s="20" t="b">
        <f t="shared" si="45"/>
        <v>0</v>
      </c>
      <c r="AK249" s="20" t="b">
        <f t="shared" si="46"/>
        <v>0</v>
      </c>
      <c r="AL249" s="20" t="b">
        <f t="shared" si="47"/>
        <v>0</v>
      </c>
      <c r="AM249" s="20" t="b">
        <f t="shared" si="48"/>
        <v>0</v>
      </c>
      <c r="AN249" s="20" t="b">
        <f t="shared" si="49"/>
        <v>0</v>
      </c>
      <c r="AO249" s="20" t="b">
        <f t="shared" si="50"/>
        <v>0</v>
      </c>
      <c r="AP249" s="20" t="b">
        <f t="shared" si="51"/>
        <v>0</v>
      </c>
      <c r="AQ249" s="20" t="b">
        <f t="shared" si="52"/>
        <v>0</v>
      </c>
      <c r="AR249" s="20" t="b">
        <f t="shared" si="53"/>
        <v>0</v>
      </c>
      <c r="AS249" s="20" t="b">
        <f t="shared" si="54"/>
        <v>0</v>
      </c>
      <c r="AT249" s="20" t="b">
        <f t="shared" si="55"/>
        <v>0</v>
      </c>
      <c r="AU249" s="20" t="b">
        <f t="shared" si="56"/>
        <v>0</v>
      </c>
    </row>
    <row r="250" spans="1:47">
      <c r="A250" s="20">
        <f t="shared" si="59"/>
        <v>2</v>
      </c>
      <c r="B250" s="564"/>
      <c r="C250" s="564"/>
      <c r="D250" s="564"/>
      <c r="E250" s="564"/>
      <c r="F250" s="568"/>
      <c r="G250" s="568"/>
      <c r="H250" s="564"/>
      <c r="I250" s="568"/>
      <c r="J250" s="564"/>
      <c r="K250" s="564"/>
      <c r="L250" s="569"/>
      <c r="M250" s="569"/>
      <c r="N250" s="569"/>
      <c r="O250" s="570"/>
      <c r="P250" s="564"/>
      <c r="Q250" s="564"/>
      <c r="R250" s="569"/>
      <c r="S250" s="569"/>
      <c r="T250" s="564"/>
      <c r="U250" s="564"/>
      <c r="V250" s="564"/>
      <c r="W250" s="54">
        <f t="shared" si="57"/>
        <v>0</v>
      </c>
      <c r="X250" s="54">
        <f t="shared" si="58"/>
        <v>0</v>
      </c>
      <c r="AJ250" s="20" t="b">
        <f t="shared" si="45"/>
        <v>0</v>
      </c>
      <c r="AK250" s="20" t="b">
        <f t="shared" si="46"/>
        <v>0</v>
      </c>
      <c r="AL250" s="20" t="b">
        <f t="shared" si="47"/>
        <v>0</v>
      </c>
      <c r="AM250" s="20" t="b">
        <f t="shared" si="48"/>
        <v>0</v>
      </c>
      <c r="AN250" s="20" t="b">
        <f t="shared" si="49"/>
        <v>0</v>
      </c>
      <c r="AO250" s="20" t="b">
        <f t="shared" si="50"/>
        <v>0</v>
      </c>
      <c r="AP250" s="20" t="b">
        <f t="shared" si="51"/>
        <v>0</v>
      </c>
      <c r="AQ250" s="20" t="b">
        <f t="shared" si="52"/>
        <v>0</v>
      </c>
      <c r="AR250" s="20" t="b">
        <f t="shared" si="53"/>
        <v>0</v>
      </c>
      <c r="AS250" s="20" t="b">
        <f t="shared" si="54"/>
        <v>0</v>
      </c>
      <c r="AT250" s="20" t="b">
        <f t="shared" si="55"/>
        <v>0</v>
      </c>
      <c r="AU250" s="20" t="b">
        <f t="shared" si="56"/>
        <v>0</v>
      </c>
    </row>
    <row r="251" spans="1:47">
      <c r="A251" s="20">
        <f t="shared" si="59"/>
        <v>2</v>
      </c>
      <c r="B251" s="564"/>
      <c r="C251" s="564"/>
      <c r="D251" s="564"/>
      <c r="E251" s="564"/>
      <c r="F251" s="568"/>
      <c r="G251" s="568"/>
      <c r="H251" s="564"/>
      <c r="I251" s="568"/>
      <c r="J251" s="564"/>
      <c r="K251" s="564"/>
      <c r="L251" s="569"/>
      <c r="M251" s="569"/>
      <c r="N251" s="569"/>
      <c r="O251" s="570"/>
      <c r="P251" s="564"/>
      <c r="Q251" s="564"/>
      <c r="R251" s="569"/>
      <c r="S251" s="569"/>
      <c r="T251" s="564"/>
      <c r="U251" s="564"/>
      <c r="V251" s="564"/>
      <c r="W251" s="54">
        <f t="shared" si="57"/>
        <v>0</v>
      </c>
      <c r="X251" s="54">
        <f t="shared" si="58"/>
        <v>0</v>
      </c>
      <c r="AJ251" s="20" t="b">
        <f t="shared" si="45"/>
        <v>0</v>
      </c>
      <c r="AK251" s="20" t="b">
        <f t="shared" si="46"/>
        <v>0</v>
      </c>
      <c r="AL251" s="20" t="b">
        <f t="shared" si="47"/>
        <v>0</v>
      </c>
      <c r="AM251" s="20" t="b">
        <f t="shared" si="48"/>
        <v>0</v>
      </c>
      <c r="AN251" s="20" t="b">
        <f t="shared" si="49"/>
        <v>0</v>
      </c>
      <c r="AO251" s="20" t="b">
        <f t="shared" si="50"/>
        <v>0</v>
      </c>
      <c r="AP251" s="20" t="b">
        <f t="shared" si="51"/>
        <v>0</v>
      </c>
      <c r="AQ251" s="20" t="b">
        <f t="shared" si="52"/>
        <v>0</v>
      </c>
      <c r="AR251" s="20" t="b">
        <f t="shared" si="53"/>
        <v>0</v>
      </c>
      <c r="AS251" s="20" t="b">
        <f t="shared" si="54"/>
        <v>0</v>
      </c>
      <c r="AT251" s="20" t="b">
        <f t="shared" si="55"/>
        <v>0</v>
      </c>
      <c r="AU251" s="20" t="b">
        <f t="shared" si="56"/>
        <v>0</v>
      </c>
    </row>
    <row r="252" spans="1:47">
      <c r="A252" s="20">
        <f t="shared" si="59"/>
        <v>2</v>
      </c>
      <c r="B252" s="564"/>
      <c r="C252" s="564"/>
      <c r="D252" s="564"/>
      <c r="E252" s="564"/>
      <c r="F252" s="568"/>
      <c r="G252" s="568"/>
      <c r="H252" s="564"/>
      <c r="I252" s="568"/>
      <c r="J252" s="564"/>
      <c r="K252" s="564"/>
      <c r="L252" s="569"/>
      <c r="M252" s="569"/>
      <c r="N252" s="569"/>
      <c r="O252" s="570"/>
      <c r="P252" s="564"/>
      <c r="Q252" s="564"/>
      <c r="R252" s="569"/>
      <c r="S252" s="569"/>
      <c r="T252" s="564"/>
      <c r="U252" s="564"/>
      <c r="V252" s="564"/>
      <c r="W252" s="54">
        <f t="shared" si="57"/>
        <v>0</v>
      </c>
      <c r="X252" s="54">
        <f t="shared" si="58"/>
        <v>0</v>
      </c>
      <c r="AJ252" s="20" t="b">
        <f t="shared" si="45"/>
        <v>0</v>
      </c>
      <c r="AK252" s="20" t="b">
        <f t="shared" si="46"/>
        <v>0</v>
      </c>
      <c r="AL252" s="20" t="b">
        <f t="shared" si="47"/>
        <v>0</v>
      </c>
      <c r="AM252" s="20" t="b">
        <f t="shared" si="48"/>
        <v>0</v>
      </c>
      <c r="AN252" s="20" t="b">
        <f t="shared" si="49"/>
        <v>0</v>
      </c>
      <c r="AO252" s="20" t="b">
        <f t="shared" si="50"/>
        <v>0</v>
      </c>
      <c r="AP252" s="20" t="b">
        <f t="shared" si="51"/>
        <v>0</v>
      </c>
      <c r="AQ252" s="20" t="b">
        <f t="shared" si="52"/>
        <v>0</v>
      </c>
      <c r="AR252" s="20" t="b">
        <f t="shared" si="53"/>
        <v>0</v>
      </c>
      <c r="AS252" s="20" t="b">
        <f t="shared" si="54"/>
        <v>0</v>
      </c>
      <c r="AT252" s="20" t="b">
        <f t="shared" si="55"/>
        <v>0</v>
      </c>
      <c r="AU252" s="20" t="b">
        <f t="shared" si="56"/>
        <v>0</v>
      </c>
    </row>
    <row r="253" spans="1:47">
      <c r="A253" s="20">
        <f t="shared" si="59"/>
        <v>2</v>
      </c>
      <c r="B253" s="564"/>
      <c r="C253" s="564"/>
      <c r="D253" s="564"/>
      <c r="E253" s="564"/>
      <c r="F253" s="568"/>
      <c r="G253" s="568"/>
      <c r="H253" s="564"/>
      <c r="I253" s="568"/>
      <c r="J253" s="564"/>
      <c r="K253" s="564"/>
      <c r="L253" s="569"/>
      <c r="M253" s="569"/>
      <c r="N253" s="569"/>
      <c r="O253" s="570"/>
      <c r="P253" s="564"/>
      <c r="Q253" s="564"/>
      <c r="R253" s="569"/>
      <c r="S253" s="569"/>
      <c r="T253" s="564"/>
      <c r="U253" s="564"/>
      <c r="V253" s="564"/>
      <c r="W253" s="54">
        <f t="shared" si="57"/>
        <v>0</v>
      </c>
      <c r="X253" s="54">
        <f t="shared" si="58"/>
        <v>0</v>
      </c>
      <c r="AJ253" s="20" t="b">
        <f t="shared" si="45"/>
        <v>0</v>
      </c>
      <c r="AK253" s="20" t="b">
        <f t="shared" si="46"/>
        <v>0</v>
      </c>
      <c r="AL253" s="20" t="b">
        <f t="shared" si="47"/>
        <v>0</v>
      </c>
      <c r="AM253" s="20" t="b">
        <f t="shared" si="48"/>
        <v>0</v>
      </c>
      <c r="AN253" s="20" t="b">
        <f t="shared" si="49"/>
        <v>0</v>
      </c>
      <c r="AO253" s="20" t="b">
        <f t="shared" si="50"/>
        <v>0</v>
      </c>
      <c r="AP253" s="20" t="b">
        <f t="shared" si="51"/>
        <v>0</v>
      </c>
      <c r="AQ253" s="20" t="b">
        <f t="shared" si="52"/>
        <v>0</v>
      </c>
      <c r="AR253" s="20" t="b">
        <f t="shared" si="53"/>
        <v>0</v>
      </c>
      <c r="AS253" s="20" t="b">
        <f t="shared" si="54"/>
        <v>0</v>
      </c>
      <c r="AT253" s="20" t="b">
        <f t="shared" si="55"/>
        <v>0</v>
      </c>
      <c r="AU253" s="20" t="b">
        <f t="shared" si="56"/>
        <v>0</v>
      </c>
    </row>
    <row r="254" spans="1:47">
      <c r="A254" s="20">
        <f t="shared" si="59"/>
        <v>2</v>
      </c>
      <c r="B254" s="564"/>
      <c r="C254" s="564"/>
      <c r="D254" s="564"/>
      <c r="E254" s="564"/>
      <c r="F254" s="568"/>
      <c r="G254" s="568"/>
      <c r="H254" s="564"/>
      <c r="I254" s="568"/>
      <c r="J254" s="564"/>
      <c r="K254" s="564"/>
      <c r="L254" s="569"/>
      <c r="M254" s="569"/>
      <c r="N254" s="569"/>
      <c r="O254" s="570"/>
      <c r="P254" s="564"/>
      <c r="Q254" s="564"/>
      <c r="R254" s="569"/>
      <c r="S254" s="569"/>
      <c r="T254" s="564"/>
      <c r="U254" s="564"/>
      <c r="V254" s="564"/>
      <c r="W254" s="54">
        <f t="shared" si="57"/>
        <v>0</v>
      </c>
      <c r="X254" s="54">
        <f t="shared" si="58"/>
        <v>0</v>
      </c>
      <c r="AJ254" s="20" t="b">
        <f t="shared" si="45"/>
        <v>0</v>
      </c>
      <c r="AK254" s="20" t="b">
        <f t="shared" si="46"/>
        <v>0</v>
      </c>
      <c r="AL254" s="20" t="b">
        <f t="shared" si="47"/>
        <v>0</v>
      </c>
      <c r="AM254" s="20" t="b">
        <f t="shared" si="48"/>
        <v>0</v>
      </c>
      <c r="AN254" s="20" t="b">
        <f t="shared" si="49"/>
        <v>0</v>
      </c>
      <c r="AO254" s="20" t="b">
        <f t="shared" si="50"/>
        <v>0</v>
      </c>
      <c r="AP254" s="20" t="b">
        <f t="shared" si="51"/>
        <v>0</v>
      </c>
      <c r="AQ254" s="20" t="b">
        <f t="shared" si="52"/>
        <v>0</v>
      </c>
      <c r="AR254" s="20" t="b">
        <f t="shared" si="53"/>
        <v>0</v>
      </c>
      <c r="AS254" s="20" t="b">
        <f t="shared" si="54"/>
        <v>0</v>
      </c>
      <c r="AT254" s="20" t="b">
        <f t="shared" si="55"/>
        <v>0</v>
      </c>
      <c r="AU254" s="20" t="b">
        <f t="shared" si="56"/>
        <v>0</v>
      </c>
    </row>
    <row r="255" spans="1:47">
      <c r="A255" s="20">
        <f t="shared" si="59"/>
        <v>2</v>
      </c>
      <c r="B255" s="564"/>
      <c r="C255" s="564"/>
      <c r="D255" s="564"/>
      <c r="E255" s="564"/>
      <c r="F255" s="568"/>
      <c r="G255" s="568"/>
      <c r="H255" s="564"/>
      <c r="I255" s="568"/>
      <c r="J255" s="564"/>
      <c r="K255" s="564"/>
      <c r="L255" s="569"/>
      <c r="M255" s="569"/>
      <c r="N255" s="569"/>
      <c r="O255" s="570"/>
      <c r="P255" s="564"/>
      <c r="Q255" s="564"/>
      <c r="R255" s="569"/>
      <c r="S255" s="569"/>
      <c r="T255" s="564"/>
      <c r="U255" s="564"/>
      <c r="V255" s="564"/>
      <c r="W255" s="54">
        <f t="shared" si="57"/>
        <v>0</v>
      </c>
      <c r="X255" s="54">
        <f t="shared" si="58"/>
        <v>0</v>
      </c>
      <c r="AJ255" s="20" t="b">
        <f t="shared" si="45"/>
        <v>0</v>
      </c>
      <c r="AK255" s="20" t="b">
        <f t="shared" si="46"/>
        <v>0</v>
      </c>
      <c r="AL255" s="20" t="b">
        <f t="shared" si="47"/>
        <v>0</v>
      </c>
      <c r="AM255" s="20" t="b">
        <f t="shared" si="48"/>
        <v>0</v>
      </c>
      <c r="AN255" s="20" t="b">
        <f t="shared" si="49"/>
        <v>0</v>
      </c>
      <c r="AO255" s="20" t="b">
        <f t="shared" si="50"/>
        <v>0</v>
      </c>
      <c r="AP255" s="20" t="b">
        <f t="shared" si="51"/>
        <v>0</v>
      </c>
      <c r="AQ255" s="20" t="b">
        <f t="shared" si="52"/>
        <v>0</v>
      </c>
      <c r="AR255" s="20" t="b">
        <f t="shared" si="53"/>
        <v>0</v>
      </c>
      <c r="AS255" s="20" t="b">
        <f t="shared" si="54"/>
        <v>0</v>
      </c>
      <c r="AT255" s="20" t="b">
        <f t="shared" si="55"/>
        <v>0</v>
      </c>
      <c r="AU255" s="20" t="b">
        <f t="shared" si="56"/>
        <v>0</v>
      </c>
    </row>
    <row r="256" spans="1:47">
      <c r="A256" s="20">
        <f t="shared" si="59"/>
        <v>2</v>
      </c>
      <c r="B256" s="564"/>
      <c r="C256" s="564"/>
      <c r="D256" s="564"/>
      <c r="E256" s="564"/>
      <c r="F256" s="568"/>
      <c r="G256" s="568"/>
      <c r="H256" s="564"/>
      <c r="I256" s="568"/>
      <c r="J256" s="564"/>
      <c r="K256" s="564"/>
      <c r="L256" s="569"/>
      <c r="M256" s="569"/>
      <c r="N256" s="569"/>
      <c r="O256" s="570"/>
      <c r="P256" s="564"/>
      <c r="Q256" s="564"/>
      <c r="R256" s="569"/>
      <c r="S256" s="569"/>
      <c r="T256" s="564"/>
      <c r="U256" s="564"/>
      <c r="V256" s="564"/>
      <c r="W256" s="54">
        <f t="shared" si="57"/>
        <v>0</v>
      </c>
      <c r="X256" s="54">
        <f t="shared" si="58"/>
        <v>0</v>
      </c>
      <c r="AJ256" s="20" t="b">
        <f t="shared" si="45"/>
        <v>0</v>
      </c>
      <c r="AK256" s="20" t="b">
        <f t="shared" si="46"/>
        <v>0</v>
      </c>
      <c r="AL256" s="20" t="b">
        <f t="shared" si="47"/>
        <v>0</v>
      </c>
      <c r="AM256" s="20" t="b">
        <f t="shared" si="48"/>
        <v>0</v>
      </c>
      <c r="AN256" s="20" t="b">
        <f t="shared" si="49"/>
        <v>0</v>
      </c>
      <c r="AO256" s="20" t="b">
        <f t="shared" si="50"/>
        <v>0</v>
      </c>
      <c r="AP256" s="20" t="b">
        <f t="shared" si="51"/>
        <v>0</v>
      </c>
      <c r="AQ256" s="20" t="b">
        <f t="shared" si="52"/>
        <v>0</v>
      </c>
      <c r="AR256" s="20" t="b">
        <f t="shared" si="53"/>
        <v>0</v>
      </c>
      <c r="AS256" s="20" t="b">
        <f t="shared" si="54"/>
        <v>0</v>
      </c>
      <c r="AT256" s="20" t="b">
        <f t="shared" si="55"/>
        <v>0</v>
      </c>
      <c r="AU256" s="20" t="b">
        <f t="shared" si="56"/>
        <v>0</v>
      </c>
    </row>
    <row r="257" spans="1:47">
      <c r="A257" s="20">
        <f t="shared" si="59"/>
        <v>2</v>
      </c>
      <c r="B257" s="564"/>
      <c r="C257" s="564"/>
      <c r="D257" s="564"/>
      <c r="E257" s="564"/>
      <c r="F257" s="568"/>
      <c r="G257" s="568"/>
      <c r="H257" s="564"/>
      <c r="I257" s="568"/>
      <c r="J257" s="564"/>
      <c r="K257" s="564"/>
      <c r="L257" s="569"/>
      <c r="M257" s="569"/>
      <c r="N257" s="569"/>
      <c r="O257" s="570"/>
      <c r="P257" s="564"/>
      <c r="Q257" s="564"/>
      <c r="R257" s="569"/>
      <c r="S257" s="569"/>
      <c r="T257" s="564"/>
      <c r="U257" s="564"/>
      <c r="V257" s="564"/>
      <c r="W257" s="54">
        <f t="shared" si="57"/>
        <v>0</v>
      </c>
      <c r="X257" s="54">
        <f t="shared" si="58"/>
        <v>0</v>
      </c>
      <c r="AJ257" s="20" t="b">
        <f t="shared" si="45"/>
        <v>0</v>
      </c>
      <c r="AK257" s="20" t="b">
        <f t="shared" si="46"/>
        <v>0</v>
      </c>
      <c r="AL257" s="20" t="b">
        <f t="shared" si="47"/>
        <v>0</v>
      </c>
      <c r="AM257" s="20" t="b">
        <f t="shared" si="48"/>
        <v>0</v>
      </c>
      <c r="AN257" s="20" t="b">
        <f t="shared" si="49"/>
        <v>0</v>
      </c>
      <c r="AO257" s="20" t="b">
        <f t="shared" si="50"/>
        <v>0</v>
      </c>
      <c r="AP257" s="20" t="b">
        <f t="shared" si="51"/>
        <v>0</v>
      </c>
      <c r="AQ257" s="20" t="b">
        <f t="shared" si="52"/>
        <v>0</v>
      </c>
      <c r="AR257" s="20" t="b">
        <f t="shared" si="53"/>
        <v>0</v>
      </c>
      <c r="AS257" s="20" t="b">
        <f t="shared" si="54"/>
        <v>0</v>
      </c>
      <c r="AT257" s="20" t="b">
        <f t="shared" si="55"/>
        <v>0</v>
      </c>
      <c r="AU257" s="20" t="b">
        <f t="shared" si="56"/>
        <v>0</v>
      </c>
    </row>
    <row r="258" spans="1:47">
      <c r="A258" s="20">
        <f t="shared" si="59"/>
        <v>2</v>
      </c>
      <c r="B258" s="564"/>
      <c r="C258" s="564"/>
      <c r="D258" s="564"/>
      <c r="E258" s="564"/>
      <c r="F258" s="568"/>
      <c r="G258" s="568"/>
      <c r="H258" s="564"/>
      <c r="I258" s="568"/>
      <c r="J258" s="564"/>
      <c r="K258" s="564"/>
      <c r="L258" s="569"/>
      <c r="M258" s="569"/>
      <c r="N258" s="569"/>
      <c r="O258" s="570"/>
      <c r="P258" s="564"/>
      <c r="Q258" s="564"/>
      <c r="R258" s="569"/>
      <c r="S258" s="569"/>
      <c r="T258" s="564"/>
      <c r="U258" s="564"/>
      <c r="V258" s="564"/>
      <c r="W258" s="54">
        <f t="shared" si="57"/>
        <v>0</v>
      </c>
      <c r="X258" s="54">
        <f t="shared" si="58"/>
        <v>0</v>
      </c>
      <c r="AJ258" s="20" t="b">
        <f t="shared" ref="AJ258:AJ321" si="60">IF(AND(A258=2, J258="PF", T258="YES", V258="A"), L258)</f>
        <v>0</v>
      </c>
      <c r="AK258" s="20" t="b">
        <f t="shared" ref="AK258:AK321" si="61">IF(AND(A258=3, J258="PF", T258="YES", V258="A"), L258)</f>
        <v>0</v>
      </c>
      <c r="AL258" s="20" t="b">
        <f t="shared" ref="AL258:AL321" si="62">IF(AND(A258=4, J258="PF", T258="YES", V258="A"), L258)</f>
        <v>0</v>
      </c>
      <c r="AM258" s="20" t="b">
        <f t="shared" ref="AM258:AM321" si="63">IF(AND(A258=5, J258="PF", T258="YES", V258="A"), L258)</f>
        <v>0</v>
      </c>
      <c r="AN258" s="20" t="b">
        <f t="shared" ref="AN258:AN321" si="64">IF(AND(A258=6, J258="PF", T258="YES", V258="A"), L258)</f>
        <v>0</v>
      </c>
      <c r="AO258" s="20" t="b">
        <f t="shared" ref="AO258:AO321" si="65">IF(AND(A258=7, J258="PF", T258="YES", V258="A"), L258)</f>
        <v>0</v>
      </c>
      <c r="AP258" s="20" t="b">
        <f t="shared" ref="AP258:AP321" si="66">IF(AND(A258=8, J258="PF", T258="YES", V258="A"), L258)</f>
        <v>0</v>
      </c>
      <c r="AQ258" s="20" t="b">
        <f t="shared" ref="AQ258:AQ321" si="67">IF(AND(A258=9, J258="PF", T258="YES", V258="A"), L258)</f>
        <v>0</v>
      </c>
      <c r="AR258" s="20" t="b">
        <f t="shared" ref="AR258:AR321" si="68">IF(AND(A258=10, J258="PF", T258="YES", V258="A"), L258)</f>
        <v>0</v>
      </c>
      <c r="AS258" s="20" t="b">
        <f t="shared" ref="AS258:AS321" si="69">IF(AND(A258=11, J258="PF", T258="YES", V258="A"), L258)</f>
        <v>0</v>
      </c>
      <c r="AT258" s="20" t="b">
        <f t="shared" ref="AT258:AT321" si="70">IF(AND(A258=12, J258="PF", T258="YES", V258="A"), L258)</f>
        <v>0</v>
      </c>
      <c r="AU258" s="20" t="b">
        <f t="shared" ref="AU258:AU321" si="71">IF(AND(A258=13, J258="PF", T258="YES", V258="A"), L258)</f>
        <v>0</v>
      </c>
    </row>
    <row r="259" spans="1:47">
      <c r="A259" s="20">
        <f t="shared" si="59"/>
        <v>2</v>
      </c>
      <c r="B259" s="564"/>
      <c r="C259" s="564"/>
      <c r="D259" s="564"/>
      <c r="E259" s="564"/>
      <c r="F259" s="568"/>
      <c r="G259" s="568"/>
      <c r="H259" s="564"/>
      <c r="I259" s="568"/>
      <c r="J259" s="564"/>
      <c r="K259" s="564"/>
      <c r="L259" s="569"/>
      <c r="M259" s="569"/>
      <c r="N259" s="569"/>
      <c r="O259" s="570"/>
      <c r="P259" s="564"/>
      <c r="Q259" s="564"/>
      <c r="R259" s="569"/>
      <c r="S259" s="569"/>
      <c r="T259" s="564"/>
      <c r="U259" s="564"/>
      <c r="V259" s="564"/>
      <c r="W259" s="54">
        <f t="shared" ref="W259:W322" si="72">IF(J259="pf", L259, 0)</f>
        <v>0</v>
      </c>
      <c r="X259" s="54">
        <f t="shared" ref="X259:X322" si="73">IF(J259&lt;&gt;"PF", L259, 0)</f>
        <v>0</v>
      </c>
      <c r="AJ259" s="20" t="b">
        <f t="shared" si="60"/>
        <v>0</v>
      </c>
      <c r="AK259" s="20" t="b">
        <f t="shared" si="61"/>
        <v>0</v>
      </c>
      <c r="AL259" s="20" t="b">
        <f t="shared" si="62"/>
        <v>0</v>
      </c>
      <c r="AM259" s="20" t="b">
        <f t="shared" si="63"/>
        <v>0</v>
      </c>
      <c r="AN259" s="20" t="b">
        <f t="shared" si="64"/>
        <v>0</v>
      </c>
      <c r="AO259" s="20" t="b">
        <f t="shared" si="65"/>
        <v>0</v>
      </c>
      <c r="AP259" s="20" t="b">
        <f t="shared" si="66"/>
        <v>0</v>
      </c>
      <c r="AQ259" s="20" t="b">
        <f t="shared" si="67"/>
        <v>0</v>
      </c>
      <c r="AR259" s="20" t="b">
        <f t="shared" si="68"/>
        <v>0</v>
      </c>
      <c r="AS259" s="20" t="b">
        <f t="shared" si="69"/>
        <v>0</v>
      </c>
      <c r="AT259" s="20" t="b">
        <f t="shared" si="70"/>
        <v>0</v>
      </c>
      <c r="AU259" s="20" t="b">
        <f t="shared" si="71"/>
        <v>0</v>
      </c>
    </row>
    <row r="260" spans="1:47">
      <c r="A260" s="20">
        <f t="shared" si="59"/>
        <v>2</v>
      </c>
      <c r="B260" s="564"/>
      <c r="C260" s="564"/>
      <c r="D260" s="564"/>
      <c r="E260" s="564"/>
      <c r="F260" s="568"/>
      <c r="G260" s="568"/>
      <c r="H260" s="564"/>
      <c r="I260" s="568"/>
      <c r="J260" s="564"/>
      <c r="K260" s="564"/>
      <c r="L260" s="569"/>
      <c r="M260" s="569"/>
      <c r="N260" s="569"/>
      <c r="O260" s="570"/>
      <c r="P260" s="564"/>
      <c r="Q260" s="564"/>
      <c r="R260" s="569"/>
      <c r="S260" s="569"/>
      <c r="T260" s="564"/>
      <c r="U260" s="564"/>
      <c r="V260" s="564"/>
      <c r="W260" s="54">
        <f t="shared" si="72"/>
        <v>0</v>
      </c>
      <c r="X260" s="54">
        <f t="shared" si="73"/>
        <v>0</v>
      </c>
      <c r="AJ260" s="20" t="b">
        <f t="shared" si="60"/>
        <v>0</v>
      </c>
      <c r="AK260" s="20" t="b">
        <f t="shared" si="61"/>
        <v>0</v>
      </c>
      <c r="AL260" s="20" t="b">
        <f t="shared" si="62"/>
        <v>0</v>
      </c>
      <c r="AM260" s="20" t="b">
        <f t="shared" si="63"/>
        <v>0</v>
      </c>
      <c r="AN260" s="20" t="b">
        <f t="shared" si="64"/>
        <v>0</v>
      </c>
      <c r="AO260" s="20" t="b">
        <f t="shared" si="65"/>
        <v>0</v>
      </c>
      <c r="AP260" s="20" t="b">
        <f t="shared" si="66"/>
        <v>0</v>
      </c>
      <c r="AQ260" s="20" t="b">
        <f t="shared" si="67"/>
        <v>0</v>
      </c>
      <c r="AR260" s="20" t="b">
        <f t="shared" si="68"/>
        <v>0</v>
      </c>
      <c r="AS260" s="20" t="b">
        <f t="shared" si="69"/>
        <v>0</v>
      </c>
      <c r="AT260" s="20" t="b">
        <f t="shared" si="70"/>
        <v>0</v>
      </c>
      <c r="AU260" s="20" t="b">
        <f t="shared" si="71"/>
        <v>0</v>
      </c>
    </row>
    <row r="261" spans="1:47">
      <c r="B261" s="564"/>
      <c r="C261" s="564"/>
      <c r="D261" s="564"/>
      <c r="E261" s="564"/>
      <c r="F261" s="568"/>
      <c r="G261" s="568"/>
      <c r="H261" s="564"/>
      <c r="I261" s="568"/>
      <c r="J261" s="564"/>
      <c r="K261" s="564"/>
      <c r="L261" s="569"/>
      <c r="M261" s="569"/>
      <c r="N261" s="569"/>
      <c r="O261" s="570"/>
      <c r="P261" s="564"/>
      <c r="Q261" s="564"/>
      <c r="R261" s="569"/>
      <c r="S261" s="569"/>
      <c r="T261" s="564"/>
      <c r="U261" s="564"/>
      <c r="V261" s="564"/>
      <c r="W261" s="54">
        <f t="shared" si="72"/>
        <v>0</v>
      </c>
      <c r="X261" s="54">
        <f t="shared" si="73"/>
        <v>0</v>
      </c>
      <c r="AJ261" s="20" t="b">
        <f t="shared" si="60"/>
        <v>0</v>
      </c>
      <c r="AK261" s="20" t="b">
        <f t="shared" si="61"/>
        <v>0</v>
      </c>
      <c r="AL261" s="20" t="b">
        <f t="shared" si="62"/>
        <v>0</v>
      </c>
      <c r="AM261" s="20" t="b">
        <f t="shared" si="63"/>
        <v>0</v>
      </c>
      <c r="AN261" s="20" t="b">
        <f t="shared" si="64"/>
        <v>0</v>
      </c>
      <c r="AO261" s="20" t="b">
        <f t="shared" si="65"/>
        <v>0</v>
      </c>
      <c r="AP261" s="20" t="b">
        <f t="shared" si="66"/>
        <v>0</v>
      </c>
      <c r="AQ261" s="20" t="b">
        <f t="shared" si="67"/>
        <v>0</v>
      </c>
      <c r="AR261" s="20" t="b">
        <f t="shared" si="68"/>
        <v>0</v>
      </c>
      <c r="AS261" s="20" t="b">
        <f t="shared" si="69"/>
        <v>0</v>
      </c>
      <c r="AT261" s="20" t="b">
        <f t="shared" si="70"/>
        <v>0</v>
      </c>
      <c r="AU261" s="20" t="b">
        <f t="shared" si="71"/>
        <v>0</v>
      </c>
    </row>
    <row r="262" spans="1:47">
      <c r="A262" s="20">
        <f>IF(F262=F260,A260,A260+1)</f>
        <v>2</v>
      </c>
      <c r="B262" s="564"/>
      <c r="C262" s="564"/>
      <c r="D262" s="564"/>
      <c r="E262" s="564"/>
      <c r="F262" s="568"/>
      <c r="G262" s="568"/>
      <c r="H262" s="564"/>
      <c r="I262" s="568"/>
      <c r="J262" s="564"/>
      <c r="K262" s="564"/>
      <c r="L262" s="569"/>
      <c r="M262" s="569"/>
      <c r="N262" s="569"/>
      <c r="O262" s="570"/>
      <c r="P262" s="564"/>
      <c r="Q262" s="564"/>
      <c r="R262" s="569"/>
      <c r="S262" s="569"/>
      <c r="T262" s="564"/>
      <c r="U262" s="564"/>
      <c r="V262" s="564"/>
      <c r="W262" s="54">
        <f t="shared" si="72"/>
        <v>0</v>
      </c>
      <c r="X262" s="54">
        <f t="shared" si="73"/>
        <v>0</v>
      </c>
      <c r="AJ262" s="20" t="b">
        <f t="shared" si="60"/>
        <v>0</v>
      </c>
      <c r="AK262" s="20" t="b">
        <f t="shared" si="61"/>
        <v>0</v>
      </c>
      <c r="AL262" s="20" t="b">
        <f t="shared" si="62"/>
        <v>0</v>
      </c>
      <c r="AM262" s="20" t="b">
        <f t="shared" si="63"/>
        <v>0</v>
      </c>
      <c r="AN262" s="20" t="b">
        <f t="shared" si="64"/>
        <v>0</v>
      </c>
      <c r="AO262" s="20" t="b">
        <f t="shared" si="65"/>
        <v>0</v>
      </c>
      <c r="AP262" s="20" t="b">
        <f t="shared" si="66"/>
        <v>0</v>
      </c>
      <c r="AQ262" s="20" t="b">
        <f t="shared" si="67"/>
        <v>0</v>
      </c>
      <c r="AR262" s="20" t="b">
        <f t="shared" si="68"/>
        <v>0</v>
      </c>
      <c r="AS262" s="20" t="b">
        <f t="shared" si="69"/>
        <v>0</v>
      </c>
      <c r="AT262" s="20" t="b">
        <f t="shared" si="70"/>
        <v>0</v>
      </c>
      <c r="AU262" s="20" t="b">
        <f t="shared" si="71"/>
        <v>0</v>
      </c>
    </row>
    <row r="263" spans="1:47">
      <c r="A263" s="20">
        <f t="shared" ref="A263:A326" si="74">IF(F263=F262,A262,A262+1)</f>
        <v>2</v>
      </c>
      <c r="B263" s="564"/>
      <c r="C263" s="564"/>
      <c r="D263" s="564"/>
      <c r="E263" s="564"/>
      <c r="F263" s="568"/>
      <c r="G263" s="568"/>
      <c r="H263" s="564"/>
      <c r="I263" s="568"/>
      <c r="J263" s="564"/>
      <c r="K263" s="564"/>
      <c r="L263" s="569"/>
      <c r="M263" s="569"/>
      <c r="N263" s="569"/>
      <c r="O263" s="570"/>
      <c r="P263" s="564"/>
      <c r="Q263" s="564"/>
      <c r="R263" s="569"/>
      <c r="S263" s="569"/>
      <c r="T263" s="564"/>
      <c r="U263" s="564"/>
      <c r="V263" s="564"/>
      <c r="W263" s="54">
        <f t="shared" si="72"/>
        <v>0</v>
      </c>
      <c r="X263" s="54">
        <f t="shared" si="73"/>
        <v>0</v>
      </c>
      <c r="AJ263" s="20" t="b">
        <f t="shared" si="60"/>
        <v>0</v>
      </c>
      <c r="AK263" s="20" t="b">
        <f t="shared" si="61"/>
        <v>0</v>
      </c>
      <c r="AL263" s="20" t="b">
        <f t="shared" si="62"/>
        <v>0</v>
      </c>
      <c r="AM263" s="20" t="b">
        <f t="shared" si="63"/>
        <v>0</v>
      </c>
      <c r="AN263" s="20" t="b">
        <f t="shared" si="64"/>
        <v>0</v>
      </c>
      <c r="AO263" s="20" t="b">
        <f t="shared" si="65"/>
        <v>0</v>
      </c>
      <c r="AP263" s="20" t="b">
        <f t="shared" si="66"/>
        <v>0</v>
      </c>
      <c r="AQ263" s="20" t="b">
        <f t="shared" si="67"/>
        <v>0</v>
      </c>
      <c r="AR263" s="20" t="b">
        <f t="shared" si="68"/>
        <v>0</v>
      </c>
      <c r="AS263" s="20" t="b">
        <f t="shared" si="69"/>
        <v>0</v>
      </c>
      <c r="AT263" s="20" t="b">
        <f t="shared" si="70"/>
        <v>0</v>
      </c>
      <c r="AU263" s="20" t="b">
        <f t="shared" si="71"/>
        <v>0</v>
      </c>
    </row>
    <row r="264" spans="1:47">
      <c r="A264" s="20">
        <f t="shared" si="74"/>
        <v>2</v>
      </c>
      <c r="B264" s="564"/>
      <c r="C264" s="564"/>
      <c r="D264" s="564"/>
      <c r="E264" s="564"/>
      <c r="F264" s="568"/>
      <c r="G264" s="568"/>
      <c r="H264" s="564"/>
      <c r="I264" s="568"/>
      <c r="J264" s="564"/>
      <c r="K264" s="564"/>
      <c r="L264" s="569"/>
      <c r="M264" s="569"/>
      <c r="N264" s="569"/>
      <c r="O264" s="570"/>
      <c r="P264" s="564"/>
      <c r="Q264" s="564"/>
      <c r="R264" s="569"/>
      <c r="S264" s="569"/>
      <c r="T264" s="564"/>
      <c r="U264" s="564"/>
      <c r="V264" s="564"/>
      <c r="W264" s="54">
        <f t="shared" si="72"/>
        <v>0</v>
      </c>
      <c r="X264" s="54">
        <f t="shared" si="73"/>
        <v>0</v>
      </c>
      <c r="AJ264" s="20" t="b">
        <f t="shared" si="60"/>
        <v>0</v>
      </c>
      <c r="AK264" s="20" t="b">
        <f t="shared" si="61"/>
        <v>0</v>
      </c>
      <c r="AL264" s="20" t="b">
        <f t="shared" si="62"/>
        <v>0</v>
      </c>
      <c r="AM264" s="20" t="b">
        <f t="shared" si="63"/>
        <v>0</v>
      </c>
      <c r="AN264" s="20" t="b">
        <f t="shared" si="64"/>
        <v>0</v>
      </c>
      <c r="AO264" s="20" t="b">
        <f t="shared" si="65"/>
        <v>0</v>
      </c>
      <c r="AP264" s="20" t="b">
        <f t="shared" si="66"/>
        <v>0</v>
      </c>
      <c r="AQ264" s="20" t="b">
        <f t="shared" si="67"/>
        <v>0</v>
      </c>
      <c r="AR264" s="20" t="b">
        <f t="shared" si="68"/>
        <v>0</v>
      </c>
      <c r="AS264" s="20" t="b">
        <f t="shared" si="69"/>
        <v>0</v>
      </c>
      <c r="AT264" s="20" t="b">
        <f t="shared" si="70"/>
        <v>0</v>
      </c>
      <c r="AU264" s="20" t="b">
        <f t="shared" si="71"/>
        <v>0</v>
      </c>
    </row>
    <row r="265" spans="1:47">
      <c r="A265" s="20">
        <f t="shared" si="74"/>
        <v>2</v>
      </c>
      <c r="B265" s="564"/>
      <c r="C265" s="564"/>
      <c r="D265" s="564"/>
      <c r="E265" s="564"/>
      <c r="F265" s="568"/>
      <c r="G265" s="568"/>
      <c r="H265" s="564"/>
      <c r="I265" s="568"/>
      <c r="J265" s="564"/>
      <c r="K265" s="564"/>
      <c r="L265" s="569"/>
      <c r="M265" s="569"/>
      <c r="N265" s="569"/>
      <c r="O265" s="570"/>
      <c r="P265" s="564"/>
      <c r="Q265" s="564"/>
      <c r="R265" s="569"/>
      <c r="S265" s="569"/>
      <c r="T265" s="564"/>
      <c r="U265" s="564"/>
      <c r="V265" s="564"/>
      <c r="W265" s="54">
        <f t="shared" si="72"/>
        <v>0</v>
      </c>
      <c r="X265" s="54">
        <f t="shared" si="73"/>
        <v>0</v>
      </c>
      <c r="AJ265" s="20" t="b">
        <f t="shared" si="60"/>
        <v>0</v>
      </c>
      <c r="AK265" s="20" t="b">
        <f t="shared" si="61"/>
        <v>0</v>
      </c>
      <c r="AL265" s="20" t="b">
        <f t="shared" si="62"/>
        <v>0</v>
      </c>
      <c r="AM265" s="20" t="b">
        <f t="shared" si="63"/>
        <v>0</v>
      </c>
      <c r="AN265" s="20" t="b">
        <f t="shared" si="64"/>
        <v>0</v>
      </c>
      <c r="AO265" s="20" t="b">
        <f t="shared" si="65"/>
        <v>0</v>
      </c>
      <c r="AP265" s="20" t="b">
        <f t="shared" si="66"/>
        <v>0</v>
      </c>
      <c r="AQ265" s="20" t="b">
        <f t="shared" si="67"/>
        <v>0</v>
      </c>
      <c r="AR265" s="20" t="b">
        <f t="shared" si="68"/>
        <v>0</v>
      </c>
      <c r="AS265" s="20" t="b">
        <f t="shared" si="69"/>
        <v>0</v>
      </c>
      <c r="AT265" s="20" t="b">
        <f t="shared" si="70"/>
        <v>0</v>
      </c>
      <c r="AU265" s="20" t="b">
        <f t="shared" si="71"/>
        <v>0</v>
      </c>
    </row>
    <row r="266" spans="1:47">
      <c r="A266" s="20">
        <f t="shared" si="74"/>
        <v>2</v>
      </c>
      <c r="B266" s="564"/>
      <c r="C266" s="564"/>
      <c r="D266" s="564"/>
      <c r="E266" s="564"/>
      <c r="F266" s="568"/>
      <c r="G266" s="568"/>
      <c r="H266" s="564"/>
      <c r="I266" s="568"/>
      <c r="J266" s="564"/>
      <c r="K266" s="564"/>
      <c r="L266" s="569"/>
      <c r="M266" s="569"/>
      <c r="N266" s="569"/>
      <c r="O266" s="570"/>
      <c r="P266" s="564"/>
      <c r="Q266" s="564"/>
      <c r="R266" s="569"/>
      <c r="S266" s="569"/>
      <c r="T266" s="564"/>
      <c r="U266" s="564"/>
      <c r="V266" s="564"/>
      <c r="W266" s="54">
        <f t="shared" si="72"/>
        <v>0</v>
      </c>
      <c r="X266" s="54">
        <f t="shared" si="73"/>
        <v>0</v>
      </c>
      <c r="AJ266" s="20" t="b">
        <f t="shared" si="60"/>
        <v>0</v>
      </c>
      <c r="AK266" s="20" t="b">
        <f t="shared" si="61"/>
        <v>0</v>
      </c>
      <c r="AL266" s="20" t="b">
        <f t="shared" si="62"/>
        <v>0</v>
      </c>
      <c r="AM266" s="20" t="b">
        <f t="shared" si="63"/>
        <v>0</v>
      </c>
      <c r="AN266" s="20" t="b">
        <f t="shared" si="64"/>
        <v>0</v>
      </c>
      <c r="AO266" s="20" t="b">
        <f t="shared" si="65"/>
        <v>0</v>
      </c>
      <c r="AP266" s="20" t="b">
        <f t="shared" si="66"/>
        <v>0</v>
      </c>
      <c r="AQ266" s="20" t="b">
        <f t="shared" si="67"/>
        <v>0</v>
      </c>
      <c r="AR266" s="20" t="b">
        <f t="shared" si="68"/>
        <v>0</v>
      </c>
      <c r="AS266" s="20" t="b">
        <f t="shared" si="69"/>
        <v>0</v>
      </c>
      <c r="AT266" s="20" t="b">
        <f t="shared" si="70"/>
        <v>0</v>
      </c>
      <c r="AU266" s="20" t="b">
        <f t="shared" si="71"/>
        <v>0</v>
      </c>
    </row>
    <row r="267" spans="1:47">
      <c r="A267" s="20">
        <f t="shared" si="74"/>
        <v>2</v>
      </c>
      <c r="B267" s="564"/>
      <c r="C267" s="564"/>
      <c r="D267" s="564"/>
      <c r="E267" s="564"/>
      <c r="F267" s="568"/>
      <c r="G267" s="568"/>
      <c r="H267" s="564"/>
      <c r="I267" s="568"/>
      <c r="J267" s="564"/>
      <c r="K267" s="564"/>
      <c r="L267" s="569"/>
      <c r="M267" s="569"/>
      <c r="N267" s="569"/>
      <c r="O267" s="570"/>
      <c r="P267" s="564"/>
      <c r="Q267" s="564"/>
      <c r="R267" s="569"/>
      <c r="S267" s="569"/>
      <c r="T267" s="564"/>
      <c r="U267" s="564"/>
      <c r="V267" s="564"/>
      <c r="W267" s="54">
        <f t="shared" si="72"/>
        <v>0</v>
      </c>
      <c r="X267" s="54">
        <f t="shared" si="73"/>
        <v>0</v>
      </c>
      <c r="AJ267" s="20" t="b">
        <f t="shared" si="60"/>
        <v>0</v>
      </c>
      <c r="AK267" s="20" t="b">
        <f t="shared" si="61"/>
        <v>0</v>
      </c>
      <c r="AL267" s="20" t="b">
        <f t="shared" si="62"/>
        <v>0</v>
      </c>
      <c r="AM267" s="20" t="b">
        <f t="shared" si="63"/>
        <v>0</v>
      </c>
      <c r="AN267" s="20" t="b">
        <f t="shared" si="64"/>
        <v>0</v>
      </c>
      <c r="AO267" s="20" t="b">
        <f t="shared" si="65"/>
        <v>0</v>
      </c>
      <c r="AP267" s="20" t="b">
        <f t="shared" si="66"/>
        <v>0</v>
      </c>
      <c r="AQ267" s="20" t="b">
        <f t="shared" si="67"/>
        <v>0</v>
      </c>
      <c r="AR267" s="20" t="b">
        <f t="shared" si="68"/>
        <v>0</v>
      </c>
      <c r="AS267" s="20" t="b">
        <f t="shared" si="69"/>
        <v>0</v>
      </c>
      <c r="AT267" s="20" t="b">
        <f t="shared" si="70"/>
        <v>0</v>
      </c>
      <c r="AU267" s="20" t="b">
        <f t="shared" si="71"/>
        <v>0</v>
      </c>
    </row>
    <row r="268" spans="1:47">
      <c r="A268" s="20">
        <f t="shared" si="74"/>
        <v>3</v>
      </c>
      <c r="B268" s="564" t="s">
        <v>245</v>
      </c>
      <c r="C268" s="564" t="s">
        <v>225</v>
      </c>
      <c r="D268" s="564" t="s">
        <v>246</v>
      </c>
      <c r="E268" s="564" t="s">
        <v>247</v>
      </c>
      <c r="F268" s="568">
        <v>42443</v>
      </c>
      <c r="G268" s="568">
        <v>42446</v>
      </c>
      <c r="H268" s="564"/>
      <c r="I268" s="568">
        <v>42447</v>
      </c>
      <c r="J268" s="564" t="s">
        <v>228</v>
      </c>
      <c r="K268" s="564"/>
      <c r="L268" s="569">
        <v>3114</v>
      </c>
      <c r="M268" s="569">
        <v>0</v>
      </c>
      <c r="N268" s="569">
        <v>1</v>
      </c>
      <c r="O268" s="570">
        <v>29398.05</v>
      </c>
      <c r="P268" s="564" t="s">
        <v>211</v>
      </c>
      <c r="Q268" s="564" t="s">
        <v>212</v>
      </c>
      <c r="R268" s="569">
        <v>58740.051800000001</v>
      </c>
      <c r="S268" s="569" t="b">
        <v>0</v>
      </c>
      <c r="T268" s="564" t="s">
        <v>227</v>
      </c>
      <c r="U268" s="564"/>
      <c r="V268" s="564"/>
      <c r="W268" s="54">
        <f t="shared" si="72"/>
        <v>0</v>
      </c>
      <c r="X268" s="54">
        <f t="shared" si="73"/>
        <v>3114</v>
      </c>
      <c r="AJ268" s="20" t="b">
        <f t="shared" si="60"/>
        <v>0</v>
      </c>
      <c r="AK268" s="20" t="b">
        <f t="shared" si="61"/>
        <v>0</v>
      </c>
      <c r="AL268" s="20" t="b">
        <f t="shared" si="62"/>
        <v>0</v>
      </c>
      <c r="AM268" s="20" t="b">
        <f t="shared" si="63"/>
        <v>0</v>
      </c>
      <c r="AN268" s="20" t="b">
        <f t="shared" si="64"/>
        <v>0</v>
      </c>
      <c r="AO268" s="20" t="b">
        <f t="shared" si="65"/>
        <v>0</v>
      </c>
      <c r="AP268" s="20" t="b">
        <f t="shared" si="66"/>
        <v>0</v>
      </c>
      <c r="AQ268" s="20" t="b">
        <f t="shared" si="67"/>
        <v>0</v>
      </c>
      <c r="AR268" s="20" t="b">
        <f t="shared" si="68"/>
        <v>0</v>
      </c>
      <c r="AS268" s="20" t="b">
        <f t="shared" si="69"/>
        <v>0</v>
      </c>
      <c r="AT268" s="20" t="b">
        <f t="shared" si="70"/>
        <v>0</v>
      </c>
      <c r="AU268" s="20" t="b">
        <f t="shared" si="71"/>
        <v>0</v>
      </c>
    </row>
    <row r="269" spans="1:47">
      <c r="A269" s="20">
        <f t="shared" si="74"/>
        <v>3</v>
      </c>
      <c r="B269" s="564" t="s">
        <v>306</v>
      </c>
      <c r="C269" s="564" t="s">
        <v>218</v>
      </c>
      <c r="D269" s="564" t="s">
        <v>307</v>
      </c>
      <c r="E269" s="564" t="s">
        <v>308</v>
      </c>
      <c r="F269" s="568">
        <v>42443</v>
      </c>
      <c r="G269" s="568">
        <v>42446</v>
      </c>
      <c r="H269" s="564"/>
      <c r="I269" s="568">
        <v>42447</v>
      </c>
      <c r="J269" s="564" t="s">
        <v>222</v>
      </c>
      <c r="K269" s="564"/>
      <c r="L269" s="569">
        <v>1420</v>
      </c>
      <c r="M269" s="569">
        <v>0</v>
      </c>
      <c r="N269" s="569">
        <v>2</v>
      </c>
      <c r="O269" s="570">
        <v>11083.41</v>
      </c>
      <c r="P269" s="564" t="s">
        <v>211</v>
      </c>
      <c r="Q269" s="564" t="s">
        <v>212</v>
      </c>
      <c r="R269" s="569">
        <v>11083.405199999999</v>
      </c>
      <c r="S269" s="569" t="b">
        <v>0</v>
      </c>
      <c r="T269" s="564" t="s">
        <v>227</v>
      </c>
      <c r="U269" s="564" t="s">
        <v>214</v>
      </c>
      <c r="V269" s="564"/>
      <c r="W269" s="54">
        <f t="shared" si="72"/>
        <v>0</v>
      </c>
      <c r="X269" s="54">
        <f t="shared" si="73"/>
        <v>1420</v>
      </c>
      <c r="AJ269" s="20" t="b">
        <f t="shared" si="60"/>
        <v>0</v>
      </c>
      <c r="AK269" s="20" t="b">
        <f t="shared" si="61"/>
        <v>0</v>
      </c>
      <c r="AL269" s="20" t="b">
        <f t="shared" si="62"/>
        <v>0</v>
      </c>
      <c r="AM269" s="20" t="b">
        <f t="shared" si="63"/>
        <v>0</v>
      </c>
      <c r="AN269" s="20" t="b">
        <f t="shared" si="64"/>
        <v>0</v>
      </c>
      <c r="AO269" s="20" t="b">
        <f t="shared" si="65"/>
        <v>0</v>
      </c>
      <c r="AP269" s="20" t="b">
        <f t="shared" si="66"/>
        <v>0</v>
      </c>
      <c r="AQ269" s="20" t="b">
        <f t="shared" si="67"/>
        <v>0</v>
      </c>
      <c r="AR269" s="20" t="b">
        <f t="shared" si="68"/>
        <v>0</v>
      </c>
      <c r="AS269" s="20" t="b">
        <f t="shared" si="69"/>
        <v>0</v>
      </c>
      <c r="AT269" s="20" t="b">
        <f t="shared" si="70"/>
        <v>0</v>
      </c>
      <c r="AU269" s="20" t="b">
        <f t="shared" si="71"/>
        <v>0</v>
      </c>
    </row>
    <row r="270" spans="1:47">
      <c r="A270" s="20">
        <f t="shared" si="74"/>
        <v>3</v>
      </c>
      <c r="B270" s="564" t="s">
        <v>254</v>
      </c>
      <c r="C270" s="564" t="s">
        <v>209</v>
      </c>
      <c r="D270" s="564" t="s">
        <v>255</v>
      </c>
      <c r="E270" s="564" t="s">
        <v>256</v>
      </c>
      <c r="F270" s="568">
        <v>42443</v>
      </c>
      <c r="G270" s="568">
        <v>42446</v>
      </c>
      <c r="H270" s="564"/>
      <c r="I270" s="568">
        <v>42447</v>
      </c>
      <c r="J270" s="564" t="s">
        <v>230</v>
      </c>
      <c r="K270" s="564"/>
      <c r="L270" s="569">
        <v>629</v>
      </c>
      <c r="M270" s="569">
        <v>0</v>
      </c>
      <c r="N270" s="569">
        <v>2</v>
      </c>
      <c r="O270" s="570">
        <v>6083.54</v>
      </c>
      <c r="P270" s="564" t="s">
        <v>211</v>
      </c>
      <c r="Q270" s="564" t="s">
        <v>212</v>
      </c>
      <c r="R270" s="569">
        <v>10516.6674</v>
      </c>
      <c r="S270" s="569" t="b">
        <v>1</v>
      </c>
      <c r="T270" s="564" t="s">
        <v>213</v>
      </c>
      <c r="U270" s="564"/>
      <c r="V270" s="564"/>
      <c r="W270" s="54">
        <f t="shared" si="72"/>
        <v>0</v>
      </c>
      <c r="X270" s="54">
        <f t="shared" si="73"/>
        <v>629</v>
      </c>
      <c r="AJ270" s="20" t="b">
        <f t="shared" si="60"/>
        <v>0</v>
      </c>
      <c r="AK270" s="20" t="b">
        <f t="shared" si="61"/>
        <v>0</v>
      </c>
      <c r="AL270" s="20" t="b">
        <f t="shared" si="62"/>
        <v>0</v>
      </c>
      <c r="AM270" s="20" t="b">
        <f t="shared" si="63"/>
        <v>0</v>
      </c>
      <c r="AN270" s="20" t="b">
        <f t="shared" si="64"/>
        <v>0</v>
      </c>
      <c r="AO270" s="20" t="b">
        <f t="shared" si="65"/>
        <v>0</v>
      </c>
      <c r="AP270" s="20" t="b">
        <f t="shared" si="66"/>
        <v>0</v>
      </c>
      <c r="AQ270" s="20" t="b">
        <f t="shared" si="67"/>
        <v>0</v>
      </c>
      <c r="AR270" s="20" t="b">
        <f t="shared" si="68"/>
        <v>0</v>
      </c>
      <c r="AS270" s="20" t="b">
        <f t="shared" si="69"/>
        <v>0</v>
      </c>
      <c r="AT270" s="20" t="b">
        <f t="shared" si="70"/>
        <v>0</v>
      </c>
      <c r="AU270" s="20" t="b">
        <f t="shared" si="71"/>
        <v>0</v>
      </c>
    </row>
    <row r="271" spans="1:47">
      <c r="A271" s="20">
        <f t="shared" si="74"/>
        <v>3</v>
      </c>
      <c r="B271" s="564" t="s">
        <v>251</v>
      </c>
      <c r="C271" s="564" t="s">
        <v>215</v>
      </c>
      <c r="D271" s="564" t="s">
        <v>252</v>
      </c>
      <c r="E271" s="564" t="s">
        <v>253</v>
      </c>
      <c r="F271" s="568">
        <v>42443</v>
      </c>
      <c r="G271" s="568">
        <v>42446</v>
      </c>
      <c r="H271" s="564"/>
      <c r="I271" s="568">
        <v>42447</v>
      </c>
      <c r="J271" s="564" t="s">
        <v>243</v>
      </c>
      <c r="K271" s="564"/>
      <c r="L271" s="569">
        <v>0</v>
      </c>
      <c r="M271" s="569">
        <v>0</v>
      </c>
      <c r="N271" s="569">
        <v>0</v>
      </c>
      <c r="O271" s="570">
        <v>18115.900000000001</v>
      </c>
      <c r="P271" s="564" t="s">
        <v>211</v>
      </c>
      <c r="Q271" s="564" t="s">
        <v>212</v>
      </c>
      <c r="R271" s="569">
        <v>18115.900000000001</v>
      </c>
      <c r="S271" s="569" t="b">
        <v>0</v>
      </c>
      <c r="T271" s="564" t="s">
        <v>227</v>
      </c>
      <c r="U271" s="564"/>
      <c r="V271" s="564"/>
      <c r="W271" s="54">
        <f t="shared" si="72"/>
        <v>0</v>
      </c>
      <c r="X271" s="54">
        <f t="shared" si="73"/>
        <v>0</v>
      </c>
      <c r="AJ271" s="20" t="b">
        <f t="shared" si="60"/>
        <v>0</v>
      </c>
      <c r="AK271" s="20" t="b">
        <f t="shared" si="61"/>
        <v>0</v>
      </c>
      <c r="AL271" s="20" t="b">
        <f t="shared" si="62"/>
        <v>0</v>
      </c>
      <c r="AM271" s="20" t="b">
        <f t="shared" si="63"/>
        <v>0</v>
      </c>
      <c r="AN271" s="20" t="b">
        <f t="shared" si="64"/>
        <v>0</v>
      </c>
      <c r="AO271" s="20" t="b">
        <f t="shared" si="65"/>
        <v>0</v>
      </c>
      <c r="AP271" s="20" t="b">
        <f t="shared" si="66"/>
        <v>0</v>
      </c>
      <c r="AQ271" s="20" t="b">
        <f t="shared" si="67"/>
        <v>0</v>
      </c>
      <c r="AR271" s="20" t="b">
        <f t="shared" si="68"/>
        <v>0</v>
      </c>
      <c r="AS271" s="20" t="b">
        <f t="shared" si="69"/>
        <v>0</v>
      </c>
      <c r="AT271" s="20" t="b">
        <f t="shared" si="70"/>
        <v>0</v>
      </c>
      <c r="AU271" s="20" t="b">
        <f t="shared" si="71"/>
        <v>0</v>
      </c>
    </row>
    <row r="272" spans="1:47" ht="30">
      <c r="A272" s="20">
        <f t="shared" si="74"/>
        <v>3</v>
      </c>
      <c r="B272" s="564" t="s">
        <v>248</v>
      </c>
      <c r="C272" s="564" t="s">
        <v>225</v>
      </c>
      <c r="D272" s="564" t="s">
        <v>246</v>
      </c>
      <c r="E272" s="564" t="s">
        <v>247</v>
      </c>
      <c r="F272" s="568">
        <v>42443</v>
      </c>
      <c r="G272" s="568">
        <v>42446</v>
      </c>
      <c r="H272" s="564"/>
      <c r="I272" s="568">
        <v>42447</v>
      </c>
      <c r="J272" s="564" t="s">
        <v>230</v>
      </c>
      <c r="K272" s="564"/>
      <c r="L272" s="569">
        <v>0</v>
      </c>
      <c r="M272" s="569">
        <v>0</v>
      </c>
      <c r="N272" s="569">
        <v>0</v>
      </c>
      <c r="O272" s="570">
        <v>904.8</v>
      </c>
      <c r="P272" s="564" t="s">
        <v>211</v>
      </c>
      <c r="Q272" s="564" t="s">
        <v>212</v>
      </c>
      <c r="R272" s="569">
        <v>3137.3</v>
      </c>
      <c r="S272" s="569" t="b">
        <v>0</v>
      </c>
      <c r="T272" s="564" t="s">
        <v>227</v>
      </c>
      <c r="U272" s="564"/>
      <c r="V272" s="564"/>
      <c r="W272" s="54">
        <f t="shared" si="72"/>
        <v>0</v>
      </c>
      <c r="X272" s="54">
        <f t="shared" si="73"/>
        <v>0</v>
      </c>
      <c r="AJ272" s="20" t="b">
        <f t="shared" si="60"/>
        <v>0</v>
      </c>
      <c r="AK272" s="20" t="b">
        <f t="shared" si="61"/>
        <v>0</v>
      </c>
      <c r="AL272" s="20" t="b">
        <f t="shared" si="62"/>
        <v>0</v>
      </c>
      <c r="AM272" s="20" t="b">
        <f t="shared" si="63"/>
        <v>0</v>
      </c>
      <c r="AN272" s="20" t="b">
        <f t="shared" si="64"/>
        <v>0</v>
      </c>
      <c r="AO272" s="20" t="b">
        <f t="shared" si="65"/>
        <v>0</v>
      </c>
      <c r="AP272" s="20" t="b">
        <f t="shared" si="66"/>
        <v>0</v>
      </c>
      <c r="AQ272" s="20" t="b">
        <f t="shared" si="67"/>
        <v>0</v>
      </c>
      <c r="AR272" s="20" t="b">
        <f t="shared" si="68"/>
        <v>0</v>
      </c>
      <c r="AS272" s="20" t="b">
        <f t="shared" si="69"/>
        <v>0</v>
      </c>
      <c r="AT272" s="20" t="b">
        <f t="shared" si="70"/>
        <v>0</v>
      </c>
      <c r="AU272" s="20" t="b">
        <f t="shared" si="71"/>
        <v>0</v>
      </c>
    </row>
    <row r="273" spans="1:47">
      <c r="B273" s="564" t="s">
        <v>309</v>
      </c>
      <c r="C273" s="564" t="s">
        <v>242</v>
      </c>
      <c r="D273" s="564" t="s">
        <v>310</v>
      </c>
      <c r="E273" s="564" t="s">
        <v>311</v>
      </c>
      <c r="F273" s="568">
        <v>42443</v>
      </c>
      <c r="G273" s="568">
        <v>42446</v>
      </c>
      <c r="H273" s="564"/>
      <c r="I273" s="568">
        <v>42447</v>
      </c>
      <c r="J273" s="564" t="s">
        <v>243</v>
      </c>
      <c r="K273" s="564"/>
      <c r="L273" s="569">
        <v>2306</v>
      </c>
      <c r="M273" s="569">
        <v>0</v>
      </c>
      <c r="N273" s="569">
        <v>5</v>
      </c>
      <c r="O273" s="570">
        <v>21373.25</v>
      </c>
      <c r="P273" s="564" t="s">
        <v>211</v>
      </c>
      <c r="Q273" s="564" t="s">
        <v>212</v>
      </c>
      <c r="R273" s="569">
        <v>37299.965700000001</v>
      </c>
      <c r="S273" s="569" t="b">
        <v>0</v>
      </c>
      <c r="T273" s="564" t="s">
        <v>227</v>
      </c>
      <c r="U273" s="564" t="s">
        <v>214</v>
      </c>
      <c r="V273" s="564"/>
      <c r="W273" s="54">
        <f t="shared" si="72"/>
        <v>0</v>
      </c>
      <c r="X273" s="54">
        <f t="shared" si="73"/>
        <v>2306</v>
      </c>
      <c r="AJ273" s="20" t="b">
        <f t="shared" si="60"/>
        <v>0</v>
      </c>
      <c r="AK273" s="20" t="b">
        <f t="shared" si="61"/>
        <v>0</v>
      </c>
      <c r="AL273" s="20" t="b">
        <f t="shared" si="62"/>
        <v>0</v>
      </c>
      <c r="AM273" s="20" t="b">
        <f t="shared" si="63"/>
        <v>0</v>
      </c>
      <c r="AN273" s="20" t="b">
        <f t="shared" si="64"/>
        <v>0</v>
      </c>
      <c r="AO273" s="20" t="b">
        <f t="shared" si="65"/>
        <v>0</v>
      </c>
      <c r="AP273" s="20" t="b">
        <f t="shared" si="66"/>
        <v>0</v>
      </c>
      <c r="AQ273" s="20" t="b">
        <f t="shared" si="67"/>
        <v>0</v>
      </c>
      <c r="AR273" s="20" t="b">
        <f t="shared" si="68"/>
        <v>0</v>
      </c>
      <c r="AS273" s="20" t="b">
        <f t="shared" si="69"/>
        <v>0</v>
      </c>
      <c r="AT273" s="20" t="b">
        <f t="shared" si="70"/>
        <v>0</v>
      </c>
      <c r="AU273" s="20" t="b">
        <f t="shared" si="71"/>
        <v>0</v>
      </c>
    </row>
    <row r="274" spans="1:47">
      <c r="A274" s="20">
        <f>IF(F274=F272,A272,A272+1)</f>
        <v>3</v>
      </c>
      <c r="B274" s="564" t="s">
        <v>249</v>
      </c>
      <c r="C274" s="564" t="s">
        <v>215</v>
      </c>
      <c r="D274" s="564" t="s">
        <v>250</v>
      </c>
      <c r="E274" s="564" t="s">
        <v>237</v>
      </c>
      <c r="F274" s="568">
        <v>42443</v>
      </c>
      <c r="G274" s="568">
        <v>42446</v>
      </c>
      <c r="H274" s="564"/>
      <c r="I274" s="568">
        <v>42447</v>
      </c>
      <c r="J274" s="564" t="s">
        <v>243</v>
      </c>
      <c r="K274" s="564"/>
      <c r="L274" s="569">
        <v>11453</v>
      </c>
      <c r="M274" s="569">
        <v>0</v>
      </c>
      <c r="N274" s="569">
        <v>12</v>
      </c>
      <c r="O274" s="570">
        <v>78543.3</v>
      </c>
      <c r="P274" s="564" t="s">
        <v>211</v>
      </c>
      <c r="Q274" s="564" t="s">
        <v>212</v>
      </c>
      <c r="R274" s="569">
        <v>78543.297399999996</v>
      </c>
      <c r="S274" s="569" t="b">
        <v>0</v>
      </c>
      <c r="T274" s="564" t="s">
        <v>227</v>
      </c>
      <c r="U274" s="564"/>
      <c r="V274" s="564"/>
      <c r="W274" s="54">
        <f t="shared" si="72"/>
        <v>0</v>
      </c>
      <c r="X274" s="54">
        <f t="shared" si="73"/>
        <v>11453</v>
      </c>
      <c r="AJ274" s="20" t="b">
        <f t="shared" si="60"/>
        <v>0</v>
      </c>
      <c r="AK274" s="20" t="b">
        <f t="shared" si="61"/>
        <v>0</v>
      </c>
      <c r="AL274" s="20" t="b">
        <f t="shared" si="62"/>
        <v>0</v>
      </c>
      <c r="AM274" s="20" t="b">
        <f t="shared" si="63"/>
        <v>0</v>
      </c>
      <c r="AN274" s="20" t="b">
        <f t="shared" si="64"/>
        <v>0</v>
      </c>
      <c r="AO274" s="20" t="b">
        <f t="shared" si="65"/>
        <v>0</v>
      </c>
      <c r="AP274" s="20" t="b">
        <f t="shared" si="66"/>
        <v>0</v>
      </c>
      <c r="AQ274" s="20" t="b">
        <f t="shared" si="67"/>
        <v>0</v>
      </c>
      <c r="AR274" s="20" t="b">
        <f t="shared" si="68"/>
        <v>0</v>
      </c>
      <c r="AS274" s="20" t="b">
        <f t="shared" si="69"/>
        <v>0</v>
      </c>
      <c r="AT274" s="20" t="b">
        <f t="shared" si="70"/>
        <v>0</v>
      </c>
      <c r="AU274" s="20" t="b">
        <f t="shared" si="71"/>
        <v>0</v>
      </c>
    </row>
    <row r="275" spans="1:47">
      <c r="A275" s="20">
        <f t="shared" si="74"/>
        <v>3</v>
      </c>
      <c r="B275" s="564" t="s">
        <v>282</v>
      </c>
      <c r="C275" s="564" t="s">
        <v>225</v>
      </c>
      <c r="D275" s="564" t="s">
        <v>280</v>
      </c>
      <c r="E275" s="564" t="s">
        <v>281</v>
      </c>
      <c r="F275" s="568">
        <v>42443</v>
      </c>
      <c r="G275" s="568">
        <v>42446</v>
      </c>
      <c r="H275" s="564"/>
      <c r="I275" s="568">
        <v>42447</v>
      </c>
      <c r="J275" s="564" t="s">
        <v>228</v>
      </c>
      <c r="K275" s="564"/>
      <c r="L275" s="569">
        <v>0</v>
      </c>
      <c r="M275" s="569">
        <v>0</v>
      </c>
      <c r="N275" s="569">
        <v>0</v>
      </c>
      <c r="O275" s="570">
        <v>0</v>
      </c>
      <c r="P275" s="564" t="s">
        <v>211</v>
      </c>
      <c r="Q275" s="564" t="s">
        <v>212</v>
      </c>
      <c r="R275" s="569">
        <v>15280.86</v>
      </c>
      <c r="S275" s="569" t="b">
        <v>0</v>
      </c>
      <c r="T275" s="564" t="s">
        <v>227</v>
      </c>
      <c r="U275" s="564"/>
      <c r="V275" s="564" t="s">
        <v>15</v>
      </c>
      <c r="W275" s="54">
        <f t="shared" si="72"/>
        <v>0</v>
      </c>
      <c r="X275" s="54">
        <f t="shared" si="73"/>
        <v>0</v>
      </c>
      <c r="AJ275" s="20" t="b">
        <f t="shared" si="60"/>
        <v>0</v>
      </c>
      <c r="AK275" s="20" t="b">
        <f t="shared" si="61"/>
        <v>0</v>
      </c>
      <c r="AL275" s="20" t="b">
        <f t="shared" si="62"/>
        <v>0</v>
      </c>
      <c r="AM275" s="20" t="b">
        <f t="shared" si="63"/>
        <v>0</v>
      </c>
      <c r="AN275" s="20" t="b">
        <f t="shared" si="64"/>
        <v>0</v>
      </c>
      <c r="AO275" s="20" t="b">
        <f t="shared" si="65"/>
        <v>0</v>
      </c>
      <c r="AP275" s="20" t="b">
        <f t="shared" si="66"/>
        <v>0</v>
      </c>
      <c r="AQ275" s="20" t="b">
        <f t="shared" si="67"/>
        <v>0</v>
      </c>
      <c r="AR275" s="20" t="b">
        <f t="shared" si="68"/>
        <v>0</v>
      </c>
      <c r="AS275" s="20" t="b">
        <f t="shared" si="69"/>
        <v>0</v>
      </c>
      <c r="AT275" s="20" t="b">
        <f t="shared" si="70"/>
        <v>0</v>
      </c>
      <c r="AU275" s="20" t="b">
        <f t="shared" si="71"/>
        <v>0</v>
      </c>
    </row>
    <row r="276" spans="1:47">
      <c r="A276" s="20">
        <f t="shared" si="74"/>
        <v>3</v>
      </c>
      <c r="B276" s="564" t="s">
        <v>272</v>
      </c>
      <c r="C276" s="564" t="s">
        <v>242</v>
      </c>
      <c r="D276" s="564" t="s">
        <v>338</v>
      </c>
      <c r="E276" s="564" t="s">
        <v>273</v>
      </c>
      <c r="F276" s="568">
        <v>42443</v>
      </c>
      <c r="G276" s="568">
        <v>42447</v>
      </c>
      <c r="H276" s="564"/>
      <c r="I276" s="568">
        <v>42450</v>
      </c>
      <c r="J276" s="564" t="s">
        <v>231</v>
      </c>
      <c r="K276" s="564"/>
      <c r="L276" s="569">
        <v>2303</v>
      </c>
      <c r="M276" s="569">
        <v>0</v>
      </c>
      <c r="N276" s="569">
        <v>5</v>
      </c>
      <c r="O276" s="570">
        <v>21493.89</v>
      </c>
      <c r="P276" s="564" t="s">
        <v>211</v>
      </c>
      <c r="Q276" s="564" t="s">
        <v>212</v>
      </c>
      <c r="R276" s="569">
        <v>37600.206899999997</v>
      </c>
      <c r="S276" s="569" t="b">
        <v>0</v>
      </c>
      <c r="T276" s="564" t="s">
        <v>227</v>
      </c>
      <c r="U276" s="564" t="s">
        <v>214</v>
      </c>
      <c r="V276" s="564"/>
      <c r="W276" s="54">
        <f t="shared" si="72"/>
        <v>0</v>
      </c>
      <c r="X276" s="54">
        <f t="shared" si="73"/>
        <v>2303</v>
      </c>
      <c r="AJ276" s="20" t="b">
        <f t="shared" si="60"/>
        <v>0</v>
      </c>
      <c r="AK276" s="20" t="b">
        <f t="shared" si="61"/>
        <v>0</v>
      </c>
      <c r="AL276" s="20" t="b">
        <f t="shared" si="62"/>
        <v>0</v>
      </c>
      <c r="AM276" s="20" t="b">
        <f t="shared" si="63"/>
        <v>0</v>
      </c>
      <c r="AN276" s="20" t="b">
        <f t="shared" si="64"/>
        <v>0</v>
      </c>
      <c r="AO276" s="20" t="b">
        <f t="shared" si="65"/>
        <v>0</v>
      </c>
      <c r="AP276" s="20" t="b">
        <f t="shared" si="66"/>
        <v>0</v>
      </c>
      <c r="AQ276" s="20" t="b">
        <f t="shared" si="67"/>
        <v>0</v>
      </c>
      <c r="AR276" s="20" t="b">
        <f t="shared" si="68"/>
        <v>0</v>
      </c>
      <c r="AS276" s="20" t="b">
        <f t="shared" si="69"/>
        <v>0</v>
      </c>
      <c r="AT276" s="20" t="b">
        <f t="shared" si="70"/>
        <v>0</v>
      </c>
      <c r="AU276" s="20" t="b">
        <f t="shared" si="71"/>
        <v>0</v>
      </c>
    </row>
    <row r="277" spans="1:47">
      <c r="A277" s="20">
        <f t="shared" si="74"/>
        <v>3</v>
      </c>
      <c r="B277" s="564" t="s">
        <v>257</v>
      </c>
      <c r="C277" s="564" t="s">
        <v>209</v>
      </c>
      <c r="D277" s="564" t="s">
        <v>258</v>
      </c>
      <c r="E277" s="564" t="s">
        <v>259</v>
      </c>
      <c r="F277" s="568">
        <v>42443</v>
      </c>
      <c r="G277" s="568">
        <v>42450</v>
      </c>
      <c r="H277" s="564"/>
      <c r="I277" s="568">
        <v>42451</v>
      </c>
      <c r="J277" s="564" t="s">
        <v>230</v>
      </c>
      <c r="K277" s="564"/>
      <c r="L277" s="569">
        <v>629</v>
      </c>
      <c r="M277" s="569">
        <v>0</v>
      </c>
      <c r="N277" s="569">
        <v>2</v>
      </c>
      <c r="O277" s="570">
        <v>6083.54</v>
      </c>
      <c r="P277" s="564" t="s">
        <v>211</v>
      </c>
      <c r="Q277" s="564" t="s">
        <v>212</v>
      </c>
      <c r="R277" s="569">
        <v>10516.6674</v>
      </c>
      <c r="S277" s="569" t="b">
        <v>1</v>
      </c>
      <c r="T277" s="564" t="s">
        <v>213</v>
      </c>
      <c r="U277" s="564"/>
      <c r="V277" s="564"/>
      <c r="W277" s="54">
        <f t="shared" si="72"/>
        <v>0</v>
      </c>
      <c r="X277" s="54">
        <f t="shared" si="73"/>
        <v>629</v>
      </c>
      <c r="AJ277" s="20" t="b">
        <f t="shared" si="60"/>
        <v>0</v>
      </c>
      <c r="AK277" s="20" t="b">
        <f t="shared" si="61"/>
        <v>0</v>
      </c>
      <c r="AL277" s="20" t="b">
        <f t="shared" si="62"/>
        <v>0</v>
      </c>
      <c r="AM277" s="20" t="b">
        <f t="shared" si="63"/>
        <v>0</v>
      </c>
      <c r="AN277" s="20" t="b">
        <f t="shared" si="64"/>
        <v>0</v>
      </c>
      <c r="AO277" s="20" t="b">
        <f t="shared" si="65"/>
        <v>0</v>
      </c>
      <c r="AP277" s="20" t="b">
        <f t="shared" si="66"/>
        <v>0</v>
      </c>
      <c r="AQ277" s="20" t="b">
        <f t="shared" si="67"/>
        <v>0</v>
      </c>
      <c r="AR277" s="20" t="b">
        <f t="shared" si="68"/>
        <v>0</v>
      </c>
      <c r="AS277" s="20" t="b">
        <f t="shared" si="69"/>
        <v>0</v>
      </c>
      <c r="AT277" s="20" t="b">
        <f t="shared" si="70"/>
        <v>0</v>
      </c>
      <c r="AU277" s="20" t="b">
        <f t="shared" si="71"/>
        <v>0</v>
      </c>
    </row>
    <row r="278" spans="1:47">
      <c r="A278" s="20">
        <f t="shared" si="74"/>
        <v>3</v>
      </c>
      <c r="B278" s="564" t="s">
        <v>260</v>
      </c>
      <c r="C278" s="564" t="s">
        <v>219</v>
      </c>
      <c r="D278" s="564" t="s">
        <v>261</v>
      </c>
      <c r="E278" s="564" t="s">
        <v>232</v>
      </c>
      <c r="F278" s="568">
        <v>42443</v>
      </c>
      <c r="G278" s="568">
        <v>42451</v>
      </c>
      <c r="H278" s="564"/>
      <c r="I278" s="568">
        <v>42452</v>
      </c>
      <c r="J278" s="564" t="s">
        <v>233</v>
      </c>
      <c r="K278" s="564"/>
      <c r="L278" s="569">
        <v>17286</v>
      </c>
      <c r="M278" s="569">
        <v>0</v>
      </c>
      <c r="N278" s="569">
        <v>17</v>
      </c>
      <c r="O278" s="570">
        <v>138779.04999999999</v>
      </c>
      <c r="P278" s="564" t="s">
        <v>211</v>
      </c>
      <c r="Q278" s="564" t="s">
        <v>212</v>
      </c>
      <c r="R278" s="569">
        <v>138779.04689999999</v>
      </c>
      <c r="S278" s="569" t="b">
        <v>0</v>
      </c>
      <c r="T278" s="564" t="s">
        <v>227</v>
      </c>
      <c r="U278" s="564" t="s">
        <v>214</v>
      </c>
      <c r="V278" s="564" t="s">
        <v>15</v>
      </c>
      <c r="W278" s="54">
        <f t="shared" si="72"/>
        <v>0</v>
      </c>
      <c r="X278" s="54">
        <f t="shared" si="73"/>
        <v>17286</v>
      </c>
      <c r="AJ278" s="20" t="b">
        <f t="shared" si="60"/>
        <v>0</v>
      </c>
      <c r="AK278" s="20" t="b">
        <f t="shared" si="61"/>
        <v>0</v>
      </c>
      <c r="AL278" s="20" t="b">
        <f t="shared" si="62"/>
        <v>0</v>
      </c>
      <c r="AM278" s="20" t="b">
        <f t="shared" si="63"/>
        <v>0</v>
      </c>
      <c r="AN278" s="20" t="b">
        <f t="shared" si="64"/>
        <v>0</v>
      </c>
      <c r="AO278" s="20" t="b">
        <f t="shared" si="65"/>
        <v>0</v>
      </c>
      <c r="AP278" s="20" t="b">
        <f t="shared" si="66"/>
        <v>0</v>
      </c>
      <c r="AQ278" s="20" t="b">
        <f t="shared" si="67"/>
        <v>0</v>
      </c>
      <c r="AR278" s="20" t="b">
        <f t="shared" si="68"/>
        <v>0</v>
      </c>
      <c r="AS278" s="20" t="b">
        <f t="shared" si="69"/>
        <v>0</v>
      </c>
      <c r="AT278" s="20" t="b">
        <f t="shared" si="70"/>
        <v>0</v>
      </c>
      <c r="AU278" s="20" t="b">
        <f t="shared" si="71"/>
        <v>0</v>
      </c>
    </row>
    <row r="279" spans="1:47">
      <c r="A279" s="20">
        <f t="shared" si="74"/>
        <v>4</v>
      </c>
      <c r="B279" s="564" t="s">
        <v>319</v>
      </c>
      <c r="C279" s="564" t="s">
        <v>220</v>
      </c>
      <c r="D279" s="564" t="s">
        <v>320</v>
      </c>
      <c r="E279" s="564" t="s">
        <v>321</v>
      </c>
      <c r="F279" s="568">
        <v>42450</v>
      </c>
      <c r="G279" s="568">
        <v>42453</v>
      </c>
      <c r="H279" s="564"/>
      <c r="I279" s="568">
        <v>42454</v>
      </c>
      <c r="J279" s="564" t="s">
        <v>243</v>
      </c>
      <c r="K279" s="564"/>
      <c r="L279" s="569">
        <v>17104</v>
      </c>
      <c r="M279" s="569">
        <v>0</v>
      </c>
      <c r="N279" s="569">
        <v>18</v>
      </c>
      <c r="O279" s="570">
        <v>127666.58</v>
      </c>
      <c r="P279" s="564" t="s">
        <v>211</v>
      </c>
      <c r="Q279" s="564" t="s">
        <v>212</v>
      </c>
      <c r="R279" s="569">
        <v>127666.6205</v>
      </c>
      <c r="S279" s="569" t="b">
        <v>0</v>
      </c>
      <c r="T279" s="564" t="s">
        <v>227</v>
      </c>
      <c r="U279" s="564" t="s">
        <v>214</v>
      </c>
      <c r="V279" s="564"/>
      <c r="W279" s="54">
        <f t="shared" si="72"/>
        <v>0</v>
      </c>
      <c r="X279" s="54">
        <f t="shared" si="73"/>
        <v>17104</v>
      </c>
      <c r="AJ279" s="20" t="b">
        <f t="shared" si="60"/>
        <v>0</v>
      </c>
      <c r="AK279" s="20" t="b">
        <f t="shared" si="61"/>
        <v>0</v>
      </c>
      <c r="AL279" s="20" t="b">
        <f t="shared" si="62"/>
        <v>0</v>
      </c>
      <c r="AM279" s="20" t="b">
        <f t="shared" si="63"/>
        <v>0</v>
      </c>
      <c r="AN279" s="20" t="b">
        <f t="shared" si="64"/>
        <v>0</v>
      </c>
      <c r="AO279" s="20" t="b">
        <f t="shared" si="65"/>
        <v>0</v>
      </c>
      <c r="AP279" s="20" t="b">
        <f t="shared" si="66"/>
        <v>0</v>
      </c>
      <c r="AQ279" s="20" t="b">
        <f t="shared" si="67"/>
        <v>0</v>
      </c>
      <c r="AR279" s="20" t="b">
        <f t="shared" si="68"/>
        <v>0</v>
      </c>
      <c r="AS279" s="20" t="b">
        <f t="shared" si="69"/>
        <v>0</v>
      </c>
      <c r="AT279" s="20" t="b">
        <f t="shared" si="70"/>
        <v>0</v>
      </c>
      <c r="AU279" s="20" t="b">
        <f t="shared" si="71"/>
        <v>0</v>
      </c>
    </row>
    <row r="280" spans="1:47" ht="30">
      <c r="B280" s="564" t="s">
        <v>266</v>
      </c>
      <c r="C280" s="564" t="s">
        <v>225</v>
      </c>
      <c r="D280" s="564" t="s">
        <v>267</v>
      </c>
      <c r="E280" s="564" t="s">
        <v>268</v>
      </c>
      <c r="F280" s="568">
        <v>42450</v>
      </c>
      <c r="G280" s="568">
        <v>42453</v>
      </c>
      <c r="H280" s="564"/>
      <c r="I280" s="568">
        <v>42454</v>
      </c>
      <c r="J280" s="564" t="s">
        <v>234</v>
      </c>
      <c r="K280" s="564"/>
      <c r="L280" s="569">
        <v>4927</v>
      </c>
      <c r="M280" s="569">
        <v>0</v>
      </c>
      <c r="N280" s="569">
        <v>1</v>
      </c>
      <c r="O280" s="570">
        <v>42047.21</v>
      </c>
      <c r="P280" s="564" t="s">
        <v>211</v>
      </c>
      <c r="Q280" s="564" t="s">
        <v>212</v>
      </c>
      <c r="R280" s="569">
        <v>61965.3802</v>
      </c>
      <c r="S280" s="569" t="b">
        <v>0</v>
      </c>
      <c r="T280" s="564" t="s">
        <v>227</v>
      </c>
      <c r="U280" s="564"/>
      <c r="V280" s="564"/>
      <c r="W280" s="54">
        <f t="shared" si="72"/>
        <v>0</v>
      </c>
      <c r="X280" s="54">
        <f t="shared" si="73"/>
        <v>4927</v>
      </c>
      <c r="AJ280" s="20" t="b">
        <f t="shared" si="60"/>
        <v>0</v>
      </c>
      <c r="AK280" s="20" t="b">
        <f t="shared" si="61"/>
        <v>0</v>
      </c>
      <c r="AL280" s="20" t="b">
        <f t="shared" si="62"/>
        <v>0</v>
      </c>
      <c r="AM280" s="20" t="b">
        <f t="shared" si="63"/>
        <v>0</v>
      </c>
      <c r="AN280" s="20" t="b">
        <f t="shared" si="64"/>
        <v>0</v>
      </c>
      <c r="AO280" s="20" t="b">
        <f t="shared" si="65"/>
        <v>0</v>
      </c>
      <c r="AP280" s="20" t="b">
        <f t="shared" si="66"/>
        <v>0</v>
      </c>
      <c r="AQ280" s="20" t="b">
        <f t="shared" si="67"/>
        <v>0</v>
      </c>
      <c r="AR280" s="20" t="b">
        <f t="shared" si="68"/>
        <v>0</v>
      </c>
      <c r="AS280" s="20" t="b">
        <f t="shared" si="69"/>
        <v>0</v>
      </c>
      <c r="AT280" s="20" t="b">
        <f t="shared" si="70"/>
        <v>0</v>
      </c>
      <c r="AU280" s="20" t="b">
        <f t="shared" si="71"/>
        <v>0</v>
      </c>
    </row>
    <row r="281" spans="1:47" ht="30">
      <c r="A281" s="20">
        <f>IF(F281=F279,A279,A279+1)</f>
        <v>4</v>
      </c>
      <c r="B281" s="564" t="s">
        <v>274</v>
      </c>
      <c r="C281" s="564" t="s">
        <v>225</v>
      </c>
      <c r="D281" s="564" t="s">
        <v>263</v>
      </c>
      <c r="E281" s="564" t="s">
        <v>264</v>
      </c>
      <c r="F281" s="568">
        <v>42450</v>
      </c>
      <c r="G281" s="568">
        <v>42453</v>
      </c>
      <c r="H281" s="564"/>
      <c r="I281" s="568">
        <v>42454</v>
      </c>
      <c r="J281" s="564" t="s">
        <v>265</v>
      </c>
      <c r="K281" s="564"/>
      <c r="L281" s="569">
        <v>358</v>
      </c>
      <c r="M281" s="569">
        <v>0</v>
      </c>
      <c r="N281" s="569">
        <v>1</v>
      </c>
      <c r="O281" s="570">
        <v>2541.0100000000002</v>
      </c>
      <c r="P281" s="564" t="s">
        <v>211</v>
      </c>
      <c r="Q281" s="564" t="s">
        <v>212</v>
      </c>
      <c r="R281" s="569">
        <v>3095.3020000000001</v>
      </c>
      <c r="S281" s="569" t="b">
        <v>0</v>
      </c>
      <c r="T281" s="564" t="s">
        <v>227</v>
      </c>
      <c r="U281" s="564"/>
      <c r="V281" s="564" t="s">
        <v>15</v>
      </c>
      <c r="W281" s="54">
        <f t="shared" si="72"/>
        <v>0</v>
      </c>
      <c r="X281" s="54">
        <f t="shared" si="73"/>
        <v>358</v>
      </c>
      <c r="AJ281" s="20" t="b">
        <f t="shared" si="60"/>
        <v>0</v>
      </c>
      <c r="AK281" s="20" t="b">
        <f t="shared" si="61"/>
        <v>0</v>
      </c>
      <c r="AL281" s="20" t="b">
        <f t="shared" si="62"/>
        <v>0</v>
      </c>
      <c r="AM281" s="20" t="b">
        <f t="shared" si="63"/>
        <v>0</v>
      </c>
      <c r="AN281" s="20" t="b">
        <f t="shared" si="64"/>
        <v>0</v>
      </c>
      <c r="AO281" s="20" t="b">
        <f t="shared" si="65"/>
        <v>0</v>
      </c>
      <c r="AP281" s="20" t="b">
        <f t="shared" si="66"/>
        <v>0</v>
      </c>
      <c r="AQ281" s="20" t="b">
        <f t="shared" si="67"/>
        <v>0</v>
      </c>
      <c r="AR281" s="20" t="b">
        <f t="shared" si="68"/>
        <v>0</v>
      </c>
      <c r="AS281" s="20" t="b">
        <f t="shared" si="69"/>
        <v>0</v>
      </c>
      <c r="AT281" s="20" t="b">
        <f t="shared" si="70"/>
        <v>0</v>
      </c>
      <c r="AU281" s="20" t="b">
        <f t="shared" si="71"/>
        <v>0</v>
      </c>
    </row>
    <row r="282" spans="1:47">
      <c r="A282" s="20">
        <f t="shared" si="74"/>
        <v>4</v>
      </c>
      <c r="B282" s="564" t="s">
        <v>277</v>
      </c>
      <c r="C282" s="564" t="s">
        <v>226</v>
      </c>
      <c r="D282" s="564" t="s">
        <v>244</v>
      </c>
      <c r="E282" s="564"/>
      <c r="F282" s="568">
        <v>42450</v>
      </c>
      <c r="G282" s="568">
        <v>42453</v>
      </c>
      <c r="H282" s="564"/>
      <c r="I282" s="568">
        <v>42454</v>
      </c>
      <c r="J282" s="564" t="s">
        <v>230</v>
      </c>
      <c r="K282" s="564"/>
      <c r="L282" s="569">
        <v>1743</v>
      </c>
      <c r="M282" s="569">
        <v>0</v>
      </c>
      <c r="N282" s="569">
        <v>1</v>
      </c>
      <c r="O282" s="570">
        <v>13125.79</v>
      </c>
      <c r="P282" s="564" t="s">
        <v>211</v>
      </c>
      <c r="Q282" s="564" t="s">
        <v>212</v>
      </c>
      <c r="R282" s="569">
        <v>18404.125400000001</v>
      </c>
      <c r="S282" s="569" t="b">
        <v>0</v>
      </c>
      <c r="T282" s="564" t="s">
        <v>227</v>
      </c>
      <c r="U282" s="564"/>
      <c r="V282" s="564"/>
      <c r="W282" s="54">
        <f t="shared" si="72"/>
        <v>0</v>
      </c>
      <c r="X282" s="54">
        <f t="shared" si="73"/>
        <v>1743</v>
      </c>
      <c r="AJ282" s="20" t="b">
        <f t="shared" si="60"/>
        <v>0</v>
      </c>
      <c r="AK282" s="20" t="b">
        <f t="shared" si="61"/>
        <v>0</v>
      </c>
      <c r="AL282" s="20" t="b">
        <f t="shared" si="62"/>
        <v>0</v>
      </c>
      <c r="AM282" s="20" t="b">
        <f t="shared" si="63"/>
        <v>0</v>
      </c>
      <c r="AN282" s="20" t="b">
        <f t="shared" si="64"/>
        <v>0</v>
      </c>
      <c r="AO282" s="20" t="b">
        <f t="shared" si="65"/>
        <v>0</v>
      </c>
      <c r="AP282" s="20" t="b">
        <f t="shared" si="66"/>
        <v>0</v>
      </c>
      <c r="AQ282" s="20" t="b">
        <f t="shared" si="67"/>
        <v>0</v>
      </c>
      <c r="AR282" s="20" t="b">
        <f t="shared" si="68"/>
        <v>0</v>
      </c>
      <c r="AS282" s="20" t="b">
        <f t="shared" si="69"/>
        <v>0</v>
      </c>
      <c r="AT282" s="20" t="b">
        <f t="shared" si="70"/>
        <v>0</v>
      </c>
      <c r="AU282" s="20" t="b">
        <f t="shared" si="71"/>
        <v>0</v>
      </c>
    </row>
    <row r="283" spans="1:47">
      <c r="A283" s="20">
        <f t="shared" si="74"/>
        <v>4</v>
      </c>
      <c r="B283" s="564" t="s">
        <v>278</v>
      </c>
      <c r="C283" s="564" t="s">
        <v>226</v>
      </c>
      <c r="D283" s="564" t="s">
        <v>244</v>
      </c>
      <c r="E283" s="564"/>
      <c r="F283" s="568">
        <v>42450</v>
      </c>
      <c r="G283" s="568">
        <v>42453</v>
      </c>
      <c r="H283" s="564"/>
      <c r="I283" s="568">
        <v>42454</v>
      </c>
      <c r="J283" s="564" t="s">
        <v>230</v>
      </c>
      <c r="K283" s="564"/>
      <c r="L283" s="569">
        <v>458</v>
      </c>
      <c r="M283" s="569">
        <v>0</v>
      </c>
      <c r="N283" s="569">
        <v>1</v>
      </c>
      <c r="O283" s="570">
        <v>3668.36</v>
      </c>
      <c r="P283" s="564" t="s">
        <v>211</v>
      </c>
      <c r="Q283" s="564" t="s">
        <v>212</v>
      </c>
      <c r="R283" s="569">
        <v>3735.5855999999999</v>
      </c>
      <c r="S283" s="569" t="b">
        <v>0</v>
      </c>
      <c r="T283" s="564" t="s">
        <v>227</v>
      </c>
      <c r="U283" s="564"/>
      <c r="V283" s="564"/>
      <c r="W283" s="54">
        <f t="shared" si="72"/>
        <v>0</v>
      </c>
      <c r="X283" s="54">
        <f t="shared" si="73"/>
        <v>458</v>
      </c>
      <c r="AJ283" s="20" t="b">
        <f t="shared" si="60"/>
        <v>0</v>
      </c>
      <c r="AK283" s="20" t="b">
        <f t="shared" si="61"/>
        <v>0</v>
      </c>
      <c r="AL283" s="20" t="b">
        <f t="shared" si="62"/>
        <v>0</v>
      </c>
      <c r="AM283" s="20" t="b">
        <f t="shared" si="63"/>
        <v>0</v>
      </c>
      <c r="AN283" s="20" t="b">
        <f t="shared" si="64"/>
        <v>0</v>
      </c>
      <c r="AO283" s="20" t="b">
        <f t="shared" si="65"/>
        <v>0</v>
      </c>
      <c r="AP283" s="20" t="b">
        <f t="shared" si="66"/>
        <v>0</v>
      </c>
      <c r="AQ283" s="20" t="b">
        <f t="shared" si="67"/>
        <v>0</v>
      </c>
      <c r="AR283" s="20" t="b">
        <f t="shared" si="68"/>
        <v>0</v>
      </c>
      <c r="AS283" s="20" t="b">
        <f t="shared" si="69"/>
        <v>0</v>
      </c>
      <c r="AT283" s="20" t="b">
        <f t="shared" si="70"/>
        <v>0</v>
      </c>
      <c r="AU283" s="20" t="b">
        <f t="shared" si="71"/>
        <v>0</v>
      </c>
    </row>
    <row r="284" spans="1:47">
      <c r="A284" s="20">
        <f t="shared" si="74"/>
        <v>4</v>
      </c>
      <c r="B284" s="564" t="s">
        <v>269</v>
      </c>
      <c r="C284" s="564" t="s">
        <v>236</v>
      </c>
      <c r="D284" s="564" t="s">
        <v>270</v>
      </c>
      <c r="E284" s="564" t="s">
        <v>271</v>
      </c>
      <c r="F284" s="568">
        <v>42450</v>
      </c>
      <c r="G284" s="568">
        <v>42453</v>
      </c>
      <c r="H284" s="564"/>
      <c r="I284" s="568">
        <v>42454</v>
      </c>
      <c r="J284" s="564" t="s">
        <v>228</v>
      </c>
      <c r="K284" s="564"/>
      <c r="L284" s="569">
        <v>7485</v>
      </c>
      <c r="M284" s="569">
        <v>0</v>
      </c>
      <c r="N284" s="569">
        <v>5</v>
      </c>
      <c r="O284" s="570">
        <v>50366.64</v>
      </c>
      <c r="P284" s="564" t="s">
        <v>211</v>
      </c>
      <c r="Q284" s="564" t="s">
        <v>212</v>
      </c>
      <c r="R284" s="569">
        <v>91845.470199999996</v>
      </c>
      <c r="S284" s="569" t="b">
        <v>0</v>
      </c>
      <c r="T284" s="564" t="s">
        <v>227</v>
      </c>
      <c r="U284" s="564"/>
      <c r="V284" s="564" t="s">
        <v>15</v>
      </c>
      <c r="W284" s="54">
        <f t="shared" si="72"/>
        <v>0</v>
      </c>
      <c r="X284" s="54">
        <f t="shared" si="73"/>
        <v>7485</v>
      </c>
      <c r="AJ284" s="20" t="b">
        <f t="shared" si="60"/>
        <v>0</v>
      </c>
      <c r="AK284" s="20" t="b">
        <f t="shared" si="61"/>
        <v>0</v>
      </c>
      <c r="AL284" s="20" t="b">
        <f t="shared" si="62"/>
        <v>0</v>
      </c>
      <c r="AM284" s="20" t="b">
        <f t="shared" si="63"/>
        <v>0</v>
      </c>
      <c r="AN284" s="20" t="b">
        <f t="shared" si="64"/>
        <v>0</v>
      </c>
      <c r="AO284" s="20" t="b">
        <f t="shared" si="65"/>
        <v>0</v>
      </c>
      <c r="AP284" s="20" t="b">
        <f t="shared" si="66"/>
        <v>0</v>
      </c>
      <c r="AQ284" s="20" t="b">
        <f t="shared" si="67"/>
        <v>0</v>
      </c>
      <c r="AR284" s="20" t="b">
        <f t="shared" si="68"/>
        <v>0</v>
      </c>
      <c r="AS284" s="20" t="b">
        <f t="shared" si="69"/>
        <v>0</v>
      </c>
      <c r="AT284" s="20" t="b">
        <f t="shared" si="70"/>
        <v>0</v>
      </c>
      <c r="AU284" s="20" t="b">
        <f t="shared" si="71"/>
        <v>0</v>
      </c>
    </row>
    <row r="285" spans="1:47">
      <c r="A285" s="20">
        <f t="shared" si="74"/>
        <v>4</v>
      </c>
      <c r="B285" s="564" t="s">
        <v>262</v>
      </c>
      <c r="C285" s="564" t="s">
        <v>225</v>
      </c>
      <c r="D285" s="564" t="s">
        <v>263</v>
      </c>
      <c r="E285" s="564" t="s">
        <v>264</v>
      </c>
      <c r="F285" s="568">
        <v>42450</v>
      </c>
      <c r="G285" s="568">
        <v>42453</v>
      </c>
      <c r="H285" s="564"/>
      <c r="I285" s="568">
        <v>42454</v>
      </c>
      <c r="J285" s="564" t="s">
        <v>265</v>
      </c>
      <c r="K285" s="564"/>
      <c r="L285" s="569">
        <v>4368</v>
      </c>
      <c r="M285" s="569">
        <v>0</v>
      </c>
      <c r="N285" s="569">
        <v>0</v>
      </c>
      <c r="O285" s="570">
        <v>23908.43</v>
      </c>
      <c r="P285" s="564" t="s">
        <v>211</v>
      </c>
      <c r="Q285" s="564" t="s">
        <v>212</v>
      </c>
      <c r="R285" s="569">
        <v>50658.779499999997</v>
      </c>
      <c r="S285" s="569" t="b">
        <v>0</v>
      </c>
      <c r="T285" s="564" t="s">
        <v>227</v>
      </c>
      <c r="U285" s="564"/>
      <c r="V285" s="564" t="s">
        <v>15</v>
      </c>
      <c r="W285" s="54">
        <f t="shared" si="72"/>
        <v>0</v>
      </c>
      <c r="X285" s="54">
        <f t="shared" si="73"/>
        <v>4368</v>
      </c>
      <c r="AJ285" s="20" t="b">
        <f t="shared" si="60"/>
        <v>0</v>
      </c>
      <c r="AK285" s="20" t="b">
        <f t="shared" si="61"/>
        <v>0</v>
      </c>
      <c r="AL285" s="20" t="b">
        <f t="shared" si="62"/>
        <v>0</v>
      </c>
      <c r="AM285" s="20" t="b">
        <f t="shared" si="63"/>
        <v>0</v>
      </c>
      <c r="AN285" s="20" t="b">
        <f t="shared" si="64"/>
        <v>0</v>
      </c>
      <c r="AO285" s="20" t="b">
        <f t="shared" si="65"/>
        <v>0</v>
      </c>
      <c r="AP285" s="20" t="b">
        <f t="shared" si="66"/>
        <v>0</v>
      </c>
      <c r="AQ285" s="20" t="b">
        <f t="shared" si="67"/>
        <v>0</v>
      </c>
      <c r="AR285" s="20" t="b">
        <f t="shared" si="68"/>
        <v>0</v>
      </c>
      <c r="AS285" s="20" t="b">
        <f t="shared" si="69"/>
        <v>0</v>
      </c>
      <c r="AT285" s="20" t="b">
        <f t="shared" si="70"/>
        <v>0</v>
      </c>
      <c r="AU285" s="20" t="b">
        <f t="shared" si="71"/>
        <v>0</v>
      </c>
    </row>
    <row r="286" spans="1:47">
      <c r="A286" s="20">
        <f t="shared" si="74"/>
        <v>4</v>
      </c>
      <c r="B286" s="564" t="s">
        <v>315</v>
      </c>
      <c r="C286" s="564" t="s">
        <v>225</v>
      </c>
      <c r="D286" s="564" t="s">
        <v>280</v>
      </c>
      <c r="E286" s="564" t="s">
        <v>281</v>
      </c>
      <c r="F286" s="568">
        <v>42450</v>
      </c>
      <c r="G286" s="568">
        <v>42453</v>
      </c>
      <c r="H286" s="564"/>
      <c r="I286" s="568">
        <v>42454</v>
      </c>
      <c r="J286" s="564" t="s">
        <v>228</v>
      </c>
      <c r="K286" s="564"/>
      <c r="L286" s="569">
        <v>0</v>
      </c>
      <c r="M286" s="569">
        <v>0</v>
      </c>
      <c r="N286" s="569">
        <v>0</v>
      </c>
      <c r="O286" s="570">
        <v>8502.82</v>
      </c>
      <c r="P286" s="564" t="s">
        <v>211</v>
      </c>
      <c r="Q286" s="564" t="s">
        <v>212</v>
      </c>
      <c r="R286" s="569">
        <v>10808.419</v>
      </c>
      <c r="S286" s="569" t="b">
        <v>0</v>
      </c>
      <c r="T286" s="564" t="s">
        <v>227</v>
      </c>
      <c r="U286" s="564"/>
      <c r="V286" s="564" t="s">
        <v>15</v>
      </c>
      <c r="W286" s="54">
        <f t="shared" si="72"/>
        <v>0</v>
      </c>
      <c r="X286" s="54">
        <f t="shared" si="73"/>
        <v>0</v>
      </c>
      <c r="AJ286" s="20" t="b">
        <f t="shared" si="60"/>
        <v>0</v>
      </c>
      <c r="AK286" s="20" t="b">
        <f t="shared" si="61"/>
        <v>0</v>
      </c>
      <c r="AL286" s="20" t="b">
        <f t="shared" si="62"/>
        <v>0</v>
      </c>
      <c r="AM286" s="20" t="b">
        <f t="shared" si="63"/>
        <v>0</v>
      </c>
      <c r="AN286" s="20" t="b">
        <f t="shared" si="64"/>
        <v>0</v>
      </c>
      <c r="AO286" s="20" t="b">
        <f t="shared" si="65"/>
        <v>0</v>
      </c>
      <c r="AP286" s="20" t="b">
        <f t="shared" si="66"/>
        <v>0</v>
      </c>
      <c r="AQ286" s="20" t="b">
        <f t="shared" si="67"/>
        <v>0</v>
      </c>
      <c r="AR286" s="20" t="b">
        <f t="shared" si="68"/>
        <v>0</v>
      </c>
      <c r="AS286" s="20" t="b">
        <f t="shared" si="69"/>
        <v>0</v>
      </c>
      <c r="AT286" s="20" t="b">
        <f t="shared" si="70"/>
        <v>0</v>
      </c>
      <c r="AU286" s="20" t="b">
        <f t="shared" si="71"/>
        <v>0</v>
      </c>
    </row>
    <row r="287" spans="1:47">
      <c r="A287" s="20">
        <f t="shared" si="74"/>
        <v>4</v>
      </c>
      <c r="B287" s="564" t="s">
        <v>316</v>
      </c>
      <c r="C287" s="564" t="s">
        <v>241</v>
      </c>
      <c r="D287" s="564" t="s">
        <v>317</v>
      </c>
      <c r="E287" s="564" t="s">
        <v>318</v>
      </c>
      <c r="F287" s="568">
        <v>42450</v>
      </c>
      <c r="G287" s="568">
        <v>42453</v>
      </c>
      <c r="H287" s="564"/>
      <c r="I287" s="568">
        <v>42454</v>
      </c>
      <c r="J287" s="564" t="s">
        <v>233</v>
      </c>
      <c r="K287" s="564"/>
      <c r="L287" s="569">
        <v>2320</v>
      </c>
      <c r="M287" s="569">
        <v>0</v>
      </c>
      <c r="N287" s="569">
        <v>4</v>
      </c>
      <c r="O287" s="570">
        <v>46965.89</v>
      </c>
      <c r="P287" s="564" t="s">
        <v>211</v>
      </c>
      <c r="Q287" s="564" t="s">
        <v>212</v>
      </c>
      <c r="R287" s="569">
        <v>49599.071499999998</v>
      </c>
      <c r="S287" s="569" t="b">
        <v>0</v>
      </c>
      <c r="T287" s="564" t="s">
        <v>227</v>
      </c>
      <c r="U287" s="564"/>
      <c r="V287" s="564"/>
      <c r="W287" s="54">
        <f t="shared" si="72"/>
        <v>0</v>
      </c>
      <c r="X287" s="54">
        <f t="shared" si="73"/>
        <v>2320</v>
      </c>
      <c r="AJ287" s="20" t="b">
        <f t="shared" si="60"/>
        <v>0</v>
      </c>
      <c r="AK287" s="20" t="b">
        <f t="shared" si="61"/>
        <v>0</v>
      </c>
      <c r="AL287" s="20" t="b">
        <f t="shared" si="62"/>
        <v>0</v>
      </c>
      <c r="AM287" s="20" t="b">
        <f t="shared" si="63"/>
        <v>0</v>
      </c>
      <c r="AN287" s="20" t="b">
        <f t="shared" si="64"/>
        <v>0</v>
      </c>
      <c r="AO287" s="20" t="b">
        <f t="shared" si="65"/>
        <v>0</v>
      </c>
      <c r="AP287" s="20" t="b">
        <f t="shared" si="66"/>
        <v>0</v>
      </c>
      <c r="AQ287" s="20" t="b">
        <f t="shared" si="67"/>
        <v>0</v>
      </c>
      <c r="AR287" s="20" t="b">
        <f t="shared" si="68"/>
        <v>0</v>
      </c>
      <c r="AS287" s="20" t="b">
        <f t="shared" si="69"/>
        <v>0</v>
      </c>
      <c r="AT287" s="20" t="b">
        <f t="shared" si="70"/>
        <v>0</v>
      </c>
      <c r="AU287" s="20" t="b">
        <f t="shared" si="71"/>
        <v>0</v>
      </c>
    </row>
    <row r="288" spans="1:47">
      <c r="A288" s="20">
        <f t="shared" si="74"/>
        <v>4</v>
      </c>
      <c r="B288" s="564" t="s">
        <v>275</v>
      </c>
      <c r="C288" s="564" t="s">
        <v>236</v>
      </c>
      <c r="D288" s="564" t="s">
        <v>276</v>
      </c>
      <c r="E288" s="564" t="s">
        <v>217</v>
      </c>
      <c r="F288" s="568">
        <v>42450</v>
      </c>
      <c r="G288" s="568">
        <v>42453</v>
      </c>
      <c r="H288" s="564"/>
      <c r="I288" s="568">
        <v>42454</v>
      </c>
      <c r="J288" s="564" t="s">
        <v>228</v>
      </c>
      <c r="K288" s="564"/>
      <c r="L288" s="569">
        <v>1961</v>
      </c>
      <c r="M288" s="569">
        <v>0</v>
      </c>
      <c r="N288" s="569">
        <v>0</v>
      </c>
      <c r="O288" s="570">
        <v>16374.65</v>
      </c>
      <c r="P288" s="564" t="s">
        <v>211</v>
      </c>
      <c r="Q288" s="564" t="s">
        <v>212</v>
      </c>
      <c r="R288" s="569">
        <v>33073.183799999999</v>
      </c>
      <c r="S288" s="569" t="b">
        <v>0</v>
      </c>
      <c r="T288" s="564" t="s">
        <v>227</v>
      </c>
      <c r="U288" s="564"/>
      <c r="V288" s="564" t="s">
        <v>15</v>
      </c>
      <c r="W288" s="54">
        <f t="shared" si="72"/>
        <v>0</v>
      </c>
      <c r="X288" s="54">
        <f t="shared" si="73"/>
        <v>1961</v>
      </c>
      <c r="AJ288" s="20" t="b">
        <f t="shared" si="60"/>
        <v>0</v>
      </c>
      <c r="AK288" s="20" t="b">
        <f t="shared" si="61"/>
        <v>0</v>
      </c>
      <c r="AL288" s="20" t="b">
        <f t="shared" si="62"/>
        <v>0</v>
      </c>
      <c r="AM288" s="20" t="b">
        <f t="shared" si="63"/>
        <v>0</v>
      </c>
      <c r="AN288" s="20" t="b">
        <f t="shared" si="64"/>
        <v>0</v>
      </c>
      <c r="AO288" s="20" t="b">
        <f t="shared" si="65"/>
        <v>0</v>
      </c>
      <c r="AP288" s="20" t="b">
        <f t="shared" si="66"/>
        <v>0</v>
      </c>
      <c r="AQ288" s="20" t="b">
        <f t="shared" si="67"/>
        <v>0</v>
      </c>
      <c r="AR288" s="20" t="b">
        <f t="shared" si="68"/>
        <v>0</v>
      </c>
      <c r="AS288" s="20" t="b">
        <f t="shared" si="69"/>
        <v>0</v>
      </c>
      <c r="AT288" s="20" t="b">
        <f t="shared" si="70"/>
        <v>0</v>
      </c>
      <c r="AU288" s="20" t="b">
        <f t="shared" si="71"/>
        <v>0</v>
      </c>
    </row>
    <row r="289" spans="1:47">
      <c r="A289" s="20">
        <f t="shared" si="74"/>
        <v>4</v>
      </c>
      <c r="B289" s="564" t="s">
        <v>312</v>
      </c>
      <c r="C289" s="564" t="s">
        <v>220</v>
      </c>
      <c r="D289" s="564" t="s">
        <v>313</v>
      </c>
      <c r="E289" s="564" t="s">
        <v>314</v>
      </c>
      <c r="F289" s="568">
        <v>42450</v>
      </c>
      <c r="G289" s="568">
        <v>42453</v>
      </c>
      <c r="H289" s="564"/>
      <c r="I289" s="568">
        <v>42454</v>
      </c>
      <c r="J289" s="564" t="s">
        <v>243</v>
      </c>
      <c r="K289" s="564"/>
      <c r="L289" s="569">
        <v>14703</v>
      </c>
      <c r="M289" s="569">
        <v>0</v>
      </c>
      <c r="N289" s="569">
        <v>16</v>
      </c>
      <c r="O289" s="570">
        <v>108006.32</v>
      </c>
      <c r="P289" s="564" t="s">
        <v>211</v>
      </c>
      <c r="Q289" s="564" t="s">
        <v>212</v>
      </c>
      <c r="R289" s="569">
        <v>108006.3207</v>
      </c>
      <c r="S289" s="569" t="b">
        <v>0</v>
      </c>
      <c r="T289" s="564" t="s">
        <v>227</v>
      </c>
      <c r="U289" s="564"/>
      <c r="V289" s="564" t="s">
        <v>15</v>
      </c>
      <c r="W289" s="54">
        <f t="shared" si="72"/>
        <v>0</v>
      </c>
      <c r="X289" s="54">
        <f t="shared" si="73"/>
        <v>14703</v>
      </c>
      <c r="AJ289" s="20" t="b">
        <f t="shared" si="60"/>
        <v>0</v>
      </c>
      <c r="AK289" s="20" t="b">
        <f t="shared" si="61"/>
        <v>0</v>
      </c>
      <c r="AL289" s="20" t="b">
        <f t="shared" si="62"/>
        <v>0</v>
      </c>
      <c r="AM289" s="20" t="b">
        <f t="shared" si="63"/>
        <v>0</v>
      </c>
      <c r="AN289" s="20" t="b">
        <f t="shared" si="64"/>
        <v>0</v>
      </c>
      <c r="AO289" s="20" t="b">
        <f t="shared" si="65"/>
        <v>0</v>
      </c>
      <c r="AP289" s="20" t="b">
        <f t="shared" si="66"/>
        <v>0</v>
      </c>
      <c r="AQ289" s="20" t="b">
        <f t="shared" si="67"/>
        <v>0</v>
      </c>
      <c r="AR289" s="20" t="b">
        <f t="shared" si="68"/>
        <v>0</v>
      </c>
      <c r="AS289" s="20" t="b">
        <f t="shared" si="69"/>
        <v>0</v>
      </c>
      <c r="AT289" s="20" t="b">
        <f t="shared" si="70"/>
        <v>0</v>
      </c>
      <c r="AU289" s="20" t="b">
        <f t="shared" si="71"/>
        <v>0</v>
      </c>
    </row>
    <row r="290" spans="1:47">
      <c r="A290" s="20">
        <f t="shared" si="74"/>
        <v>4</v>
      </c>
      <c r="B290" s="564" t="s">
        <v>283</v>
      </c>
      <c r="C290" s="564" t="s">
        <v>223</v>
      </c>
      <c r="D290" s="564" t="s">
        <v>284</v>
      </c>
      <c r="E290" s="564" t="s">
        <v>217</v>
      </c>
      <c r="F290" s="568">
        <v>42450</v>
      </c>
      <c r="G290" s="568">
        <v>42458</v>
      </c>
      <c r="H290" s="564"/>
      <c r="I290" s="568">
        <v>42459</v>
      </c>
      <c r="J290" s="564" t="s">
        <v>243</v>
      </c>
      <c r="K290" s="564"/>
      <c r="L290" s="569">
        <v>1678</v>
      </c>
      <c r="M290" s="569">
        <v>0</v>
      </c>
      <c r="N290" s="569">
        <v>2</v>
      </c>
      <c r="O290" s="570">
        <v>13295.06</v>
      </c>
      <c r="P290" s="564" t="s">
        <v>211</v>
      </c>
      <c r="Q290" s="564" t="s">
        <v>212</v>
      </c>
      <c r="R290" s="569">
        <v>13295.0569</v>
      </c>
      <c r="S290" s="569" t="b">
        <v>0</v>
      </c>
      <c r="T290" s="564" t="s">
        <v>227</v>
      </c>
      <c r="U290" s="564"/>
      <c r="V290" s="564"/>
      <c r="W290" s="54">
        <f t="shared" si="72"/>
        <v>0</v>
      </c>
      <c r="X290" s="54">
        <f t="shared" si="73"/>
        <v>1678</v>
      </c>
      <c r="AJ290" s="20" t="b">
        <f t="shared" si="60"/>
        <v>0</v>
      </c>
      <c r="AK290" s="20" t="b">
        <f t="shared" si="61"/>
        <v>0</v>
      </c>
      <c r="AL290" s="20" t="b">
        <f t="shared" si="62"/>
        <v>0</v>
      </c>
      <c r="AM290" s="20" t="b">
        <f t="shared" si="63"/>
        <v>0</v>
      </c>
      <c r="AN290" s="20" t="b">
        <f t="shared" si="64"/>
        <v>0</v>
      </c>
      <c r="AO290" s="20" t="b">
        <f t="shared" si="65"/>
        <v>0</v>
      </c>
      <c r="AP290" s="20" t="b">
        <f t="shared" si="66"/>
        <v>0</v>
      </c>
      <c r="AQ290" s="20" t="b">
        <f t="shared" si="67"/>
        <v>0</v>
      </c>
      <c r="AR290" s="20" t="b">
        <f t="shared" si="68"/>
        <v>0</v>
      </c>
      <c r="AS290" s="20" t="b">
        <f t="shared" si="69"/>
        <v>0</v>
      </c>
      <c r="AT290" s="20" t="b">
        <f t="shared" si="70"/>
        <v>0</v>
      </c>
      <c r="AU290" s="20" t="b">
        <f t="shared" si="71"/>
        <v>0</v>
      </c>
    </row>
    <row r="291" spans="1:47">
      <c r="A291" s="20">
        <f t="shared" si="74"/>
        <v>4</v>
      </c>
      <c r="B291" s="564" t="s">
        <v>238</v>
      </c>
      <c r="C291" s="564" t="s">
        <v>219</v>
      </c>
      <c r="D291" s="564" t="s">
        <v>239</v>
      </c>
      <c r="E291" s="564" t="s">
        <v>240</v>
      </c>
      <c r="F291" s="568">
        <v>42450</v>
      </c>
      <c r="G291" s="571">
        <v>42460</v>
      </c>
      <c r="H291" s="564"/>
      <c r="I291" s="568">
        <v>42461</v>
      </c>
      <c r="J291" s="564" t="s">
        <v>233</v>
      </c>
      <c r="K291" s="564"/>
      <c r="L291" s="569">
        <v>17932</v>
      </c>
      <c r="M291" s="569">
        <v>0</v>
      </c>
      <c r="N291" s="569">
        <v>17</v>
      </c>
      <c r="O291" s="570">
        <v>133436.45000000001</v>
      </c>
      <c r="P291" s="564" t="s">
        <v>211</v>
      </c>
      <c r="Q291" s="564" t="s">
        <v>212</v>
      </c>
      <c r="R291" s="569">
        <v>133436.5367</v>
      </c>
      <c r="S291" s="569" t="b">
        <v>0</v>
      </c>
      <c r="T291" s="564" t="s">
        <v>227</v>
      </c>
      <c r="U291" s="564" t="s">
        <v>214</v>
      </c>
      <c r="V291" s="564"/>
      <c r="W291" s="54">
        <f t="shared" si="72"/>
        <v>0</v>
      </c>
      <c r="X291" s="54">
        <f t="shared" si="73"/>
        <v>17932</v>
      </c>
      <c r="AJ291" s="20" t="b">
        <f t="shared" si="60"/>
        <v>0</v>
      </c>
      <c r="AK291" s="20" t="b">
        <f t="shared" si="61"/>
        <v>0</v>
      </c>
      <c r="AL291" s="20" t="b">
        <f t="shared" si="62"/>
        <v>0</v>
      </c>
      <c r="AM291" s="20" t="b">
        <f t="shared" si="63"/>
        <v>0</v>
      </c>
      <c r="AN291" s="20" t="b">
        <f t="shared" si="64"/>
        <v>0</v>
      </c>
      <c r="AO291" s="20" t="b">
        <f t="shared" si="65"/>
        <v>0</v>
      </c>
      <c r="AP291" s="20" t="b">
        <f t="shared" si="66"/>
        <v>0</v>
      </c>
      <c r="AQ291" s="20" t="b">
        <f t="shared" si="67"/>
        <v>0</v>
      </c>
      <c r="AR291" s="20" t="b">
        <f t="shared" si="68"/>
        <v>0</v>
      </c>
      <c r="AS291" s="20" t="b">
        <f t="shared" si="69"/>
        <v>0</v>
      </c>
      <c r="AT291" s="20" t="b">
        <f t="shared" si="70"/>
        <v>0</v>
      </c>
      <c r="AU291" s="20" t="b">
        <f t="shared" si="71"/>
        <v>0</v>
      </c>
    </row>
    <row r="292" spans="1:47">
      <c r="A292" s="20">
        <f t="shared" si="74"/>
        <v>4</v>
      </c>
      <c r="B292" s="564" t="s">
        <v>322</v>
      </c>
      <c r="C292" s="564" t="s">
        <v>225</v>
      </c>
      <c r="D292" s="564" t="s">
        <v>323</v>
      </c>
      <c r="E292" s="564" t="s">
        <v>324</v>
      </c>
      <c r="F292" s="568">
        <v>42450</v>
      </c>
      <c r="G292" s="568">
        <v>42460</v>
      </c>
      <c r="H292" s="564"/>
      <c r="I292" s="568">
        <v>42461</v>
      </c>
      <c r="J292" s="564" t="s">
        <v>229</v>
      </c>
      <c r="K292" s="564"/>
      <c r="L292" s="569">
        <v>13300</v>
      </c>
      <c r="M292" s="569">
        <v>0</v>
      </c>
      <c r="N292" s="569">
        <v>6</v>
      </c>
      <c r="O292" s="570">
        <v>86367.31</v>
      </c>
      <c r="P292" s="564" t="s">
        <v>211</v>
      </c>
      <c r="Q292" s="564" t="s">
        <v>212</v>
      </c>
      <c r="R292" s="569">
        <v>138833.20009999999</v>
      </c>
      <c r="S292" s="569" t="b">
        <v>0</v>
      </c>
      <c r="T292" s="564" t="s">
        <v>227</v>
      </c>
      <c r="U292" s="564"/>
      <c r="V292" s="564"/>
      <c r="W292" s="54">
        <f t="shared" si="72"/>
        <v>0</v>
      </c>
      <c r="X292" s="54">
        <f t="shared" si="73"/>
        <v>13300</v>
      </c>
      <c r="AJ292" s="20" t="b">
        <f t="shared" si="60"/>
        <v>0</v>
      </c>
      <c r="AK292" s="20" t="b">
        <f t="shared" si="61"/>
        <v>0</v>
      </c>
      <c r="AL292" s="20" t="b">
        <f t="shared" si="62"/>
        <v>0</v>
      </c>
      <c r="AM292" s="20" t="b">
        <f t="shared" si="63"/>
        <v>0</v>
      </c>
      <c r="AN292" s="20" t="b">
        <f t="shared" si="64"/>
        <v>0</v>
      </c>
      <c r="AO292" s="20" t="b">
        <f t="shared" si="65"/>
        <v>0</v>
      </c>
      <c r="AP292" s="20" t="b">
        <f t="shared" si="66"/>
        <v>0</v>
      </c>
      <c r="AQ292" s="20" t="b">
        <f t="shared" si="67"/>
        <v>0</v>
      </c>
      <c r="AR292" s="20" t="b">
        <f t="shared" si="68"/>
        <v>0</v>
      </c>
      <c r="AS292" s="20" t="b">
        <f t="shared" si="69"/>
        <v>0</v>
      </c>
      <c r="AT292" s="20" t="b">
        <f t="shared" si="70"/>
        <v>0</v>
      </c>
      <c r="AU292" s="20" t="b">
        <f t="shared" si="71"/>
        <v>0</v>
      </c>
    </row>
    <row r="293" spans="1:47" ht="30">
      <c r="A293" s="20">
        <f t="shared" si="74"/>
        <v>5</v>
      </c>
      <c r="B293" s="564" t="s">
        <v>335</v>
      </c>
      <c r="C293" s="564" t="s">
        <v>209</v>
      </c>
      <c r="D293" s="564" t="s">
        <v>336</v>
      </c>
      <c r="E293" s="564" t="s">
        <v>337</v>
      </c>
      <c r="F293" s="568">
        <v>42457</v>
      </c>
      <c r="G293" s="568">
        <v>42460</v>
      </c>
      <c r="H293" s="564"/>
      <c r="I293" s="568">
        <v>42461</v>
      </c>
      <c r="J293" s="564" t="s">
        <v>230</v>
      </c>
      <c r="K293" s="564"/>
      <c r="L293" s="569">
        <v>551</v>
      </c>
      <c r="M293" s="569">
        <v>0</v>
      </c>
      <c r="N293" s="569">
        <v>2</v>
      </c>
      <c r="O293" s="570">
        <v>5471.05</v>
      </c>
      <c r="P293" s="564" t="s">
        <v>211</v>
      </c>
      <c r="Q293" s="564" t="s">
        <v>212</v>
      </c>
      <c r="R293" s="569">
        <v>9927.1124</v>
      </c>
      <c r="S293" s="569" t="b">
        <v>1</v>
      </c>
      <c r="T293" s="564" t="s">
        <v>213</v>
      </c>
      <c r="U293" s="564"/>
      <c r="V293" s="564"/>
      <c r="W293" s="54">
        <f t="shared" si="72"/>
        <v>0</v>
      </c>
      <c r="X293" s="54">
        <f t="shared" si="73"/>
        <v>551</v>
      </c>
      <c r="AJ293" s="20" t="b">
        <f t="shared" si="60"/>
        <v>0</v>
      </c>
      <c r="AK293" s="20" t="b">
        <f t="shared" si="61"/>
        <v>0</v>
      </c>
      <c r="AL293" s="20" t="b">
        <f t="shared" si="62"/>
        <v>0</v>
      </c>
      <c r="AM293" s="20" t="b">
        <f t="shared" si="63"/>
        <v>0</v>
      </c>
      <c r="AN293" s="20" t="b">
        <f t="shared" si="64"/>
        <v>0</v>
      </c>
      <c r="AO293" s="20" t="b">
        <f t="shared" si="65"/>
        <v>0</v>
      </c>
      <c r="AP293" s="20" t="b">
        <f t="shared" si="66"/>
        <v>0</v>
      </c>
      <c r="AQ293" s="20" t="b">
        <f t="shared" si="67"/>
        <v>0</v>
      </c>
      <c r="AR293" s="20" t="b">
        <f t="shared" si="68"/>
        <v>0</v>
      </c>
      <c r="AS293" s="20" t="b">
        <f t="shared" si="69"/>
        <v>0</v>
      </c>
      <c r="AT293" s="20" t="b">
        <f t="shared" si="70"/>
        <v>0</v>
      </c>
      <c r="AU293" s="20" t="b">
        <f t="shared" si="71"/>
        <v>0</v>
      </c>
    </row>
    <row r="294" spans="1:47" ht="30">
      <c r="A294" s="20">
        <f t="shared" si="74"/>
        <v>5</v>
      </c>
      <c r="B294" s="564" t="s">
        <v>325</v>
      </c>
      <c r="C294" s="564" t="s">
        <v>225</v>
      </c>
      <c r="D294" s="564" t="s">
        <v>326</v>
      </c>
      <c r="E294" s="564" t="s">
        <v>327</v>
      </c>
      <c r="F294" s="568">
        <v>42457</v>
      </c>
      <c r="G294" s="568">
        <v>42460</v>
      </c>
      <c r="H294" s="564"/>
      <c r="I294" s="568">
        <v>42461</v>
      </c>
      <c r="J294" s="564" t="s">
        <v>230</v>
      </c>
      <c r="K294" s="564"/>
      <c r="L294" s="569">
        <v>4926</v>
      </c>
      <c r="M294" s="569">
        <v>0</v>
      </c>
      <c r="N294" s="569">
        <v>1</v>
      </c>
      <c r="O294" s="570">
        <v>28855.67</v>
      </c>
      <c r="P294" s="564" t="s">
        <v>211</v>
      </c>
      <c r="Q294" s="564" t="s">
        <v>212</v>
      </c>
      <c r="R294" s="569">
        <v>60656.326699999998</v>
      </c>
      <c r="S294" s="569" t="b">
        <v>0</v>
      </c>
      <c r="T294" s="564" t="s">
        <v>227</v>
      </c>
      <c r="U294" s="564"/>
      <c r="V294" s="564"/>
      <c r="W294" s="54">
        <f t="shared" si="72"/>
        <v>0</v>
      </c>
      <c r="X294" s="54">
        <f t="shared" si="73"/>
        <v>4926</v>
      </c>
      <c r="AJ294" s="20" t="b">
        <f t="shared" si="60"/>
        <v>0</v>
      </c>
      <c r="AK294" s="20" t="b">
        <f t="shared" si="61"/>
        <v>0</v>
      </c>
      <c r="AL294" s="20" t="b">
        <f t="shared" si="62"/>
        <v>0</v>
      </c>
      <c r="AM294" s="20" t="b">
        <f t="shared" si="63"/>
        <v>0</v>
      </c>
      <c r="AN294" s="20" t="b">
        <f t="shared" si="64"/>
        <v>0</v>
      </c>
      <c r="AO294" s="20" t="b">
        <f t="shared" si="65"/>
        <v>0</v>
      </c>
      <c r="AP294" s="20" t="b">
        <f t="shared" si="66"/>
        <v>0</v>
      </c>
      <c r="AQ294" s="20" t="b">
        <f t="shared" si="67"/>
        <v>0</v>
      </c>
      <c r="AR294" s="20" t="b">
        <f t="shared" si="68"/>
        <v>0</v>
      </c>
      <c r="AS294" s="20" t="b">
        <f t="shared" si="69"/>
        <v>0</v>
      </c>
      <c r="AT294" s="20" t="b">
        <f t="shared" si="70"/>
        <v>0</v>
      </c>
      <c r="AU294" s="20" t="b">
        <f t="shared" si="71"/>
        <v>0</v>
      </c>
    </row>
    <row r="295" spans="1:47">
      <c r="B295" s="564" t="s">
        <v>288</v>
      </c>
      <c r="C295" s="564" t="s">
        <v>220</v>
      </c>
      <c r="D295" s="564" t="s">
        <v>289</v>
      </c>
      <c r="E295" s="564" t="s">
        <v>290</v>
      </c>
      <c r="F295" s="568">
        <v>42457</v>
      </c>
      <c r="G295" s="568">
        <v>42460</v>
      </c>
      <c r="H295" s="564"/>
      <c r="I295" s="568">
        <v>42461</v>
      </c>
      <c r="J295" s="564" t="s">
        <v>243</v>
      </c>
      <c r="K295" s="564"/>
      <c r="L295" s="569">
        <v>16496</v>
      </c>
      <c r="M295" s="569">
        <v>0</v>
      </c>
      <c r="N295" s="569">
        <v>17</v>
      </c>
      <c r="O295" s="570">
        <v>121118.12</v>
      </c>
      <c r="P295" s="564" t="s">
        <v>211</v>
      </c>
      <c r="Q295" s="564" t="s">
        <v>212</v>
      </c>
      <c r="R295" s="569">
        <v>121118.1155</v>
      </c>
      <c r="S295" s="569" t="b">
        <v>0</v>
      </c>
      <c r="T295" s="564" t="s">
        <v>227</v>
      </c>
      <c r="U295" s="564" t="s">
        <v>214</v>
      </c>
      <c r="V295" s="564"/>
      <c r="W295" s="54">
        <f t="shared" si="72"/>
        <v>0</v>
      </c>
      <c r="X295" s="54">
        <f t="shared" si="73"/>
        <v>16496</v>
      </c>
      <c r="AJ295" s="20" t="b">
        <f t="shared" si="60"/>
        <v>0</v>
      </c>
      <c r="AK295" s="20" t="b">
        <f t="shared" si="61"/>
        <v>0</v>
      </c>
      <c r="AL295" s="20" t="b">
        <f t="shared" si="62"/>
        <v>0</v>
      </c>
      <c r="AM295" s="20" t="b">
        <f t="shared" si="63"/>
        <v>0</v>
      </c>
      <c r="AN295" s="20" t="b">
        <f t="shared" si="64"/>
        <v>0</v>
      </c>
      <c r="AO295" s="20" t="b">
        <f t="shared" si="65"/>
        <v>0</v>
      </c>
      <c r="AP295" s="20" t="b">
        <f t="shared" si="66"/>
        <v>0</v>
      </c>
      <c r="AQ295" s="20" t="b">
        <f t="shared" si="67"/>
        <v>0</v>
      </c>
      <c r="AR295" s="20" t="b">
        <f t="shared" si="68"/>
        <v>0</v>
      </c>
      <c r="AS295" s="20" t="b">
        <f t="shared" si="69"/>
        <v>0</v>
      </c>
      <c r="AT295" s="20" t="b">
        <f t="shared" si="70"/>
        <v>0</v>
      </c>
      <c r="AU295" s="20" t="b">
        <f t="shared" si="71"/>
        <v>0</v>
      </c>
    </row>
    <row r="296" spans="1:47">
      <c r="A296" s="20">
        <f>IF(F296=F294,A294,A294+1)</f>
        <v>5</v>
      </c>
      <c r="B296" s="564" t="s">
        <v>296</v>
      </c>
      <c r="C296" s="564" t="s">
        <v>221</v>
      </c>
      <c r="D296" s="564" t="s">
        <v>297</v>
      </c>
      <c r="E296" s="564" t="s">
        <v>298</v>
      </c>
      <c r="F296" s="568">
        <v>42457</v>
      </c>
      <c r="G296" s="568">
        <v>42460</v>
      </c>
      <c r="H296" s="564"/>
      <c r="I296" s="568">
        <v>42461</v>
      </c>
      <c r="J296" s="564" t="s">
        <v>233</v>
      </c>
      <c r="K296" s="564"/>
      <c r="L296" s="569">
        <v>822</v>
      </c>
      <c r="M296" s="569">
        <v>0</v>
      </c>
      <c r="N296" s="569">
        <v>2</v>
      </c>
      <c r="O296" s="570">
        <v>7708.89</v>
      </c>
      <c r="P296" s="564" t="s">
        <v>211</v>
      </c>
      <c r="Q296" s="564" t="s">
        <v>212</v>
      </c>
      <c r="R296" s="569">
        <v>7708.8860000000004</v>
      </c>
      <c r="S296" s="569" t="b">
        <v>0</v>
      </c>
      <c r="T296" s="564" t="s">
        <v>227</v>
      </c>
      <c r="U296" s="564" t="s">
        <v>214</v>
      </c>
      <c r="V296" s="564"/>
      <c r="W296" s="54">
        <f t="shared" si="72"/>
        <v>0</v>
      </c>
      <c r="X296" s="54">
        <f t="shared" si="73"/>
        <v>822</v>
      </c>
      <c r="AJ296" s="20" t="b">
        <f t="shared" si="60"/>
        <v>0</v>
      </c>
      <c r="AK296" s="20" t="b">
        <f t="shared" si="61"/>
        <v>0</v>
      </c>
      <c r="AL296" s="20" t="b">
        <f t="shared" si="62"/>
        <v>0</v>
      </c>
      <c r="AM296" s="20" t="b">
        <f t="shared" si="63"/>
        <v>0</v>
      </c>
      <c r="AN296" s="20" t="b">
        <f t="shared" si="64"/>
        <v>0</v>
      </c>
      <c r="AO296" s="20" t="b">
        <f t="shared" si="65"/>
        <v>0</v>
      </c>
      <c r="AP296" s="20" t="b">
        <f t="shared" si="66"/>
        <v>0</v>
      </c>
      <c r="AQ296" s="20" t="b">
        <f t="shared" si="67"/>
        <v>0</v>
      </c>
      <c r="AR296" s="20" t="b">
        <f t="shared" si="68"/>
        <v>0</v>
      </c>
      <c r="AS296" s="20" t="b">
        <f t="shared" si="69"/>
        <v>0</v>
      </c>
      <c r="AT296" s="20" t="b">
        <f t="shared" si="70"/>
        <v>0</v>
      </c>
      <c r="AU296" s="20" t="b">
        <f t="shared" si="71"/>
        <v>0</v>
      </c>
    </row>
    <row r="297" spans="1:47">
      <c r="A297" s="20">
        <f t="shared" si="74"/>
        <v>5</v>
      </c>
      <c r="B297" s="564" t="s">
        <v>291</v>
      </c>
      <c r="C297" s="564" t="s">
        <v>292</v>
      </c>
      <c r="D297" s="564" t="s">
        <v>293</v>
      </c>
      <c r="E297" s="564" t="s">
        <v>294</v>
      </c>
      <c r="F297" s="568">
        <v>42457</v>
      </c>
      <c r="G297" s="568">
        <v>42460</v>
      </c>
      <c r="H297" s="564"/>
      <c r="I297" s="568">
        <v>42461</v>
      </c>
      <c r="J297" s="564" t="s">
        <v>235</v>
      </c>
      <c r="K297" s="564"/>
      <c r="L297" s="569">
        <v>706</v>
      </c>
      <c r="M297" s="569">
        <v>0</v>
      </c>
      <c r="N297" s="569">
        <v>2</v>
      </c>
      <c r="O297" s="570">
        <v>7676.25</v>
      </c>
      <c r="P297" s="564" t="s">
        <v>211</v>
      </c>
      <c r="Q297" s="564" t="s">
        <v>212</v>
      </c>
      <c r="R297" s="569">
        <v>7676.25</v>
      </c>
      <c r="S297" s="569" t="b">
        <v>0</v>
      </c>
      <c r="T297" s="564" t="s">
        <v>227</v>
      </c>
      <c r="U297" s="564"/>
      <c r="V297" s="564"/>
      <c r="W297" s="54">
        <f t="shared" si="72"/>
        <v>0</v>
      </c>
      <c r="X297" s="54">
        <f t="shared" si="73"/>
        <v>706</v>
      </c>
      <c r="AJ297" s="20" t="b">
        <f t="shared" si="60"/>
        <v>0</v>
      </c>
      <c r="AK297" s="20" t="b">
        <f t="shared" si="61"/>
        <v>0</v>
      </c>
      <c r="AL297" s="20" t="b">
        <f t="shared" si="62"/>
        <v>0</v>
      </c>
      <c r="AM297" s="20" t="b">
        <f t="shared" si="63"/>
        <v>0</v>
      </c>
      <c r="AN297" s="20" t="b">
        <f t="shared" si="64"/>
        <v>0</v>
      </c>
      <c r="AO297" s="20" t="b">
        <f t="shared" si="65"/>
        <v>0</v>
      </c>
      <c r="AP297" s="20" t="b">
        <f t="shared" si="66"/>
        <v>0</v>
      </c>
      <c r="AQ297" s="20" t="b">
        <f t="shared" si="67"/>
        <v>0</v>
      </c>
      <c r="AR297" s="20" t="b">
        <f t="shared" si="68"/>
        <v>0</v>
      </c>
      <c r="AS297" s="20" t="b">
        <f t="shared" si="69"/>
        <v>0</v>
      </c>
      <c r="AT297" s="20" t="b">
        <f t="shared" si="70"/>
        <v>0</v>
      </c>
      <c r="AU297" s="20" t="b">
        <f t="shared" si="71"/>
        <v>0</v>
      </c>
    </row>
    <row r="298" spans="1:47" ht="30">
      <c r="A298" s="20">
        <f t="shared" si="74"/>
        <v>5</v>
      </c>
      <c r="B298" s="564" t="s">
        <v>285</v>
      </c>
      <c r="C298" s="564" t="s">
        <v>225</v>
      </c>
      <c r="D298" s="564" t="s">
        <v>286</v>
      </c>
      <c r="E298" s="564" t="s">
        <v>287</v>
      </c>
      <c r="F298" s="568">
        <v>42457</v>
      </c>
      <c r="G298" s="568">
        <v>42460</v>
      </c>
      <c r="H298" s="564"/>
      <c r="I298" s="568">
        <v>42461</v>
      </c>
      <c r="J298" s="564" t="s">
        <v>234</v>
      </c>
      <c r="K298" s="564"/>
      <c r="L298" s="569">
        <v>887</v>
      </c>
      <c r="M298" s="569">
        <v>0</v>
      </c>
      <c r="N298" s="569">
        <v>0</v>
      </c>
      <c r="O298" s="570">
        <v>6092.5</v>
      </c>
      <c r="P298" s="564" t="s">
        <v>211</v>
      </c>
      <c r="Q298" s="564" t="s">
        <v>212</v>
      </c>
      <c r="R298" s="569">
        <v>16638.018100000001</v>
      </c>
      <c r="S298" s="569" t="b">
        <v>0</v>
      </c>
      <c r="T298" s="564" t="s">
        <v>227</v>
      </c>
      <c r="U298" s="564"/>
      <c r="V298" s="564" t="s">
        <v>15</v>
      </c>
      <c r="W298" s="54">
        <f t="shared" si="72"/>
        <v>0</v>
      </c>
      <c r="X298" s="54">
        <f t="shared" si="73"/>
        <v>887</v>
      </c>
      <c r="AJ298" s="20" t="b">
        <f t="shared" si="60"/>
        <v>0</v>
      </c>
      <c r="AK298" s="20" t="b">
        <f t="shared" si="61"/>
        <v>0</v>
      </c>
      <c r="AL298" s="20" t="b">
        <f t="shared" si="62"/>
        <v>0</v>
      </c>
      <c r="AM298" s="20" t="b">
        <f t="shared" si="63"/>
        <v>0</v>
      </c>
      <c r="AN298" s="20" t="b">
        <f t="shared" si="64"/>
        <v>0</v>
      </c>
      <c r="AO298" s="20" t="b">
        <f t="shared" si="65"/>
        <v>0</v>
      </c>
      <c r="AP298" s="20" t="b">
        <f t="shared" si="66"/>
        <v>0</v>
      </c>
      <c r="AQ298" s="20" t="b">
        <f t="shared" si="67"/>
        <v>0</v>
      </c>
      <c r="AR298" s="20" t="b">
        <f t="shared" si="68"/>
        <v>0</v>
      </c>
      <c r="AS298" s="20" t="b">
        <f t="shared" si="69"/>
        <v>0</v>
      </c>
      <c r="AT298" s="20" t="b">
        <f t="shared" si="70"/>
        <v>0</v>
      </c>
      <c r="AU298" s="20" t="b">
        <f t="shared" si="71"/>
        <v>0</v>
      </c>
    </row>
    <row r="299" spans="1:47">
      <c r="A299" s="20">
        <f t="shared" si="74"/>
        <v>5</v>
      </c>
      <c r="B299" s="564" t="s">
        <v>329</v>
      </c>
      <c r="C299" s="564" t="s">
        <v>220</v>
      </c>
      <c r="D299" s="564" t="s">
        <v>330</v>
      </c>
      <c r="E299" s="564" t="s">
        <v>331</v>
      </c>
      <c r="F299" s="568">
        <v>42457</v>
      </c>
      <c r="G299" s="568">
        <v>42460</v>
      </c>
      <c r="H299" s="564"/>
      <c r="I299" s="568">
        <v>42461</v>
      </c>
      <c r="J299" s="564" t="s">
        <v>233</v>
      </c>
      <c r="K299" s="564"/>
      <c r="L299" s="569">
        <v>16403</v>
      </c>
      <c r="M299" s="569">
        <v>0</v>
      </c>
      <c r="N299" s="569">
        <v>17</v>
      </c>
      <c r="O299" s="570">
        <v>119854.71</v>
      </c>
      <c r="P299" s="564" t="s">
        <v>211</v>
      </c>
      <c r="Q299" s="564" t="s">
        <v>212</v>
      </c>
      <c r="R299" s="569">
        <v>119854.70729999999</v>
      </c>
      <c r="S299" s="569" t="b">
        <v>0</v>
      </c>
      <c r="T299" s="564" t="s">
        <v>227</v>
      </c>
      <c r="U299" s="564" t="s">
        <v>214</v>
      </c>
      <c r="V299" s="564"/>
      <c r="W299" s="54">
        <f t="shared" si="72"/>
        <v>0</v>
      </c>
      <c r="X299" s="54">
        <f t="shared" si="73"/>
        <v>16403</v>
      </c>
      <c r="AJ299" s="20" t="b">
        <f t="shared" si="60"/>
        <v>0</v>
      </c>
      <c r="AK299" s="20" t="b">
        <f t="shared" si="61"/>
        <v>0</v>
      </c>
      <c r="AL299" s="20" t="b">
        <f t="shared" si="62"/>
        <v>0</v>
      </c>
      <c r="AM299" s="20" t="b">
        <f t="shared" si="63"/>
        <v>0</v>
      </c>
      <c r="AN299" s="20" t="b">
        <f t="shared" si="64"/>
        <v>0</v>
      </c>
      <c r="AO299" s="20" t="b">
        <f t="shared" si="65"/>
        <v>0</v>
      </c>
      <c r="AP299" s="20" t="b">
        <f t="shared" si="66"/>
        <v>0</v>
      </c>
      <c r="AQ299" s="20" t="b">
        <f t="shared" si="67"/>
        <v>0</v>
      </c>
      <c r="AR299" s="20" t="b">
        <f t="shared" si="68"/>
        <v>0</v>
      </c>
      <c r="AS299" s="20" t="b">
        <f t="shared" si="69"/>
        <v>0</v>
      </c>
      <c r="AT299" s="20" t="b">
        <f t="shared" si="70"/>
        <v>0</v>
      </c>
      <c r="AU299" s="20" t="b">
        <f t="shared" si="71"/>
        <v>0</v>
      </c>
    </row>
    <row r="300" spans="1:47">
      <c r="A300" s="20">
        <f t="shared" si="74"/>
        <v>5</v>
      </c>
      <c r="B300" s="564" t="s">
        <v>328</v>
      </c>
      <c r="C300" s="564" t="s">
        <v>225</v>
      </c>
      <c r="D300" s="564" t="s">
        <v>280</v>
      </c>
      <c r="E300" s="564" t="s">
        <v>281</v>
      </c>
      <c r="F300" s="568">
        <v>42457</v>
      </c>
      <c r="G300" s="568">
        <v>42460</v>
      </c>
      <c r="H300" s="564"/>
      <c r="I300" s="568">
        <v>42461</v>
      </c>
      <c r="J300" s="564" t="s">
        <v>228</v>
      </c>
      <c r="K300" s="564"/>
      <c r="L300" s="569">
        <v>0</v>
      </c>
      <c r="M300" s="569">
        <v>0</v>
      </c>
      <c r="N300" s="569">
        <v>1</v>
      </c>
      <c r="O300" s="570">
        <v>16484.54</v>
      </c>
      <c r="P300" s="564" t="s">
        <v>211</v>
      </c>
      <c r="Q300" s="564" t="s">
        <v>212</v>
      </c>
      <c r="R300" s="569">
        <v>16576.9434</v>
      </c>
      <c r="S300" s="569" t="b">
        <v>0</v>
      </c>
      <c r="T300" s="564" t="s">
        <v>227</v>
      </c>
      <c r="U300" s="564"/>
      <c r="V300" s="564" t="s">
        <v>15</v>
      </c>
      <c r="W300" s="54">
        <f t="shared" si="72"/>
        <v>0</v>
      </c>
      <c r="X300" s="54">
        <f t="shared" si="73"/>
        <v>0</v>
      </c>
      <c r="AJ300" s="20" t="b">
        <f t="shared" si="60"/>
        <v>0</v>
      </c>
      <c r="AK300" s="20" t="b">
        <f t="shared" si="61"/>
        <v>0</v>
      </c>
      <c r="AL300" s="20" t="b">
        <f t="shared" si="62"/>
        <v>0</v>
      </c>
      <c r="AM300" s="20" t="b">
        <f t="shared" si="63"/>
        <v>0</v>
      </c>
      <c r="AN300" s="20" t="b">
        <f t="shared" si="64"/>
        <v>0</v>
      </c>
      <c r="AO300" s="20" t="b">
        <f t="shared" si="65"/>
        <v>0</v>
      </c>
      <c r="AP300" s="20" t="b">
        <f t="shared" si="66"/>
        <v>0</v>
      </c>
      <c r="AQ300" s="20" t="b">
        <f t="shared" si="67"/>
        <v>0</v>
      </c>
      <c r="AR300" s="20" t="b">
        <f t="shared" si="68"/>
        <v>0</v>
      </c>
      <c r="AS300" s="20" t="b">
        <f t="shared" si="69"/>
        <v>0</v>
      </c>
      <c r="AT300" s="20" t="b">
        <f t="shared" si="70"/>
        <v>0</v>
      </c>
      <c r="AU300" s="20" t="b">
        <f t="shared" si="71"/>
        <v>0</v>
      </c>
    </row>
    <row r="301" spans="1:47">
      <c r="A301" s="20">
        <f t="shared" si="74"/>
        <v>5</v>
      </c>
      <c r="B301" s="564" t="s">
        <v>332</v>
      </c>
      <c r="C301" s="564" t="s">
        <v>224</v>
      </c>
      <c r="D301" s="564" t="s">
        <v>333</v>
      </c>
      <c r="E301" s="564" t="s">
        <v>334</v>
      </c>
      <c r="F301" s="568">
        <v>42457</v>
      </c>
      <c r="G301" s="568">
        <v>42460</v>
      </c>
      <c r="H301" s="564"/>
      <c r="I301" s="568">
        <v>42461</v>
      </c>
      <c r="J301" s="564" t="s">
        <v>233</v>
      </c>
      <c r="K301" s="564"/>
      <c r="L301" s="569">
        <v>15652</v>
      </c>
      <c r="M301" s="569">
        <v>0</v>
      </c>
      <c r="N301" s="569">
        <v>17</v>
      </c>
      <c r="O301" s="570">
        <v>117281.33</v>
      </c>
      <c r="P301" s="564" t="s">
        <v>211</v>
      </c>
      <c r="Q301" s="564" t="s">
        <v>212</v>
      </c>
      <c r="R301" s="569">
        <v>117344.8104</v>
      </c>
      <c r="S301" s="569" t="b">
        <v>0</v>
      </c>
      <c r="T301" s="564" t="s">
        <v>227</v>
      </c>
      <c r="U301" s="564" t="s">
        <v>214</v>
      </c>
      <c r="V301" s="564" t="s">
        <v>15</v>
      </c>
      <c r="W301" s="54">
        <f t="shared" si="72"/>
        <v>0</v>
      </c>
      <c r="X301" s="54">
        <f t="shared" si="73"/>
        <v>15652</v>
      </c>
      <c r="AJ301" s="20" t="b">
        <f t="shared" si="60"/>
        <v>0</v>
      </c>
      <c r="AK301" s="20" t="b">
        <f t="shared" si="61"/>
        <v>0</v>
      </c>
      <c r="AL301" s="20" t="b">
        <f t="shared" si="62"/>
        <v>0</v>
      </c>
      <c r="AM301" s="20" t="b">
        <f t="shared" si="63"/>
        <v>0</v>
      </c>
      <c r="AN301" s="20" t="b">
        <f t="shared" si="64"/>
        <v>0</v>
      </c>
      <c r="AO301" s="20" t="b">
        <f t="shared" si="65"/>
        <v>0</v>
      </c>
      <c r="AP301" s="20" t="b">
        <f t="shared" si="66"/>
        <v>0</v>
      </c>
      <c r="AQ301" s="20" t="b">
        <f t="shared" si="67"/>
        <v>0</v>
      </c>
      <c r="AR301" s="20" t="b">
        <f t="shared" si="68"/>
        <v>0</v>
      </c>
      <c r="AS301" s="20" t="b">
        <f t="shared" si="69"/>
        <v>0</v>
      </c>
      <c r="AT301" s="20" t="b">
        <f t="shared" si="70"/>
        <v>0</v>
      </c>
      <c r="AU301" s="20" t="b">
        <f t="shared" si="71"/>
        <v>0</v>
      </c>
    </row>
    <row r="302" spans="1:47">
      <c r="A302" s="20">
        <f t="shared" si="74"/>
        <v>5</v>
      </c>
      <c r="B302" s="564" t="s">
        <v>299</v>
      </c>
      <c r="C302" s="564" t="s">
        <v>221</v>
      </c>
      <c r="D302" s="564" t="s">
        <v>300</v>
      </c>
      <c r="E302" s="564" t="s">
        <v>301</v>
      </c>
      <c r="F302" s="568">
        <v>42457</v>
      </c>
      <c r="G302" s="568">
        <v>42465</v>
      </c>
      <c r="H302" s="564"/>
      <c r="I302" s="568">
        <v>42466</v>
      </c>
      <c r="J302" s="564" t="s">
        <v>233</v>
      </c>
      <c r="K302" s="564"/>
      <c r="L302" s="569">
        <v>16168</v>
      </c>
      <c r="M302" s="569">
        <v>0</v>
      </c>
      <c r="N302" s="569">
        <v>18</v>
      </c>
      <c r="O302" s="570">
        <v>118914.4</v>
      </c>
      <c r="P302" s="564" t="s">
        <v>211</v>
      </c>
      <c r="Q302" s="564" t="s">
        <v>212</v>
      </c>
      <c r="R302" s="569">
        <v>118914.4004</v>
      </c>
      <c r="S302" s="569" t="b">
        <v>0</v>
      </c>
      <c r="T302" s="564" t="s">
        <v>227</v>
      </c>
      <c r="U302" s="564" t="s">
        <v>214</v>
      </c>
      <c r="V302" s="564"/>
      <c r="W302" s="54">
        <f t="shared" si="72"/>
        <v>0</v>
      </c>
      <c r="X302" s="54">
        <f t="shared" si="73"/>
        <v>16168</v>
      </c>
      <c r="AJ302" s="20" t="b">
        <f t="shared" si="60"/>
        <v>0</v>
      </c>
      <c r="AK302" s="20" t="b">
        <f t="shared" si="61"/>
        <v>0</v>
      </c>
      <c r="AL302" s="20" t="b">
        <f t="shared" si="62"/>
        <v>0</v>
      </c>
      <c r="AM302" s="20" t="b">
        <f t="shared" si="63"/>
        <v>0</v>
      </c>
      <c r="AN302" s="20" t="b">
        <f t="shared" si="64"/>
        <v>0</v>
      </c>
      <c r="AO302" s="20" t="b">
        <f t="shared" si="65"/>
        <v>0</v>
      </c>
      <c r="AP302" s="20" t="b">
        <f t="shared" si="66"/>
        <v>0</v>
      </c>
      <c r="AQ302" s="20" t="b">
        <f t="shared" si="67"/>
        <v>0</v>
      </c>
      <c r="AR302" s="20" t="b">
        <f t="shared" si="68"/>
        <v>0</v>
      </c>
      <c r="AS302" s="20" t="b">
        <f t="shared" si="69"/>
        <v>0</v>
      </c>
      <c r="AT302" s="20" t="b">
        <f t="shared" si="70"/>
        <v>0</v>
      </c>
      <c r="AU302" s="20" t="b">
        <f t="shared" si="71"/>
        <v>0</v>
      </c>
    </row>
    <row r="303" spans="1:47">
      <c r="A303" s="20">
        <f t="shared" si="74"/>
        <v>6</v>
      </c>
      <c r="B303" s="564" t="s">
        <v>339</v>
      </c>
      <c r="C303" s="564" t="s">
        <v>225</v>
      </c>
      <c r="D303" s="564" t="s">
        <v>340</v>
      </c>
      <c r="E303" s="564" t="s">
        <v>341</v>
      </c>
      <c r="F303" s="568">
        <v>42464</v>
      </c>
      <c r="G303" s="568">
        <v>42432</v>
      </c>
      <c r="H303" s="564"/>
      <c r="I303" s="568">
        <v>42473</v>
      </c>
      <c r="J303" s="564" t="s">
        <v>230</v>
      </c>
      <c r="K303" s="564"/>
      <c r="L303" s="569">
        <v>13154</v>
      </c>
      <c r="M303" s="569">
        <v>0</v>
      </c>
      <c r="N303" s="569">
        <v>6</v>
      </c>
      <c r="O303" s="570">
        <v>85851.21</v>
      </c>
      <c r="P303" s="564" t="s">
        <v>211</v>
      </c>
      <c r="Q303" s="564" t="s">
        <v>212</v>
      </c>
      <c r="R303" s="569">
        <v>145123.326</v>
      </c>
      <c r="S303" s="569" t="b">
        <v>0</v>
      </c>
      <c r="T303" s="564" t="s">
        <v>227</v>
      </c>
      <c r="U303" s="564"/>
      <c r="V303" s="564" t="s">
        <v>15</v>
      </c>
      <c r="W303" s="54">
        <f t="shared" si="72"/>
        <v>0</v>
      </c>
      <c r="X303" s="54">
        <f t="shared" si="73"/>
        <v>13154</v>
      </c>
      <c r="AJ303" s="20" t="b">
        <f t="shared" si="60"/>
        <v>0</v>
      </c>
      <c r="AK303" s="20" t="b">
        <f t="shared" si="61"/>
        <v>0</v>
      </c>
      <c r="AL303" s="20" t="b">
        <f t="shared" si="62"/>
        <v>0</v>
      </c>
      <c r="AM303" s="20" t="b">
        <f t="shared" si="63"/>
        <v>0</v>
      </c>
      <c r="AN303" s="20" t="b">
        <f t="shared" si="64"/>
        <v>0</v>
      </c>
      <c r="AO303" s="20" t="b">
        <f t="shared" si="65"/>
        <v>0</v>
      </c>
      <c r="AP303" s="20" t="b">
        <f t="shared" si="66"/>
        <v>0</v>
      </c>
      <c r="AQ303" s="20" t="b">
        <f t="shared" si="67"/>
        <v>0</v>
      </c>
      <c r="AR303" s="20" t="b">
        <f t="shared" si="68"/>
        <v>0</v>
      </c>
      <c r="AS303" s="20" t="b">
        <f t="shared" si="69"/>
        <v>0</v>
      </c>
      <c r="AT303" s="20" t="b">
        <f t="shared" si="70"/>
        <v>0</v>
      </c>
      <c r="AU303" s="20" t="b">
        <f t="shared" si="71"/>
        <v>0</v>
      </c>
    </row>
    <row r="304" spans="1:47">
      <c r="A304" s="20">
        <f t="shared" si="74"/>
        <v>6</v>
      </c>
      <c r="B304" s="564" t="s">
        <v>279</v>
      </c>
      <c r="C304" s="564" t="s">
        <v>225</v>
      </c>
      <c r="D304" s="564" t="s">
        <v>280</v>
      </c>
      <c r="E304" s="564" t="s">
        <v>281</v>
      </c>
      <c r="F304" s="568">
        <v>42464</v>
      </c>
      <c r="G304" s="568">
        <v>42467</v>
      </c>
      <c r="H304" s="564"/>
      <c r="I304" s="568">
        <v>42468</v>
      </c>
      <c r="J304" s="564" t="s">
        <v>228</v>
      </c>
      <c r="K304" s="564"/>
      <c r="L304" s="569">
        <v>0</v>
      </c>
      <c r="M304" s="569">
        <v>0</v>
      </c>
      <c r="N304" s="569">
        <v>0</v>
      </c>
      <c r="O304" s="570">
        <v>0</v>
      </c>
      <c r="P304" s="564" t="s">
        <v>211</v>
      </c>
      <c r="Q304" s="564" t="s">
        <v>212</v>
      </c>
      <c r="R304" s="569">
        <v>1658.45</v>
      </c>
      <c r="S304" s="569" t="b">
        <v>0</v>
      </c>
      <c r="T304" s="564" t="s">
        <v>227</v>
      </c>
      <c r="U304" s="564"/>
      <c r="V304" s="564" t="s">
        <v>15</v>
      </c>
      <c r="W304" s="54">
        <f t="shared" si="72"/>
        <v>0</v>
      </c>
      <c r="X304" s="54">
        <f t="shared" si="73"/>
        <v>0</v>
      </c>
      <c r="AJ304" s="20" t="b">
        <f t="shared" si="60"/>
        <v>0</v>
      </c>
      <c r="AK304" s="20" t="b">
        <f t="shared" si="61"/>
        <v>0</v>
      </c>
      <c r="AL304" s="20" t="b">
        <f t="shared" si="62"/>
        <v>0</v>
      </c>
      <c r="AM304" s="20" t="b">
        <f t="shared" si="63"/>
        <v>0</v>
      </c>
      <c r="AN304" s="20" t="b">
        <f t="shared" si="64"/>
        <v>0</v>
      </c>
      <c r="AO304" s="20" t="b">
        <f t="shared" si="65"/>
        <v>0</v>
      </c>
      <c r="AP304" s="20" t="b">
        <f t="shared" si="66"/>
        <v>0</v>
      </c>
      <c r="AQ304" s="20" t="b">
        <f t="shared" si="67"/>
        <v>0</v>
      </c>
      <c r="AR304" s="20" t="b">
        <f t="shared" si="68"/>
        <v>0</v>
      </c>
      <c r="AS304" s="20" t="b">
        <f t="shared" si="69"/>
        <v>0</v>
      </c>
      <c r="AT304" s="20" t="b">
        <f t="shared" si="70"/>
        <v>0</v>
      </c>
      <c r="AU304" s="20" t="b">
        <f t="shared" si="71"/>
        <v>0</v>
      </c>
    </row>
    <row r="305" spans="1:47" ht="30">
      <c r="B305" s="564" t="s">
        <v>305</v>
      </c>
      <c r="C305" s="564" t="s">
        <v>225</v>
      </c>
      <c r="D305" s="564" t="s">
        <v>303</v>
      </c>
      <c r="E305" s="564" t="s">
        <v>304</v>
      </c>
      <c r="F305" s="568">
        <v>42464</v>
      </c>
      <c r="G305" s="568">
        <v>42467</v>
      </c>
      <c r="H305" s="564"/>
      <c r="I305" s="568">
        <v>42468</v>
      </c>
      <c r="J305" s="564" t="s">
        <v>210</v>
      </c>
      <c r="K305" s="564" t="s">
        <v>216</v>
      </c>
      <c r="L305" s="569">
        <v>4780</v>
      </c>
      <c r="M305" s="569">
        <v>0</v>
      </c>
      <c r="N305" s="569">
        <v>1</v>
      </c>
      <c r="O305" s="570">
        <v>29134.54</v>
      </c>
      <c r="P305" s="564" t="s">
        <v>211</v>
      </c>
      <c r="Q305" s="564" t="s">
        <v>212</v>
      </c>
      <c r="R305" s="569">
        <v>61640.752500000002</v>
      </c>
      <c r="S305" s="569" t="b">
        <v>0</v>
      </c>
      <c r="T305" s="564" t="s">
        <v>227</v>
      </c>
      <c r="U305" s="564"/>
      <c r="V305" s="564" t="s">
        <v>15</v>
      </c>
      <c r="W305" s="54">
        <f t="shared" si="72"/>
        <v>4780</v>
      </c>
      <c r="X305" s="54">
        <f t="shared" si="73"/>
        <v>0</v>
      </c>
      <c r="AJ305" s="20" t="b">
        <f t="shared" si="60"/>
        <v>0</v>
      </c>
      <c r="AK305" s="20" t="b">
        <f t="shared" si="61"/>
        <v>0</v>
      </c>
      <c r="AL305" s="20" t="b">
        <f t="shared" si="62"/>
        <v>0</v>
      </c>
      <c r="AM305" s="20" t="b">
        <f t="shared" si="63"/>
        <v>0</v>
      </c>
      <c r="AN305" s="20" t="b">
        <f t="shared" si="64"/>
        <v>0</v>
      </c>
      <c r="AO305" s="20" t="b">
        <f t="shared" si="65"/>
        <v>0</v>
      </c>
      <c r="AP305" s="20" t="b">
        <f t="shared" si="66"/>
        <v>0</v>
      </c>
      <c r="AQ305" s="20" t="b">
        <f t="shared" si="67"/>
        <v>0</v>
      </c>
      <c r="AR305" s="20" t="b">
        <f t="shared" si="68"/>
        <v>0</v>
      </c>
      <c r="AS305" s="20" t="b">
        <f t="shared" si="69"/>
        <v>0</v>
      </c>
      <c r="AT305" s="20" t="b">
        <f t="shared" si="70"/>
        <v>0</v>
      </c>
      <c r="AU305" s="20" t="b">
        <f t="shared" si="71"/>
        <v>0</v>
      </c>
    </row>
    <row r="306" spans="1:47">
      <c r="A306" s="20">
        <f>IF(F306=F304,A304,A304+1)</f>
        <v>6</v>
      </c>
      <c r="B306" s="564" t="s">
        <v>342</v>
      </c>
      <c r="C306" s="564" t="s">
        <v>225</v>
      </c>
      <c r="D306" s="564" t="s">
        <v>343</v>
      </c>
      <c r="E306" s="564" t="s">
        <v>344</v>
      </c>
      <c r="F306" s="568">
        <v>42464</v>
      </c>
      <c r="G306" s="568">
        <v>42467</v>
      </c>
      <c r="H306" s="564"/>
      <c r="I306" s="568">
        <v>42468</v>
      </c>
      <c r="J306" s="564" t="s">
        <v>228</v>
      </c>
      <c r="K306" s="564"/>
      <c r="L306" s="569">
        <v>1951</v>
      </c>
      <c r="M306" s="569">
        <v>0</v>
      </c>
      <c r="N306" s="569">
        <v>0</v>
      </c>
      <c r="O306" s="570">
        <v>12125.58</v>
      </c>
      <c r="P306" s="564" t="s">
        <v>211</v>
      </c>
      <c r="Q306" s="564" t="s">
        <v>212</v>
      </c>
      <c r="R306" s="569">
        <v>84619.133600000001</v>
      </c>
      <c r="S306" s="569" t="b">
        <v>0</v>
      </c>
      <c r="T306" s="564" t="s">
        <v>227</v>
      </c>
      <c r="U306" s="564"/>
      <c r="V306" s="564"/>
      <c r="W306" s="54">
        <f t="shared" si="72"/>
        <v>0</v>
      </c>
      <c r="X306" s="54">
        <f t="shared" si="73"/>
        <v>1951</v>
      </c>
      <c r="AJ306" s="20" t="b">
        <f t="shared" si="60"/>
        <v>0</v>
      </c>
      <c r="AK306" s="20" t="b">
        <f t="shared" si="61"/>
        <v>0</v>
      </c>
      <c r="AL306" s="20" t="b">
        <f t="shared" si="62"/>
        <v>0</v>
      </c>
      <c r="AM306" s="20" t="b">
        <f t="shared" si="63"/>
        <v>0</v>
      </c>
      <c r="AN306" s="20" t="b">
        <f t="shared" si="64"/>
        <v>0</v>
      </c>
      <c r="AO306" s="20" t="b">
        <f t="shared" si="65"/>
        <v>0</v>
      </c>
      <c r="AP306" s="20" t="b">
        <f t="shared" si="66"/>
        <v>0</v>
      </c>
      <c r="AQ306" s="20" t="b">
        <f t="shared" si="67"/>
        <v>0</v>
      </c>
      <c r="AR306" s="20" t="b">
        <f t="shared" si="68"/>
        <v>0</v>
      </c>
      <c r="AS306" s="20" t="b">
        <f t="shared" si="69"/>
        <v>0</v>
      </c>
      <c r="AT306" s="20" t="b">
        <f t="shared" si="70"/>
        <v>0</v>
      </c>
      <c r="AU306" s="20" t="b">
        <f t="shared" si="71"/>
        <v>0</v>
      </c>
    </row>
    <row r="307" spans="1:47" ht="30">
      <c r="A307" s="20">
        <f t="shared" si="74"/>
        <v>6</v>
      </c>
      <c r="B307" s="564" t="s">
        <v>302</v>
      </c>
      <c r="C307" s="564" t="s">
        <v>225</v>
      </c>
      <c r="D307" s="564" t="s">
        <v>303</v>
      </c>
      <c r="E307" s="564" t="s">
        <v>304</v>
      </c>
      <c r="F307" s="568">
        <v>42464</v>
      </c>
      <c r="G307" s="568">
        <v>42467</v>
      </c>
      <c r="H307" s="564"/>
      <c r="I307" s="568">
        <v>42468</v>
      </c>
      <c r="J307" s="564" t="s">
        <v>230</v>
      </c>
      <c r="K307" s="564"/>
      <c r="L307" s="569">
        <v>364</v>
      </c>
      <c r="M307" s="569">
        <v>0</v>
      </c>
      <c r="N307" s="569">
        <v>0</v>
      </c>
      <c r="O307" s="570">
        <v>1680.74</v>
      </c>
      <c r="P307" s="564" t="s">
        <v>211</v>
      </c>
      <c r="Q307" s="564" t="s">
        <v>212</v>
      </c>
      <c r="R307" s="569">
        <v>2070.4974999999999</v>
      </c>
      <c r="S307" s="569" t="b">
        <v>0</v>
      </c>
      <c r="T307" s="564" t="s">
        <v>227</v>
      </c>
      <c r="U307" s="564"/>
      <c r="V307" s="564" t="s">
        <v>15</v>
      </c>
      <c r="W307" s="54">
        <f t="shared" si="72"/>
        <v>0</v>
      </c>
      <c r="X307" s="54">
        <f t="shared" si="73"/>
        <v>364</v>
      </c>
      <c r="AJ307" s="20" t="b">
        <f t="shared" si="60"/>
        <v>0</v>
      </c>
      <c r="AK307" s="20" t="b">
        <f t="shared" si="61"/>
        <v>0</v>
      </c>
      <c r="AL307" s="20" t="b">
        <f t="shared" si="62"/>
        <v>0</v>
      </c>
      <c r="AM307" s="20" t="b">
        <f t="shared" si="63"/>
        <v>0</v>
      </c>
      <c r="AN307" s="20" t="b">
        <f t="shared" si="64"/>
        <v>0</v>
      </c>
      <c r="AO307" s="20" t="b">
        <f t="shared" si="65"/>
        <v>0</v>
      </c>
      <c r="AP307" s="20" t="b">
        <f t="shared" si="66"/>
        <v>0</v>
      </c>
      <c r="AQ307" s="20" t="b">
        <f t="shared" si="67"/>
        <v>0</v>
      </c>
      <c r="AR307" s="20" t="b">
        <f t="shared" si="68"/>
        <v>0</v>
      </c>
      <c r="AS307" s="20" t="b">
        <f t="shared" si="69"/>
        <v>0</v>
      </c>
      <c r="AT307" s="20" t="b">
        <f t="shared" si="70"/>
        <v>0</v>
      </c>
      <c r="AU307" s="20" t="b">
        <f t="shared" si="71"/>
        <v>0</v>
      </c>
    </row>
    <row r="308" spans="1:47">
      <c r="A308" s="20">
        <f t="shared" si="74"/>
        <v>6</v>
      </c>
      <c r="B308" s="564" t="s">
        <v>345</v>
      </c>
      <c r="C308" s="564" t="s">
        <v>295</v>
      </c>
      <c r="D308" s="564" t="s">
        <v>346</v>
      </c>
      <c r="E308" s="564" t="s">
        <v>217</v>
      </c>
      <c r="F308" s="568">
        <v>42464</v>
      </c>
      <c r="G308" s="568">
        <v>42467</v>
      </c>
      <c r="H308" s="564"/>
      <c r="I308" s="568">
        <v>42468</v>
      </c>
      <c r="J308" s="564" t="s">
        <v>233</v>
      </c>
      <c r="K308" s="564"/>
      <c r="L308" s="569">
        <v>896</v>
      </c>
      <c r="M308" s="569">
        <v>0</v>
      </c>
      <c r="N308" s="569">
        <v>3</v>
      </c>
      <c r="O308" s="570">
        <v>9871.34</v>
      </c>
      <c r="P308" s="564" t="s">
        <v>211</v>
      </c>
      <c r="Q308" s="564" t="s">
        <v>212</v>
      </c>
      <c r="R308" s="569">
        <v>9926.8569000000007</v>
      </c>
      <c r="S308" s="569" t="b">
        <v>0</v>
      </c>
      <c r="T308" s="564" t="s">
        <v>227</v>
      </c>
      <c r="U308" s="564" t="s">
        <v>214</v>
      </c>
      <c r="V308" s="564"/>
      <c r="W308" s="54">
        <f t="shared" si="72"/>
        <v>0</v>
      </c>
      <c r="X308" s="54">
        <f t="shared" si="73"/>
        <v>896</v>
      </c>
      <c r="AJ308" s="20" t="b">
        <f t="shared" si="60"/>
        <v>0</v>
      </c>
      <c r="AK308" s="20" t="b">
        <f t="shared" si="61"/>
        <v>0</v>
      </c>
      <c r="AL308" s="20" t="b">
        <f t="shared" si="62"/>
        <v>0</v>
      </c>
      <c r="AM308" s="20" t="b">
        <f t="shared" si="63"/>
        <v>0</v>
      </c>
      <c r="AN308" s="20" t="b">
        <f t="shared" si="64"/>
        <v>0</v>
      </c>
      <c r="AO308" s="20" t="b">
        <f t="shared" si="65"/>
        <v>0</v>
      </c>
      <c r="AP308" s="20" t="b">
        <f t="shared" si="66"/>
        <v>0</v>
      </c>
      <c r="AQ308" s="20" t="b">
        <f t="shared" si="67"/>
        <v>0</v>
      </c>
      <c r="AR308" s="20" t="b">
        <f t="shared" si="68"/>
        <v>0</v>
      </c>
      <c r="AS308" s="20" t="b">
        <f t="shared" si="69"/>
        <v>0</v>
      </c>
      <c r="AT308" s="20" t="b">
        <f t="shared" si="70"/>
        <v>0</v>
      </c>
      <c r="AU308" s="20" t="b">
        <f t="shared" si="71"/>
        <v>0</v>
      </c>
    </row>
    <row r="309" spans="1:47">
      <c r="A309" s="20">
        <f t="shared" si="74"/>
        <v>7</v>
      </c>
      <c r="B309" s="564"/>
      <c r="C309" s="564"/>
      <c r="D309" s="564"/>
      <c r="E309" s="564"/>
      <c r="F309" s="568"/>
      <c r="G309" s="568"/>
      <c r="H309" s="564"/>
      <c r="I309" s="568"/>
      <c r="J309" s="564"/>
      <c r="K309" s="564"/>
      <c r="L309" s="569"/>
      <c r="M309" s="569"/>
      <c r="N309" s="569"/>
      <c r="O309" s="570"/>
      <c r="P309" s="564"/>
      <c r="Q309" s="564"/>
      <c r="R309" s="569"/>
      <c r="S309" s="569"/>
      <c r="T309" s="564"/>
      <c r="U309" s="564"/>
      <c r="V309" s="564"/>
      <c r="W309" s="54">
        <f t="shared" si="72"/>
        <v>0</v>
      </c>
      <c r="X309" s="54">
        <f t="shared" si="73"/>
        <v>0</v>
      </c>
      <c r="AJ309" s="20" t="b">
        <f t="shared" si="60"/>
        <v>0</v>
      </c>
      <c r="AK309" s="20" t="b">
        <f t="shared" si="61"/>
        <v>0</v>
      </c>
      <c r="AL309" s="20" t="b">
        <f t="shared" si="62"/>
        <v>0</v>
      </c>
      <c r="AM309" s="20" t="b">
        <f t="shared" si="63"/>
        <v>0</v>
      </c>
      <c r="AN309" s="20" t="b">
        <f t="shared" si="64"/>
        <v>0</v>
      </c>
      <c r="AO309" s="20" t="b">
        <f t="shared" si="65"/>
        <v>0</v>
      </c>
      <c r="AP309" s="20" t="b">
        <f t="shared" si="66"/>
        <v>0</v>
      </c>
      <c r="AQ309" s="20" t="b">
        <f t="shared" si="67"/>
        <v>0</v>
      </c>
      <c r="AR309" s="20" t="b">
        <f t="shared" si="68"/>
        <v>0</v>
      </c>
      <c r="AS309" s="20" t="b">
        <f t="shared" si="69"/>
        <v>0</v>
      </c>
      <c r="AT309" s="20" t="b">
        <f t="shared" si="70"/>
        <v>0</v>
      </c>
      <c r="AU309" s="20" t="b">
        <f t="shared" si="71"/>
        <v>0</v>
      </c>
    </row>
    <row r="310" spans="1:47">
      <c r="A310" s="20">
        <f t="shared" si="74"/>
        <v>7</v>
      </c>
      <c r="B310" s="564"/>
      <c r="C310" s="564"/>
      <c r="D310" s="564"/>
      <c r="E310" s="564"/>
      <c r="F310" s="568"/>
      <c r="G310" s="568"/>
      <c r="H310" s="564"/>
      <c r="I310" s="568"/>
      <c r="J310" s="564"/>
      <c r="K310" s="564"/>
      <c r="L310" s="569"/>
      <c r="M310" s="569"/>
      <c r="N310" s="569"/>
      <c r="O310" s="570"/>
      <c r="P310" s="564"/>
      <c r="Q310" s="564"/>
      <c r="R310" s="569"/>
      <c r="S310" s="569"/>
      <c r="T310" s="564"/>
      <c r="U310" s="564"/>
      <c r="V310" s="564"/>
      <c r="W310" s="54">
        <f t="shared" si="72"/>
        <v>0</v>
      </c>
      <c r="X310" s="54">
        <f t="shared" si="73"/>
        <v>0</v>
      </c>
      <c r="AJ310" s="20" t="b">
        <f t="shared" si="60"/>
        <v>0</v>
      </c>
      <c r="AK310" s="20" t="b">
        <f t="shared" si="61"/>
        <v>0</v>
      </c>
      <c r="AL310" s="20" t="b">
        <f t="shared" si="62"/>
        <v>0</v>
      </c>
      <c r="AM310" s="20" t="b">
        <f t="shared" si="63"/>
        <v>0</v>
      </c>
      <c r="AN310" s="20" t="b">
        <f t="shared" si="64"/>
        <v>0</v>
      </c>
      <c r="AO310" s="20" t="b">
        <f t="shared" si="65"/>
        <v>0</v>
      </c>
      <c r="AP310" s="20" t="b">
        <f t="shared" si="66"/>
        <v>0</v>
      </c>
      <c r="AQ310" s="20" t="b">
        <f t="shared" si="67"/>
        <v>0</v>
      </c>
      <c r="AR310" s="20" t="b">
        <f t="shared" si="68"/>
        <v>0</v>
      </c>
      <c r="AS310" s="20" t="b">
        <f t="shared" si="69"/>
        <v>0</v>
      </c>
      <c r="AT310" s="20" t="b">
        <f t="shared" si="70"/>
        <v>0</v>
      </c>
      <c r="AU310" s="20" t="b">
        <f t="shared" si="71"/>
        <v>0</v>
      </c>
    </row>
    <row r="311" spans="1:47">
      <c r="A311" s="20">
        <f t="shared" si="74"/>
        <v>7</v>
      </c>
      <c r="B311" s="564"/>
      <c r="C311" s="564"/>
      <c r="D311" s="564"/>
      <c r="E311" s="564"/>
      <c r="F311" s="568"/>
      <c r="G311" s="568"/>
      <c r="H311" s="564"/>
      <c r="I311" s="568"/>
      <c r="J311" s="564"/>
      <c r="K311" s="564"/>
      <c r="L311" s="569"/>
      <c r="M311" s="569"/>
      <c r="N311" s="569"/>
      <c r="O311" s="570"/>
      <c r="P311" s="564"/>
      <c r="Q311" s="564"/>
      <c r="R311" s="569"/>
      <c r="S311" s="569"/>
      <c r="T311" s="564"/>
      <c r="U311" s="564"/>
      <c r="V311" s="564"/>
      <c r="W311" s="54">
        <f t="shared" si="72"/>
        <v>0</v>
      </c>
      <c r="X311" s="54">
        <f t="shared" si="73"/>
        <v>0</v>
      </c>
      <c r="AJ311" s="20" t="b">
        <f t="shared" si="60"/>
        <v>0</v>
      </c>
      <c r="AK311" s="20" t="b">
        <f t="shared" si="61"/>
        <v>0</v>
      </c>
      <c r="AL311" s="20" t="b">
        <f t="shared" si="62"/>
        <v>0</v>
      </c>
      <c r="AM311" s="20" t="b">
        <f t="shared" si="63"/>
        <v>0</v>
      </c>
      <c r="AN311" s="20" t="b">
        <f t="shared" si="64"/>
        <v>0</v>
      </c>
      <c r="AO311" s="20" t="b">
        <f t="shared" si="65"/>
        <v>0</v>
      </c>
      <c r="AP311" s="20" t="b">
        <f t="shared" si="66"/>
        <v>0</v>
      </c>
      <c r="AQ311" s="20" t="b">
        <f t="shared" si="67"/>
        <v>0</v>
      </c>
      <c r="AR311" s="20" t="b">
        <f t="shared" si="68"/>
        <v>0</v>
      </c>
      <c r="AS311" s="20" t="b">
        <f t="shared" si="69"/>
        <v>0</v>
      </c>
      <c r="AT311" s="20" t="b">
        <f t="shared" si="70"/>
        <v>0</v>
      </c>
      <c r="AU311" s="20" t="b">
        <f t="shared" si="71"/>
        <v>0</v>
      </c>
    </row>
    <row r="312" spans="1:47">
      <c r="B312" s="564"/>
      <c r="C312" s="564"/>
      <c r="D312" s="564"/>
      <c r="E312" s="564"/>
      <c r="F312" s="568"/>
      <c r="G312" s="568"/>
      <c r="H312" s="564"/>
      <c r="I312" s="568"/>
      <c r="J312" s="564"/>
      <c r="K312" s="564"/>
      <c r="L312" s="569"/>
      <c r="M312" s="569"/>
      <c r="N312" s="569"/>
      <c r="O312" s="570"/>
      <c r="P312" s="564"/>
      <c r="Q312" s="564"/>
      <c r="R312" s="569"/>
      <c r="S312" s="569"/>
      <c r="T312" s="564"/>
      <c r="U312" s="564"/>
      <c r="V312" s="564"/>
      <c r="W312" s="54">
        <f t="shared" si="72"/>
        <v>0</v>
      </c>
      <c r="X312" s="54">
        <f t="shared" si="73"/>
        <v>0</v>
      </c>
      <c r="AJ312" s="20" t="b">
        <f t="shared" si="60"/>
        <v>0</v>
      </c>
      <c r="AK312" s="20" t="b">
        <f t="shared" si="61"/>
        <v>0</v>
      </c>
      <c r="AL312" s="20" t="b">
        <f t="shared" si="62"/>
        <v>0</v>
      </c>
      <c r="AM312" s="20" t="b">
        <f t="shared" si="63"/>
        <v>0</v>
      </c>
      <c r="AN312" s="20" t="b">
        <f t="shared" si="64"/>
        <v>0</v>
      </c>
      <c r="AO312" s="20" t="b">
        <f t="shared" si="65"/>
        <v>0</v>
      </c>
      <c r="AP312" s="20" t="b">
        <f t="shared" si="66"/>
        <v>0</v>
      </c>
      <c r="AQ312" s="20" t="b">
        <f t="shared" si="67"/>
        <v>0</v>
      </c>
      <c r="AR312" s="20" t="b">
        <f t="shared" si="68"/>
        <v>0</v>
      </c>
      <c r="AS312" s="20" t="b">
        <f t="shared" si="69"/>
        <v>0</v>
      </c>
      <c r="AT312" s="20" t="b">
        <f t="shared" si="70"/>
        <v>0</v>
      </c>
      <c r="AU312" s="20" t="b">
        <f t="shared" si="71"/>
        <v>0</v>
      </c>
    </row>
    <row r="313" spans="1:47">
      <c r="A313" s="20">
        <f>IF(F313=F311,A311,A311+1)</f>
        <v>7</v>
      </c>
      <c r="B313" s="564"/>
      <c r="C313" s="564"/>
      <c r="D313" s="564"/>
      <c r="E313" s="564"/>
      <c r="F313" s="568"/>
      <c r="G313" s="568"/>
      <c r="H313" s="564"/>
      <c r="I313" s="568"/>
      <c r="J313" s="564"/>
      <c r="K313" s="564"/>
      <c r="L313" s="569"/>
      <c r="M313" s="569"/>
      <c r="N313" s="569"/>
      <c r="O313" s="570"/>
      <c r="P313" s="564"/>
      <c r="Q313" s="564"/>
      <c r="R313" s="569"/>
      <c r="S313" s="569"/>
      <c r="T313" s="564"/>
      <c r="U313" s="564"/>
      <c r="V313" s="564"/>
      <c r="W313" s="54">
        <f t="shared" si="72"/>
        <v>0</v>
      </c>
      <c r="X313" s="54">
        <f t="shared" si="73"/>
        <v>0</v>
      </c>
      <c r="AJ313" s="20" t="b">
        <f t="shared" si="60"/>
        <v>0</v>
      </c>
      <c r="AK313" s="20" t="b">
        <f t="shared" si="61"/>
        <v>0</v>
      </c>
      <c r="AL313" s="20" t="b">
        <f t="shared" si="62"/>
        <v>0</v>
      </c>
      <c r="AM313" s="20" t="b">
        <f t="shared" si="63"/>
        <v>0</v>
      </c>
      <c r="AN313" s="20" t="b">
        <f t="shared" si="64"/>
        <v>0</v>
      </c>
      <c r="AO313" s="20" t="b">
        <f t="shared" si="65"/>
        <v>0</v>
      </c>
      <c r="AP313" s="20" t="b">
        <f t="shared" si="66"/>
        <v>0</v>
      </c>
      <c r="AQ313" s="20" t="b">
        <f t="shared" si="67"/>
        <v>0</v>
      </c>
      <c r="AR313" s="20" t="b">
        <f t="shared" si="68"/>
        <v>0</v>
      </c>
      <c r="AS313" s="20" t="b">
        <f t="shared" si="69"/>
        <v>0</v>
      </c>
      <c r="AT313" s="20" t="b">
        <f t="shared" si="70"/>
        <v>0</v>
      </c>
      <c r="AU313" s="20" t="b">
        <f t="shared" si="71"/>
        <v>0</v>
      </c>
    </row>
    <row r="314" spans="1:47">
      <c r="A314" s="20">
        <f t="shared" si="74"/>
        <v>7</v>
      </c>
      <c r="B314" s="564"/>
      <c r="C314" s="564"/>
      <c r="D314" s="564"/>
      <c r="E314" s="564"/>
      <c r="F314" s="568"/>
      <c r="G314" s="568"/>
      <c r="H314" s="564"/>
      <c r="I314" s="568"/>
      <c r="J314" s="564"/>
      <c r="K314" s="564"/>
      <c r="L314" s="569"/>
      <c r="M314" s="569"/>
      <c r="N314" s="569"/>
      <c r="O314" s="570"/>
      <c r="P314" s="564"/>
      <c r="Q314" s="564"/>
      <c r="R314" s="569"/>
      <c r="S314" s="569"/>
      <c r="T314" s="564"/>
      <c r="U314" s="564"/>
      <c r="V314" s="564"/>
      <c r="W314" s="54">
        <f t="shared" si="72"/>
        <v>0</v>
      </c>
      <c r="X314" s="54">
        <f t="shared" si="73"/>
        <v>0</v>
      </c>
      <c r="AJ314" s="20" t="b">
        <f t="shared" si="60"/>
        <v>0</v>
      </c>
      <c r="AK314" s="20" t="b">
        <f t="shared" si="61"/>
        <v>0</v>
      </c>
      <c r="AL314" s="20" t="b">
        <f t="shared" si="62"/>
        <v>0</v>
      </c>
      <c r="AM314" s="20" t="b">
        <f t="shared" si="63"/>
        <v>0</v>
      </c>
      <c r="AN314" s="20" t="b">
        <f t="shared" si="64"/>
        <v>0</v>
      </c>
      <c r="AO314" s="20" t="b">
        <f t="shared" si="65"/>
        <v>0</v>
      </c>
      <c r="AP314" s="20" t="b">
        <f t="shared" si="66"/>
        <v>0</v>
      </c>
      <c r="AQ314" s="20" t="b">
        <f t="shared" si="67"/>
        <v>0</v>
      </c>
      <c r="AR314" s="20" t="b">
        <f t="shared" si="68"/>
        <v>0</v>
      </c>
      <c r="AS314" s="20" t="b">
        <f t="shared" si="69"/>
        <v>0</v>
      </c>
      <c r="AT314" s="20" t="b">
        <f t="shared" si="70"/>
        <v>0</v>
      </c>
      <c r="AU314" s="20" t="b">
        <f t="shared" si="71"/>
        <v>0</v>
      </c>
    </row>
    <row r="315" spans="1:47">
      <c r="A315" s="20">
        <f t="shared" si="74"/>
        <v>7</v>
      </c>
      <c r="W315" s="54">
        <f t="shared" si="72"/>
        <v>0</v>
      </c>
      <c r="X315" s="54">
        <f t="shared" si="73"/>
        <v>0</v>
      </c>
      <c r="AJ315" s="20" t="b">
        <f t="shared" si="60"/>
        <v>0</v>
      </c>
      <c r="AK315" s="20" t="b">
        <f t="shared" si="61"/>
        <v>0</v>
      </c>
      <c r="AL315" s="20" t="b">
        <f t="shared" si="62"/>
        <v>0</v>
      </c>
      <c r="AM315" s="20" t="b">
        <f t="shared" si="63"/>
        <v>0</v>
      </c>
      <c r="AN315" s="20" t="b">
        <f t="shared" si="64"/>
        <v>0</v>
      </c>
      <c r="AO315" s="20" t="b">
        <f t="shared" si="65"/>
        <v>0</v>
      </c>
      <c r="AP315" s="20" t="b">
        <f t="shared" si="66"/>
        <v>0</v>
      </c>
      <c r="AQ315" s="20" t="b">
        <f t="shared" si="67"/>
        <v>0</v>
      </c>
      <c r="AR315" s="20" t="b">
        <f t="shared" si="68"/>
        <v>0</v>
      </c>
      <c r="AS315" s="20" t="b">
        <f t="shared" si="69"/>
        <v>0</v>
      </c>
      <c r="AT315" s="20" t="b">
        <f t="shared" si="70"/>
        <v>0</v>
      </c>
      <c r="AU315" s="20" t="b">
        <f t="shared" si="71"/>
        <v>0</v>
      </c>
    </row>
    <row r="316" spans="1:47">
      <c r="A316" s="20">
        <f t="shared" si="74"/>
        <v>7</v>
      </c>
      <c r="W316" s="54">
        <f t="shared" si="72"/>
        <v>0</v>
      </c>
      <c r="X316" s="54">
        <f t="shared" si="73"/>
        <v>0</v>
      </c>
      <c r="AJ316" s="20" t="b">
        <f t="shared" si="60"/>
        <v>0</v>
      </c>
      <c r="AK316" s="20" t="b">
        <f t="shared" si="61"/>
        <v>0</v>
      </c>
      <c r="AL316" s="20" t="b">
        <f t="shared" si="62"/>
        <v>0</v>
      </c>
      <c r="AM316" s="20" t="b">
        <f t="shared" si="63"/>
        <v>0</v>
      </c>
      <c r="AN316" s="20" t="b">
        <f t="shared" si="64"/>
        <v>0</v>
      </c>
      <c r="AO316" s="20" t="b">
        <f t="shared" si="65"/>
        <v>0</v>
      </c>
      <c r="AP316" s="20" t="b">
        <f t="shared" si="66"/>
        <v>0</v>
      </c>
      <c r="AQ316" s="20" t="b">
        <f t="shared" si="67"/>
        <v>0</v>
      </c>
      <c r="AR316" s="20" t="b">
        <f t="shared" si="68"/>
        <v>0</v>
      </c>
      <c r="AS316" s="20" t="b">
        <f t="shared" si="69"/>
        <v>0</v>
      </c>
      <c r="AT316" s="20" t="b">
        <f t="shared" si="70"/>
        <v>0</v>
      </c>
      <c r="AU316" s="20" t="b">
        <f t="shared" si="71"/>
        <v>0</v>
      </c>
    </row>
    <row r="317" spans="1:47">
      <c r="A317" s="20">
        <f t="shared" si="74"/>
        <v>7</v>
      </c>
      <c r="W317" s="54">
        <f t="shared" si="72"/>
        <v>0</v>
      </c>
      <c r="X317" s="54">
        <f t="shared" si="73"/>
        <v>0</v>
      </c>
      <c r="AJ317" s="20" t="b">
        <f t="shared" si="60"/>
        <v>0</v>
      </c>
      <c r="AK317" s="20" t="b">
        <f t="shared" si="61"/>
        <v>0</v>
      </c>
      <c r="AL317" s="20" t="b">
        <f t="shared" si="62"/>
        <v>0</v>
      </c>
      <c r="AM317" s="20" t="b">
        <f t="shared" si="63"/>
        <v>0</v>
      </c>
      <c r="AN317" s="20" t="b">
        <f t="shared" si="64"/>
        <v>0</v>
      </c>
      <c r="AO317" s="20" t="b">
        <f t="shared" si="65"/>
        <v>0</v>
      </c>
      <c r="AP317" s="20" t="b">
        <f t="shared" si="66"/>
        <v>0</v>
      </c>
      <c r="AQ317" s="20" t="b">
        <f t="shared" si="67"/>
        <v>0</v>
      </c>
      <c r="AR317" s="20" t="b">
        <f t="shared" si="68"/>
        <v>0</v>
      </c>
      <c r="AS317" s="20" t="b">
        <f t="shared" si="69"/>
        <v>0</v>
      </c>
      <c r="AT317" s="20" t="b">
        <f t="shared" si="70"/>
        <v>0</v>
      </c>
      <c r="AU317" s="20" t="b">
        <f t="shared" si="71"/>
        <v>0</v>
      </c>
    </row>
    <row r="318" spans="1:47">
      <c r="A318" s="20">
        <f t="shared" si="74"/>
        <v>7</v>
      </c>
      <c r="W318" s="54">
        <f t="shared" si="72"/>
        <v>0</v>
      </c>
      <c r="X318" s="54">
        <f t="shared" si="73"/>
        <v>0</v>
      </c>
      <c r="AJ318" s="20" t="b">
        <f t="shared" si="60"/>
        <v>0</v>
      </c>
      <c r="AK318" s="20" t="b">
        <f t="shared" si="61"/>
        <v>0</v>
      </c>
      <c r="AL318" s="20" t="b">
        <f t="shared" si="62"/>
        <v>0</v>
      </c>
      <c r="AM318" s="20" t="b">
        <f t="shared" si="63"/>
        <v>0</v>
      </c>
      <c r="AN318" s="20" t="b">
        <f t="shared" si="64"/>
        <v>0</v>
      </c>
      <c r="AO318" s="20" t="b">
        <f t="shared" si="65"/>
        <v>0</v>
      </c>
      <c r="AP318" s="20" t="b">
        <f t="shared" si="66"/>
        <v>0</v>
      </c>
      <c r="AQ318" s="20" t="b">
        <f t="shared" si="67"/>
        <v>0</v>
      </c>
      <c r="AR318" s="20" t="b">
        <f t="shared" si="68"/>
        <v>0</v>
      </c>
      <c r="AS318" s="20" t="b">
        <f t="shared" si="69"/>
        <v>0</v>
      </c>
      <c r="AT318" s="20" t="b">
        <f t="shared" si="70"/>
        <v>0</v>
      </c>
      <c r="AU318" s="20" t="b">
        <f t="shared" si="71"/>
        <v>0</v>
      </c>
    </row>
    <row r="319" spans="1:47">
      <c r="A319" s="20">
        <f t="shared" si="74"/>
        <v>7</v>
      </c>
      <c r="W319" s="54">
        <f t="shared" si="72"/>
        <v>0</v>
      </c>
      <c r="X319" s="54">
        <f t="shared" si="73"/>
        <v>0</v>
      </c>
      <c r="AJ319" s="20" t="b">
        <f t="shared" si="60"/>
        <v>0</v>
      </c>
      <c r="AK319" s="20" t="b">
        <f t="shared" si="61"/>
        <v>0</v>
      </c>
      <c r="AL319" s="20" t="b">
        <f t="shared" si="62"/>
        <v>0</v>
      </c>
      <c r="AM319" s="20" t="b">
        <f t="shared" si="63"/>
        <v>0</v>
      </c>
      <c r="AN319" s="20" t="b">
        <f t="shared" si="64"/>
        <v>0</v>
      </c>
      <c r="AO319" s="20" t="b">
        <f t="shared" si="65"/>
        <v>0</v>
      </c>
      <c r="AP319" s="20" t="b">
        <f t="shared" si="66"/>
        <v>0</v>
      </c>
      <c r="AQ319" s="20" t="b">
        <f t="shared" si="67"/>
        <v>0</v>
      </c>
      <c r="AR319" s="20" t="b">
        <f t="shared" si="68"/>
        <v>0</v>
      </c>
      <c r="AS319" s="20" t="b">
        <f t="shared" si="69"/>
        <v>0</v>
      </c>
      <c r="AT319" s="20" t="b">
        <f t="shared" si="70"/>
        <v>0</v>
      </c>
      <c r="AU319" s="20" t="b">
        <f t="shared" si="71"/>
        <v>0</v>
      </c>
    </row>
    <row r="320" spans="1:47">
      <c r="A320" s="20">
        <f t="shared" si="74"/>
        <v>7</v>
      </c>
      <c r="W320" s="54">
        <f t="shared" si="72"/>
        <v>0</v>
      </c>
      <c r="X320" s="54">
        <f t="shared" si="73"/>
        <v>0</v>
      </c>
      <c r="AJ320" s="20" t="b">
        <f t="shared" si="60"/>
        <v>0</v>
      </c>
      <c r="AK320" s="20" t="b">
        <f t="shared" si="61"/>
        <v>0</v>
      </c>
      <c r="AL320" s="20" t="b">
        <f t="shared" si="62"/>
        <v>0</v>
      </c>
      <c r="AM320" s="20" t="b">
        <f t="shared" si="63"/>
        <v>0</v>
      </c>
      <c r="AN320" s="20" t="b">
        <f t="shared" si="64"/>
        <v>0</v>
      </c>
      <c r="AO320" s="20" t="b">
        <f t="shared" si="65"/>
        <v>0</v>
      </c>
      <c r="AP320" s="20" t="b">
        <f t="shared" si="66"/>
        <v>0</v>
      </c>
      <c r="AQ320" s="20" t="b">
        <f t="shared" si="67"/>
        <v>0</v>
      </c>
      <c r="AR320" s="20" t="b">
        <f t="shared" si="68"/>
        <v>0</v>
      </c>
      <c r="AS320" s="20" t="b">
        <f t="shared" si="69"/>
        <v>0</v>
      </c>
      <c r="AT320" s="20" t="b">
        <f t="shared" si="70"/>
        <v>0</v>
      </c>
      <c r="AU320" s="20" t="b">
        <f t="shared" si="71"/>
        <v>0</v>
      </c>
    </row>
    <row r="321" spans="1:47">
      <c r="A321" s="20">
        <f t="shared" si="74"/>
        <v>7</v>
      </c>
      <c r="W321" s="54">
        <f t="shared" si="72"/>
        <v>0</v>
      </c>
      <c r="X321" s="54">
        <f t="shared" si="73"/>
        <v>0</v>
      </c>
      <c r="AJ321" s="20" t="b">
        <f t="shared" si="60"/>
        <v>0</v>
      </c>
      <c r="AK321" s="20" t="b">
        <f t="shared" si="61"/>
        <v>0</v>
      </c>
      <c r="AL321" s="20" t="b">
        <f t="shared" si="62"/>
        <v>0</v>
      </c>
      <c r="AM321" s="20" t="b">
        <f t="shared" si="63"/>
        <v>0</v>
      </c>
      <c r="AN321" s="20" t="b">
        <f t="shared" si="64"/>
        <v>0</v>
      </c>
      <c r="AO321" s="20" t="b">
        <f t="shared" si="65"/>
        <v>0</v>
      </c>
      <c r="AP321" s="20" t="b">
        <f t="shared" si="66"/>
        <v>0</v>
      </c>
      <c r="AQ321" s="20" t="b">
        <f t="shared" si="67"/>
        <v>0</v>
      </c>
      <c r="AR321" s="20" t="b">
        <f t="shared" si="68"/>
        <v>0</v>
      </c>
      <c r="AS321" s="20" t="b">
        <f t="shared" si="69"/>
        <v>0</v>
      </c>
      <c r="AT321" s="20" t="b">
        <f t="shared" si="70"/>
        <v>0</v>
      </c>
      <c r="AU321" s="20" t="b">
        <f t="shared" si="71"/>
        <v>0</v>
      </c>
    </row>
    <row r="322" spans="1:47">
      <c r="A322" s="20">
        <f t="shared" si="74"/>
        <v>7</v>
      </c>
      <c r="W322" s="54">
        <f t="shared" si="72"/>
        <v>0</v>
      </c>
      <c r="X322" s="54">
        <f t="shared" si="73"/>
        <v>0</v>
      </c>
      <c r="AJ322" s="20" t="b">
        <f t="shared" ref="AJ322:AJ385" si="75">IF(AND(A322=2, J322="PF", T322="YES", V322="A"), L322)</f>
        <v>0</v>
      </c>
      <c r="AK322" s="20" t="b">
        <f t="shared" ref="AK322:AK385" si="76">IF(AND(A322=3, J322="PF", T322="YES", V322="A"), L322)</f>
        <v>0</v>
      </c>
      <c r="AL322" s="20" t="b">
        <f t="shared" ref="AL322:AL385" si="77">IF(AND(A322=4, J322="PF", T322="YES", V322="A"), L322)</f>
        <v>0</v>
      </c>
      <c r="AM322" s="20" t="b">
        <f t="shared" ref="AM322:AM385" si="78">IF(AND(A322=5, J322="PF", T322="YES", V322="A"), L322)</f>
        <v>0</v>
      </c>
      <c r="AN322" s="20" t="b">
        <f t="shared" ref="AN322:AN385" si="79">IF(AND(A322=6, J322="PF", T322="YES", V322="A"), L322)</f>
        <v>0</v>
      </c>
      <c r="AO322" s="20" t="b">
        <f t="shared" ref="AO322:AO385" si="80">IF(AND(A322=7, J322="PF", T322="YES", V322="A"), L322)</f>
        <v>0</v>
      </c>
      <c r="AP322" s="20" t="b">
        <f t="shared" ref="AP322:AP385" si="81">IF(AND(A322=8, J322="PF", T322="YES", V322="A"), L322)</f>
        <v>0</v>
      </c>
      <c r="AQ322" s="20" t="b">
        <f t="shared" ref="AQ322:AQ385" si="82">IF(AND(A322=9, J322="PF", T322="YES", V322="A"), L322)</f>
        <v>0</v>
      </c>
      <c r="AR322" s="20" t="b">
        <f t="shared" ref="AR322:AR385" si="83">IF(AND(A322=10, J322="PF", T322="YES", V322="A"), L322)</f>
        <v>0</v>
      </c>
      <c r="AS322" s="20" t="b">
        <f t="shared" ref="AS322:AS385" si="84">IF(AND(A322=11, J322="PF", T322="YES", V322="A"), L322)</f>
        <v>0</v>
      </c>
      <c r="AT322" s="20" t="b">
        <f t="shared" ref="AT322:AT385" si="85">IF(AND(A322=12, J322="PF", T322="YES", V322="A"), L322)</f>
        <v>0</v>
      </c>
      <c r="AU322" s="20" t="b">
        <f t="shared" ref="AU322:AU385" si="86">IF(AND(A322=13, J322="PF", T322="YES", V322="A"), L322)</f>
        <v>0</v>
      </c>
    </row>
    <row r="323" spans="1:47">
      <c r="A323" s="20">
        <f t="shared" si="74"/>
        <v>7</v>
      </c>
      <c r="W323" s="54">
        <f t="shared" ref="W323:W386" si="87">IF(J323="pf", L323, 0)</f>
        <v>0</v>
      </c>
      <c r="X323" s="54">
        <f t="shared" ref="X323:X386" si="88">IF(J323&lt;&gt;"PF", L323, 0)</f>
        <v>0</v>
      </c>
      <c r="AJ323" s="20" t="b">
        <f t="shared" si="75"/>
        <v>0</v>
      </c>
      <c r="AK323" s="20" t="b">
        <f t="shared" si="76"/>
        <v>0</v>
      </c>
      <c r="AL323" s="20" t="b">
        <f t="shared" si="77"/>
        <v>0</v>
      </c>
      <c r="AM323" s="20" t="b">
        <f t="shared" si="78"/>
        <v>0</v>
      </c>
      <c r="AN323" s="20" t="b">
        <f t="shared" si="79"/>
        <v>0</v>
      </c>
      <c r="AO323" s="20" t="b">
        <f t="shared" si="80"/>
        <v>0</v>
      </c>
      <c r="AP323" s="20" t="b">
        <f t="shared" si="81"/>
        <v>0</v>
      </c>
      <c r="AQ323" s="20" t="b">
        <f t="shared" si="82"/>
        <v>0</v>
      </c>
      <c r="AR323" s="20" t="b">
        <f t="shared" si="83"/>
        <v>0</v>
      </c>
      <c r="AS323" s="20" t="b">
        <f t="shared" si="84"/>
        <v>0</v>
      </c>
      <c r="AT323" s="20" t="b">
        <f t="shared" si="85"/>
        <v>0</v>
      </c>
      <c r="AU323" s="20" t="b">
        <f t="shared" si="86"/>
        <v>0</v>
      </c>
    </row>
    <row r="324" spans="1:47">
      <c r="A324" s="20">
        <f t="shared" si="74"/>
        <v>7</v>
      </c>
      <c r="W324" s="54">
        <f t="shared" si="87"/>
        <v>0</v>
      </c>
      <c r="X324" s="54">
        <f t="shared" si="88"/>
        <v>0</v>
      </c>
      <c r="AJ324" s="20" t="b">
        <f t="shared" si="75"/>
        <v>0</v>
      </c>
      <c r="AK324" s="20" t="b">
        <f t="shared" si="76"/>
        <v>0</v>
      </c>
      <c r="AL324" s="20" t="b">
        <f t="shared" si="77"/>
        <v>0</v>
      </c>
      <c r="AM324" s="20" t="b">
        <f t="shared" si="78"/>
        <v>0</v>
      </c>
      <c r="AN324" s="20" t="b">
        <f t="shared" si="79"/>
        <v>0</v>
      </c>
      <c r="AO324" s="20" t="b">
        <f t="shared" si="80"/>
        <v>0</v>
      </c>
      <c r="AP324" s="20" t="b">
        <f t="shared" si="81"/>
        <v>0</v>
      </c>
      <c r="AQ324" s="20" t="b">
        <f t="shared" si="82"/>
        <v>0</v>
      </c>
      <c r="AR324" s="20" t="b">
        <f t="shared" si="83"/>
        <v>0</v>
      </c>
      <c r="AS324" s="20" t="b">
        <f t="shared" si="84"/>
        <v>0</v>
      </c>
      <c r="AT324" s="20" t="b">
        <f t="shared" si="85"/>
        <v>0</v>
      </c>
      <c r="AU324" s="20" t="b">
        <f t="shared" si="86"/>
        <v>0</v>
      </c>
    </row>
    <row r="325" spans="1:47">
      <c r="A325" s="20">
        <f t="shared" si="74"/>
        <v>7</v>
      </c>
      <c r="W325" s="54">
        <f t="shared" si="87"/>
        <v>0</v>
      </c>
      <c r="X325" s="54">
        <f t="shared" si="88"/>
        <v>0</v>
      </c>
      <c r="AJ325" s="20" t="b">
        <f t="shared" si="75"/>
        <v>0</v>
      </c>
      <c r="AK325" s="20" t="b">
        <f t="shared" si="76"/>
        <v>0</v>
      </c>
      <c r="AL325" s="20" t="b">
        <f t="shared" si="77"/>
        <v>0</v>
      </c>
      <c r="AM325" s="20" t="b">
        <f t="shared" si="78"/>
        <v>0</v>
      </c>
      <c r="AN325" s="20" t="b">
        <f t="shared" si="79"/>
        <v>0</v>
      </c>
      <c r="AO325" s="20" t="b">
        <f t="shared" si="80"/>
        <v>0</v>
      </c>
      <c r="AP325" s="20" t="b">
        <f t="shared" si="81"/>
        <v>0</v>
      </c>
      <c r="AQ325" s="20" t="b">
        <f t="shared" si="82"/>
        <v>0</v>
      </c>
      <c r="AR325" s="20" t="b">
        <f t="shared" si="83"/>
        <v>0</v>
      </c>
      <c r="AS325" s="20" t="b">
        <f t="shared" si="84"/>
        <v>0</v>
      </c>
      <c r="AT325" s="20" t="b">
        <f t="shared" si="85"/>
        <v>0</v>
      </c>
      <c r="AU325" s="20" t="b">
        <f t="shared" si="86"/>
        <v>0</v>
      </c>
    </row>
    <row r="326" spans="1:47">
      <c r="A326" s="20">
        <f t="shared" si="74"/>
        <v>7</v>
      </c>
      <c r="W326" s="54">
        <f t="shared" si="87"/>
        <v>0</v>
      </c>
      <c r="X326" s="54">
        <f t="shared" si="88"/>
        <v>0</v>
      </c>
      <c r="AJ326" s="20" t="b">
        <f t="shared" si="75"/>
        <v>0</v>
      </c>
      <c r="AK326" s="20" t="b">
        <f t="shared" si="76"/>
        <v>0</v>
      </c>
      <c r="AL326" s="20" t="b">
        <f t="shared" si="77"/>
        <v>0</v>
      </c>
      <c r="AM326" s="20" t="b">
        <f t="shared" si="78"/>
        <v>0</v>
      </c>
      <c r="AN326" s="20" t="b">
        <f t="shared" si="79"/>
        <v>0</v>
      </c>
      <c r="AO326" s="20" t="b">
        <f t="shared" si="80"/>
        <v>0</v>
      </c>
      <c r="AP326" s="20" t="b">
        <f t="shared" si="81"/>
        <v>0</v>
      </c>
      <c r="AQ326" s="20" t="b">
        <f t="shared" si="82"/>
        <v>0</v>
      </c>
      <c r="AR326" s="20" t="b">
        <f t="shared" si="83"/>
        <v>0</v>
      </c>
      <c r="AS326" s="20" t="b">
        <f t="shared" si="84"/>
        <v>0</v>
      </c>
      <c r="AT326" s="20" t="b">
        <f t="shared" si="85"/>
        <v>0</v>
      </c>
      <c r="AU326" s="20" t="b">
        <f t="shared" si="86"/>
        <v>0</v>
      </c>
    </row>
    <row r="327" spans="1:47">
      <c r="A327" s="20">
        <f t="shared" ref="A327:A390" si="89">IF(F327=F326,A326,A326+1)</f>
        <v>7</v>
      </c>
      <c r="W327" s="54">
        <f t="shared" si="87"/>
        <v>0</v>
      </c>
      <c r="X327" s="54">
        <f t="shared" si="88"/>
        <v>0</v>
      </c>
      <c r="AJ327" s="20" t="b">
        <f t="shared" si="75"/>
        <v>0</v>
      </c>
      <c r="AK327" s="20" t="b">
        <f t="shared" si="76"/>
        <v>0</v>
      </c>
      <c r="AL327" s="20" t="b">
        <f t="shared" si="77"/>
        <v>0</v>
      </c>
      <c r="AM327" s="20" t="b">
        <f t="shared" si="78"/>
        <v>0</v>
      </c>
      <c r="AN327" s="20" t="b">
        <f t="shared" si="79"/>
        <v>0</v>
      </c>
      <c r="AO327" s="20" t="b">
        <f t="shared" si="80"/>
        <v>0</v>
      </c>
      <c r="AP327" s="20" t="b">
        <f t="shared" si="81"/>
        <v>0</v>
      </c>
      <c r="AQ327" s="20" t="b">
        <f t="shared" si="82"/>
        <v>0</v>
      </c>
      <c r="AR327" s="20" t="b">
        <f t="shared" si="83"/>
        <v>0</v>
      </c>
      <c r="AS327" s="20" t="b">
        <f t="shared" si="84"/>
        <v>0</v>
      </c>
      <c r="AT327" s="20" t="b">
        <f t="shared" si="85"/>
        <v>0</v>
      </c>
      <c r="AU327" s="20" t="b">
        <f t="shared" si="86"/>
        <v>0</v>
      </c>
    </row>
    <row r="328" spans="1:47">
      <c r="A328" s="20">
        <f t="shared" si="89"/>
        <v>7</v>
      </c>
      <c r="W328" s="54">
        <f t="shared" si="87"/>
        <v>0</v>
      </c>
      <c r="X328" s="54">
        <f t="shared" si="88"/>
        <v>0</v>
      </c>
      <c r="AJ328" s="20" t="b">
        <f t="shared" si="75"/>
        <v>0</v>
      </c>
      <c r="AK328" s="20" t="b">
        <f t="shared" si="76"/>
        <v>0</v>
      </c>
      <c r="AL328" s="20" t="b">
        <f t="shared" si="77"/>
        <v>0</v>
      </c>
      <c r="AM328" s="20" t="b">
        <f t="shared" si="78"/>
        <v>0</v>
      </c>
      <c r="AN328" s="20" t="b">
        <f t="shared" si="79"/>
        <v>0</v>
      </c>
      <c r="AO328" s="20" t="b">
        <f t="shared" si="80"/>
        <v>0</v>
      </c>
      <c r="AP328" s="20" t="b">
        <f t="shared" si="81"/>
        <v>0</v>
      </c>
      <c r="AQ328" s="20" t="b">
        <f t="shared" si="82"/>
        <v>0</v>
      </c>
      <c r="AR328" s="20" t="b">
        <f t="shared" si="83"/>
        <v>0</v>
      </c>
      <c r="AS328" s="20" t="b">
        <f t="shared" si="84"/>
        <v>0</v>
      </c>
      <c r="AT328" s="20" t="b">
        <f t="shared" si="85"/>
        <v>0</v>
      </c>
      <c r="AU328" s="20" t="b">
        <f t="shared" si="86"/>
        <v>0</v>
      </c>
    </row>
    <row r="329" spans="1:47">
      <c r="A329" s="20">
        <f t="shared" si="89"/>
        <v>7</v>
      </c>
      <c r="W329" s="54">
        <f t="shared" si="87"/>
        <v>0</v>
      </c>
      <c r="X329" s="54">
        <f t="shared" si="88"/>
        <v>0</v>
      </c>
      <c r="AJ329" s="20" t="b">
        <f t="shared" si="75"/>
        <v>0</v>
      </c>
      <c r="AK329" s="20" t="b">
        <f t="shared" si="76"/>
        <v>0</v>
      </c>
      <c r="AL329" s="20" t="b">
        <f t="shared" si="77"/>
        <v>0</v>
      </c>
      <c r="AM329" s="20" t="b">
        <f t="shared" si="78"/>
        <v>0</v>
      </c>
      <c r="AN329" s="20" t="b">
        <f t="shared" si="79"/>
        <v>0</v>
      </c>
      <c r="AO329" s="20" t="b">
        <f t="shared" si="80"/>
        <v>0</v>
      </c>
      <c r="AP329" s="20" t="b">
        <f t="shared" si="81"/>
        <v>0</v>
      </c>
      <c r="AQ329" s="20" t="b">
        <f t="shared" si="82"/>
        <v>0</v>
      </c>
      <c r="AR329" s="20" t="b">
        <f t="shared" si="83"/>
        <v>0</v>
      </c>
      <c r="AS329" s="20" t="b">
        <f t="shared" si="84"/>
        <v>0</v>
      </c>
      <c r="AT329" s="20" t="b">
        <f t="shared" si="85"/>
        <v>0</v>
      </c>
      <c r="AU329" s="20" t="b">
        <f t="shared" si="86"/>
        <v>0</v>
      </c>
    </row>
    <row r="330" spans="1:47">
      <c r="A330" s="20">
        <f t="shared" si="89"/>
        <v>7</v>
      </c>
      <c r="W330" s="54">
        <f t="shared" si="87"/>
        <v>0</v>
      </c>
      <c r="X330" s="54">
        <f t="shared" si="88"/>
        <v>0</v>
      </c>
      <c r="AJ330" s="20" t="b">
        <f t="shared" si="75"/>
        <v>0</v>
      </c>
      <c r="AK330" s="20" t="b">
        <f t="shared" si="76"/>
        <v>0</v>
      </c>
      <c r="AL330" s="20" t="b">
        <f t="shared" si="77"/>
        <v>0</v>
      </c>
      <c r="AM330" s="20" t="b">
        <f t="shared" si="78"/>
        <v>0</v>
      </c>
      <c r="AN330" s="20" t="b">
        <f t="shared" si="79"/>
        <v>0</v>
      </c>
      <c r="AO330" s="20" t="b">
        <f t="shared" si="80"/>
        <v>0</v>
      </c>
      <c r="AP330" s="20" t="b">
        <f t="shared" si="81"/>
        <v>0</v>
      </c>
      <c r="AQ330" s="20" t="b">
        <f t="shared" si="82"/>
        <v>0</v>
      </c>
      <c r="AR330" s="20" t="b">
        <f t="shared" si="83"/>
        <v>0</v>
      </c>
      <c r="AS330" s="20" t="b">
        <f t="shared" si="84"/>
        <v>0</v>
      </c>
      <c r="AT330" s="20" t="b">
        <f t="shared" si="85"/>
        <v>0</v>
      </c>
      <c r="AU330" s="20" t="b">
        <f t="shared" si="86"/>
        <v>0</v>
      </c>
    </row>
    <row r="331" spans="1:47">
      <c r="A331" s="20">
        <f t="shared" si="89"/>
        <v>7</v>
      </c>
      <c r="W331" s="54">
        <f t="shared" si="87"/>
        <v>0</v>
      </c>
      <c r="X331" s="54">
        <f t="shared" si="88"/>
        <v>0</v>
      </c>
      <c r="AJ331" s="20" t="b">
        <f t="shared" si="75"/>
        <v>0</v>
      </c>
      <c r="AK331" s="20" t="b">
        <f t="shared" si="76"/>
        <v>0</v>
      </c>
      <c r="AL331" s="20" t="b">
        <f t="shared" si="77"/>
        <v>0</v>
      </c>
      <c r="AM331" s="20" t="b">
        <f t="shared" si="78"/>
        <v>0</v>
      </c>
      <c r="AN331" s="20" t="b">
        <f t="shared" si="79"/>
        <v>0</v>
      </c>
      <c r="AO331" s="20" t="b">
        <f t="shared" si="80"/>
        <v>0</v>
      </c>
      <c r="AP331" s="20" t="b">
        <f t="shared" si="81"/>
        <v>0</v>
      </c>
      <c r="AQ331" s="20" t="b">
        <f t="shared" si="82"/>
        <v>0</v>
      </c>
      <c r="AR331" s="20" t="b">
        <f t="shared" si="83"/>
        <v>0</v>
      </c>
      <c r="AS331" s="20" t="b">
        <f t="shared" si="84"/>
        <v>0</v>
      </c>
      <c r="AT331" s="20" t="b">
        <f t="shared" si="85"/>
        <v>0</v>
      </c>
      <c r="AU331" s="20" t="b">
        <f t="shared" si="86"/>
        <v>0</v>
      </c>
    </row>
    <row r="332" spans="1:47">
      <c r="A332" s="20">
        <f t="shared" si="89"/>
        <v>7</v>
      </c>
      <c r="W332" s="54">
        <f t="shared" si="87"/>
        <v>0</v>
      </c>
      <c r="X332" s="54">
        <f t="shared" si="88"/>
        <v>0</v>
      </c>
      <c r="AJ332" s="20" t="b">
        <f t="shared" si="75"/>
        <v>0</v>
      </c>
      <c r="AK332" s="20" t="b">
        <f t="shared" si="76"/>
        <v>0</v>
      </c>
      <c r="AL332" s="20" t="b">
        <f t="shared" si="77"/>
        <v>0</v>
      </c>
      <c r="AM332" s="20" t="b">
        <f t="shared" si="78"/>
        <v>0</v>
      </c>
      <c r="AN332" s="20" t="b">
        <f t="shared" si="79"/>
        <v>0</v>
      </c>
      <c r="AO332" s="20" t="b">
        <f t="shared" si="80"/>
        <v>0</v>
      </c>
      <c r="AP332" s="20" t="b">
        <f t="shared" si="81"/>
        <v>0</v>
      </c>
      <c r="AQ332" s="20" t="b">
        <f t="shared" si="82"/>
        <v>0</v>
      </c>
      <c r="AR332" s="20" t="b">
        <f t="shared" si="83"/>
        <v>0</v>
      </c>
      <c r="AS332" s="20" t="b">
        <f t="shared" si="84"/>
        <v>0</v>
      </c>
      <c r="AT332" s="20" t="b">
        <f t="shared" si="85"/>
        <v>0</v>
      </c>
      <c r="AU332" s="20" t="b">
        <f t="shared" si="86"/>
        <v>0</v>
      </c>
    </row>
    <row r="333" spans="1:47">
      <c r="A333" s="20">
        <f t="shared" si="89"/>
        <v>7</v>
      </c>
      <c r="W333" s="54">
        <f t="shared" si="87"/>
        <v>0</v>
      </c>
      <c r="X333" s="54">
        <f t="shared" si="88"/>
        <v>0</v>
      </c>
      <c r="AJ333" s="20" t="b">
        <f t="shared" si="75"/>
        <v>0</v>
      </c>
      <c r="AK333" s="20" t="b">
        <f t="shared" si="76"/>
        <v>0</v>
      </c>
      <c r="AL333" s="20" t="b">
        <f t="shared" si="77"/>
        <v>0</v>
      </c>
      <c r="AM333" s="20" t="b">
        <f t="shared" si="78"/>
        <v>0</v>
      </c>
      <c r="AN333" s="20" t="b">
        <f t="shared" si="79"/>
        <v>0</v>
      </c>
      <c r="AO333" s="20" t="b">
        <f t="shared" si="80"/>
        <v>0</v>
      </c>
      <c r="AP333" s="20" t="b">
        <f t="shared" si="81"/>
        <v>0</v>
      </c>
      <c r="AQ333" s="20" t="b">
        <f t="shared" si="82"/>
        <v>0</v>
      </c>
      <c r="AR333" s="20" t="b">
        <f t="shared" si="83"/>
        <v>0</v>
      </c>
      <c r="AS333" s="20" t="b">
        <f t="shared" si="84"/>
        <v>0</v>
      </c>
      <c r="AT333" s="20" t="b">
        <f t="shared" si="85"/>
        <v>0</v>
      </c>
      <c r="AU333" s="20" t="b">
        <f t="shared" si="86"/>
        <v>0</v>
      </c>
    </row>
    <row r="334" spans="1:47">
      <c r="A334" s="20">
        <f t="shared" si="89"/>
        <v>7</v>
      </c>
      <c r="W334" s="54">
        <f t="shared" si="87"/>
        <v>0</v>
      </c>
      <c r="X334" s="54">
        <f t="shared" si="88"/>
        <v>0</v>
      </c>
      <c r="AJ334" s="20" t="b">
        <f t="shared" si="75"/>
        <v>0</v>
      </c>
      <c r="AK334" s="20" t="b">
        <f t="shared" si="76"/>
        <v>0</v>
      </c>
      <c r="AL334" s="20" t="b">
        <f t="shared" si="77"/>
        <v>0</v>
      </c>
      <c r="AM334" s="20" t="b">
        <f t="shared" si="78"/>
        <v>0</v>
      </c>
      <c r="AN334" s="20" t="b">
        <f t="shared" si="79"/>
        <v>0</v>
      </c>
      <c r="AO334" s="20" t="b">
        <f t="shared" si="80"/>
        <v>0</v>
      </c>
      <c r="AP334" s="20" t="b">
        <f t="shared" si="81"/>
        <v>0</v>
      </c>
      <c r="AQ334" s="20" t="b">
        <f t="shared" si="82"/>
        <v>0</v>
      </c>
      <c r="AR334" s="20" t="b">
        <f t="shared" si="83"/>
        <v>0</v>
      </c>
      <c r="AS334" s="20" t="b">
        <f t="shared" si="84"/>
        <v>0</v>
      </c>
      <c r="AT334" s="20" t="b">
        <f t="shared" si="85"/>
        <v>0</v>
      </c>
      <c r="AU334" s="20" t="b">
        <f t="shared" si="86"/>
        <v>0</v>
      </c>
    </row>
    <row r="335" spans="1:47">
      <c r="A335" s="20">
        <f t="shared" si="89"/>
        <v>7</v>
      </c>
      <c r="W335" s="54">
        <f t="shared" si="87"/>
        <v>0</v>
      </c>
      <c r="X335" s="54">
        <f t="shared" si="88"/>
        <v>0</v>
      </c>
      <c r="AJ335" s="20" t="b">
        <f t="shared" si="75"/>
        <v>0</v>
      </c>
      <c r="AK335" s="20" t="b">
        <f t="shared" si="76"/>
        <v>0</v>
      </c>
      <c r="AL335" s="20" t="b">
        <f t="shared" si="77"/>
        <v>0</v>
      </c>
      <c r="AM335" s="20" t="b">
        <f t="shared" si="78"/>
        <v>0</v>
      </c>
      <c r="AN335" s="20" t="b">
        <f t="shared" si="79"/>
        <v>0</v>
      </c>
      <c r="AO335" s="20" t="b">
        <f t="shared" si="80"/>
        <v>0</v>
      </c>
      <c r="AP335" s="20" t="b">
        <f t="shared" si="81"/>
        <v>0</v>
      </c>
      <c r="AQ335" s="20" t="b">
        <f t="shared" si="82"/>
        <v>0</v>
      </c>
      <c r="AR335" s="20" t="b">
        <f t="shared" si="83"/>
        <v>0</v>
      </c>
      <c r="AS335" s="20" t="b">
        <f t="shared" si="84"/>
        <v>0</v>
      </c>
      <c r="AT335" s="20" t="b">
        <f t="shared" si="85"/>
        <v>0</v>
      </c>
      <c r="AU335" s="20" t="b">
        <f t="shared" si="86"/>
        <v>0</v>
      </c>
    </row>
    <row r="336" spans="1:47">
      <c r="A336" s="20">
        <f t="shared" si="89"/>
        <v>7</v>
      </c>
      <c r="W336" s="54">
        <f t="shared" si="87"/>
        <v>0</v>
      </c>
      <c r="X336" s="54">
        <f t="shared" si="88"/>
        <v>0</v>
      </c>
      <c r="AJ336" s="20" t="b">
        <f t="shared" si="75"/>
        <v>0</v>
      </c>
      <c r="AK336" s="20" t="b">
        <f t="shared" si="76"/>
        <v>0</v>
      </c>
      <c r="AL336" s="20" t="b">
        <f t="shared" si="77"/>
        <v>0</v>
      </c>
      <c r="AM336" s="20" t="b">
        <f t="shared" si="78"/>
        <v>0</v>
      </c>
      <c r="AN336" s="20" t="b">
        <f t="shared" si="79"/>
        <v>0</v>
      </c>
      <c r="AO336" s="20" t="b">
        <f t="shared" si="80"/>
        <v>0</v>
      </c>
      <c r="AP336" s="20" t="b">
        <f t="shared" si="81"/>
        <v>0</v>
      </c>
      <c r="AQ336" s="20" t="b">
        <f t="shared" si="82"/>
        <v>0</v>
      </c>
      <c r="AR336" s="20" t="b">
        <f t="shared" si="83"/>
        <v>0</v>
      </c>
      <c r="AS336" s="20" t="b">
        <f t="shared" si="84"/>
        <v>0</v>
      </c>
      <c r="AT336" s="20" t="b">
        <f t="shared" si="85"/>
        <v>0</v>
      </c>
      <c r="AU336" s="20" t="b">
        <f t="shared" si="86"/>
        <v>0</v>
      </c>
    </row>
    <row r="337" spans="1:47">
      <c r="A337" s="20">
        <f t="shared" si="89"/>
        <v>7</v>
      </c>
      <c r="W337" s="54">
        <f t="shared" si="87"/>
        <v>0</v>
      </c>
      <c r="X337" s="54">
        <f t="shared" si="88"/>
        <v>0</v>
      </c>
      <c r="AJ337" s="20" t="b">
        <f t="shared" si="75"/>
        <v>0</v>
      </c>
      <c r="AK337" s="20" t="b">
        <f t="shared" si="76"/>
        <v>0</v>
      </c>
      <c r="AL337" s="20" t="b">
        <f t="shared" si="77"/>
        <v>0</v>
      </c>
      <c r="AM337" s="20" t="b">
        <f t="shared" si="78"/>
        <v>0</v>
      </c>
      <c r="AN337" s="20" t="b">
        <f t="shared" si="79"/>
        <v>0</v>
      </c>
      <c r="AO337" s="20" t="b">
        <f t="shared" si="80"/>
        <v>0</v>
      </c>
      <c r="AP337" s="20" t="b">
        <f t="shared" si="81"/>
        <v>0</v>
      </c>
      <c r="AQ337" s="20" t="b">
        <f t="shared" si="82"/>
        <v>0</v>
      </c>
      <c r="AR337" s="20" t="b">
        <f t="shared" si="83"/>
        <v>0</v>
      </c>
      <c r="AS337" s="20" t="b">
        <f t="shared" si="84"/>
        <v>0</v>
      </c>
      <c r="AT337" s="20" t="b">
        <f t="shared" si="85"/>
        <v>0</v>
      </c>
      <c r="AU337" s="20" t="b">
        <f t="shared" si="86"/>
        <v>0</v>
      </c>
    </row>
    <row r="338" spans="1:47">
      <c r="A338" s="20">
        <f t="shared" si="89"/>
        <v>7</v>
      </c>
      <c r="W338" s="54">
        <f t="shared" si="87"/>
        <v>0</v>
      </c>
      <c r="X338" s="54">
        <f t="shared" si="88"/>
        <v>0</v>
      </c>
      <c r="AJ338" s="20" t="b">
        <f t="shared" si="75"/>
        <v>0</v>
      </c>
      <c r="AK338" s="20" t="b">
        <f t="shared" si="76"/>
        <v>0</v>
      </c>
      <c r="AL338" s="20" t="b">
        <f t="shared" si="77"/>
        <v>0</v>
      </c>
      <c r="AM338" s="20" t="b">
        <f t="shared" si="78"/>
        <v>0</v>
      </c>
      <c r="AN338" s="20" t="b">
        <f t="shared" si="79"/>
        <v>0</v>
      </c>
      <c r="AO338" s="20" t="b">
        <f t="shared" si="80"/>
        <v>0</v>
      </c>
      <c r="AP338" s="20" t="b">
        <f t="shared" si="81"/>
        <v>0</v>
      </c>
      <c r="AQ338" s="20" t="b">
        <f t="shared" si="82"/>
        <v>0</v>
      </c>
      <c r="AR338" s="20" t="b">
        <f t="shared" si="83"/>
        <v>0</v>
      </c>
      <c r="AS338" s="20" t="b">
        <f t="shared" si="84"/>
        <v>0</v>
      </c>
      <c r="AT338" s="20" t="b">
        <f t="shared" si="85"/>
        <v>0</v>
      </c>
      <c r="AU338" s="20" t="b">
        <f t="shared" si="86"/>
        <v>0</v>
      </c>
    </row>
    <row r="339" spans="1:47">
      <c r="A339" s="20">
        <f t="shared" si="89"/>
        <v>7</v>
      </c>
      <c r="W339" s="54">
        <f t="shared" si="87"/>
        <v>0</v>
      </c>
      <c r="X339" s="54">
        <f t="shared" si="88"/>
        <v>0</v>
      </c>
      <c r="AJ339" s="20" t="b">
        <f t="shared" si="75"/>
        <v>0</v>
      </c>
      <c r="AK339" s="20" t="b">
        <f t="shared" si="76"/>
        <v>0</v>
      </c>
      <c r="AL339" s="20" t="b">
        <f t="shared" si="77"/>
        <v>0</v>
      </c>
      <c r="AM339" s="20" t="b">
        <f t="shared" si="78"/>
        <v>0</v>
      </c>
      <c r="AN339" s="20" t="b">
        <f t="shared" si="79"/>
        <v>0</v>
      </c>
      <c r="AO339" s="20" t="b">
        <f t="shared" si="80"/>
        <v>0</v>
      </c>
      <c r="AP339" s="20" t="b">
        <f t="shared" si="81"/>
        <v>0</v>
      </c>
      <c r="AQ339" s="20" t="b">
        <f t="shared" si="82"/>
        <v>0</v>
      </c>
      <c r="AR339" s="20" t="b">
        <f t="shared" si="83"/>
        <v>0</v>
      </c>
      <c r="AS339" s="20" t="b">
        <f t="shared" si="84"/>
        <v>0</v>
      </c>
      <c r="AT339" s="20" t="b">
        <f t="shared" si="85"/>
        <v>0</v>
      </c>
      <c r="AU339" s="20" t="b">
        <f t="shared" si="86"/>
        <v>0</v>
      </c>
    </row>
    <row r="340" spans="1:47">
      <c r="A340" s="20">
        <f t="shared" si="89"/>
        <v>7</v>
      </c>
      <c r="W340" s="54">
        <f t="shared" si="87"/>
        <v>0</v>
      </c>
      <c r="X340" s="54">
        <f t="shared" si="88"/>
        <v>0</v>
      </c>
      <c r="AJ340" s="20" t="b">
        <f t="shared" si="75"/>
        <v>0</v>
      </c>
      <c r="AK340" s="20" t="b">
        <f t="shared" si="76"/>
        <v>0</v>
      </c>
      <c r="AL340" s="20" t="b">
        <f t="shared" si="77"/>
        <v>0</v>
      </c>
      <c r="AM340" s="20" t="b">
        <f t="shared" si="78"/>
        <v>0</v>
      </c>
      <c r="AN340" s="20" t="b">
        <f t="shared" si="79"/>
        <v>0</v>
      </c>
      <c r="AO340" s="20" t="b">
        <f t="shared" si="80"/>
        <v>0</v>
      </c>
      <c r="AP340" s="20" t="b">
        <f t="shared" si="81"/>
        <v>0</v>
      </c>
      <c r="AQ340" s="20" t="b">
        <f t="shared" si="82"/>
        <v>0</v>
      </c>
      <c r="AR340" s="20" t="b">
        <f t="shared" si="83"/>
        <v>0</v>
      </c>
      <c r="AS340" s="20" t="b">
        <f t="shared" si="84"/>
        <v>0</v>
      </c>
      <c r="AT340" s="20" t="b">
        <f t="shared" si="85"/>
        <v>0</v>
      </c>
      <c r="AU340" s="20" t="b">
        <f t="shared" si="86"/>
        <v>0</v>
      </c>
    </row>
    <row r="341" spans="1:47">
      <c r="A341" s="20">
        <f t="shared" si="89"/>
        <v>7</v>
      </c>
      <c r="W341" s="54">
        <f t="shared" si="87"/>
        <v>0</v>
      </c>
      <c r="X341" s="54">
        <f t="shared" si="88"/>
        <v>0</v>
      </c>
      <c r="AJ341" s="20" t="b">
        <f t="shared" si="75"/>
        <v>0</v>
      </c>
      <c r="AK341" s="20" t="b">
        <f t="shared" si="76"/>
        <v>0</v>
      </c>
      <c r="AL341" s="20" t="b">
        <f t="shared" si="77"/>
        <v>0</v>
      </c>
      <c r="AM341" s="20" t="b">
        <f t="shared" si="78"/>
        <v>0</v>
      </c>
      <c r="AN341" s="20" t="b">
        <f t="shared" si="79"/>
        <v>0</v>
      </c>
      <c r="AO341" s="20" t="b">
        <f t="shared" si="80"/>
        <v>0</v>
      </c>
      <c r="AP341" s="20" t="b">
        <f t="shared" si="81"/>
        <v>0</v>
      </c>
      <c r="AQ341" s="20" t="b">
        <f t="shared" si="82"/>
        <v>0</v>
      </c>
      <c r="AR341" s="20" t="b">
        <f t="shared" si="83"/>
        <v>0</v>
      </c>
      <c r="AS341" s="20" t="b">
        <f t="shared" si="84"/>
        <v>0</v>
      </c>
      <c r="AT341" s="20" t="b">
        <f t="shared" si="85"/>
        <v>0</v>
      </c>
      <c r="AU341" s="20" t="b">
        <f t="shared" si="86"/>
        <v>0</v>
      </c>
    </row>
    <row r="342" spans="1:47">
      <c r="A342" s="20">
        <f t="shared" si="89"/>
        <v>7</v>
      </c>
      <c r="W342" s="54">
        <f t="shared" si="87"/>
        <v>0</v>
      </c>
      <c r="X342" s="54">
        <f t="shared" si="88"/>
        <v>0</v>
      </c>
      <c r="AJ342" s="20" t="b">
        <f t="shared" si="75"/>
        <v>0</v>
      </c>
      <c r="AK342" s="20" t="b">
        <f t="shared" si="76"/>
        <v>0</v>
      </c>
      <c r="AL342" s="20" t="b">
        <f t="shared" si="77"/>
        <v>0</v>
      </c>
      <c r="AM342" s="20" t="b">
        <f t="shared" si="78"/>
        <v>0</v>
      </c>
      <c r="AN342" s="20" t="b">
        <f t="shared" si="79"/>
        <v>0</v>
      </c>
      <c r="AO342" s="20" t="b">
        <f t="shared" si="80"/>
        <v>0</v>
      </c>
      <c r="AP342" s="20" t="b">
        <f t="shared" si="81"/>
        <v>0</v>
      </c>
      <c r="AQ342" s="20" t="b">
        <f t="shared" si="82"/>
        <v>0</v>
      </c>
      <c r="AR342" s="20" t="b">
        <f t="shared" si="83"/>
        <v>0</v>
      </c>
      <c r="AS342" s="20" t="b">
        <f t="shared" si="84"/>
        <v>0</v>
      </c>
      <c r="AT342" s="20" t="b">
        <f t="shared" si="85"/>
        <v>0</v>
      </c>
      <c r="AU342" s="20" t="b">
        <f t="shared" si="86"/>
        <v>0</v>
      </c>
    </row>
    <row r="343" spans="1:47">
      <c r="A343" s="20">
        <f t="shared" si="89"/>
        <v>7</v>
      </c>
      <c r="W343" s="54">
        <f t="shared" si="87"/>
        <v>0</v>
      </c>
      <c r="X343" s="54">
        <f t="shared" si="88"/>
        <v>0</v>
      </c>
      <c r="AJ343" s="20" t="b">
        <f t="shared" si="75"/>
        <v>0</v>
      </c>
      <c r="AK343" s="20" t="b">
        <f t="shared" si="76"/>
        <v>0</v>
      </c>
      <c r="AL343" s="20" t="b">
        <f t="shared" si="77"/>
        <v>0</v>
      </c>
      <c r="AM343" s="20" t="b">
        <f t="shared" si="78"/>
        <v>0</v>
      </c>
      <c r="AN343" s="20" t="b">
        <f t="shared" si="79"/>
        <v>0</v>
      </c>
      <c r="AO343" s="20" t="b">
        <f t="shared" si="80"/>
        <v>0</v>
      </c>
      <c r="AP343" s="20" t="b">
        <f t="shared" si="81"/>
        <v>0</v>
      </c>
      <c r="AQ343" s="20" t="b">
        <f t="shared" si="82"/>
        <v>0</v>
      </c>
      <c r="AR343" s="20" t="b">
        <f t="shared" si="83"/>
        <v>0</v>
      </c>
      <c r="AS343" s="20" t="b">
        <f t="shared" si="84"/>
        <v>0</v>
      </c>
      <c r="AT343" s="20" t="b">
        <f t="shared" si="85"/>
        <v>0</v>
      </c>
      <c r="AU343" s="20" t="b">
        <f t="shared" si="86"/>
        <v>0</v>
      </c>
    </row>
    <row r="344" spans="1:47">
      <c r="A344" s="20">
        <f t="shared" si="89"/>
        <v>7</v>
      </c>
      <c r="W344" s="54">
        <f t="shared" si="87"/>
        <v>0</v>
      </c>
      <c r="X344" s="54">
        <f t="shared" si="88"/>
        <v>0</v>
      </c>
      <c r="AJ344" s="20" t="b">
        <f t="shared" si="75"/>
        <v>0</v>
      </c>
      <c r="AK344" s="20" t="b">
        <f t="shared" si="76"/>
        <v>0</v>
      </c>
      <c r="AL344" s="20" t="b">
        <f t="shared" si="77"/>
        <v>0</v>
      </c>
      <c r="AM344" s="20" t="b">
        <f t="shared" si="78"/>
        <v>0</v>
      </c>
      <c r="AN344" s="20" t="b">
        <f t="shared" si="79"/>
        <v>0</v>
      </c>
      <c r="AO344" s="20" t="b">
        <f t="shared" si="80"/>
        <v>0</v>
      </c>
      <c r="AP344" s="20" t="b">
        <f t="shared" si="81"/>
        <v>0</v>
      </c>
      <c r="AQ344" s="20" t="b">
        <f t="shared" si="82"/>
        <v>0</v>
      </c>
      <c r="AR344" s="20" t="b">
        <f t="shared" si="83"/>
        <v>0</v>
      </c>
      <c r="AS344" s="20" t="b">
        <f t="shared" si="84"/>
        <v>0</v>
      </c>
      <c r="AT344" s="20" t="b">
        <f t="shared" si="85"/>
        <v>0</v>
      </c>
      <c r="AU344" s="20" t="b">
        <f t="shared" si="86"/>
        <v>0</v>
      </c>
    </row>
    <row r="345" spans="1:47">
      <c r="A345" s="20">
        <f t="shared" si="89"/>
        <v>7</v>
      </c>
      <c r="W345" s="54">
        <f t="shared" si="87"/>
        <v>0</v>
      </c>
      <c r="X345" s="54">
        <f t="shared" si="88"/>
        <v>0</v>
      </c>
      <c r="AJ345" s="20" t="b">
        <f t="shared" si="75"/>
        <v>0</v>
      </c>
      <c r="AK345" s="20" t="b">
        <f t="shared" si="76"/>
        <v>0</v>
      </c>
      <c r="AL345" s="20" t="b">
        <f t="shared" si="77"/>
        <v>0</v>
      </c>
      <c r="AM345" s="20" t="b">
        <f t="shared" si="78"/>
        <v>0</v>
      </c>
      <c r="AN345" s="20" t="b">
        <f t="shared" si="79"/>
        <v>0</v>
      </c>
      <c r="AO345" s="20" t="b">
        <f t="shared" si="80"/>
        <v>0</v>
      </c>
      <c r="AP345" s="20" t="b">
        <f t="shared" si="81"/>
        <v>0</v>
      </c>
      <c r="AQ345" s="20" t="b">
        <f t="shared" si="82"/>
        <v>0</v>
      </c>
      <c r="AR345" s="20" t="b">
        <f t="shared" si="83"/>
        <v>0</v>
      </c>
      <c r="AS345" s="20" t="b">
        <f t="shared" si="84"/>
        <v>0</v>
      </c>
      <c r="AT345" s="20" t="b">
        <f t="shared" si="85"/>
        <v>0</v>
      </c>
      <c r="AU345" s="20" t="b">
        <f t="shared" si="86"/>
        <v>0</v>
      </c>
    </row>
    <row r="346" spans="1:47">
      <c r="A346" s="20">
        <f t="shared" si="89"/>
        <v>7</v>
      </c>
      <c r="W346" s="54">
        <f t="shared" si="87"/>
        <v>0</v>
      </c>
      <c r="X346" s="54">
        <f t="shared" si="88"/>
        <v>0</v>
      </c>
      <c r="AJ346" s="20" t="b">
        <f t="shared" si="75"/>
        <v>0</v>
      </c>
      <c r="AK346" s="20" t="b">
        <f t="shared" si="76"/>
        <v>0</v>
      </c>
      <c r="AL346" s="20" t="b">
        <f t="shared" si="77"/>
        <v>0</v>
      </c>
      <c r="AM346" s="20" t="b">
        <f t="shared" si="78"/>
        <v>0</v>
      </c>
      <c r="AN346" s="20" t="b">
        <f t="shared" si="79"/>
        <v>0</v>
      </c>
      <c r="AO346" s="20" t="b">
        <f t="shared" si="80"/>
        <v>0</v>
      </c>
      <c r="AP346" s="20" t="b">
        <f t="shared" si="81"/>
        <v>0</v>
      </c>
      <c r="AQ346" s="20" t="b">
        <f t="shared" si="82"/>
        <v>0</v>
      </c>
      <c r="AR346" s="20" t="b">
        <f t="shared" si="83"/>
        <v>0</v>
      </c>
      <c r="AS346" s="20" t="b">
        <f t="shared" si="84"/>
        <v>0</v>
      </c>
      <c r="AT346" s="20" t="b">
        <f t="shared" si="85"/>
        <v>0</v>
      </c>
      <c r="AU346" s="20" t="b">
        <f t="shared" si="86"/>
        <v>0</v>
      </c>
    </row>
    <row r="347" spans="1:47">
      <c r="A347" s="20">
        <f t="shared" si="89"/>
        <v>7</v>
      </c>
      <c r="W347" s="54">
        <f t="shared" si="87"/>
        <v>0</v>
      </c>
      <c r="X347" s="54">
        <f t="shared" si="88"/>
        <v>0</v>
      </c>
      <c r="AJ347" s="20" t="b">
        <f t="shared" si="75"/>
        <v>0</v>
      </c>
      <c r="AK347" s="20" t="b">
        <f t="shared" si="76"/>
        <v>0</v>
      </c>
      <c r="AL347" s="20" t="b">
        <f t="shared" si="77"/>
        <v>0</v>
      </c>
      <c r="AM347" s="20" t="b">
        <f t="shared" si="78"/>
        <v>0</v>
      </c>
      <c r="AN347" s="20" t="b">
        <f t="shared" si="79"/>
        <v>0</v>
      </c>
      <c r="AO347" s="20" t="b">
        <f t="shared" si="80"/>
        <v>0</v>
      </c>
      <c r="AP347" s="20" t="b">
        <f t="shared" si="81"/>
        <v>0</v>
      </c>
      <c r="AQ347" s="20" t="b">
        <f t="shared" si="82"/>
        <v>0</v>
      </c>
      <c r="AR347" s="20" t="b">
        <f t="shared" si="83"/>
        <v>0</v>
      </c>
      <c r="AS347" s="20" t="b">
        <f t="shared" si="84"/>
        <v>0</v>
      </c>
      <c r="AT347" s="20" t="b">
        <f t="shared" si="85"/>
        <v>0</v>
      </c>
      <c r="AU347" s="20" t="b">
        <f t="shared" si="86"/>
        <v>0</v>
      </c>
    </row>
    <row r="348" spans="1:47">
      <c r="A348" s="20">
        <f t="shared" si="89"/>
        <v>7</v>
      </c>
      <c r="W348" s="54">
        <f t="shared" si="87"/>
        <v>0</v>
      </c>
      <c r="X348" s="54">
        <f t="shared" si="88"/>
        <v>0</v>
      </c>
      <c r="AJ348" s="20" t="b">
        <f t="shared" si="75"/>
        <v>0</v>
      </c>
      <c r="AK348" s="20" t="b">
        <f t="shared" si="76"/>
        <v>0</v>
      </c>
      <c r="AL348" s="20" t="b">
        <f t="shared" si="77"/>
        <v>0</v>
      </c>
      <c r="AM348" s="20" t="b">
        <f t="shared" si="78"/>
        <v>0</v>
      </c>
      <c r="AN348" s="20" t="b">
        <f t="shared" si="79"/>
        <v>0</v>
      </c>
      <c r="AO348" s="20" t="b">
        <f t="shared" si="80"/>
        <v>0</v>
      </c>
      <c r="AP348" s="20" t="b">
        <f t="shared" si="81"/>
        <v>0</v>
      </c>
      <c r="AQ348" s="20" t="b">
        <f t="shared" si="82"/>
        <v>0</v>
      </c>
      <c r="AR348" s="20" t="b">
        <f t="shared" si="83"/>
        <v>0</v>
      </c>
      <c r="AS348" s="20" t="b">
        <f t="shared" si="84"/>
        <v>0</v>
      </c>
      <c r="AT348" s="20" t="b">
        <f t="shared" si="85"/>
        <v>0</v>
      </c>
      <c r="AU348" s="20" t="b">
        <f t="shared" si="86"/>
        <v>0</v>
      </c>
    </row>
    <row r="349" spans="1:47">
      <c r="A349" s="20">
        <f t="shared" si="89"/>
        <v>7</v>
      </c>
      <c r="W349" s="54">
        <f t="shared" si="87"/>
        <v>0</v>
      </c>
      <c r="X349" s="54">
        <f t="shared" si="88"/>
        <v>0</v>
      </c>
      <c r="AJ349" s="20" t="b">
        <f t="shared" si="75"/>
        <v>0</v>
      </c>
      <c r="AK349" s="20" t="b">
        <f t="shared" si="76"/>
        <v>0</v>
      </c>
      <c r="AL349" s="20" t="b">
        <f t="shared" si="77"/>
        <v>0</v>
      </c>
      <c r="AM349" s="20" t="b">
        <f t="shared" si="78"/>
        <v>0</v>
      </c>
      <c r="AN349" s="20" t="b">
        <f t="shared" si="79"/>
        <v>0</v>
      </c>
      <c r="AO349" s="20" t="b">
        <f t="shared" si="80"/>
        <v>0</v>
      </c>
      <c r="AP349" s="20" t="b">
        <f t="shared" si="81"/>
        <v>0</v>
      </c>
      <c r="AQ349" s="20" t="b">
        <f t="shared" si="82"/>
        <v>0</v>
      </c>
      <c r="AR349" s="20" t="b">
        <f t="shared" si="83"/>
        <v>0</v>
      </c>
      <c r="AS349" s="20" t="b">
        <f t="shared" si="84"/>
        <v>0</v>
      </c>
      <c r="AT349" s="20" t="b">
        <f t="shared" si="85"/>
        <v>0</v>
      </c>
      <c r="AU349" s="20" t="b">
        <f t="shared" si="86"/>
        <v>0</v>
      </c>
    </row>
    <row r="350" spans="1:47">
      <c r="A350" s="20">
        <f t="shared" si="89"/>
        <v>7</v>
      </c>
      <c r="W350" s="54">
        <f t="shared" si="87"/>
        <v>0</v>
      </c>
      <c r="X350" s="54">
        <f t="shared" si="88"/>
        <v>0</v>
      </c>
      <c r="AJ350" s="20" t="b">
        <f t="shared" si="75"/>
        <v>0</v>
      </c>
      <c r="AK350" s="20" t="b">
        <f t="shared" si="76"/>
        <v>0</v>
      </c>
      <c r="AL350" s="20" t="b">
        <f t="shared" si="77"/>
        <v>0</v>
      </c>
      <c r="AM350" s="20" t="b">
        <f t="shared" si="78"/>
        <v>0</v>
      </c>
      <c r="AN350" s="20" t="b">
        <f t="shared" si="79"/>
        <v>0</v>
      </c>
      <c r="AO350" s="20" t="b">
        <f t="shared" si="80"/>
        <v>0</v>
      </c>
      <c r="AP350" s="20" t="b">
        <f t="shared" si="81"/>
        <v>0</v>
      </c>
      <c r="AQ350" s="20" t="b">
        <f t="shared" si="82"/>
        <v>0</v>
      </c>
      <c r="AR350" s="20" t="b">
        <f t="shared" si="83"/>
        <v>0</v>
      </c>
      <c r="AS350" s="20" t="b">
        <f t="shared" si="84"/>
        <v>0</v>
      </c>
      <c r="AT350" s="20" t="b">
        <f t="shared" si="85"/>
        <v>0</v>
      </c>
      <c r="AU350" s="20" t="b">
        <f t="shared" si="86"/>
        <v>0</v>
      </c>
    </row>
    <row r="351" spans="1:47">
      <c r="A351" s="20">
        <f t="shared" si="89"/>
        <v>7</v>
      </c>
      <c r="W351" s="54">
        <f t="shared" si="87"/>
        <v>0</v>
      </c>
      <c r="X351" s="54">
        <f t="shared" si="88"/>
        <v>0</v>
      </c>
      <c r="AJ351" s="20" t="b">
        <f t="shared" si="75"/>
        <v>0</v>
      </c>
      <c r="AK351" s="20" t="b">
        <f t="shared" si="76"/>
        <v>0</v>
      </c>
      <c r="AL351" s="20" t="b">
        <f t="shared" si="77"/>
        <v>0</v>
      </c>
      <c r="AM351" s="20" t="b">
        <f t="shared" si="78"/>
        <v>0</v>
      </c>
      <c r="AN351" s="20" t="b">
        <f t="shared" si="79"/>
        <v>0</v>
      </c>
      <c r="AO351" s="20" t="b">
        <f t="shared" si="80"/>
        <v>0</v>
      </c>
      <c r="AP351" s="20" t="b">
        <f t="shared" si="81"/>
        <v>0</v>
      </c>
      <c r="AQ351" s="20" t="b">
        <f t="shared" si="82"/>
        <v>0</v>
      </c>
      <c r="AR351" s="20" t="b">
        <f t="shared" si="83"/>
        <v>0</v>
      </c>
      <c r="AS351" s="20" t="b">
        <f t="shared" si="84"/>
        <v>0</v>
      </c>
      <c r="AT351" s="20" t="b">
        <f t="shared" si="85"/>
        <v>0</v>
      </c>
      <c r="AU351" s="20" t="b">
        <f t="shared" si="86"/>
        <v>0</v>
      </c>
    </row>
    <row r="352" spans="1:47">
      <c r="A352" s="20">
        <f t="shared" si="89"/>
        <v>7</v>
      </c>
      <c r="W352" s="54">
        <f t="shared" si="87"/>
        <v>0</v>
      </c>
      <c r="X352" s="54">
        <f t="shared" si="88"/>
        <v>0</v>
      </c>
      <c r="AJ352" s="20" t="b">
        <f t="shared" si="75"/>
        <v>0</v>
      </c>
      <c r="AK352" s="20" t="b">
        <f t="shared" si="76"/>
        <v>0</v>
      </c>
      <c r="AL352" s="20" t="b">
        <f t="shared" si="77"/>
        <v>0</v>
      </c>
      <c r="AM352" s="20" t="b">
        <f t="shared" si="78"/>
        <v>0</v>
      </c>
      <c r="AN352" s="20" t="b">
        <f t="shared" si="79"/>
        <v>0</v>
      </c>
      <c r="AO352" s="20" t="b">
        <f t="shared" si="80"/>
        <v>0</v>
      </c>
      <c r="AP352" s="20" t="b">
        <f t="shared" si="81"/>
        <v>0</v>
      </c>
      <c r="AQ352" s="20" t="b">
        <f t="shared" si="82"/>
        <v>0</v>
      </c>
      <c r="AR352" s="20" t="b">
        <f t="shared" si="83"/>
        <v>0</v>
      </c>
      <c r="AS352" s="20" t="b">
        <f t="shared" si="84"/>
        <v>0</v>
      </c>
      <c r="AT352" s="20" t="b">
        <f t="shared" si="85"/>
        <v>0</v>
      </c>
      <c r="AU352" s="20" t="b">
        <f t="shared" si="86"/>
        <v>0</v>
      </c>
    </row>
    <row r="353" spans="1:47">
      <c r="A353" s="20">
        <f t="shared" si="89"/>
        <v>7</v>
      </c>
      <c r="W353" s="54">
        <f t="shared" si="87"/>
        <v>0</v>
      </c>
      <c r="X353" s="54">
        <f t="shared" si="88"/>
        <v>0</v>
      </c>
      <c r="AJ353" s="20" t="b">
        <f t="shared" si="75"/>
        <v>0</v>
      </c>
      <c r="AK353" s="20" t="b">
        <f t="shared" si="76"/>
        <v>0</v>
      </c>
      <c r="AL353" s="20" t="b">
        <f t="shared" si="77"/>
        <v>0</v>
      </c>
      <c r="AM353" s="20" t="b">
        <f t="shared" si="78"/>
        <v>0</v>
      </c>
      <c r="AN353" s="20" t="b">
        <f t="shared" si="79"/>
        <v>0</v>
      </c>
      <c r="AO353" s="20" t="b">
        <f t="shared" si="80"/>
        <v>0</v>
      </c>
      <c r="AP353" s="20" t="b">
        <f t="shared" si="81"/>
        <v>0</v>
      </c>
      <c r="AQ353" s="20" t="b">
        <f t="shared" si="82"/>
        <v>0</v>
      </c>
      <c r="AR353" s="20" t="b">
        <f t="shared" si="83"/>
        <v>0</v>
      </c>
      <c r="AS353" s="20" t="b">
        <f t="shared" si="84"/>
        <v>0</v>
      </c>
      <c r="AT353" s="20" t="b">
        <f t="shared" si="85"/>
        <v>0</v>
      </c>
      <c r="AU353" s="20" t="b">
        <f t="shared" si="86"/>
        <v>0</v>
      </c>
    </row>
    <row r="354" spans="1:47">
      <c r="A354" s="20">
        <f t="shared" si="89"/>
        <v>7</v>
      </c>
      <c r="W354" s="54">
        <f t="shared" si="87"/>
        <v>0</v>
      </c>
      <c r="X354" s="54">
        <f t="shared" si="88"/>
        <v>0</v>
      </c>
      <c r="AJ354" s="20" t="b">
        <f t="shared" si="75"/>
        <v>0</v>
      </c>
      <c r="AK354" s="20" t="b">
        <f t="shared" si="76"/>
        <v>0</v>
      </c>
      <c r="AL354" s="20" t="b">
        <f t="shared" si="77"/>
        <v>0</v>
      </c>
      <c r="AM354" s="20" t="b">
        <f t="shared" si="78"/>
        <v>0</v>
      </c>
      <c r="AN354" s="20" t="b">
        <f t="shared" si="79"/>
        <v>0</v>
      </c>
      <c r="AO354" s="20" t="b">
        <f t="shared" si="80"/>
        <v>0</v>
      </c>
      <c r="AP354" s="20" t="b">
        <f t="shared" si="81"/>
        <v>0</v>
      </c>
      <c r="AQ354" s="20" t="b">
        <f t="shared" si="82"/>
        <v>0</v>
      </c>
      <c r="AR354" s="20" t="b">
        <f t="shared" si="83"/>
        <v>0</v>
      </c>
      <c r="AS354" s="20" t="b">
        <f t="shared" si="84"/>
        <v>0</v>
      </c>
      <c r="AT354" s="20" t="b">
        <f t="shared" si="85"/>
        <v>0</v>
      </c>
      <c r="AU354" s="20" t="b">
        <f t="shared" si="86"/>
        <v>0</v>
      </c>
    </row>
    <row r="355" spans="1:47">
      <c r="A355" s="20">
        <f t="shared" si="89"/>
        <v>7</v>
      </c>
      <c r="W355" s="54">
        <f t="shared" si="87"/>
        <v>0</v>
      </c>
      <c r="X355" s="54">
        <f t="shared" si="88"/>
        <v>0</v>
      </c>
      <c r="AJ355" s="20" t="b">
        <f t="shared" si="75"/>
        <v>0</v>
      </c>
      <c r="AK355" s="20" t="b">
        <f t="shared" si="76"/>
        <v>0</v>
      </c>
      <c r="AL355" s="20" t="b">
        <f t="shared" si="77"/>
        <v>0</v>
      </c>
      <c r="AM355" s="20" t="b">
        <f t="shared" si="78"/>
        <v>0</v>
      </c>
      <c r="AN355" s="20" t="b">
        <f t="shared" si="79"/>
        <v>0</v>
      </c>
      <c r="AO355" s="20" t="b">
        <f t="shared" si="80"/>
        <v>0</v>
      </c>
      <c r="AP355" s="20" t="b">
        <f t="shared" si="81"/>
        <v>0</v>
      </c>
      <c r="AQ355" s="20" t="b">
        <f t="shared" si="82"/>
        <v>0</v>
      </c>
      <c r="AR355" s="20" t="b">
        <f t="shared" si="83"/>
        <v>0</v>
      </c>
      <c r="AS355" s="20" t="b">
        <f t="shared" si="84"/>
        <v>0</v>
      </c>
      <c r="AT355" s="20" t="b">
        <f t="shared" si="85"/>
        <v>0</v>
      </c>
      <c r="AU355" s="20" t="b">
        <f t="shared" si="86"/>
        <v>0</v>
      </c>
    </row>
    <row r="356" spans="1:47">
      <c r="A356" s="20">
        <f t="shared" si="89"/>
        <v>7</v>
      </c>
      <c r="W356" s="54">
        <f t="shared" si="87"/>
        <v>0</v>
      </c>
      <c r="X356" s="54">
        <f t="shared" si="88"/>
        <v>0</v>
      </c>
      <c r="AJ356" s="20" t="b">
        <f t="shared" si="75"/>
        <v>0</v>
      </c>
      <c r="AK356" s="20" t="b">
        <f t="shared" si="76"/>
        <v>0</v>
      </c>
      <c r="AL356" s="20" t="b">
        <f t="shared" si="77"/>
        <v>0</v>
      </c>
      <c r="AM356" s="20" t="b">
        <f t="shared" si="78"/>
        <v>0</v>
      </c>
      <c r="AN356" s="20" t="b">
        <f t="shared" si="79"/>
        <v>0</v>
      </c>
      <c r="AO356" s="20" t="b">
        <f t="shared" si="80"/>
        <v>0</v>
      </c>
      <c r="AP356" s="20" t="b">
        <f t="shared" si="81"/>
        <v>0</v>
      </c>
      <c r="AQ356" s="20" t="b">
        <f t="shared" si="82"/>
        <v>0</v>
      </c>
      <c r="AR356" s="20" t="b">
        <f t="shared" si="83"/>
        <v>0</v>
      </c>
      <c r="AS356" s="20" t="b">
        <f t="shared" si="84"/>
        <v>0</v>
      </c>
      <c r="AT356" s="20" t="b">
        <f t="shared" si="85"/>
        <v>0</v>
      </c>
      <c r="AU356" s="20" t="b">
        <f t="shared" si="86"/>
        <v>0</v>
      </c>
    </row>
    <row r="357" spans="1:47">
      <c r="A357" s="20">
        <f t="shared" si="89"/>
        <v>7</v>
      </c>
      <c r="W357" s="54">
        <f t="shared" si="87"/>
        <v>0</v>
      </c>
      <c r="X357" s="54">
        <f t="shared" si="88"/>
        <v>0</v>
      </c>
      <c r="AJ357" s="20" t="b">
        <f t="shared" si="75"/>
        <v>0</v>
      </c>
      <c r="AK357" s="20" t="b">
        <f t="shared" si="76"/>
        <v>0</v>
      </c>
      <c r="AL357" s="20" t="b">
        <f t="shared" si="77"/>
        <v>0</v>
      </c>
      <c r="AM357" s="20" t="b">
        <f t="shared" si="78"/>
        <v>0</v>
      </c>
      <c r="AN357" s="20" t="b">
        <f t="shared" si="79"/>
        <v>0</v>
      </c>
      <c r="AO357" s="20" t="b">
        <f t="shared" si="80"/>
        <v>0</v>
      </c>
      <c r="AP357" s="20" t="b">
        <f t="shared" si="81"/>
        <v>0</v>
      </c>
      <c r="AQ357" s="20" t="b">
        <f t="shared" si="82"/>
        <v>0</v>
      </c>
      <c r="AR357" s="20" t="b">
        <f t="shared" si="83"/>
        <v>0</v>
      </c>
      <c r="AS357" s="20" t="b">
        <f t="shared" si="84"/>
        <v>0</v>
      </c>
      <c r="AT357" s="20" t="b">
        <f t="shared" si="85"/>
        <v>0</v>
      </c>
      <c r="AU357" s="20" t="b">
        <f t="shared" si="86"/>
        <v>0</v>
      </c>
    </row>
    <row r="358" spans="1:47">
      <c r="A358" s="20">
        <f t="shared" si="89"/>
        <v>7</v>
      </c>
      <c r="W358" s="54">
        <f t="shared" si="87"/>
        <v>0</v>
      </c>
      <c r="X358" s="54">
        <f t="shared" si="88"/>
        <v>0</v>
      </c>
      <c r="AJ358" s="20" t="b">
        <f t="shared" si="75"/>
        <v>0</v>
      </c>
      <c r="AK358" s="20" t="b">
        <f t="shared" si="76"/>
        <v>0</v>
      </c>
      <c r="AL358" s="20" t="b">
        <f t="shared" si="77"/>
        <v>0</v>
      </c>
      <c r="AM358" s="20" t="b">
        <f t="shared" si="78"/>
        <v>0</v>
      </c>
      <c r="AN358" s="20" t="b">
        <f t="shared" si="79"/>
        <v>0</v>
      </c>
      <c r="AO358" s="20" t="b">
        <f t="shared" si="80"/>
        <v>0</v>
      </c>
      <c r="AP358" s="20" t="b">
        <f t="shared" si="81"/>
        <v>0</v>
      </c>
      <c r="AQ358" s="20" t="b">
        <f t="shared" si="82"/>
        <v>0</v>
      </c>
      <c r="AR358" s="20" t="b">
        <f t="shared" si="83"/>
        <v>0</v>
      </c>
      <c r="AS358" s="20" t="b">
        <f t="shared" si="84"/>
        <v>0</v>
      </c>
      <c r="AT358" s="20" t="b">
        <f t="shared" si="85"/>
        <v>0</v>
      </c>
      <c r="AU358" s="20" t="b">
        <f t="shared" si="86"/>
        <v>0</v>
      </c>
    </row>
    <row r="359" spans="1:47">
      <c r="A359" s="20">
        <f t="shared" si="89"/>
        <v>7</v>
      </c>
      <c r="W359" s="54">
        <f t="shared" si="87"/>
        <v>0</v>
      </c>
      <c r="X359" s="54">
        <f t="shared" si="88"/>
        <v>0</v>
      </c>
      <c r="AJ359" s="20" t="b">
        <f t="shared" si="75"/>
        <v>0</v>
      </c>
      <c r="AK359" s="20" t="b">
        <f t="shared" si="76"/>
        <v>0</v>
      </c>
      <c r="AL359" s="20" t="b">
        <f t="shared" si="77"/>
        <v>0</v>
      </c>
      <c r="AM359" s="20" t="b">
        <f t="shared" si="78"/>
        <v>0</v>
      </c>
      <c r="AN359" s="20" t="b">
        <f t="shared" si="79"/>
        <v>0</v>
      </c>
      <c r="AO359" s="20" t="b">
        <f t="shared" si="80"/>
        <v>0</v>
      </c>
      <c r="AP359" s="20" t="b">
        <f t="shared" si="81"/>
        <v>0</v>
      </c>
      <c r="AQ359" s="20" t="b">
        <f t="shared" si="82"/>
        <v>0</v>
      </c>
      <c r="AR359" s="20" t="b">
        <f t="shared" si="83"/>
        <v>0</v>
      </c>
      <c r="AS359" s="20" t="b">
        <f t="shared" si="84"/>
        <v>0</v>
      </c>
      <c r="AT359" s="20" t="b">
        <f t="shared" si="85"/>
        <v>0</v>
      </c>
      <c r="AU359" s="20" t="b">
        <f t="shared" si="86"/>
        <v>0</v>
      </c>
    </row>
    <row r="360" spans="1:47">
      <c r="A360" s="20">
        <f t="shared" si="89"/>
        <v>7</v>
      </c>
      <c r="W360" s="54">
        <f t="shared" si="87"/>
        <v>0</v>
      </c>
      <c r="X360" s="54">
        <f t="shared" si="88"/>
        <v>0</v>
      </c>
      <c r="AJ360" s="20" t="b">
        <f t="shared" si="75"/>
        <v>0</v>
      </c>
      <c r="AK360" s="20" t="b">
        <f t="shared" si="76"/>
        <v>0</v>
      </c>
      <c r="AL360" s="20" t="b">
        <f t="shared" si="77"/>
        <v>0</v>
      </c>
      <c r="AM360" s="20" t="b">
        <f t="shared" si="78"/>
        <v>0</v>
      </c>
      <c r="AN360" s="20" t="b">
        <f t="shared" si="79"/>
        <v>0</v>
      </c>
      <c r="AO360" s="20" t="b">
        <f t="shared" si="80"/>
        <v>0</v>
      </c>
      <c r="AP360" s="20" t="b">
        <f t="shared" si="81"/>
        <v>0</v>
      </c>
      <c r="AQ360" s="20" t="b">
        <f t="shared" si="82"/>
        <v>0</v>
      </c>
      <c r="AR360" s="20" t="b">
        <f t="shared" si="83"/>
        <v>0</v>
      </c>
      <c r="AS360" s="20" t="b">
        <f t="shared" si="84"/>
        <v>0</v>
      </c>
      <c r="AT360" s="20" t="b">
        <f t="shared" si="85"/>
        <v>0</v>
      </c>
      <c r="AU360" s="20" t="b">
        <f t="shared" si="86"/>
        <v>0</v>
      </c>
    </row>
    <row r="361" spans="1:47">
      <c r="A361" s="20">
        <f t="shared" si="89"/>
        <v>7</v>
      </c>
      <c r="W361" s="54">
        <f t="shared" si="87"/>
        <v>0</v>
      </c>
      <c r="X361" s="54">
        <f t="shared" si="88"/>
        <v>0</v>
      </c>
      <c r="AJ361" s="20" t="b">
        <f t="shared" si="75"/>
        <v>0</v>
      </c>
      <c r="AK361" s="20" t="b">
        <f t="shared" si="76"/>
        <v>0</v>
      </c>
      <c r="AL361" s="20" t="b">
        <f t="shared" si="77"/>
        <v>0</v>
      </c>
      <c r="AM361" s="20" t="b">
        <f t="shared" si="78"/>
        <v>0</v>
      </c>
      <c r="AN361" s="20" t="b">
        <f t="shared" si="79"/>
        <v>0</v>
      </c>
      <c r="AO361" s="20" t="b">
        <f t="shared" si="80"/>
        <v>0</v>
      </c>
      <c r="AP361" s="20" t="b">
        <f t="shared" si="81"/>
        <v>0</v>
      </c>
      <c r="AQ361" s="20" t="b">
        <f t="shared" si="82"/>
        <v>0</v>
      </c>
      <c r="AR361" s="20" t="b">
        <f t="shared" si="83"/>
        <v>0</v>
      </c>
      <c r="AS361" s="20" t="b">
        <f t="shared" si="84"/>
        <v>0</v>
      </c>
      <c r="AT361" s="20" t="b">
        <f t="shared" si="85"/>
        <v>0</v>
      </c>
      <c r="AU361" s="20" t="b">
        <f t="shared" si="86"/>
        <v>0</v>
      </c>
    </row>
    <row r="362" spans="1:47">
      <c r="A362" s="20">
        <f t="shared" si="89"/>
        <v>7</v>
      </c>
      <c r="W362" s="54">
        <f t="shared" si="87"/>
        <v>0</v>
      </c>
      <c r="X362" s="54">
        <f t="shared" si="88"/>
        <v>0</v>
      </c>
      <c r="AJ362" s="20" t="b">
        <f t="shared" si="75"/>
        <v>0</v>
      </c>
      <c r="AK362" s="20" t="b">
        <f t="shared" si="76"/>
        <v>0</v>
      </c>
      <c r="AL362" s="20" t="b">
        <f t="shared" si="77"/>
        <v>0</v>
      </c>
      <c r="AM362" s="20" t="b">
        <f t="shared" si="78"/>
        <v>0</v>
      </c>
      <c r="AN362" s="20" t="b">
        <f t="shared" si="79"/>
        <v>0</v>
      </c>
      <c r="AO362" s="20" t="b">
        <f t="shared" si="80"/>
        <v>0</v>
      </c>
      <c r="AP362" s="20" t="b">
        <f t="shared" si="81"/>
        <v>0</v>
      </c>
      <c r="AQ362" s="20" t="b">
        <f t="shared" si="82"/>
        <v>0</v>
      </c>
      <c r="AR362" s="20" t="b">
        <f t="shared" si="83"/>
        <v>0</v>
      </c>
      <c r="AS362" s="20" t="b">
        <f t="shared" si="84"/>
        <v>0</v>
      </c>
      <c r="AT362" s="20" t="b">
        <f t="shared" si="85"/>
        <v>0</v>
      </c>
      <c r="AU362" s="20" t="b">
        <f t="shared" si="86"/>
        <v>0</v>
      </c>
    </row>
    <row r="363" spans="1:47">
      <c r="A363" s="20">
        <f t="shared" si="89"/>
        <v>7</v>
      </c>
      <c r="W363" s="54">
        <f t="shared" si="87"/>
        <v>0</v>
      </c>
      <c r="X363" s="54">
        <f t="shared" si="88"/>
        <v>0</v>
      </c>
      <c r="AJ363" s="20" t="b">
        <f t="shared" si="75"/>
        <v>0</v>
      </c>
      <c r="AK363" s="20" t="b">
        <f t="shared" si="76"/>
        <v>0</v>
      </c>
      <c r="AL363" s="20" t="b">
        <f t="shared" si="77"/>
        <v>0</v>
      </c>
      <c r="AM363" s="20" t="b">
        <f t="shared" si="78"/>
        <v>0</v>
      </c>
      <c r="AN363" s="20" t="b">
        <f t="shared" si="79"/>
        <v>0</v>
      </c>
      <c r="AO363" s="20" t="b">
        <f t="shared" si="80"/>
        <v>0</v>
      </c>
      <c r="AP363" s="20" t="b">
        <f t="shared" si="81"/>
        <v>0</v>
      </c>
      <c r="AQ363" s="20" t="b">
        <f t="shared" si="82"/>
        <v>0</v>
      </c>
      <c r="AR363" s="20" t="b">
        <f t="shared" si="83"/>
        <v>0</v>
      </c>
      <c r="AS363" s="20" t="b">
        <f t="shared" si="84"/>
        <v>0</v>
      </c>
      <c r="AT363" s="20" t="b">
        <f t="shared" si="85"/>
        <v>0</v>
      </c>
      <c r="AU363" s="20" t="b">
        <f t="shared" si="86"/>
        <v>0</v>
      </c>
    </row>
    <row r="364" spans="1:47">
      <c r="A364" s="20">
        <f t="shared" si="89"/>
        <v>7</v>
      </c>
      <c r="W364" s="54">
        <f t="shared" si="87"/>
        <v>0</v>
      </c>
      <c r="X364" s="54">
        <f t="shared" si="88"/>
        <v>0</v>
      </c>
      <c r="AJ364" s="20" t="b">
        <f t="shared" si="75"/>
        <v>0</v>
      </c>
      <c r="AK364" s="20" t="b">
        <f t="shared" si="76"/>
        <v>0</v>
      </c>
      <c r="AL364" s="20" t="b">
        <f t="shared" si="77"/>
        <v>0</v>
      </c>
      <c r="AM364" s="20" t="b">
        <f t="shared" si="78"/>
        <v>0</v>
      </c>
      <c r="AN364" s="20" t="b">
        <f t="shared" si="79"/>
        <v>0</v>
      </c>
      <c r="AO364" s="20" t="b">
        <f t="shared" si="80"/>
        <v>0</v>
      </c>
      <c r="AP364" s="20" t="b">
        <f t="shared" si="81"/>
        <v>0</v>
      </c>
      <c r="AQ364" s="20" t="b">
        <f t="shared" si="82"/>
        <v>0</v>
      </c>
      <c r="AR364" s="20" t="b">
        <f t="shared" si="83"/>
        <v>0</v>
      </c>
      <c r="AS364" s="20" t="b">
        <f t="shared" si="84"/>
        <v>0</v>
      </c>
      <c r="AT364" s="20" t="b">
        <f t="shared" si="85"/>
        <v>0</v>
      </c>
      <c r="AU364" s="20" t="b">
        <f t="shared" si="86"/>
        <v>0</v>
      </c>
    </row>
    <row r="365" spans="1:47">
      <c r="A365" s="20">
        <f t="shared" si="89"/>
        <v>7</v>
      </c>
      <c r="W365" s="54">
        <f t="shared" si="87"/>
        <v>0</v>
      </c>
      <c r="X365" s="54">
        <f t="shared" si="88"/>
        <v>0</v>
      </c>
      <c r="AJ365" s="20" t="b">
        <f t="shared" si="75"/>
        <v>0</v>
      </c>
      <c r="AK365" s="20" t="b">
        <f t="shared" si="76"/>
        <v>0</v>
      </c>
      <c r="AL365" s="20" t="b">
        <f t="shared" si="77"/>
        <v>0</v>
      </c>
      <c r="AM365" s="20" t="b">
        <f t="shared" si="78"/>
        <v>0</v>
      </c>
      <c r="AN365" s="20" t="b">
        <f t="shared" si="79"/>
        <v>0</v>
      </c>
      <c r="AO365" s="20" t="b">
        <f t="shared" si="80"/>
        <v>0</v>
      </c>
      <c r="AP365" s="20" t="b">
        <f t="shared" si="81"/>
        <v>0</v>
      </c>
      <c r="AQ365" s="20" t="b">
        <f t="shared" si="82"/>
        <v>0</v>
      </c>
      <c r="AR365" s="20" t="b">
        <f t="shared" si="83"/>
        <v>0</v>
      </c>
      <c r="AS365" s="20" t="b">
        <f t="shared" si="84"/>
        <v>0</v>
      </c>
      <c r="AT365" s="20" t="b">
        <f t="shared" si="85"/>
        <v>0</v>
      </c>
      <c r="AU365" s="20" t="b">
        <f t="shared" si="86"/>
        <v>0</v>
      </c>
    </row>
    <row r="366" spans="1:47">
      <c r="A366" s="20">
        <f t="shared" si="89"/>
        <v>7</v>
      </c>
      <c r="W366" s="54">
        <f t="shared" si="87"/>
        <v>0</v>
      </c>
      <c r="X366" s="54">
        <f t="shared" si="88"/>
        <v>0</v>
      </c>
      <c r="AJ366" s="20" t="b">
        <f t="shared" si="75"/>
        <v>0</v>
      </c>
      <c r="AK366" s="20" t="b">
        <f t="shared" si="76"/>
        <v>0</v>
      </c>
      <c r="AL366" s="20" t="b">
        <f t="shared" si="77"/>
        <v>0</v>
      </c>
      <c r="AM366" s="20" t="b">
        <f t="shared" si="78"/>
        <v>0</v>
      </c>
      <c r="AN366" s="20" t="b">
        <f t="shared" si="79"/>
        <v>0</v>
      </c>
      <c r="AO366" s="20" t="b">
        <f t="shared" si="80"/>
        <v>0</v>
      </c>
      <c r="AP366" s="20" t="b">
        <f t="shared" si="81"/>
        <v>0</v>
      </c>
      <c r="AQ366" s="20" t="b">
        <f t="shared" si="82"/>
        <v>0</v>
      </c>
      <c r="AR366" s="20" t="b">
        <f t="shared" si="83"/>
        <v>0</v>
      </c>
      <c r="AS366" s="20" t="b">
        <f t="shared" si="84"/>
        <v>0</v>
      </c>
      <c r="AT366" s="20" t="b">
        <f t="shared" si="85"/>
        <v>0</v>
      </c>
      <c r="AU366" s="20" t="b">
        <f t="shared" si="86"/>
        <v>0</v>
      </c>
    </row>
    <row r="367" spans="1:47">
      <c r="A367" s="20">
        <f t="shared" si="89"/>
        <v>7</v>
      </c>
      <c r="W367" s="54">
        <f t="shared" si="87"/>
        <v>0</v>
      </c>
      <c r="X367" s="54">
        <f t="shared" si="88"/>
        <v>0</v>
      </c>
      <c r="AJ367" s="20" t="b">
        <f t="shared" si="75"/>
        <v>0</v>
      </c>
      <c r="AK367" s="20" t="b">
        <f t="shared" si="76"/>
        <v>0</v>
      </c>
      <c r="AL367" s="20" t="b">
        <f t="shared" si="77"/>
        <v>0</v>
      </c>
      <c r="AM367" s="20" t="b">
        <f t="shared" si="78"/>
        <v>0</v>
      </c>
      <c r="AN367" s="20" t="b">
        <f t="shared" si="79"/>
        <v>0</v>
      </c>
      <c r="AO367" s="20" t="b">
        <f t="shared" si="80"/>
        <v>0</v>
      </c>
      <c r="AP367" s="20" t="b">
        <f t="shared" si="81"/>
        <v>0</v>
      </c>
      <c r="AQ367" s="20" t="b">
        <f t="shared" si="82"/>
        <v>0</v>
      </c>
      <c r="AR367" s="20" t="b">
        <f t="shared" si="83"/>
        <v>0</v>
      </c>
      <c r="AS367" s="20" t="b">
        <f t="shared" si="84"/>
        <v>0</v>
      </c>
      <c r="AT367" s="20" t="b">
        <f t="shared" si="85"/>
        <v>0</v>
      </c>
      <c r="AU367" s="20" t="b">
        <f t="shared" si="86"/>
        <v>0</v>
      </c>
    </row>
    <row r="368" spans="1:47">
      <c r="A368" s="20">
        <f t="shared" si="89"/>
        <v>7</v>
      </c>
      <c r="W368" s="54">
        <f t="shared" si="87"/>
        <v>0</v>
      </c>
      <c r="X368" s="54">
        <f t="shared" si="88"/>
        <v>0</v>
      </c>
      <c r="AJ368" s="20" t="b">
        <f t="shared" si="75"/>
        <v>0</v>
      </c>
      <c r="AK368" s="20" t="b">
        <f t="shared" si="76"/>
        <v>0</v>
      </c>
      <c r="AL368" s="20" t="b">
        <f t="shared" si="77"/>
        <v>0</v>
      </c>
      <c r="AM368" s="20" t="b">
        <f t="shared" si="78"/>
        <v>0</v>
      </c>
      <c r="AN368" s="20" t="b">
        <f t="shared" si="79"/>
        <v>0</v>
      </c>
      <c r="AO368" s="20" t="b">
        <f t="shared" si="80"/>
        <v>0</v>
      </c>
      <c r="AP368" s="20" t="b">
        <f t="shared" si="81"/>
        <v>0</v>
      </c>
      <c r="AQ368" s="20" t="b">
        <f t="shared" si="82"/>
        <v>0</v>
      </c>
      <c r="AR368" s="20" t="b">
        <f t="shared" si="83"/>
        <v>0</v>
      </c>
      <c r="AS368" s="20" t="b">
        <f t="shared" si="84"/>
        <v>0</v>
      </c>
      <c r="AT368" s="20" t="b">
        <f t="shared" si="85"/>
        <v>0</v>
      </c>
      <c r="AU368" s="20" t="b">
        <f t="shared" si="86"/>
        <v>0</v>
      </c>
    </row>
    <row r="369" spans="1:47">
      <c r="A369" s="20">
        <f t="shared" si="89"/>
        <v>7</v>
      </c>
      <c r="W369" s="54">
        <f t="shared" si="87"/>
        <v>0</v>
      </c>
      <c r="X369" s="54">
        <f t="shared" si="88"/>
        <v>0</v>
      </c>
      <c r="AJ369" s="20" t="b">
        <f t="shared" si="75"/>
        <v>0</v>
      </c>
      <c r="AK369" s="20" t="b">
        <f t="shared" si="76"/>
        <v>0</v>
      </c>
      <c r="AL369" s="20" t="b">
        <f t="shared" si="77"/>
        <v>0</v>
      </c>
      <c r="AM369" s="20" t="b">
        <f t="shared" si="78"/>
        <v>0</v>
      </c>
      <c r="AN369" s="20" t="b">
        <f t="shared" si="79"/>
        <v>0</v>
      </c>
      <c r="AO369" s="20" t="b">
        <f t="shared" si="80"/>
        <v>0</v>
      </c>
      <c r="AP369" s="20" t="b">
        <f t="shared" si="81"/>
        <v>0</v>
      </c>
      <c r="AQ369" s="20" t="b">
        <f t="shared" si="82"/>
        <v>0</v>
      </c>
      <c r="AR369" s="20" t="b">
        <f t="shared" si="83"/>
        <v>0</v>
      </c>
      <c r="AS369" s="20" t="b">
        <f t="shared" si="84"/>
        <v>0</v>
      </c>
      <c r="AT369" s="20" t="b">
        <f t="shared" si="85"/>
        <v>0</v>
      </c>
      <c r="AU369" s="20" t="b">
        <f t="shared" si="86"/>
        <v>0</v>
      </c>
    </row>
    <row r="370" spans="1:47">
      <c r="A370" s="20">
        <f t="shared" si="89"/>
        <v>7</v>
      </c>
      <c r="W370" s="54">
        <f t="shared" si="87"/>
        <v>0</v>
      </c>
      <c r="X370" s="54">
        <f t="shared" si="88"/>
        <v>0</v>
      </c>
      <c r="AJ370" s="20" t="b">
        <f t="shared" si="75"/>
        <v>0</v>
      </c>
      <c r="AK370" s="20" t="b">
        <f t="shared" si="76"/>
        <v>0</v>
      </c>
      <c r="AL370" s="20" t="b">
        <f t="shared" si="77"/>
        <v>0</v>
      </c>
      <c r="AM370" s="20" t="b">
        <f t="shared" si="78"/>
        <v>0</v>
      </c>
      <c r="AN370" s="20" t="b">
        <f t="shared" si="79"/>
        <v>0</v>
      </c>
      <c r="AO370" s="20" t="b">
        <f t="shared" si="80"/>
        <v>0</v>
      </c>
      <c r="AP370" s="20" t="b">
        <f t="shared" si="81"/>
        <v>0</v>
      </c>
      <c r="AQ370" s="20" t="b">
        <f t="shared" si="82"/>
        <v>0</v>
      </c>
      <c r="AR370" s="20" t="b">
        <f t="shared" si="83"/>
        <v>0</v>
      </c>
      <c r="AS370" s="20" t="b">
        <f t="shared" si="84"/>
        <v>0</v>
      </c>
      <c r="AT370" s="20" t="b">
        <f t="shared" si="85"/>
        <v>0</v>
      </c>
      <c r="AU370" s="20" t="b">
        <f t="shared" si="86"/>
        <v>0</v>
      </c>
    </row>
    <row r="371" spans="1:47">
      <c r="A371" s="20">
        <f t="shared" si="89"/>
        <v>7</v>
      </c>
      <c r="W371" s="54">
        <f t="shared" si="87"/>
        <v>0</v>
      </c>
      <c r="X371" s="54">
        <f t="shared" si="88"/>
        <v>0</v>
      </c>
      <c r="AJ371" s="20" t="b">
        <f t="shared" si="75"/>
        <v>0</v>
      </c>
      <c r="AK371" s="20" t="b">
        <f t="shared" si="76"/>
        <v>0</v>
      </c>
      <c r="AL371" s="20" t="b">
        <f t="shared" si="77"/>
        <v>0</v>
      </c>
      <c r="AM371" s="20" t="b">
        <f t="shared" si="78"/>
        <v>0</v>
      </c>
      <c r="AN371" s="20" t="b">
        <f t="shared" si="79"/>
        <v>0</v>
      </c>
      <c r="AO371" s="20" t="b">
        <f t="shared" si="80"/>
        <v>0</v>
      </c>
      <c r="AP371" s="20" t="b">
        <f t="shared" si="81"/>
        <v>0</v>
      </c>
      <c r="AQ371" s="20" t="b">
        <f t="shared" si="82"/>
        <v>0</v>
      </c>
      <c r="AR371" s="20" t="b">
        <f t="shared" si="83"/>
        <v>0</v>
      </c>
      <c r="AS371" s="20" t="b">
        <f t="shared" si="84"/>
        <v>0</v>
      </c>
      <c r="AT371" s="20" t="b">
        <f t="shared" si="85"/>
        <v>0</v>
      </c>
      <c r="AU371" s="20" t="b">
        <f t="shared" si="86"/>
        <v>0</v>
      </c>
    </row>
    <row r="372" spans="1:47">
      <c r="A372" s="20">
        <f t="shared" si="89"/>
        <v>7</v>
      </c>
      <c r="W372" s="54">
        <f t="shared" si="87"/>
        <v>0</v>
      </c>
      <c r="X372" s="54">
        <f t="shared" si="88"/>
        <v>0</v>
      </c>
      <c r="AJ372" s="20" t="b">
        <f t="shared" si="75"/>
        <v>0</v>
      </c>
      <c r="AK372" s="20" t="b">
        <f t="shared" si="76"/>
        <v>0</v>
      </c>
      <c r="AL372" s="20" t="b">
        <f t="shared" si="77"/>
        <v>0</v>
      </c>
      <c r="AM372" s="20" t="b">
        <f t="shared" si="78"/>
        <v>0</v>
      </c>
      <c r="AN372" s="20" t="b">
        <f t="shared" si="79"/>
        <v>0</v>
      </c>
      <c r="AO372" s="20" t="b">
        <f t="shared" si="80"/>
        <v>0</v>
      </c>
      <c r="AP372" s="20" t="b">
        <f t="shared" si="81"/>
        <v>0</v>
      </c>
      <c r="AQ372" s="20" t="b">
        <f t="shared" si="82"/>
        <v>0</v>
      </c>
      <c r="AR372" s="20" t="b">
        <f t="shared" si="83"/>
        <v>0</v>
      </c>
      <c r="AS372" s="20" t="b">
        <f t="shared" si="84"/>
        <v>0</v>
      </c>
      <c r="AT372" s="20" t="b">
        <f t="shared" si="85"/>
        <v>0</v>
      </c>
      <c r="AU372" s="20" t="b">
        <f t="shared" si="86"/>
        <v>0</v>
      </c>
    </row>
    <row r="373" spans="1:47">
      <c r="A373" s="20">
        <f t="shared" si="89"/>
        <v>7</v>
      </c>
      <c r="W373" s="54">
        <f t="shared" si="87"/>
        <v>0</v>
      </c>
      <c r="X373" s="54">
        <f t="shared" si="88"/>
        <v>0</v>
      </c>
      <c r="AJ373" s="20" t="b">
        <f t="shared" si="75"/>
        <v>0</v>
      </c>
      <c r="AK373" s="20" t="b">
        <f t="shared" si="76"/>
        <v>0</v>
      </c>
      <c r="AL373" s="20" t="b">
        <f t="shared" si="77"/>
        <v>0</v>
      </c>
      <c r="AM373" s="20" t="b">
        <f t="shared" si="78"/>
        <v>0</v>
      </c>
      <c r="AN373" s="20" t="b">
        <f t="shared" si="79"/>
        <v>0</v>
      </c>
      <c r="AO373" s="20" t="b">
        <f t="shared" si="80"/>
        <v>0</v>
      </c>
      <c r="AP373" s="20" t="b">
        <f t="shared" si="81"/>
        <v>0</v>
      </c>
      <c r="AQ373" s="20" t="b">
        <f t="shared" si="82"/>
        <v>0</v>
      </c>
      <c r="AR373" s="20" t="b">
        <f t="shared" si="83"/>
        <v>0</v>
      </c>
      <c r="AS373" s="20" t="b">
        <f t="shared" si="84"/>
        <v>0</v>
      </c>
      <c r="AT373" s="20" t="b">
        <f t="shared" si="85"/>
        <v>0</v>
      </c>
      <c r="AU373" s="20" t="b">
        <f t="shared" si="86"/>
        <v>0</v>
      </c>
    </row>
    <row r="374" spans="1:47">
      <c r="A374" s="20">
        <f t="shared" si="89"/>
        <v>7</v>
      </c>
      <c r="W374" s="54">
        <f t="shared" si="87"/>
        <v>0</v>
      </c>
      <c r="X374" s="54">
        <f t="shared" si="88"/>
        <v>0</v>
      </c>
      <c r="AJ374" s="20" t="b">
        <f t="shared" si="75"/>
        <v>0</v>
      </c>
      <c r="AK374" s="20" t="b">
        <f t="shared" si="76"/>
        <v>0</v>
      </c>
      <c r="AL374" s="20" t="b">
        <f t="shared" si="77"/>
        <v>0</v>
      </c>
      <c r="AM374" s="20" t="b">
        <f t="shared" si="78"/>
        <v>0</v>
      </c>
      <c r="AN374" s="20" t="b">
        <f t="shared" si="79"/>
        <v>0</v>
      </c>
      <c r="AO374" s="20" t="b">
        <f t="shared" si="80"/>
        <v>0</v>
      </c>
      <c r="AP374" s="20" t="b">
        <f t="shared" si="81"/>
        <v>0</v>
      </c>
      <c r="AQ374" s="20" t="b">
        <f t="shared" si="82"/>
        <v>0</v>
      </c>
      <c r="AR374" s="20" t="b">
        <f t="shared" si="83"/>
        <v>0</v>
      </c>
      <c r="AS374" s="20" t="b">
        <f t="shared" si="84"/>
        <v>0</v>
      </c>
      <c r="AT374" s="20" t="b">
        <f t="shared" si="85"/>
        <v>0</v>
      </c>
      <c r="AU374" s="20" t="b">
        <f t="shared" si="86"/>
        <v>0</v>
      </c>
    </row>
    <row r="375" spans="1:47">
      <c r="A375" s="20">
        <f t="shared" si="89"/>
        <v>7</v>
      </c>
      <c r="W375" s="54">
        <f t="shared" si="87"/>
        <v>0</v>
      </c>
      <c r="X375" s="54">
        <f t="shared" si="88"/>
        <v>0</v>
      </c>
      <c r="AJ375" s="20" t="b">
        <f t="shared" si="75"/>
        <v>0</v>
      </c>
      <c r="AK375" s="20" t="b">
        <f t="shared" si="76"/>
        <v>0</v>
      </c>
      <c r="AL375" s="20" t="b">
        <f t="shared" si="77"/>
        <v>0</v>
      </c>
      <c r="AM375" s="20" t="b">
        <f t="shared" si="78"/>
        <v>0</v>
      </c>
      <c r="AN375" s="20" t="b">
        <f t="shared" si="79"/>
        <v>0</v>
      </c>
      <c r="AO375" s="20" t="b">
        <f t="shared" si="80"/>
        <v>0</v>
      </c>
      <c r="AP375" s="20" t="b">
        <f t="shared" si="81"/>
        <v>0</v>
      </c>
      <c r="AQ375" s="20" t="b">
        <f t="shared" si="82"/>
        <v>0</v>
      </c>
      <c r="AR375" s="20" t="b">
        <f t="shared" si="83"/>
        <v>0</v>
      </c>
      <c r="AS375" s="20" t="b">
        <f t="shared" si="84"/>
        <v>0</v>
      </c>
      <c r="AT375" s="20" t="b">
        <f t="shared" si="85"/>
        <v>0</v>
      </c>
      <c r="AU375" s="20" t="b">
        <f t="shared" si="86"/>
        <v>0</v>
      </c>
    </row>
    <row r="376" spans="1:47">
      <c r="A376" s="20">
        <f t="shared" si="89"/>
        <v>7</v>
      </c>
      <c r="W376" s="54">
        <f t="shared" si="87"/>
        <v>0</v>
      </c>
      <c r="X376" s="54">
        <f t="shared" si="88"/>
        <v>0</v>
      </c>
      <c r="AJ376" s="20" t="b">
        <f t="shared" si="75"/>
        <v>0</v>
      </c>
      <c r="AK376" s="20" t="b">
        <f t="shared" si="76"/>
        <v>0</v>
      </c>
      <c r="AL376" s="20" t="b">
        <f t="shared" si="77"/>
        <v>0</v>
      </c>
      <c r="AM376" s="20" t="b">
        <f t="shared" si="78"/>
        <v>0</v>
      </c>
      <c r="AN376" s="20" t="b">
        <f t="shared" si="79"/>
        <v>0</v>
      </c>
      <c r="AO376" s="20" t="b">
        <f t="shared" si="80"/>
        <v>0</v>
      </c>
      <c r="AP376" s="20" t="b">
        <f t="shared" si="81"/>
        <v>0</v>
      </c>
      <c r="AQ376" s="20" t="b">
        <f t="shared" si="82"/>
        <v>0</v>
      </c>
      <c r="AR376" s="20" t="b">
        <f t="shared" si="83"/>
        <v>0</v>
      </c>
      <c r="AS376" s="20" t="b">
        <f t="shared" si="84"/>
        <v>0</v>
      </c>
      <c r="AT376" s="20" t="b">
        <f t="shared" si="85"/>
        <v>0</v>
      </c>
      <c r="AU376" s="20" t="b">
        <f t="shared" si="86"/>
        <v>0</v>
      </c>
    </row>
    <row r="377" spans="1:47">
      <c r="A377" s="20">
        <f t="shared" si="89"/>
        <v>7</v>
      </c>
      <c r="W377" s="54">
        <f t="shared" si="87"/>
        <v>0</v>
      </c>
      <c r="X377" s="54">
        <f t="shared" si="88"/>
        <v>0</v>
      </c>
      <c r="AJ377" s="20" t="b">
        <f t="shared" si="75"/>
        <v>0</v>
      </c>
      <c r="AK377" s="20" t="b">
        <f t="shared" si="76"/>
        <v>0</v>
      </c>
      <c r="AL377" s="20" t="b">
        <f t="shared" si="77"/>
        <v>0</v>
      </c>
      <c r="AM377" s="20" t="b">
        <f t="shared" si="78"/>
        <v>0</v>
      </c>
      <c r="AN377" s="20" t="b">
        <f t="shared" si="79"/>
        <v>0</v>
      </c>
      <c r="AO377" s="20" t="b">
        <f t="shared" si="80"/>
        <v>0</v>
      </c>
      <c r="AP377" s="20" t="b">
        <f t="shared" si="81"/>
        <v>0</v>
      </c>
      <c r="AQ377" s="20" t="b">
        <f t="shared" si="82"/>
        <v>0</v>
      </c>
      <c r="AR377" s="20" t="b">
        <f t="shared" si="83"/>
        <v>0</v>
      </c>
      <c r="AS377" s="20" t="b">
        <f t="shared" si="84"/>
        <v>0</v>
      </c>
      <c r="AT377" s="20" t="b">
        <f t="shared" si="85"/>
        <v>0</v>
      </c>
      <c r="AU377" s="20" t="b">
        <f t="shared" si="86"/>
        <v>0</v>
      </c>
    </row>
    <row r="378" spans="1:47">
      <c r="A378" s="20">
        <f t="shared" si="89"/>
        <v>7</v>
      </c>
      <c r="W378" s="54">
        <f t="shared" si="87"/>
        <v>0</v>
      </c>
      <c r="X378" s="54">
        <f t="shared" si="88"/>
        <v>0</v>
      </c>
      <c r="AJ378" s="20" t="b">
        <f t="shared" si="75"/>
        <v>0</v>
      </c>
      <c r="AK378" s="20" t="b">
        <f t="shared" si="76"/>
        <v>0</v>
      </c>
      <c r="AL378" s="20" t="b">
        <f t="shared" si="77"/>
        <v>0</v>
      </c>
      <c r="AM378" s="20" t="b">
        <f t="shared" si="78"/>
        <v>0</v>
      </c>
      <c r="AN378" s="20" t="b">
        <f t="shared" si="79"/>
        <v>0</v>
      </c>
      <c r="AO378" s="20" t="b">
        <f t="shared" si="80"/>
        <v>0</v>
      </c>
      <c r="AP378" s="20" t="b">
        <f t="shared" si="81"/>
        <v>0</v>
      </c>
      <c r="AQ378" s="20" t="b">
        <f t="shared" si="82"/>
        <v>0</v>
      </c>
      <c r="AR378" s="20" t="b">
        <f t="shared" si="83"/>
        <v>0</v>
      </c>
      <c r="AS378" s="20" t="b">
        <f t="shared" si="84"/>
        <v>0</v>
      </c>
      <c r="AT378" s="20" t="b">
        <f t="shared" si="85"/>
        <v>0</v>
      </c>
      <c r="AU378" s="20" t="b">
        <f t="shared" si="86"/>
        <v>0</v>
      </c>
    </row>
    <row r="379" spans="1:47">
      <c r="A379" s="20">
        <f t="shared" si="89"/>
        <v>7</v>
      </c>
      <c r="W379" s="54">
        <f t="shared" si="87"/>
        <v>0</v>
      </c>
      <c r="X379" s="54">
        <f t="shared" si="88"/>
        <v>0</v>
      </c>
      <c r="AJ379" s="20" t="b">
        <f t="shared" si="75"/>
        <v>0</v>
      </c>
      <c r="AK379" s="20" t="b">
        <f t="shared" si="76"/>
        <v>0</v>
      </c>
      <c r="AL379" s="20" t="b">
        <f t="shared" si="77"/>
        <v>0</v>
      </c>
      <c r="AM379" s="20" t="b">
        <f t="shared" si="78"/>
        <v>0</v>
      </c>
      <c r="AN379" s="20" t="b">
        <f t="shared" si="79"/>
        <v>0</v>
      </c>
      <c r="AO379" s="20" t="b">
        <f t="shared" si="80"/>
        <v>0</v>
      </c>
      <c r="AP379" s="20" t="b">
        <f t="shared" si="81"/>
        <v>0</v>
      </c>
      <c r="AQ379" s="20" t="b">
        <f t="shared" si="82"/>
        <v>0</v>
      </c>
      <c r="AR379" s="20" t="b">
        <f t="shared" si="83"/>
        <v>0</v>
      </c>
      <c r="AS379" s="20" t="b">
        <f t="shared" si="84"/>
        <v>0</v>
      </c>
      <c r="AT379" s="20" t="b">
        <f t="shared" si="85"/>
        <v>0</v>
      </c>
      <c r="AU379" s="20" t="b">
        <f t="shared" si="86"/>
        <v>0</v>
      </c>
    </row>
    <row r="380" spans="1:47">
      <c r="A380" s="20">
        <f t="shared" si="89"/>
        <v>7</v>
      </c>
      <c r="W380" s="54">
        <f t="shared" si="87"/>
        <v>0</v>
      </c>
      <c r="X380" s="54">
        <f t="shared" si="88"/>
        <v>0</v>
      </c>
      <c r="AJ380" s="20" t="b">
        <f t="shared" si="75"/>
        <v>0</v>
      </c>
      <c r="AK380" s="20" t="b">
        <f t="shared" si="76"/>
        <v>0</v>
      </c>
      <c r="AL380" s="20" t="b">
        <f t="shared" si="77"/>
        <v>0</v>
      </c>
      <c r="AM380" s="20" t="b">
        <f t="shared" si="78"/>
        <v>0</v>
      </c>
      <c r="AN380" s="20" t="b">
        <f t="shared" si="79"/>
        <v>0</v>
      </c>
      <c r="AO380" s="20" t="b">
        <f t="shared" si="80"/>
        <v>0</v>
      </c>
      <c r="AP380" s="20" t="b">
        <f t="shared" si="81"/>
        <v>0</v>
      </c>
      <c r="AQ380" s="20" t="b">
        <f t="shared" si="82"/>
        <v>0</v>
      </c>
      <c r="AR380" s="20" t="b">
        <f t="shared" si="83"/>
        <v>0</v>
      </c>
      <c r="AS380" s="20" t="b">
        <f t="shared" si="84"/>
        <v>0</v>
      </c>
      <c r="AT380" s="20" t="b">
        <f t="shared" si="85"/>
        <v>0</v>
      </c>
      <c r="AU380" s="20" t="b">
        <f t="shared" si="86"/>
        <v>0</v>
      </c>
    </row>
    <row r="381" spans="1:47">
      <c r="A381" s="20">
        <f t="shared" si="89"/>
        <v>7</v>
      </c>
      <c r="W381" s="54">
        <f t="shared" si="87"/>
        <v>0</v>
      </c>
      <c r="X381" s="54">
        <f t="shared" si="88"/>
        <v>0</v>
      </c>
      <c r="AJ381" s="20" t="b">
        <f t="shared" si="75"/>
        <v>0</v>
      </c>
      <c r="AK381" s="20" t="b">
        <f t="shared" si="76"/>
        <v>0</v>
      </c>
      <c r="AL381" s="20" t="b">
        <f t="shared" si="77"/>
        <v>0</v>
      </c>
      <c r="AM381" s="20" t="b">
        <f t="shared" si="78"/>
        <v>0</v>
      </c>
      <c r="AN381" s="20" t="b">
        <f t="shared" si="79"/>
        <v>0</v>
      </c>
      <c r="AO381" s="20" t="b">
        <f t="shared" si="80"/>
        <v>0</v>
      </c>
      <c r="AP381" s="20" t="b">
        <f t="shared" si="81"/>
        <v>0</v>
      </c>
      <c r="AQ381" s="20" t="b">
        <f t="shared" si="82"/>
        <v>0</v>
      </c>
      <c r="AR381" s="20" t="b">
        <f t="shared" si="83"/>
        <v>0</v>
      </c>
      <c r="AS381" s="20" t="b">
        <f t="shared" si="84"/>
        <v>0</v>
      </c>
      <c r="AT381" s="20" t="b">
        <f t="shared" si="85"/>
        <v>0</v>
      </c>
      <c r="AU381" s="20" t="b">
        <f t="shared" si="86"/>
        <v>0</v>
      </c>
    </row>
    <row r="382" spans="1:47">
      <c r="A382" s="20">
        <f t="shared" si="89"/>
        <v>7</v>
      </c>
      <c r="W382" s="54">
        <f t="shared" si="87"/>
        <v>0</v>
      </c>
      <c r="X382" s="54">
        <f t="shared" si="88"/>
        <v>0</v>
      </c>
      <c r="AJ382" s="20" t="b">
        <f t="shared" si="75"/>
        <v>0</v>
      </c>
      <c r="AK382" s="20" t="b">
        <f t="shared" si="76"/>
        <v>0</v>
      </c>
      <c r="AL382" s="20" t="b">
        <f t="shared" si="77"/>
        <v>0</v>
      </c>
      <c r="AM382" s="20" t="b">
        <f t="shared" si="78"/>
        <v>0</v>
      </c>
      <c r="AN382" s="20" t="b">
        <f t="shared" si="79"/>
        <v>0</v>
      </c>
      <c r="AO382" s="20" t="b">
        <f t="shared" si="80"/>
        <v>0</v>
      </c>
      <c r="AP382" s="20" t="b">
        <f t="shared" si="81"/>
        <v>0</v>
      </c>
      <c r="AQ382" s="20" t="b">
        <f t="shared" si="82"/>
        <v>0</v>
      </c>
      <c r="AR382" s="20" t="b">
        <f t="shared" si="83"/>
        <v>0</v>
      </c>
      <c r="AS382" s="20" t="b">
        <f t="shared" si="84"/>
        <v>0</v>
      </c>
      <c r="AT382" s="20" t="b">
        <f t="shared" si="85"/>
        <v>0</v>
      </c>
      <c r="AU382" s="20" t="b">
        <f t="shared" si="86"/>
        <v>0</v>
      </c>
    </row>
    <row r="383" spans="1:47">
      <c r="A383" s="20">
        <f t="shared" si="89"/>
        <v>7</v>
      </c>
      <c r="W383" s="54">
        <f t="shared" si="87"/>
        <v>0</v>
      </c>
      <c r="X383" s="54">
        <f t="shared" si="88"/>
        <v>0</v>
      </c>
      <c r="AJ383" s="20" t="b">
        <f t="shared" si="75"/>
        <v>0</v>
      </c>
      <c r="AK383" s="20" t="b">
        <f t="shared" si="76"/>
        <v>0</v>
      </c>
      <c r="AL383" s="20" t="b">
        <f t="shared" si="77"/>
        <v>0</v>
      </c>
      <c r="AM383" s="20" t="b">
        <f t="shared" si="78"/>
        <v>0</v>
      </c>
      <c r="AN383" s="20" t="b">
        <f t="shared" si="79"/>
        <v>0</v>
      </c>
      <c r="AO383" s="20" t="b">
        <f t="shared" si="80"/>
        <v>0</v>
      </c>
      <c r="AP383" s="20" t="b">
        <f t="shared" si="81"/>
        <v>0</v>
      </c>
      <c r="AQ383" s="20" t="b">
        <f t="shared" si="82"/>
        <v>0</v>
      </c>
      <c r="AR383" s="20" t="b">
        <f t="shared" si="83"/>
        <v>0</v>
      </c>
      <c r="AS383" s="20" t="b">
        <f t="shared" si="84"/>
        <v>0</v>
      </c>
      <c r="AT383" s="20" t="b">
        <f t="shared" si="85"/>
        <v>0</v>
      </c>
      <c r="AU383" s="20" t="b">
        <f t="shared" si="86"/>
        <v>0</v>
      </c>
    </row>
    <row r="384" spans="1:47">
      <c r="A384" s="20">
        <f t="shared" si="89"/>
        <v>7</v>
      </c>
      <c r="W384" s="54">
        <f t="shared" si="87"/>
        <v>0</v>
      </c>
      <c r="X384" s="54">
        <f t="shared" si="88"/>
        <v>0</v>
      </c>
      <c r="AJ384" s="20" t="b">
        <f t="shared" si="75"/>
        <v>0</v>
      </c>
      <c r="AK384" s="20" t="b">
        <f t="shared" si="76"/>
        <v>0</v>
      </c>
      <c r="AL384" s="20" t="b">
        <f t="shared" si="77"/>
        <v>0</v>
      </c>
      <c r="AM384" s="20" t="b">
        <f t="shared" si="78"/>
        <v>0</v>
      </c>
      <c r="AN384" s="20" t="b">
        <f t="shared" si="79"/>
        <v>0</v>
      </c>
      <c r="AO384" s="20" t="b">
        <f t="shared" si="80"/>
        <v>0</v>
      </c>
      <c r="AP384" s="20" t="b">
        <f t="shared" si="81"/>
        <v>0</v>
      </c>
      <c r="AQ384" s="20" t="b">
        <f t="shared" si="82"/>
        <v>0</v>
      </c>
      <c r="AR384" s="20" t="b">
        <f t="shared" si="83"/>
        <v>0</v>
      </c>
      <c r="AS384" s="20" t="b">
        <f t="shared" si="84"/>
        <v>0</v>
      </c>
      <c r="AT384" s="20" t="b">
        <f t="shared" si="85"/>
        <v>0</v>
      </c>
      <c r="AU384" s="20" t="b">
        <f t="shared" si="86"/>
        <v>0</v>
      </c>
    </row>
    <row r="385" spans="1:47">
      <c r="A385" s="20">
        <f t="shared" si="89"/>
        <v>7</v>
      </c>
      <c r="W385" s="54">
        <f t="shared" si="87"/>
        <v>0</v>
      </c>
      <c r="X385" s="54">
        <f t="shared" si="88"/>
        <v>0</v>
      </c>
      <c r="AJ385" s="20" t="b">
        <f t="shared" si="75"/>
        <v>0</v>
      </c>
      <c r="AK385" s="20" t="b">
        <f t="shared" si="76"/>
        <v>0</v>
      </c>
      <c r="AL385" s="20" t="b">
        <f t="shared" si="77"/>
        <v>0</v>
      </c>
      <c r="AM385" s="20" t="b">
        <f t="shared" si="78"/>
        <v>0</v>
      </c>
      <c r="AN385" s="20" t="b">
        <f t="shared" si="79"/>
        <v>0</v>
      </c>
      <c r="AO385" s="20" t="b">
        <f t="shared" si="80"/>
        <v>0</v>
      </c>
      <c r="AP385" s="20" t="b">
        <f t="shared" si="81"/>
        <v>0</v>
      </c>
      <c r="AQ385" s="20" t="b">
        <f t="shared" si="82"/>
        <v>0</v>
      </c>
      <c r="AR385" s="20" t="b">
        <f t="shared" si="83"/>
        <v>0</v>
      </c>
      <c r="AS385" s="20" t="b">
        <f t="shared" si="84"/>
        <v>0</v>
      </c>
      <c r="AT385" s="20" t="b">
        <f t="shared" si="85"/>
        <v>0</v>
      </c>
      <c r="AU385" s="20" t="b">
        <f t="shared" si="86"/>
        <v>0</v>
      </c>
    </row>
    <row r="386" spans="1:47">
      <c r="A386" s="20">
        <f t="shared" si="89"/>
        <v>7</v>
      </c>
      <c r="W386" s="54">
        <f t="shared" si="87"/>
        <v>0</v>
      </c>
      <c r="X386" s="54">
        <f t="shared" si="88"/>
        <v>0</v>
      </c>
      <c r="AJ386" s="20" t="b">
        <f t="shared" ref="AJ386:AJ449" si="90">IF(AND(A386=2, J386="PF", T386="YES", V386="A"), L386)</f>
        <v>0</v>
      </c>
      <c r="AK386" s="20" t="b">
        <f t="shared" ref="AK386:AK449" si="91">IF(AND(A386=3, J386="PF", T386="YES", V386="A"), L386)</f>
        <v>0</v>
      </c>
      <c r="AL386" s="20" t="b">
        <f t="shared" ref="AL386:AL449" si="92">IF(AND(A386=4, J386="PF", T386="YES", V386="A"), L386)</f>
        <v>0</v>
      </c>
      <c r="AM386" s="20" t="b">
        <f t="shared" ref="AM386:AM449" si="93">IF(AND(A386=5, J386="PF", T386="YES", V386="A"), L386)</f>
        <v>0</v>
      </c>
      <c r="AN386" s="20" t="b">
        <f t="shared" ref="AN386:AN449" si="94">IF(AND(A386=6, J386="PF", T386="YES", V386="A"), L386)</f>
        <v>0</v>
      </c>
      <c r="AO386" s="20" t="b">
        <f t="shared" ref="AO386:AO449" si="95">IF(AND(A386=7, J386="PF", T386="YES", V386="A"), L386)</f>
        <v>0</v>
      </c>
      <c r="AP386" s="20" t="b">
        <f t="shared" ref="AP386:AP449" si="96">IF(AND(A386=8, J386="PF", T386="YES", V386="A"), L386)</f>
        <v>0</v>
      </c>
      <c r="AQ386" s="20" t="b">
        <f t="shared" ref="AQ386:AQ449" si="97">IF(AND(A386=9, J386="PF", T386="YES", V386="A"), L386)</f>
        <v>0</v>
      </c>
      <c r="AR386" s="20" t="b">
        <f t="shared" ref="AR386:AR449" si="98">IF(AND(A386=10, J386="PF", T386="YES", V386="A"), L386)</f>
        <v>0</v>
      </c>
      <c r="AS386" s="20" t="b">
        <f t="shared" ref="AS386:AS449" si="99">IF(AND(A386=11, J386="PF", T386="YES", V386="A"), L386)</f>
        <v>0</v>
      </c>
      <c r="AT386" s="20" t="b">
        <f t="shared" ref="AT386:AT449" si="100">IF(AND(A386=12, J386="PF", T386="YES", V386="A"), L386)</f>
        <v>0</v>
      </c>
      <c r="AU386" s="20" t="b">
        <f t="shared" ref="AU386:AU449" si="101">IF(AND(A386=13, J386="PF", T386="YES", V386="A"), L386)</f>
        <v>0</v>
      </c>
    </row>
    <row r="387" spans="1:47">
      <c r="A387" s="20">
        <f t="shared" si="89"/>
        <v>7</v>
      </c>
      <c r="W387" s="54">
        <f t="shared" ref="W387:W450" si="102">IF(J387="pf", L387, 0)</f>
        <v>0</v>
      </c>
      <c r="X387" s="54">
        <f t="shared" ref="X387:X450" si="103">IF(J387&lt;&gt;"PF", L387, 0)</f>
        <v>0</v>
      </c>
      <c r="AJ387" s="20" t="b">
        <f t="shared" si="90"/>
        <v>0</v>
      </c>
      <c r="AK387" s="20" t="b">
        <f t="shared" si="91"/>
        <v>0</v>
      </c>
      <c r="AL387" s="20" t="b">
        <f t="shared" si="92"/>
        <v>0</v>
      </c>
      <c r="AM387" s="20" t="b">
        <f t="shared" si="93"/>
        <v>0</v>
      </c>
      <c r="AN387" s="20" t="b">
        <f t="shared" si="94"/>
        <v>0</v>
      </c>
      <c r="AO387" s="20" t="b">
        <f t="shared" si="95"/>
        <v>0</v>
      </c>
      <c r="AP387" s="20" t="b">
        <f t="shared" si="96"/>
        <v>0</v>
      </c>
      <c r="AQ387" s="20" t="b">
        <f t="shared" si="97"/>
        <v>0</v>
      </c>
      <c r="AR387" s="20" t="b">
        <f t="shared" si="98"/>
        <v>0</v>
      </c>
      <c r="AS387" s="20" t="b">
        <f t="shared" si="99"/>
        <v>0</v>
      </c>
      <c r="AT387" s="20" t="b">
        <f t="shared" si="100"/>
        <v>0</v>
      </c>
      <c r="AU387" s="20" t="b">
        <f t="shared" si="101"/>
        <v>0</v>
      </c>
    </row>
    <row r="388" spans="1:47">
      <c r="A388" s="20">
        <f t="shared" si="89"/>
        <v>7</v>
      </c>
      <c r="W388" s="54">
        <f t="shared" si="102"/>
        <v>0</v>
      </c>
      <c r="X388" s="54">
        <f t="shared" si="103"/>
        <v>0</v>
      </c>
      <c r="AJ388" s="20" t="b">
        <f t="shared" si="90"/>
        <v>0</v>
      </c>
      <c r="AK388" s="20" t="b">
        <f t="shared" si="91"/>
        <v>0</v>
      </c>
      <c r="AL388" s="20" t="b">
        <f t="shared" si="92"/>
        <v>0</v>
      </c>
      <c r="AM388" s="20" t="b">
        <f t="shared" si="93"/>
        <v>0</v>
      </c>
      <c r="AN388" s="20" t="b">
        <f t="shared" si="94"/>
        <v>0</v>
      </c>
      <c r="AO388" s="20" t="b">
        <f t="shared" si="95"/>
        <v>0</v>
      </c>
      <c r="AP388" s="20" t="b">
        <f t="shared" si="96"/>
        <v>0</v>
      </c>
      <c r="AQ388" s="20" t="b">
        <f t="shared" si="97"/>
        <v>0</v>
      </c>
      <c r="AR388" s="20" t="b">
        <f t="shared" si="98"/>
        <v>0</v>
      </c>
      <c r="AS388" s="20" t="b">
        <f t="shared" si="99"/>
        <v>0</v>
      </c>
      <c r="AT388" s="20" t="b">
        <f t="shared" si="100"/>
        <v>0</v>
      </c>
      <c r="AU388" s="20" t="b">
        <f t="shared" si="101"/>
        <v>0</v>
      </c>
    </row>
    <row r="389" spans="1:47">
      <c r="A389" s="20">
        <f t="shared" si="89"/>
        <v>7</v>
      </c>
      <c r="W389" s="54">
        <f t="shared" si="102"/>
        <v>0</v>
      </c>
      <c r="X389" s="54">
        <f t="shared" si="103"/>
        <v>0</v>
      </c>
      <c r="AJ389" s="20" t="b">
        <f t="shared" si="90"/>
        <v>0</v>
      </c>
      <c r="AK389" s="20" t="b">
        <f t="shared" si="91"/>
        <v>0</v>
      </c>
      <c r="AL389" s="20" t="b">
        <f t="shared" si="92"/>
        <v>0</v>
      </c>
      <c r="AM389" s="20" t="b">
        <f t="shared" si="93"/>
        <v>0</v>
      </c>
      <c r="AN389" s="20" t="b">
        <f t="shared" si="94"/>
        <v>0</v>
      </c>
      <c r="AO389" s="20" t="b">
        <f t="shared" si="95"/>
        <v>0</v>
      </c>
      <c r="AP389" s="20" t="b">
        <f t="shared" si="96"/>
        <v>0</v>
      </c>
      <c r="AQ389" s="20" t="b">
        <f t="shared" si="97"/>
        <v>0</v>
      </c>
      <c r="AR389" s="20" t="b">
        <f t="shared" si="98"/>
        <v>0</v>
      </c>
      <c r="AS389" s="20" t="b">
        <f t="shared" si="99"/>
        <v>0</v>
      </c>
      <c r="AT389" s="20" t="b">
        <f t="shared" si="100"/>
        <v>0</v>
      </c>
      <c r="AU389" s="20" t="b">
        <f t="shared" si="101"/>
        <v>0</v>
      </c>
    </row>
    <row r="390" spans="1:47">
      <c r="A390" s="20">
        <f t="shared" si="89"/>
        <v>7</v>
      </c>
      <c r="W390" s="54">
        <f t="shared" si="102"/>
        <v>0</v>
      </c>
      <c r="X390" s="54">
        <f t="shared" si="103"/>
        <v>0</v>
      </c>
      <c r="AJ390" s="20" t="b">
        <f t="shared" si="90"/>
        <v>0</v>
      </c>
      <c r="AK390" s="20" t="b">
        <f t="shared" si="91"/>
        <v>0</v>
      </c>
      <c r="AL390" s="20" t="b">
        <f t="shared" si="92"/>
        <v>0</v>
      </c>
      <c r="AM390" s="20" t="b">
        <f t="shared" si="93"/>
        <v>0</v>
      </c>
      <c r="AN390" s="20" t="b">
        <f t="shared" si="94"/>
        <v>0</v>
      </c>
      <c r="AO390" s="20" t="b">
        <f t="shared" si="95"/>
        <v>0</v>
      </c>
      <c r="AP390" s="20" t="b">
        <f t="shared" si="96"/>
        <v>0</v>
      </c>
      <c r="AQ390" s="20" t="b">
        <f t="shared" si="97"/>
        <v>0</v>
      </c>
      <c r="AR390" s="20" t="b">
        <f t="shared" si="98"/>
        <v>0</v>
      </c>
      <c r="AS390" s="20" t="b">
        <f t="shared" si="99"/>
        <v>0</v>
      </c>
      <c r="AT390" s="20" t="b">
        <f t="shared" si="100"/>
        <v>0</v>
      </c>
      <c r="AU390" s="20" t="b">
        <f t="shared" si="101"/>
        <v>0</v>
      </c>
    </row>
    <row r="391" spans="1:47">
      <c r="A391" s="20">
        <f t="shared" ref="A391:A454" si="104">IF(F391=F390,A390,A390+1)</f>
        <v>7</v>
      </c>
      <c r="W391" s="54">
        <f t="shared" si="102"/>
        <v>0</v>
      </c>
      <c r="X391" s="54">
        <f t="shared" si="103"/>
        <v>0</v>
      </c>
      <c r="AJ391" s="20" t="b">
        <f t="shared" si="90"/>
        <v>0</v>
      </c>
      <c r="AK391" s="20" t="b">
        <f t="shared" si="91"/>
        <v>0</v>
      </c>
      <c r="AL391" s="20" t="b">
        <f t="shared" si="92"/>
        <v>0</v>
      </c>
      <c r="AM391" s="20" t="b">
        <f t="shared" si="93"/>
        <v>0</v>
      </c>
      <c r="AN391" s="20" t="b">
        <f t="shared" si="94"/>
        <v>0</v>
      </c>
      <c r="AO391" s="20" t="b">
        <f t="shared" si="95"/>
        <v>0</v>
      </c>
      <c r="AP391" s="20" t="b">
        <f t="shared" si="96"/>
        <v>0</v>
      </c>
      <c r="AQ391" s="20" t="b">
        <f t="shared" si="97"/>
        <v>0</v>
      </c>
      <c r="AR391" s="20" t="b">
        <f t="shared" si="98"/>
        <v>0</v>
      </c>
      <c r="AS391" s="20" t="b">
        <f t="shared" si="99"/>
        <v>0</v>
      </c>
      <c r="AT391" s="20" t="b">
        <f t="shared" si="100"/>
        <v>0</v>
      </c>
      <c r="AU391" s="20" t="b">
        <f t="shared" si="101"/>
        <v>0</v>
      </c>
    </row>
    <row r="392" spans="1:47">
      <c r="A392" s="20">
        <f t="shared" si="104"/>
        <v>7</v>
      </c>
      <c r="W392" s="54">
        <f t="shared" si="102"/>
        <v>0</v>
      </c>
      <c r="X392" s="54">
        <f t="shared" si="103"/>
        <v>0</v>
      </c>
      <c r="AJ392" s="20" t="b">
        <f t="shared" si="90"/>
        <v>0</v>
      </c>
      <c r="AK392" s="20" t="b">
        <f t="shared" si="91"/>
        <v>0</v>
      </c>
      <c r="AL392" s="20" t="b">
        <f t="shared" si="92"/>
        <v>0</v>
      </c>
      <c r="AM392" s="20" t="b">
        <f t="shared" si="93"/>
        <v>0</v>
      </c>
      <c r="AN392" s="20" t="b">
        <f t="shared" si="94"/>
        <v>0</v>
      </c>
      <c r="AO392" s="20" t="b">
        <f t="shared" si="95"/>
        <v>0</v>
      </c>
      <c r="AP392" s="20" t="b">
        <f t="shared" si="96"/>
        <v>0</v>
      </c>
      <c r="AQ392" s="20" t="b">
        <f t="shared" si="97"/>
        <v>0</v>
      </c>
      <c r="AR392" s="20" t="b">
        <f t="shared" si="98"/>
        <v>0</v>
      </c>
      <c r="AS392" s="20" t="b">
        <f t="shared" si="99"/>
        <v>0</v>
      </c>
      <c r="AT392" s="20" t="b">
        <f t="shared" si="100"/>
        <v>0</v>
      </c>
      <c r="AU392" s="20" t="b">
        <f t="shared" si="101"/>
        <v>0</v>
      </c>
    </row>
    <row r="393" spans="1:47">
      <c r="A393" s="20">
        <f t="shared" si="104"/>
        <v>7</v>
      </c>
      <c r="W393" s="54">
        <f t="shared" si="102"/>
        <v>0</v>
      </c>
      <c r="X393" s="54">
        <f t="shared" si="103"/>
        <v>0</v>
      </c>
      <c r="AJ393" s="20" t="b">
        <f t="shared" si="90"/>
        <v>0</v>
      </c>
      <c r="AK393" s="20" t="b">
        <f t="shared" si="91"/>
        <v>0</v>
      </c>
      <c r="AL393" s="20" t="b">
        <f t="shared" si="92"/>
        <v>0</v>
      </c>
      <c r="AM393" s="20" t="b">
        <f t="shared" si="93"/>
        <v>0</v>
      </c>
      <c r="AN393" s="20" t="b">
        <f t="shared" si="94"/>
        <v>0</v>
      </c>
      <c r="AO393" s="20" t="b">
        <f t="shared" si="95"/>
        <v>0</v>
      </c>
      <c r="AP393" s="20" t="b">
        <f t="shared" si="96"/>
        <v>0</v>
      </c>
      <c r="AQ393" s="20" t="b">
        <f t="shared" si="97"/>
        <v>0</v>
      </c>
      <c r="AR393" s="20" t="b">
        <f t="shared" si="98"/>
        <v>0</v>
      </c>
      <c r="AS393" s="20" t="b">
        <f t="shared" si="99"/>
        <v>0</v>
      </c>
      <c r="AT393" s="20" t="b">
        <f t="shared" si="100"/>
        <v>0</v>
      </c>
      <c r="AU393" s="20" t="b">
        <f t="shared" si="101"/>
        <v>0</v>
      </c>
    </row>
    <row r="394" spans="1:47">
      <c r="A394" s="20">
        <f t="shared" si="104"/>
        <v>7</v>
      </c>
      <c r="W394" s="54">
        <f t="shared" si="102"/>
        <v>0</v>
      </c>
      <c r="X394" s="54">
        <f t="shared" si="103"/>
        <v>0</v>
      </c>
      <c r="AJ394" s="20" t="b">
        <f t="shared" si="90"/>
        <v>0</v>
      </c>
      <c r="AK394" s="20" t="b">
        <f t="shared" si="91"/>
        <v>0</v>
      </c>
      <c r="AL394" s="20" t="b">
        <f t="shared" si="92"/>
        <v>0</v>
      </c>
      <c r="AM394" s="20" t="b">
        <f t="shared" si="93"/>
        <v>0</v>
      </c>
      <c r="AN394" s="20" t="b">
        <f t="shared" si="94"/>
        <v>0</v>
      </c>
      <c r="AO394" s="20" t="b">
        <f t="shared" si="95"/>
        <v>0</v>
      </c>
      <c r="AP394" s="20" t="b">
        <f t="shared" si="96"/>
        <v>0</v>
      </c>
      <c r="AQ394" s="20" t="b">
        <f t="shared" si="97"/>
        <v>0</v>
      </c>
      <c r="AR394" s="20" t="b">
        <f t="shared" si="98"/>
        <v>0</v>
      </c>
      <c r="AS394" s="20" t="b">
        <f t="shared" si="99"/>
        <v>0</v>
      </c>
      <c r="AT394" s="20" t="b">
        <f t="shared" si="100"/>
        <v>0</v>
      </c>
      <c r="AU394" s="20" t="b">
        <f t="shared" si="101"/>
        <v>0</v>
      </c>
    </row>
    <row r="395" spans="1:47">
      <c r="A395" s="20">
        <f t="shared" si="104"/>
        <v>7</v>
      </c>
      <c r="W395" s="54">
        <f t="shared" si="102"/>
        <v>0</v>
      </c>
      <c r="X395" s="54">
        <f t="shared" si="103"/>
        <v>0</v>
      </c>
      <c r="AJ395" s="20" t="b">
        <f t="shared" si="90"/>
        <v>0</v>
      </c>
      <c r="AK395" s="20" t="b">
        <f t="shared" si="91"/>
        <v>0</v>
      </c>
      <c r="AL395" s="20" t="b">
        <f t="shared" si="92"/>
        <v>0</v>
      </c>
      <c r="AM395" s="20" t="b">
        <f t="shared" si="93"/>
        <v>0</v>
      </c>
      <c r="AN395" s="20" t="b">
        <f t="shared" si="94"/>
        <v>0</v>
      </c>
      <c r="AO395" s="20" t="b">
        <f t="shared" si="95"/>
        <v>0</v>
      </c>
      <c r="AP395" s="20" t="b">
        <f t="shared" si="96"/>
        <v>0</v>
      </c>
      <c r="AQ395" s="20" t="b">
        <f t="shared" si="97"/>
        <v>0</v>
      </c>
      <c r="AR395" s="20" t="b">
        <f t="shared" si="98"/>
        <v>0</v>
      </c>
      <c r="AS395" s="20" t="b">
        <f t="shared" si="99"/>
        <v>0</v>
      </c>
      <c r="AT395" s="20" t="b">
        <f t="shared" si="100"/>
        <v>0</v>
      </c>
      <c r="AU395" s="20" t="b">
        <f t="shared" si="101"/>
        <v>0</v>
      </c>
    </row>
    <row r="396" spans="1:47">
      <c r="A396" s="20">
        <f t="shared" si="104"/>
        <v>7</v>
      </c>
      <c r="W396" s="54">
        <f t="shared" si="102"/>
        <v>0</v>
      </c>
      <c r="X396" s="54">
        <f t="shared" si="103"/>
        <v>0</v>
      </c>
      <c r="AJ396" s="20" t="b">
        <f t="shared" si="90"/>
        <v>0</v>
      </c>
      <c r="AK396" s="20" t="b">
        <f t="shared" si="91"/>
        <v>0</v>
      </c>
      <c r="AL396" s="20" t="b">
        <f t="shared" si="92"/>
        <v>0</v>
      </c>
      <c r="AM396" s="20" t="b">
        <f t="shared" si="93"/>
        <v>0</v>
      </c>
      <c r="AN396" s="20" t="b">
        <f t="shared" si="94"/>
        <v>0</v>
      </c>
      <c r="AO396" s="20" t="b">
        <f t="shared" si="95"/>
        <v>0</v>
      </c>
      <c r="AP396" s="20" t="b">
        <f t="shared" si="96"/>
        <v>0</v>
      </c>
      <c r="AQ396" s="20" t="b">
        <f t="shared" si="97"/>
        <v>0</v>
      </c>
      <c r="AR396" s="20" t="b">
        <f t="shared" si="98"/>
        <v>0</v>
      </c>
      <c r="AS396" s="20" t="b">
        <f t="shared" si="99"/>
        <v>0</v>
      </c>
      <c r="AT396" s="20" t="b">
        <f t="shared" si="100"/>
        <v>0</v>
      </c>
      <c r="AU396" s="20" t="b">
        <f t="shared" si="101"/>
        <v>0</v>
      </c>
    </row>
    <row r="397" spans="1:47">
      <c r="A397" s="20">
        <f t="shared" si="104"/>
        <v>7</v>
      </c>
      <c r="W397" s="54">
        <f t="shared" si="102"/>
        <v>0</v>
      </c>
      <c r="X397" s="54">
        <f t="shared" si="103"/>
        <v>0</v>
      </c>
      <c r="AJ397" s="20" t="b">
        <f t="shared" si="90"/>
        <v>0</v>
      </c>
      <c r="AK397" s="20" t="b">
        <f t="shared" si="91"/>
        <v>0</v>
      </c>
      <c r="AL397" s="20" t="b">
        <f t="shared" si="92"/>
        <v>0</v>
      </c>
      <c r="AM397" s="20" t="b">
        <f t="shared" si="93"/>
        <v>0</v>
      </c>
      <c r="AN397" s="20" t="b">
        <f t="shared" si="94"/>
        <v>0</v>
      </c>
      <c r="AO397" s="20" t="b">
        <f t="shared" si="95"/>
        <v>0</v>
      </c>
      <c r="AP397" s="20" t="b">
        <f t="shared" si="96"/>
        <v>0</v>
      </c>
      <c r="AQ397" s="20" t="b">
        <f t="shared" si="97"/>
        <v>0</v>
      </c>
      <c r="AR397" s="20" t="b">
        <f t="shared" si="98"/>
        <v>0</v>
      </c>
      <c r="AS397" s="20" t="b">
        <f t="shared" si="99"/>
        <v>0</v>
      </c>
      <c r="AT397" s="20" t="b">
        <f t="shared" si="100"/>
        <v>0</v>
      </c>
      <c r="AU397" s="20" t="b">
        <f t="shared" si="101"/>
        <v>0</v>
      </c>
    </row>
    <row r="398" spans="1:47">
      <c r="A398" s="20">
        <f t="shared" si="104"/>
        <v>7</v>
      </c>
      <c r="W398" s="54">
        <f t="shared" si="102"/>
        <v>0</v>
      </c>
      <c r="X398" s="54">
        <f t="shared" si="103"/>
        <v>0</v>
      </c>
      <c r="AJ398" s="20" t="b">
        <f t="shared" si="90"/>
        <v>0</v>
      </c>
      <c r="AK398" s="20" t="b">
        <f t="shared" si="91"/>
        <v>0</v>
      </c>
      <c r="AL398" s="20" t="b">
        <f t="shared" si="92"/>
        <v>0</v>
      </c>
      <c r="AM398" s="20" t="b">
        <f t="shared" si="93"/>
        <v>0</v>
      </c>
      <c r="AN398" s="20" t="b">
        <f t="shared" si="94"/>
        <v>0</v>
      </c>
      <c r="AO398" s="20" t="b">
        <f t="shared" si="95"/>
        <v>0</v>
      </c>
      <c r="AP398" s="20" t="b">
        <f t="shared" si="96"/>
        <v>0</v>
      </c>
      <c r="AQ398" s="20" t="b">
        <f t="shared" si="97"/>
        <v>0</v>
      </c>
      <c r="AR398" s="20" t="b">
        <f t="shared" si="98"/>
        <v>0</v>
      </c>
      <c r="AS398" s="20" t="b">
        <f t="shared" si="99"/>
        <v>0</v>
      </c>
      <c r="AT398" s="20" t="b">
        <f t="shared" si="100"/>
        <v>0</v>
      </c>
      <c r="AU398" s="20" t="b">
        <f t="shared" si="101"/>
        <v>0</v>
      </c>
    </row>
    <row r="399" spans="1:47">
      <c r="A399" s="20">
        <f t="shared" si="104"/>
        <v>7</v>
      </c>
      <c r="W399" s="54">
        <f t="shared" si="102"/>
        <v>0</v>
      </c>
      <c r="X399" s="54">
        <f t="shared" si="103"/>
        <v>0</v>
      </c>
      <c r="AJ399" s="20" t="b">
        <f t="shared" si="90"/>
        <v>0</v>
      </c>
      <c r="AK399" s="20" t="b">
        <f t="shared" si="91"/>
        <v>0</v>
      </c>
      <c r="AL399" s="20" t="b">
        <f t="shared" si="92"/>
        <v>0</v>
      </c>
      <c r="AM399" s="20" t="b">
        <f t="shared" si="93"/>
        <v>0</v>
      </c>
      <c r="AN399" s="20" t="b">
        <f t="shared" si="94"/>
        <v>0</v>
      </c>
      <c r="AO399" s="20" t="b">
        <f t="shared" si="95"/>
        <v>0</v>
      </c>
      <c r="AP399" s="20" t="b">
        <f t="shared" si="96"/>
        <v>0</v>
      </c>
      <c r="AQ399" s="20" t="b">
        <f t="shared" si="97"/>
        <v>0</v>
      </c>
      <c r="AR399" s="20" t="b">
        <f t="shared" si="98"/>
        <v>0</v>
      </c>
      <c r="AS399" s="20" t="b">
        <f t="shared" si="99"/>
        <v>0</v>
      </c>
      <c r="AT399" s="20" t="b">
        <f t="shared" si="100"/>
        <v>0</v>
      </c>
      <c r="AU399" s="20" t="b">
        <f t="shared" si="101"/>
        <v>0</v>
      </c>
    </row>
    <row r="400" spans="1:47">
      <c r="A400" s="20">
        <f t="shared" si="104"/>
        <v>7</v>
      </c>
      <c r="W400" s="54">
        <f t="shared" si="102"/>
        <v>0</v>
      </c>
      <c r="X400" s="54">
        <f t="shared" si="103"/>
        <v>0</v>
      </c>
      <c r="AJ400" s="20" t="b">
        <f t="shared" si="90"/>
        <v>0</v>
      </c>
      <c r="AK400" s="20" t="b">
        <f t="shared" si="91"/>
        <v>0</v>
      </c>
      <c r="AL400" s="20" t="b">
        <f t="shared" si="92"/>
        <v>0</v>
      </c>
      <c r="AM400" s="20" t="b">
        <f t="shared" si="93"/>
        <v>0</v>
      </c>
      <c r="AN400" s="20" t="b">
        <f t="shared" si="94"/>
        <v>0</v>
      </c>
      <c r="AO400" s="20" t="b">
        <f t="shared" si="95"/>
        <v>0</v>
      </c>
      <c r="AP400" s="20" t="b">
        <f t="shared" si="96"/>
        <v>0</v>
      </c>
      <c r="AQ400" s="20" t="b">
        <f t="shared" si="97"/>
        <v>0</v>
      </c>
      <c r="AR400" s="20" t="b">
        <f t="shared" si="98"/>
        <v>0</v>
      </c>
      <c r="AS400" s="20" t="b">
        <f t="shared" si="99"/>
        <v>0</v>
      </c>
      <c r="AT400" s="20" t="b">
        <f t="shared" si="100"/>
        <v>0</v>
      </c>
      <c r="AU400" s="20" t="b">
        <f t="shared" si="101"/>
        <v>0</v>
      </c>
    </row>
    <row r="401" spans="1:47">
      <c r="A401" s="20">
        <f t="shared" si="104"/>
        <v>7</v>
      </c>
      <c r="W401" s="54">
        <f t="shared" si="102"/>
        <v>0</v>
      </c>
      <c r="X401" s="54">
        <f t="shared" si="103"/>
        <v>0</v>
      </c>
      <c r="AJ401" s="20" t="b">
        <f t="shared" si="90"/>
        <v>0</v>
      </c>
      <c r="AK401" s="20" t="b">
        <f t="shared" si="91"/>
        <v>0</v>
      </c>
      <c r="AL401" s="20" t="b">
        <f t="shared" si="92"/>
        <v>0</v>
      </c>
      <c r="AM401" s="20" t="b">
        <f t="shared" si="93"/>
        <v>0</v>
      </c>
      <c r="AN401" s="20" t="b">
        <f t="shared" si="94"/>
        <v>0</v>
      </c>
      <c r="AO401" s="20" t="b">
        <f t="shared" si="95"/>
        <v>0</v>
      </c>
      <c r="AP401" s="20" t="b">
        <f t="shared" si="96"/>
        <v>0</v>
      </c>
      <c r="AQ401" s="20" t="b">
        <f t="shared" si="97"/>
        <v>0</v>
      </c>
      <c r="AR401" s="20" t="b">
        <f t="shared" si="98"/>
        <v>0</v>
      </c>
      <c r="AS401" s="20" t="b">
        <f t="shared" si="99"/>
        <v>0</v>
      </c>
      <c r="AT401" s="20" t="b">
        <f t="shared" si="100"/>
        <v>0</v>
      </c>
      <c r="AU401" s="20" t="b">
        <f t="shared" si="101"/>
        <v>0</v>
      </c>
    </row>
    <row r="402" spans="1:47">
      <c r="A402" s="20">
        <f t="shared" si="104"/>
        <v>7</v>
      </c>
      <c r="W402" s="54">
        <f t="shared" si="102"/>
        <v>0</v>
      </c>
      <c r="X402" s="54">
        <f t="shared" si="103"/>
        <v>0</v>
      </c>
      <c r="AJ402" s="20" t="b">
        <f t="shared" si="90"/>
        <v>0</v>
      </c>
      <c r="AK402" s="20" t="b">
        <f t="shared" si="91"/>
        <v>0</v>
      </c>
      <c r="AL402" s="20" t="b">
        <f t="shared" si="92"/>
        <v>0</v>
      </c>
      <c r="AM402" s="20" t="b">
        <f t="shared" si="93"/>
        <v>0</v>
      </c>
      <c r="AN402" s="20" t="b">
        <f t="shared" si="94"/>
        <v>0</v>
      </c>
      <c r="AO402" s="20" t="b">
        <f t="shared" si="95"/>
        <v>0</v>
      </c>
      <c r="AP402" s="20" t="b">
        <f t="shared" si="96"/>
        <v>0</v>
      </c>
      <c r="AQ402" s="20" t="b">
        <f t="shared" si="97"/>
        <v>0</v>
      </c>
      <c r="AR402" s="20" t="b">
        <f t="shared" si="98"/>
        <v>0</v>
      </c>
      <c r="AS402" s="20" t="b">
        <f t="shared" si="99"/>
        <v>0</v>
      </c>
      <c r="AT402" s="20" t="b">
        <f t="shared" si="100"/>
        <v>0</v>
      </c>
      <c r="AU402" s="20" t="b">
        <f t="shared" si="101"/>
        <v>0</v>
      </c>
    </row>
    <row r="403" spans="1:47">
      <c r="A403" s="20">
        <f t="shared" si="104"/>
        <v>7</v>
      </c>
      <c r="W403" s="54">
        <f t="shared" si="102"/>
        <v>0</v>
      </c>
      <c r="X403" s="54">
        <f t="shared" si="103"/>
        <v>0</v>
      </c>
      <c r="AJ403" s="20" t="b">
        <f t="shared" si="90"/>
        <v>0</v>
      </c>
      <c r="AK403" s="20" t="b">
        <f t="shared" si="91"/>
        <v>0</v>
      </c>
      <c r="AL403" s="20" t="b">
        <f t="shared" si="92"/>
        <v>0</v>
      </c>
      <c r="AM403" s="20" t="b">
        <f t="shared" si="93"/>
        <v>0</v>
      </c>
      <c r="AN403" s="20" t="b">
        <f t="shared" si="94"/>
        <v>0</v>
      </c>
      <c r="AO403" s="20" t="b">
        <f t="shared" si="95"/>
        <v>0</v>
      </c>
      <c r="AP403" s="20" t="b">
        <f t="shared" si="96"/>
        <v>0</v>
      </c>
      <c r="AQ403" s="20" t="b">
        <f t="shared" si="97"/>
        <v>0</v>
      </c>
      <c r="AR403" s="20" t="b">
        <f t="shared" si="98"/>
        <v>0</v>
      </c>
      <c r="AS403" s="20" t="b">
        <f t="shared" si="99"/>
        <v>0</v>
      </c>
      <c r="AT403" s="20" t="b">
        <f t="shared" si="100"/>
        <v>0</v>
      </c>
      <c r="AU403" s="20" t="b">
        <f t="shared" si="101"/>
        <v>0</v>
      </c>
    </row>
    <row r="404" spans="1:47">
      <c r="A404" s="20">
        <f t="shared" si="104"/>
        <v>7</v>
      </c>
      <c r="W404" s="54">
        <f t="shared" si="102"/>
        <v>0</v>
      </c>
      <c r="X404" s="54">
        <f t="shared" si="103"/>
        <v>0</v>
      </c>
      <c r="AJ404" s="20" t="b">
        <f t="shared" si="90"/>
        <v>0</v>
      </c>
      <c r="AK404" s="20" t="b">
        <f t="shared" si="91"/>
        <v>0</v>
      </c>
      <c r="AL404" s="20" t="b">
        <f t="shared" si="92"/>
        <v>0</v>
      </c>
      <c r="AM404" s="20" t="b">
        <f t="shared" si="93"/>
        <v>0</v>
      </c>
      <c r="AN404" s="20" t="b">
        <f t="shared" si="94"/>
        <v>0</v>
      </c>
      <c r="AO404" s="20" t="b">
        <f t="shared" si="95"/>
        <v>0</v>
      </c>
      <c r="AP404" s="20" t="b">
        <f t="shared" si="96"/>
        <v>0</v>
      </c>
      <c r="AQ404" s="20" t="b">
        <f t="shared" si="97"/>
        <v>0</v>
      </c>
      <c r="AR404" s="20" t="b">
        <f t="shared" si="98"/>
        <v>0</v>
      </c>
      <c r="AS404" s="20" t="b">
        <f t="shared" si="99"/>
        <v>0</v>
      </c>
      <c r="AT404" s="20" t="b">
        <f t="shared" si="100"/>
        <v>0</v>
      </c>
      <c r="AU404" s="20" t="b">
        <f t="shared" si="101"/>
        <v>0</v>
      </c>
    </row>
    <row r="405" spans="1:47">
      <c r="A405" s="20">
        <f t="shared" si="104"/>
        <v>7</v>
      </c>
      <c r="W405" s="54">
        <f t="shared" si="102"/>
        <v>0</v>
      </c>
      <c r="X405" s="54">
        <f t="shared" si="103"/>
        <v>0</v>
      </c>
      <c r="AJ405" s="20" t="b">
        <f t="shared" si="90"/>
        <v>0</v>
      </c>
      <c r="AK405" s="20" t="b">
        <f t="shared" si="91"/>
        <v>0</v>
      </c>
      <c r="AL405" s="20" t="b">
        <f t="shared" si="92"/>
        <v>0</v>
      </c>
      <c r="AM405" s="20" t="b">
        <f t="shared" si="93"/>
        <v>0</v>
      </c>
      <c r="AN405" s="20" t="b">
        <f t="shared" si="94"/>
        <v>0</v>
      </c>
      <c r="AO405" s="20" t="b">
        <f t="shared" si="95"/>
        <v>0</v>
      </c>
      <c r="AP405" s="20" t="b">
        <f t="shared" si="96"/>
        <v>0</v>
      </c>
      <c r="AQ405" s="20" t="b">
        <f t="shared" si="97"/>
        <v>0</v>
      </c>
      <c r="AR405" s="20" t="b">
        <f t="shared" si="98"/>
        <v>0</v>
      </c>
      <c r="AS405" s="20" t="b">
        <f t="shared" si="99"/>
        <v>0</v>
      </c>
      <c r="AT405" s="20" t="b">
        <f t="shared" si="100"/>
        <v>0</v>
      </c>
      <c r="AU405" s="20" t="b">
        <f t="shared" si="101"/>
        <v>0</v>
      </c>
    </row>
    <row r="406" spans="1:47">
      <c r="A406" s="20">
        <f t="shared" si="104"/>
        <v>7</v>
      </c>
      <c r="W406" s="54">
        <f t="shared" si="102"/>
        <v>0</v>
      </c>
      <c r="X406" s="54">
        <f t="shared" si="103"/>
        <v>0</v>
      </c>
      <c r="AJ406" s="20" t="b">
        <f t="shared" si="90"/>
        <v>0</v>
      </c>
      <c r="AK406" s="20" t="b">
        <f t="shared" si="91"/>
        <v>0</v>
      </c>
      <c r="AL406" s="20" t="b">
        <f t="shared" si="92"/>
        <v>0</v>
      </c>
      <c r="AM406" s="20" t="b">
        <f t="shared" si="93"/>
        <v>0</v>
      </c>
      <c r="AN406" s="20" t="b">
        <f t="shared" si="94"/>
        <v>0</v>
      </c>
      <c r="AO406" s="20" t="b">
        <f t="shared" si="95"/>
        <v>0</v>
      </c>
      <c r="AP406" s="20" t="b">
        <f t="shared" si="96"/>
        <v>0</v>
      </c>
      <c r="AQ406" s="20" t="b">
        <f t="shared" si="97"/>
        <v>0</v>
      </c>
      <c r="AR406" s="20" t="b">
        <f t="shared" si="98"/>
        <v>0</v>
      </c>
      <c r="AS406" s="20" t="b">
        <f t="shared" si="99"/>
        <v>0</v>
      </c>
      <c r="AT406" s="20" t="b">
        <f t="shared" si="100"/>
        <v>0</v>
      </c>
      <c r="AU406" s="20" t="b">
        <f t="shared" si="101"/>
        <v>0</v>
      </c>
    </row>
    <row r="407" spans="1:47">
      <c r="A407" s="20">
        <f t="shared" si="104"/>
        <v>7</v>
      </c>
      <c r="W407" s="54">
        <f t="shared" si="102"/>
        <v>0</v>
      </c>
      <c r="X407" s="54">
        <f t="shared" si="103"/>
        <v>0</v>
      </c>
      <c r="AJ407" s="20" t="b">
        <f t="shared" si="90"/>
        <v>0</v>
      </c>
      <c r="AK407" s="20" t="b">
        <f t="shared" si="91"/>
        <v>0</v>
      </c>
      <c r="AL407" s="20" t="b">
        <f t="shared" si="92"/>
        <v>0</v>
      </c>
      <c r="AM407" s="20" t="b">
        <f t="shared" si="93"/>
        <v>0</v>
      </c>
      <c r="AN407" s="20" t="b">
        <f t="shared" si="94"/>
        <v>0</v>
      </c>
      <c r="AO407" s="20" t="b">
        <f t="shared" si="95"/>
        <v>0</v>
      </c>
      <c r="AP407" s="20" t="b">
        <f t="shared" si="96"/>
        <v>0</v>
      </c>
      <c r="AQ407" s="20" t="b">
        <f t="shared" si="97"/>
        <v>0</v>
      </c>
      <c r="AR407" s="20" t="b">
        <f t="shared" si="98"/>
        <v>0</v>
      </c>
      <c r="AS407" s="20" t="b">
        <f t="shared" si="99"/>
        <v>0</v>
      </c>
      <c r="AT407" s="20" t="b">
        <f t="shared" si="100"/>
        <v>0</v>
      </c>
      <c r="AU407" s="20" t="b">
        <f t="shared" si="101"/>
        <v>0</v>
      </c>
    </row>
    <row r="408" spans="1:47">
      <c r="A408" s="20">
        <f t="shared" si="104"/>
        <v>7</v>
      </c>
      <c r="W408" s="54">
        <f t="shared" si="102"/>
        <v>0</v>
      </c>
      <c r="X408" s="54">
        <f t="shared" si="103"/>
        <v>0</v>
      </c>
      <c r="AJ408" s="20" t="b">
        <f t="shared" si="90"/>
        <v>0</v>
      </c>
      <c r="AK408" s="20" t="b">
        <f t="shared" si="91"/>
        <v>0</v>
      </c>
      <c r="AL408" s="20" t="b">
        <f t="shared" si="92"/>
        <v>0</v>
      </c>
      <c r="AM408" s="20" t="b">
        <f t="shared" si="93"/>
        <v>0</v>
      </c>
      <c r="AN408" s="20" t="b">
        <f t="shared" si="94"/>
        <v>0</v>
      </c>
      <c r="AO408" s="20" t="b">
        <f t="shared" si="95"/>
        <v>0</v>
      </c>
      <c r="AP408" s="20" t="b">
        <f t="shared" si="96"/>
        <v>0</v>
      </c>
      <c r="AQ408" s="20" t="b">
        <f t="shared" si="97"/>
        <v>0</v>
      </c>
      <c r="AR408" s="20" t="b">
        <f t="shared" si="98"/>
        <v>0</v>
      </c>
      <c r="AS408" s="20" t="b">
        <f t="shared" si="99"/>
        <v>0</v>
      </c>
      <c r="AT408" s="20" t="b">
        <f t="shared" si="100"/>
        <v>0</v>
      </c>
      <c r="AU408" s="20" t="b">
        <f t="shared" si="101"/>
        <v>0</v>
      </c>
    </row>
    <row r="409" spans="1:47">
      <c r="A409" s="20">
        <f t="shared" si="104"/>
        <v>7</v>
      </c>
      <c r="W409" s="54">
        <f t="shared" si="102"/>
        <v>0</v>
      </c>
      <c r="X409" s="54">
        <f t="shared" si="103"/>
        <v>0</v>
      </c>
      <c r="AJ409" s="20" t="b">
        <f t="shared" si="90"/>
        <v>0</v>
      </c>
      <c r="AK409" s="20" t="b">
        <f t="shared" si="91"/>
        <v>0</v>
      </c>
      <c r="AL409" s="20" t="b">
        <f t="shared" si="92"/>
        <v>0</v>
      </c>
      <c r="AM409" s="20" t="b">
        <f t="shared" si="93"/>
        <v>0</v>
      </c>
      <c r="AN409" s="20" t="b">
        <f t="shared" si="94"/>
        <v>0</v>
      </c>
      <c r="AO409" s="20" t="b">
        <f t="shared" si="95"/>
        <v>0</v>
      </c>
      <c r="AP409" s="20" t="b">
        <f t="shared" si="96"/>
        <v>0</v>
      </c>
      <c r="AQ409" s="20" t="b">
        <f t="shared" si="97"/>
        <v>0</v>
      </c>
      <c r="AR409" s="20" t="b">
        <f t="shared" si="98"/>
        <v>0</v>
      </c>
      <c r="AS409" s="20" t="b">
        <f t="shared" si="99"/>
        <v>0</v>
      </c>
      <c r="AT409" s="20" t="b">
        <f t="shared" si="100"/>
        <v>0</v>
      </c>
      <c r="AU409" s="20" t="b">
        <f t="shared" si="101"/>
        <v>0</v>
      </c>
    </row>
    <row r="410" spans="1:47">
      <c r="A410" s="20">
        <f t="shared" si="104"/>
        <v>7</v>
      </c>
      <c r="W410" s="54">
        <f t="shared" si="102"/>
        <v>0</v>
      </c>
      <c r="X410" s="54">
        <f t="shared" si="103"/>
        <v>0</v>
      </c>
      <c r="AJ410" s="20" t="b">
        <f t="shared" si="90"/>
        <v>0</v>
      </c>
      <c r="AK410" s="20" t="b">
        <f t="shared" si="91"/>
        <v>0</v>
      </c>
      <c r="AL410" s="20" t="b">
        <f t="shared" si="92"/>
        <v>0</v>
      </c>
      <c r="AM410" s="20" t="b">
        <f t="shared" si="93"/>
        <v>0</v>
      </c>
      <c r="AN410" s="20" t="b">
        <f t="shared" si="94"/>
        <v>0</v>
      </c>
      <c r="AO410" s="20" t="b">
        <f t="shared" si="95"/>
        <v>0</v>
      </c>
      <c r="AP410" s="20" t="b">
        <f t="shared" si="96"/>
        <v>0</v>
      </c>
      <c r="AQ410" s="20" t="b">
        <f t="shared" si="97"/>
        <v>0</v>
      </c>
      <c r="AR410" s="20" t="b">
        <f t="shared" si="98"/>
        <v>0</v>
      </c>
      <c r="AS410" s="20" t="b">
        <f t="shared" si="99"/>
        <v>0</v>
      </c>
      <c r="AT410" s="20" t="b">
        <f t="shared" si="100"/>
        <v>0</v>
      </c>
      <c r="AU410" s="20" t="b">
        <f t="shared" si="101"/>
        <v>0</v>
      </c>
    </row>
    <row r="411" spans="1:47">
      <c r="A411" s="20">
        <f t="shared" si="104"/>
        <v>7</v>
      </c>
      <c r="W411" s="54">
        <f t="shared" si="102"/>
        <v>0</v>
      </c>
      <c r="X411" s="54">
        <f t="shared" si="103"/>
        <v>0</v>
      </c>
      <c r="AJ411" s="20" t="b">
        <f t="shared" si="90"/>
        <v>0</v>
      </c>
      <c r="AK411" s="20" t="b">
        <f t="shared" si="91"/>
        <v>0</v>
      </c>
      <c r="AL411" s="20" t="b">
        <f t="shared" si="92"/>
        <v>0</v>
      </c>
      <c r="AM411" s="20" t="b">
        <f t="shared" si="93"/>
        <v>0</v>
      </c>
      <c r="AN411" s="20" t="b">
        <f t="shared" si="94"/>
        <v>0</v>
      </c>
      <c r="AO411" s="20" t="b">
        <f t="shared" si="95"/>
        <v>0</v>
      </c>
      <c r="AP411" s="20" t="b">
        <f t="shared" si="96"/>
        <v>0</v>
      </c>
      <c r="AQ411" s="20" t="b">
        <f t="shared" si="97"/>
        <v>0</v>
      </c>
      <c r="AR411" s="20" t="b">
        <f t="shared" si="98"/>
        <v>0</v>
      </c>
      <c r="AS411" s="20" t="b">
        <f t="shared" si="99"/>
        <v>0</v>
      </c>
      <c r="AT411" s="20" t="b">
        <f t="shared" si="100"/>
        <v>0</v>
      </c>
      <c r="AU411" s="20" t="b">
        <f t="shared" si="101"/>
        <v>0</v>
      </c>
    </row>
    <row r="412" spans="1:47">
      <c r="A412" s="20">
        <f t="shared" si="104"/>
        <v>7</v>
      </c>
      <c r="W412" s="54">
        <f t="shared" si="102"/>
        <v>0</v>
      </c>
      <c r="X412" s="54">
        <f t="shared" si="103"/>
        <v>0</v>
      </c>
      <c r="AJ412" s="20" t="b">
        <f t="shared" si="90"/>
        <v>0</v>
      </c>
      <c r="AK412" s="20" t="b">
        <f t="shared" si="91"/>
        <v>0</v>
      </c>
      <c r="AL412" s="20" t="b">
        <f t="shared" si="92"/>
        <v>0</v>
      </c>
      <c r="AM412" s="20" t="b">
        <f t="shared" si="93"/>
        <v>0</v>
      </c>
      <c r="AN412" s="20" t="b">
        <f t="shared" si="94"/>
        <v>0</v>
      </c>
      <c r="AO412" s="20" t="b">
        <f t="shared" si="95"/>
        <v>0</v>
      </c>
      <c r="AP412" s="20" t="b">
        <f t="shared" si="96"/>
        <v>0</v>
      </c>
      <c r="AQ412" s="20" t="b">
        <f t="shared" si="97"/>
        <v>0</v>
      </c>
      <c r="AR412" s="20" t="b">
        <f t="shared" si="98"/>
        <v>0</v>
      </c>
      <c r="AS412" s="20" t="b">
        <f t="shared" si="99"/>
        <v>0</v>
      </c>
      <c r="AT412" s="20" t="b">
        <f t="shared" si="100"/>
        <v>0</v>
      </c>
      <c r="AU412" s="20" t="b">
        <f t="shared" si="101"/>
        <v>0</v>
      </c>
    </row>
    <row r="413" spans="1:47">
      <c r="A413" s="20">
        <f t="shared" si="104"/>
        <v>7</v>
      </c>
      <c r="W413" s="54">
        <f t="shared" si="102"/>
        <v>0</v>
      </c>
      <c r="X413" s="54">
        <f t="shared" si="103"/>
        <v>0</v>
      </c>
      <c r="AJ413" s="20" t="b">
        <f t="shared" si="90"/>
        <v>0</v>
      </c>
      <c r="AK413" s="20" t="b">
        <f t="shared" si="91"/>
        <v>0</v>
      </c>
      <c r="AL413" s="20" t="b">
        <f t="shared" si="92"/>
        <v>0</v>
      </c>
      <c r="AM413" s="20" t="b">
        <f t="shared" si="93"/>
        <v>0</v>
      </c>
      <c r="AN413" s="20" t="b">
        <f t="shared" si="94"/>
        <v>0</v>
      </c>
      <c r="AO413" s="20" t="b">
        <f t="shared" si="95"/>
        <v>0</v>
      </c>
      <c r="AP413" s="20" t="b">
        <f t="shared" si="96"/>
        <v>0</v>
      </c>
      <c r="AQ413" s="20" t="b">
        <f t="shared" si="97"/>
        <v>0</v>
      </c>
      <c r="AR413" s="20" t="b">
        <f t="shared" si="98"/>
        <v>0</v>
      </c>
      <c r="AS413" s="20" t="b">
        <f t="shared" si="99"/>
        <v>0</v>
      </c>
      <c r="AT413" s="20" t="b">
        <f t="shared" si="100"/>
        <v>0</v>
      </c>
      <c r="AU413" s="20" t="b">
        <f t="shared" si="101"/>
        <v>0</v>
      </c>
    </row>
    <row r="414" spans="1:47">
      <c r="A414" s="20">
        <f t="shared" si="104"/>
        <v>7</v>
      </c>
      <c r="W414" s="54">
        <f t="shared" si="102"/>
        <v>0</v>
      </c>
      <c r="X414" s="54">
        <f t="shared" si="103"/>
        <v>0</v>
      </c>
      <c r="AJ414" s="20" t="b">
        <f t="shared" si="90"/>
        <v>0</v>
      </c>
      <c r="AK414" s="20" t="b">
        <f t="shared" si="91"/>
        <v>0</v>
      </c>
      <c r="AL414" s="20" t="b">
        <f t="shared" si="92"/>
        <v>0</v>
      </c>
      <c r="AM414" s="20" t="b">
        <f t="shared" si="93"/>
        <v>0</v>
      </c>
      <c r="AN414" s="20" t="b">
        <f t="shared" si="94"/>
        <v>0</v>
      </c>
      <c r="AO414" s="20" t="b">
        <f t="shared" si="95"/>
        <v>0</v>
      </c>
      <c r="AP414" s="20" t="b">
        <f t="shared" si="96"/>
        <v>0</v>
      </c>
      <c r="AQ414" s="20" t="b">
        <f t="shared" si="97"/>
        <v>0</v>
      </c>
      <c r="AR414" s="20" t="b">
        <f t="shared" si="98"/>
        <v>0</v>
      </c>
      <c r="AS414" s="20" t="b">
        <f t="shared" si="99"/>
        <v>0</v>
      </c>
      <c r="AT414" s="20" t="b">
        <f t="shared" si="100"/>
        <v>0</v>
      </c>
      <c r="AU414" s="20" t="b">
        <f t="shared" si="101"/>
        <v>0</v>
      </c>
    </row>
    <row r="415" spans="1:47">
      <c r="A415" s="20">
        <f t="shared" si="104"/>
        <v>7</v>
      </c>
      <c r="W415" s="54">
        <f t="shared" si="102"/>
        <v>0</v>
      </c>
      <c r="X415" s="54">
        <f t="shared" si="103"/>
        <v>0</v>
      </c>
      <c r="AJ415" s="20" t="b">
        <f t="shared" si="90"/>
        <v>0</v>
      </c>
      <c r="AK415" s="20" t="b">
        <f t="shared" si="91"/>
        <v>0</v>
      </c>
      <c r="AL415" s="20" t="b">
        <f t="shared" si="92"/>
        <v>0</v>
      </c>
      <c r="AM415" s="20" t="b">
        <f t="shared" si="93"/>
        <v>0</v>
      </c>
      <c r="AN415" s="20" t="b">
        <f t="shared" si="94"/>
        <v>0</v>
      </c>
      <c r="AO415" s="20" t="b">
        <f t="shared" si="95"/>
        <v>0</v>
      </c>
      <c r="AP415" s="20" t="b">
        <f t="shared" si="96"/>
        <v>0</v>
      </c>
      <c r="AQ415" s="20" t="b">
        <f t="shared" si="97"/>
        <v>0</v>
      </c>
      <c r="AR415" s="20" t="b">
        <f t="shared" si="98"/>
        <v>0</v>
      </c>
      <c r="AS415" s="20" t="b">
        <f t="shared" si="99"/>
        <v>0</v>
      </c>
      <c r="AT415" s="20" t="b">
        <f t="shared" si="100"/>
        <v>0</v>
      </c>
      <c r="AU415" s="20" t="b">
        <f t="shared" si="101"/>
        <v>0</v>
      </c>
    </row>
    <row r="416" spans="1:47">
      <c r="A416" s="20">
        <f t="shared" si="104"/>
        <v>7</v>
      </c>
      <c r="W416" s="54">
        <f t="shared" si="102"/>
        <v>0</v>
      </c>
      <c r="X416" s="54">
        <f t="shared" si="103"/>
        <v>0</v>
      </c>
      <c r="AJ416" s="20" t="b">
        <f t="shared" si="90"/>
        <v>0</v>
      </c>
      <c r="AK416" s="20" t="b">
        <f t="shared" si="91"/>
        <v>0</v>
      </c>
      <c r="AL416" s="20" t="b">
        <f t="shared" si="92"/>
        <v>0</v>
      </c>
      <c r="AM416" s="20" t="b">
        <f t="shared" si="93"/>
        <v>0</v>
      </c>
      <c r="AN416" s="20" t="b">
        <f t="shared" si="94"/>
        <v>0</v>
      </c>
      <c r="AO416" s="20" t="b">
        <f t="shared" si="95"/>
        <v>0</v>
      </c>
      <c r="AP416" s="20" t="b">
        <f t="shared" si="96"/>
        <v>0</v>
      </c>
      <c r="AQ416" s="20" t="b">
        <f t="shared" si="97"/>
        <v>0</v>
      </c>
      <c r="AR416" s="20" t="b">
        <f t="shared" si="98"/>
        <v>0</v>
      </c>
      <c r="AS416" s="20" t="b">
        <f t="shared" si="99"/>
        <v>0</v>
      </c>
      <c r="AT416" s="20" t="b">
        <f t="shared" si="100"/>
        <v>0</v>
      </c>
      <c r="AU416" s="20" t="b">
        <f t="shared" si="101"/>
        <v>0</v>
      </c>
    </row>
    <row r="417" spans="1:47">
      <c r="A417" s="20">
        <f t="shared" si="104"/>
        <v>7</v>
      </c>
      <c r="W417" s="54">
        <f t="shared" si="102"/>
        <v>0</v>
      </c>
      <c r="X417" s="54">
        <f t="shared" si="103"/>
        <v>0</v>
      </c>
      <c r="AJ417" s="20" t="b">
        <f t="shared" si="90"/>
        <v>0</v>
      </c>
      <c r="AK417" s="20" t="b">
        <f t="shared" si="91"/>
        <v>0</v>
      </c>
      <c r="AL417" s="20" t="b">
        <f t="shared" si="92"/>
        <v>0</v>
      </c>
      <c r="AM417" s="20" t="b">
        <f t="shared" si="93"/>
        <v>0</v>
      </c>
      <c r="AN417" s="20" t="b">
        <f t="shared" si="94"/>
        <v>0</v>
      </c>
      <c r="AO417" s="20" t="b">
        <f t="shared" si="95"/>
        <v>0</v>
      </c>
      <c r="AP417" s="20" t="b">
        <f t="shared" si="96"/>
        <v>0</v>
      </c>
      <c r="AQ417" s="20" t="b">
        <f t="shared" si="97"/>
        <v>0</v>
      </c>
      <c r="AR417" s="20" t="b">
        <f t="shared" si="98"/>
        <v>0</v>
      </c>
      <c r="AS417" s="20" t="b">
        <f t="shared" si="99"/>
        <v>0</v>
      </c>
      <c r="AT417" s="20" t="b">
        <f t="shared" si="100"/>
        <v>0</v>
      </c>
      <c r="AU417" s="20" t="b">
        <f t="shared" si="101"/>
        <v>0</v>
      </c>
    </row>
    <row r="418" spans="1:47">
      <c r="A418" s="20">
        <f t="shared" si="104"/>
        <v>7</v>
      </c>
      <c r="W418" s="54">
        <f t="shared" si="102"/>
        <v>0</v>
      </c>
      <c r="X418" s="54">
        <f t="shared" si="103"/>
        <v>0</v>
      </c>
      <c r="AJ418" s="20" t="b">
        <f t="shared" si="90"/>
        <v>0</v>
      </c>
      <c r="AK418" s="20" t="b">
        <f t="shared" si="91"/>
        <v>0</v>
      </c>
      <c r="AL418" s="20" t="b">
        <f t="shared" si="92"/>
        <v>0</v>
      </c>
      <c r="AM418" s="20" t="b">
        <f t="shared" si="93"/>
        <v>0</v>
      </c>
      <c r="AN418" s="20" t="b">
        <f t="shared" si="94"/>
        <v>0</v>
      </c>
      <c r="AO418" s="20" t="b">
        <f t="shared" si="95"/>
        <v>0</v>
      </c>
      <c r="AP418" s="20" t="b">
        <f t="shared" si="96"/>
        <v>0</v>
      </c>
      <c r="AQ418" s="20" t="b">
        <f t="shared" si="97"/>
        <v>0</v>
      </c>
      <c r="AR418" s="20" t="b">
        <f t="shared" si="98"/>
        <v>0</v>
      </c>
      <c r="AS418" s="20" t="b">
        <f t="shared" si="99"/>
        <v>0</v>
      </c>
      <c r="AT418" s="20" t="b">
        <f t="shared" si="100"/>
        <v>0</v>
      </c>
      <c r="AU418" s="20" t="b">
        <f t="shared" si="101"/>
        <v>0</v>
      </c>
    </row>
    <row r="419" spans="1:47">
      <c r="A419" s="20">
        <f t="shared" si="104"/>
        <v>7</v>
      </c>
      <c r="W419" s="54">
        <f t="shared" si="102"/>
        <v>0</v>
      </c>
      <c r="X419" s="54">
        <f t="shared" si="103"/>
        <v>0</v>
      </c>
      <c r="AJ419" s="20" t="b">
        <f t="shared" si="90"/>
        <v>0</v>
      </c>
      <c r="AK419" s="20" t="b">
        <f t="shared" si="91"/>
        <v>0</v>
      </c>
      <c r="AL419" s="20" t="b">
        <f t="shared" si="92"/>
        <v>0</v>
      </c>
      <c r="AM419" s="20" t="b">
        <f t="shared" si="93"/>
        <v>0</v>
      </c>
      <c r="AN419" s="20" t="b">
        <f t="shared" si="94"/>
        <v>0</v>
      </c>
      <c r="AO419" s="20" t="b">
        <f t="shared" si="95"/>
        <v>0</v>
      </c>
      <c r="AP419" s="20" t="b">
        <f t="shared" si="96"/>
        <v>0</v>
      </c>
      <c r="AQ419" s="20" t="b">
        <f t="shared" si="97"/>
        <v>0</v>
      </c>
      <c r="AR419" s="20" t="b">
        <f t="shared" si="98"/>
        <v>0</v>
      </c>
      <c r="AS419" s="20" t="b">
        <f t="shared" si="99"/>
        <v>0</v>
      </c>
      <c r="AT419" s="20" t="b">
        <f t="shared" si="100"/>
        <v>0</v>
      </c>
      <c r="AU419" s="20" t="b">
        <f t="shared" si="101"/>
        <v>0</v>
      </c>
    </row>
    <row r="420" spans="1:47">
      <c r="A420" s="20">
        <f t="shared" si="104"/>
        <v>7</v>
      </c>
      <c r="W420" s="54">
        <f t="shared" si="102"/>
        <v>0</v>
      </c>
      <c r="X420" s="54">
        <f t="shared" si="103"/>
        <v>0</v>
      </c>
      <c r="AJ420" s="20" t="b">
        <f t="shared" si="90"/>
        <v>0</v>
      </c>
      <c r="AK420" s="20" t="b">
        <f t="shared" si="91"/>
        <v>0</v>
      </c>
      <c r="AL420" s="20" t="b">
        <f t="shared" si="92"/>
        <v>0</v>
      </c>
      <c r="AM420" s="20" t="b">
        <f t="shared" si="93"/>
        <v>0</v>
      </c>
      <c r="AN420" s="20" t="b">
        <f t="shared" si="94"/>
        <v>0</v>
      </c>
      <c r="AO420" s="20" t="b">
        <f t="shared" si="95"/>
        <v>0</v>
      </c>
      <c r="AP420" s="20" t="b">
        <f t="shared" si="96"/>
        <v>0</v>
      </c>
      <c r="AQ420" s="20" t="b">
        <f t="shared" si="97"/>
        <v>0</v>
      </c>
      <c r="AR420" s="20" t="b">
        <f t="shared" si="98"/>
        <v>0</v>
      </c>
      <c r="AS420" s="20" t="b">
        <f t="shared" si="99"/>
        <v>0</v>
      </c>
      <c r="AT420" s="20" t="b">
        <f t="shared" si="100"/>
        <v>0</v>
      </c>
      <c r="AU420" s="20" t="b">
        <f t="shared" si="101"/>
        <v>0</v>
      </c>
    </row>
    <row r="421" spans="1:47">
      <c r="A421" s="20">
        <f t="shared" si="104"/>
        <v>7</v>
      </c>
      <c r="W421" s="54">
        <f t="shared" si="102"/>
        <v>0</v>
      </c>
      <c r="X421" s="54">
        <f t="shared" si="103"/>
        <v>0</v>
      </c>
      <c r="AJ421" s="20" t="b">
        <f t="shared" si="90"/>
        <v>0</v>
      </c>
      <c r="AK421" s="20" t="b">
        <f t="shared" si="91"/>
        <v>0</v>
      </c>
      <c r="AL421" s="20" t="b">
        <f t="shared" si="92"/>
        <v>0</v>
      </c>
      <c r="AM421" s="20" t="b">
        <f t="shared" si="93"/>
        <v>0</v>
      </c>
      <c r="AN421" s="20" t="b">
        <f t="shared" si="94"/>
        <v>0</v>
      </c>
      <c r="AO421" s="20" t="b">
        <f t="shared" si="95"/>
        <v>0</v>
      </c>
      <c r="AP421" s="20" t="b">
        <f t="shared" si="96"/>
        <v>0</v>
      </c>
      <c r="AQ421" s="20" t="b">
        <f t="shared" si="97"/>
        <v>0</v>
      </c>
      <c r="AR421" s="20" t="b">
        <f t="shared" si="98"/>
        <v>0</v>
      </c>
      <c r="AS421" s="20" t="b">
        <f t="shared" si="99"/>
        <v>0</v>
      </c>
      <c r="AT421" s="20" t="b">
        <f t="shared" si="100"/>
        <v>0</v>
      </c>
      <c r="AU421" s="20" t="b">
        <f t="shared" si="101"/>
        <v>0</v>
      </c>
    </row>
    <row r="422" spans="1:47">
      <c r="A422" s="20">
        <f t="shared" si="104"/>
        <v>7</v>
      </c>
      <c r="W422" s="54">
        <f t="shared" si="102"/>
        <v>0</v>
      </c>
      <c r="X422" s="54">
        <f t="shared" si="103"/>
        <v>0</v>
      </c>
      <c r="AJ422" s="20" t="b">
        <f t="shared" si="90"/>
        <v>0</v>
      </c>
      <c r="AK422" s="20" t="b">
        <f t="shared" si="91"/>
        <v>0</v>
      </c>
      <c r="AL422" s="20" t="b">
        <f t="shared" si="92"/>
        <v>0</v>
      </c>
      <c r="AM422" s="20" t="b">
        <f t="shared" si="93"/>
        <v>0</v>
      </c>
      <c r="AN422" s="20" t="b">
        <f t="shared" si="94"/>
        <v>0</v>
      </c>
      <c r="AO422" s="20" t="b">
        <f t="shared" si="95"/>
        <v>0</v>
      </c>
      <c r="AP422" s="20" t="b">
        <f t="shared" si="96"/>
        <v>0</v>
      </c>
      <c r="AQ422" s="20" t="b">
        <f t="shared" si="97"/>
        <v>0</v>
      </c>
      <c r="AR422" s="20" t="b">
        <f t="shared" si="98"/>
        <v>0</v>
      </c>
      <c r="AS422" s="20" t="b">
        <f t="shared" si="99"/>
        <v>0</v>
      </c>
      <c r="AT422" s="20" t="b">
        <f t="shared" si="100"/>
        <v>0</v>
      </c>
      <c r="AU422" s="20" t="b">
        <f t="shared" si="101"/>
        <v>0</v>
      </c>
    </row>
    <row r="423" spans="1:47">
      <c r="A423" s="20">
        <f t="shared" si="104"/>
        <v>7</v>
      </c>
      <c r="W423" s="54">
        <f t="shared" si="102"/>
        <v>0</v>
      </c>
      <c r="X423" s="54">
        <f t="shared" si="103"/>
        <v>0</v>
      </c>
      <c r="AJ423" s="20" t="b">
        <f t="shared" si="90"/>
        <v>0</v>
      </c>
      <c r="AK423" s="20" t="b">
        <f t="shared" si="91"/>
        <v>0</v>
      </c>
      <c r="AL423" s="20" t="b">
        <f t="shared" si="92"/>
        <v>0</v>
      </c>
      <c r="AM423" s="20" t="b">
        <f t="shared" si="93"/>
        <v>0</v>
      </c>
      <c r="AN423" s="20" t="b">
        <f t="shared" si="94"/>
        <v>0</v>
      </c>
      <c r="AO423" s="20" t="b">
        <f t="shared" si="95"/>
        <v>0</v>
      </c>
      <c r="AP423" s="20" t="b">
        <f t="shared" si="96"/>
        <v>0</v>
      </c>
      <c r="AQ423" s="20" t="b">
        <f t="shared" si="97"/>
        <v>0</v>
      </c>
      <c r="AR423" s="20" t="b">
        <f t="shared" si="98"/>
        <v>0</v>
      </c>
      <c r="AS423" s="20" t="b">
        <f t="shared" si="99"/>
        <v>0</v>
      </c>
      <c r="AT423" s="20" t="b">
        <f t="shared" si="100"/>
        <v>0</v>
      </c>
      <c r="AU423" s="20" t="b">
        <f t="shared" si="101"/>
        <v>0</v>
      </c>
    </row>
    <row r="424" spans="1:47">
      <c r="A424" s="20">
        <f t="shared" si="104"/>
        <v>7</v>
      </c>
      <c r="W424" s="54">
        <f t="shared" si="102"/>
        <v>0</v>
      </c>
      <c r="X424" s="54">
        <f t="shared" si="103"/>
        <v>0</v>
      </c>
      <c r="AJ424" s="20" t="b">
        <f t="shared" si="90"/>
        <v>0</v>
      </c>
      <c r="AK424" s="20" t="b">
        <f t="shared" si="91"/>
        <v>0</v>
      </c>
      <c r="AL424" s="20" t="b">
        <f t="shared" si="92"/>
        <v>0</v>
      </c>
      <c r="AM424" s="20" t="b">
        <f t="shared" si="93"/>
        <v>0</v>
      </c>
      <c r="AN424" s="20" t="b">
        <f t="shared" si="94"/>
        <v>0</v>
      </c>
      <c r="AO424" s="20" t="b">
        <f t="shared" si="95"/>
        <v>0</v>
      </c>
      <c r="AP424" s="20" t="b">
        <f t="shared" si="96"/>
        <v>0</v>
      </c>
      <c r="AQ424" s="20" t="b">
        <f t="shared" si="97"/>
        <v>0</v>
      </c>
      <c r="AR424" s="20" t="b">
        <f t="shared" si="98"/>
        <v>0</v>
      </c>
      <c r="AS424" s="20" t="b">
        <f t="shared" si="99"/>
        <v>0</v>
      </c>
      <c r="AT424" s="20" t="b">
        <f t="shared" si="100"/>
        <v>0</v>
      </c>
      <c r="AU424" s="20" t="b">
        <f t="shared" si="101"/>
        <v>0</v>
      </c>
    </row>
    <row r="425" spans="1:47">
      <c r="A425" s="20">
        <f t="shared" si="104"/>
        <v>7</v>
      </c>
      <c r="W425" s="54">
        <f t="shared" si="102"/>
        <v>0</v>
      </c>
      <c r="X425" s="54">
        <f t="shared" si="103"/>
        <v>0</v>
      </c>
      <c r="AJ425" s="20" t="b">
        <f t="shared" si="90"/>
        <v>0</v>
      </c>
      <c r="AK425" s="20" t="b">
        <f t="shared" si="91"/>
        <v>0</v>
      </c>
      <c r="AL425" s="20" t="b">
        <f t="shared" si="92"/>
        <v>0</v>
      </c>
      <c r="AM425" s="20" t="b">
        <f t="shared" si="93"/>
        <v>0</v>
      </c>
      <c r="AN425" s="20" t="b">
        <f t="shared" si="94"/>
        <v>0</v>
      </c>
      <c r="AO425" s="20" t="b">
        <f t="shared" si="95"/>
        <v>0</v>
      </c>
      <c r="AP425" s="20" t="b">
        <f t="shared" si="96"/>
        <v>0</v>
      </c>
      <c r="AQ425" s="20" t="b">
        <f t="shared" si="97"/>
        <v>0</v>
      </c>
      <c r="AR425" s="20" t="b">
        <f t="shared" si="98"/>
        <v>0</v>
      </c>
      <c r="AS425" s="20" t="b">
        <f t="shared" si="99"/>
        <v>0</v>
      </c>
      <c r="AT425" s="20" t="b">
        <f t="shared" si="100"/>
        <v>0</v>
      </c>
      <c r="AU425" s="20" t="b">
        <f t="shared" si="101"/>
        <v>0</v>
      </c>
    </row>
    <row r="426" spans="1:47">
      <c r="A426" s="20">
        <f t="shared" si="104"/>
        <v>7</v>
      </c>
      <c r="W426" s="54">
        <f t="shared" si="102"/>
        <v>0</v>
      </c>
      <c r="X426" s="54">
        <f t="shared" si="103"/>
        <v>0</v>
      </c>
      <c r="AJ426" s="20" t="b">
        <f t="shared" si="90"/>
        <v>0</v>
      </c>
      <c r="AK426" s="20" t="b">
        <f t="shared" si="91"/>
        <v>0</v>
      </c>
      <c r="AL426" s="20" t="b">
        <f t="shared" si="92"/>
        <v>0</v>
      </c>
      <c r="AM426" s="20" t="b">
        <f t="shared" si="93"/>
        <v>0</v>
      </c>
      <c r="AN426" s="20" t="b">
        <f t="shared" si="94"/>
        <v>0</v>
      </c>
      <c r="AO426" s="20" t="b">
        <f t="shared" si="95"/>
        <v>0</v>
      </c>
      <c r="AP426" s="20" t="b">
        <f t="shared" si="96"/>
        <v>0</v>
      </c>
      <c r="AQ426" s="20" t="b">
        <f t="shared" si="97"/>
        <v>0</v>
      </c>
      <c r="AR426" s="20" t="b">
        <f t="shared" si="98"/>
        <v>0</v>
      </c>
      <c r="AS426" s="20" t="b">
        <f t="shared" si="99"/>
        <v>0</v>
      </c>
      <c r="AT426" s="20" t="b">
        <f t="shared" si="100"/>
        <v>0</v>
      </c>
      <c r="AU426" s="20" t="b">
        <f t="shared" si="101"/>
        <v>0</v>
      </c>
    </row>
    <row r="427" spans="1:47">
      <c r="A427" s="20">
        <f t="shared" si="104"/>
        <v>7</v>
      </c>
      <c r="W427" s="54">
        <f t="shared" si="102"/>
        <v>0</v>
      </c>
      <c r="X427" s="54">
        <f t="shared" si="103"/>
        <v>0</v>
      </c>
      <c r="AJ427" s="20" t="b">
        <f t="shared" si="90"/>
        <v>0</v>
      </c>
      <c r="AK427" s="20" t="b">
        <f t="shared" si="91"/>
        <v>0</v>
      </c>
      <c r="AL427" s="20" t="b">
        <f t="shared" si="92"/>
        <v>0</v>
      </c>
      <c r="AM427" s="20" t="b">
        <f t="shared" si="93"/>
        <v>0</v>
      </c>
      <c r="AN427" s="20" t="b">
        <f t="shared" si="94"/>
        <v>0</v>
      </c>
      <c r="AO427" s="20" t="b">
        <f t="shared" si="95"/>
        <v>0</v>
      </c>
      <c r="AP427" s="20" t="b">
        <f t="shared" si="96"/>
        <v>0</v>
      </c>
      <c r="AQ427" s="20" t="b">
        <f t="shared" si="97"/>
        <v>0</v>
      </c>
      <c r="AR427" s="20" t="b">
        <f t="shared" si="98"/>
        <v>0</v>
      </c>
      <c r="AS427" s="20" t="b">
        <f t="shared" si="99"/>
        <v>0</v>
      </c>
      <c r="AT427" s="20" t="b">
        <f t="shared" si="100"/>
        <v>0</v>
      </c>
      <c r="AU427" s="20" t="b">
        <f t="shared" si="101"/>
        <v>0</v>
      </c>
    </row>
    <row r="428" spans="1:47">
      <c r="A428" s="20">
        <f t="shared" si="104"/>
        <v>7</v>
      </c>
      <c r="W428" s="54">
        <f t="shared" si="102"/>
        <v>0</v>
      </c>
      <c r="X428" s="54">
        <f t="shared" si="103"/>
        <v>0</v>
      </c>
      <c r="AJ428" s="20" t="b">
        <f t="shared" si="90"/>
        <v>0</v>
      </c>
      <c r="AK428" s="20" t="b">
        <f t="shared" si="91"/>
        <v>0</v>
      </c>
      <c r="AL428" s="20" t="b">
        <f t="shared" si="92"/>
        <v>0</v>
      </c>
      <c r="AM428" s="20" t="b">
        <f t="shared" si="93"/>
        <v>0</v>
      </c>
      <c r="AN428" s="20" t="b">
        <f t="shared" si="94"/>
        <v>0</v>
      </c>
      <c r="AO428" s="20" t="b">
        <f t="shared" si="95"/>
        <v>0</v>
      </c>
      <c r="AP428" s="20" t="b">
        <f t="shared" si="96"/>
        <v>0</v>
      </c>
      <c r="AQ428" s="20" t="b">
        <f t="shared" si="97"/>
        <v>0</v>
      </c>
      <c r="AR428" s="20" t="b">
        <f t="shared" si="98"/>
        <v>0</v>
      </c>
      <c r="AS428" s="20" t="b">
        <f t="shared" si="99"/>
        <v>0</v>
      </c>
      <c r="AT428" s="20" t="b">
        <f t="shared" si="100"/>
        <v>0</v>
      </c>
      <c r="AU428" s="20" t="b">
        <f t="shared" si="101"/>
        <v>0</v>
      </c>
    </row>
    <row r="429" spans="1:47">
      <c r="A429" s="20">
        <f t="shared" si="104"/>
        <v>7</v>
      </c>
      <c r="W429" s="54">
        <f t="shared" si="102"/>
        <v>0</v>
      </c>
      <c r="X429" s="54">
        <f t="shared" si="103"/>
        <v>0</v>
      </c>
      <c r="AJ429" s="20" t="b">
        <f t="shared" si="90"/>
        <v>0</v>
      </c>
      <c r="AK429" s="20" t="b">
        <f t="shared" si="91"/>
        <v>0</v>
      </c>
      <c r="AL429" s="20" t="b">
        <f t="shared" si="92"/>
        <v>0</v>
      </c>
      <c r="AM429" s="20" t="b">
        <f t="shared" si="93"/>
        <v>0</v>
      </c>
      <c r="AN429" s="20" t="b">
        <f t="shared" si="94"/>
        <v>0</v>
      </c>
      <c r="AO429" s="20" t="b">
        <f t="shared" si="95"/>
        <v>0</v>
      </c>
      <c r="AP429" s="20" t="b">
        <f t="shared" si="96"/>
        <v>0</v>
      </c>
      <c r="AQ429" s="20" t="b">
        <f t="shared" si="97"/>
        <v>0</v>
      </c>
      <c r="AR429" s="20" t="b">
        <f t="shared" si="98"/>
        <v>0</v>
      </c>
      <c r="AS429" s="20" t="b">
        <f t="shared" si="99"/>
        <v>0</v>
      </c>
      <c r="AT429" s="20" t="b">
        <f t="shared" si="100"/>
        <v>0</v>
      </c>
      <c r="AU429" s="20" t="b">
        <f t="shared" si="101"/>
        <v>0</v>
      </c>
    </row>
    <row r="430" spans="1:47">
      <c r="A430" s="20">
        <f t="shared" si="104"/>
        <v>7</v>
      </c>
      <c r="W430" s="54">
        <f t="shared" si="102"/>
        <v>0</v>
      </c>
      <c r="X430" s="54">
        <f t="shared" si="103"/>
        <v>0</v>
      </c>
      <c r="AJ430" s="20" t="b">
        <f t="shared" si="90"/>
        <v>0</v>
      </c>
      <c r="AK430" s="20" t="b">
        <f t="shared" si="91"/>
        <v>0</v>
      </c>
      <c r="AL430" s="20" t="b">
        <f t="shared" si="92"/>
        <v>0</v>
      </c>
      <c r="AM430" s="20" t="b">
        <f t="shared" si="93"/>
        <v>0</v>
      </c>
      <c r="AN430" s="20" t="b">
        <f t="shared" si="94"/>
        <v>0</v>
      </c>
      <c r="AO430" s="20" t="b">
        <f t="shared" si="95"/>
        <v>0</v>
      </c>
      <c r="AP430" s="20" t="b">
        <f t="shared" si="96"/>
        <v>0</v>
      </c>
      <c r="AQ430" s="20" t="b">
        <f t="shared" si="97"/>
        <v>0</v>
      </c>
      <c r="AR430" s="20" t="b">
        <f t="shared" si="98"/>
        <v>0</v>
      </c>
      <c r="AS430" s="20" t="b">
        <f t="shared" si="99"/>
        <v>0</v>
      </c>
      <c r="AT430" s="20" t="b">
        <f t="shared" si="100"/>
        <v>0</v>
      </c>
      <c r="AU430" s="20" t="b">
        <f t="shared" si="101"/>
        <v>0</v>
      </c>
    </row>
    <row r="431" spans="1:47">
      <c r="A431" s="20">
        <f t="shared" si="104"/>
        <v>7</v>
      </c>
      <c r="W431" s="54">
        <f t="shared" si="102"/>
        <v>0</v>
      </c>
      <c r="X431" s="54">
        <f t="shared" si="103"/>
        <v>0</v>
      </c>
      <c r="AJ431" s="20" t="b">
        <f t="shared" si="90"/>
        <v>0</v>
      </c>
      <c r="AK431" s="20" t="b">
        <f t="shared" si="91"/>
        <v>0</v>
      </c>
      <c r="AL431" s="20" t="b">
        <f t="shared" si="92"/>
        <v>0</v>
      </c>
      <c r="AM431" s="20" t="b">
        <f t="shared" si="93"/>
        <v>0</v>
      </c>
      <c r="AN431" s="20" t="b">
        <f t="shared" si="94"/>
        <v>0</v>
      </c>
      <c r="AO431" s="20" t="b">
        <f t="shared" si="95"/>
        <v>0</v>
      </c>
      <c r="AP431" s="20" t="b">
        <f t="shared" si="96"/>
        <v>0</v>
      </c>
      <c r="AQ431" s="20" t="b">
        <f t="shared" si="97"/>
        <v>0</v>
      </c>
      <c r="AR431" s="20" t="b">
        <f t="shared" si="98"/>
        <v>0</v>
      </c>
      <c r="AS431" s="20" t="b">
        <f t="shared" si="99"/>
        <v>0</v>
      </c>
      <c r="AT431" s="20" t="b">
        <f t="shared" si="100"/>
        <v>0</v>
      </c>
      <c r="AU431" s="20" t="b">
        <f t="shared" si="101"/>
        <v>0</v>
      </c>
    </row>
    <row r="432" spans="1:47">
      <c r="A432" s="20">
        <f t="shared" si="104"/>
        <v>7</v>
      </c>
      <c r="W432" s="54">
        <f t="shared" si="102"/>
        <v>0</v>
      </c>
      <c r="X432" s="54">
        <f t="shared" si="103"/>
        <v>0</v>
      </c>
      <c r="AJ432" s="20" t="b">
        <f t="shared" si="90"/>
        <v>0</v>
      </c>
      <c r="AK432" s="20" t="b">
        <f t="shared" si="91"/>
        <v>0</v>
      </c>
      <c r="AL432" s="20" t="b">
        <f t="shared" si="92"/>
        <v>0</v>
      </c>
      <c r="AM432" s="20" t="b">
        <f t="shared" si="93"/>
        <v>0</v>
      </c>
      <c r="AN432" s="20" t="b">
        <f t="shared" si="94"/>
        <v>0</v>
      </c>
      <c r="AO432" s="20" t="b">
        <f t="shared" si="95"/>
        <v>0</v>
      </c>
      <c r="AP432" s="20" t="b">
        <f t="shared" si="96"/>
        <v>0</v>
      </c>
      <c r="AQ432" s="20" t="b">
        <f t="shared" si="97"/>
        <v>0</v>
      </c>
      <c r="AR432" s="20" t="b">
        <f t="shared" si="98"/>
        <v>0</v>
      </c>
      <c r="AS432" s="20" t="b">
        <f t="shared" si="99"/>
        <v>0</v>
      </c>
      <c r="AT432" s="20" t="b">
        <f t="shared" si="100"/>
        <v>0</v>
      </c>
      <c r="AU432" s="20" t="b">
        <f t="shared" si="101"/>
        <v>0</v>
      </c>
    </row>
    <row r="433" spans="1:47">
      <c r="A433" s="20">
        <f t="shared" si="104"/>
        <v>7</v>
      </c>
      <c r="W433" s="54">
        <f t="shared" si="102"/>
        <v>0</v>
      </c>
      <c r="X433" s="54">
        <f t="shared" si="103"/>
        <v>0</v>
      </c>
      <c r="AJ433" s="20" t="b">
        <f t="shared" si="90"/>
        <v>0</v>
      </c>
      <c r="AK433" s="20" t="b">
        <f t="shared" si="91"/>
        <v>0</v>
      </c>
      <c r="AL433" s="20" t="b">
        <f t="shared" si="92"/>
        <v>0</v>
      </c>
      <c r="AM433" s="20" t="b">
        <f t="shared" si="93"/>
        <v>0</v>
      </c>
      <c r="AN433" s="20" t="b">
        <f t="shared" si="94"/>
        <v>0</v>
      </c>
      <c r="AO433" s="20" t="b">
        <f t="shared" si="95"/>
        <v>0</v>
      </c>
      <c r="AP433" s="20" t="b">
        <f t="shared" si="96"/>
        <v>0</v>
      </c>
      <c r="AQ433" s="20" t="b">
        <f t="shared" si="97"/>
        <v>0</v>
      </c>
      <c r="AR433" s="20" t="b">
        <f t="shared" si="98"/>
        <v>0</v>
      </c>
      <c r="AS433" s="20" t="b">
        <f t="shared" si="99"/>
        <v>0</v>
      </c>
      <c r="AT433" s="20" t="b">
        <f t="shared" si="100"/>
        <v>0</v>
      </c>
      <c r="AU433" s="20" t="b">
        <f t="shared" si="101"/>
        <v>0</v>
      </c>
    </row>
    <row r="434" spans="1:47">
      <c r="A434" s="20">
        <f t="shared" si="104"/>
        <v>7</v>
      </c>
      <c r="W434" s="54">
        <f t="shared" si="102"/>
        <v>0</v>
      </c>
      <c r="X434" s="54">
        <f t="shared" si="103"/>
        <v>0</v>
      </c>
      <c r="AJ434" s="20" t="b">
        <f t="shared" si="90"/>
        <v>0</v>
      </c>
      <c r="AK434" s="20" t="b">
        <f t="shared" si="91"/>
        <v>0</v>
      </c>
      <c r="AL434" s="20" t="b">
        <f t="shared" si="92"/>
        <v>0</v>
      </c>
      <c r="AM434" s="20" t="b">
        <f t="shared" si="93"/>
        <v>0</v>
      </c>
      <c r="AN434" s="20" t="b">
        <f t="shared" si="94"/>
        <v>0</v>
      </c>
      <c r="AO434" s="20" t="b">
        <f t="shared" si="95"/>
        <v>0</v>
      </c>
      <c r="AP434" s="20" t="b">
        <f t="shared" si="96"/>
        <v>0</v>
      </c>
      <c r="AQ434" s="20" t="b">
        <f t="shared" si="97"/>
        <v>0</v>
      </c>
      <c r="AR434" s="20" t="b">
        <f t="shared" si="98"/>
        <v>0</v>
      </c>
      <c r="AS434" s="20" t="b">
        <f t="shared" si="99"/>
        <v>0</v>
      </c>
      <c r="AT434" s="20" t="b">
        <f t="shared" si="100"/>
        <v>0</v>
      </c>
      <c r="AU434" s="20" t="b">
        <f t="shared" si="101"/>
        <v>0</v>
      </c>
    </row>
    <row r="435" spans="1:47">
      <c r="A435" s="20">
        <f t="shared" si="104"/>
        <v>7</v>
      </c>
      <c r="W435" s="54">
        <f t="shared" si="102"/>
        <v>0</v>
      </c>
      <c r="X435" s="54">
        <f t="shared" si="103"/>
        <v>0</v>
      </c>
      <c r="AJ435" s="20" t="b">
        <f t="shared" si="90"/>
        <v>0</v>
      </c>
      <c r="AK435" s="20" t="b">
        <f t="shared" si="91"/>
        <v>0</v>
      </c>
      <c r="AL435" s="20" t="b">
        <f t="shared" si="92"/>
        <v>0</v>
      </c>
      <c r="AM435" s="20" t="b">
        <f t="shared" si="93"/>
        <v>0</v>
      </c>
      <c r="AN435" s="20" t="b">
        <f t="shared" si="94"/>
        <v>0</v>
      </c>
      <c r="AO435" s="20" t="b">
        <f t="shared" si="95"/>
        <v>0</v>
      </c>
      <c r="AP435" s="20" t="b">
        <f t="shared" si="96"/>
        <v>0</v>
      </c>
      <c r="AQ435" s="20" t="b">
        <f t="shared" si="97"/>
        <v>0</v>
      </c>
      <c r="AR435" s="20" t="b">
        <f t="shared" si="98"/>
        <v>0</v>
      </c>
      <c r="AS435" s="20" t="b">
        <f t="shared" si="99"/>
        <v>0</v>
      </c>
      <c r="AT435" s="20" t="b">
        <f t="shared" si="100"/>
        <v>0</v>
      </c>
      <c r="AU435" s="20" t="b">
        <f t="shared" si="101"/>
        <v>0</v>
      </c>
    </row>
    <row r="436" spans="1:47">
      <c r="A436" s="20">
        <f t="shared" si="104"/>
        <v>7</v>
      </c>
      <c r="W436" s="54">
        <f t="shared" si="102"/>
        <v>0</v>
      </c>
      <c r="X436" s="54">
        <f t="shared" si="103"/>
        <v>0</v>
      </c>
      <c r="AJ436" s="20" t="b">
        <f t="shared" si="90"/>
        <v>0</v>
      </c>
      <c r="AK436" s="20" t="b">
        <f t="shared" si="91"/>
        <v>0</v>
      </c>
      <c r="AL436" s="20" t="b">
        <f t="shared" si="92"/>
        <v>0</v>
      </c>
      <c r="AM436" s="20" t="b">
        <f t="shared" si="93"/>
        <v>0</v>
      </c>
      <c r="AN436" s="20" t="b">
        <f t="shared" si="94"/>
        <v>0</v>
      </c>
      <c r="AO436" s="20" t="b">
        <f t="shared" si="95"/>
        <v>0</v>
      </c>
      <c r="AP436" s="20" t="b">
        <f t="shared" si="96"/>
        <v>0</v>
      </c>
      <c r="AQ436" s="20" t="b">
        <f t="shared" si="97"/>
        <v>0</v>
      </c>
      <c r="AR436" s="20" t="b">
        <f t="shared" si="98"/>
        <v>0</v>
      </c>
      <c r="AS436" s="20" t="b">
        <f t="shared" si="99"/>
        <v>0</v>
      </c>
      <c r="AT436" s="20" t="b">
        <f t="shared" si="100"/>
        <v>0</v>
      </c>
      <c r="AU436" s="20" t="b">
        <f t="shared" si="101"/>
        <v>0</v>
      </c>
    </row>
    <row r="437" spans="1:47">
      <c r="A437" s="20">
        <f t="shared" si="104"/>
        <v>7</v>
      </c>
      <c r="W437" s="54">
        <f t="shared" si="102"/>
        <v>0</v>
      </c>
      <c r="X437" s="54">
        <f t="shared" si="103"/>
        <v>0</v>
      </c>
      <c r="AJ437" s="20" t="b">
        <f t="shared" si="90"/>
        <v>0</v>
      </c>
      <c r="AK437" s="20" t="b">
        <f t="shared" si="91"/>
        <v>0</v>
      </c>
      <c r="AL437" s="20" t="b">
        <f t="shared" si="92"/>
        <v>0</v>
      </c>
      <c r="AM437" s="20" t="b">
        <f t="shared" si="93"/>
        <v>0</v>
      </c>
      <c r="AN437" s="20" t="b">
        <f t="shared" si="94"/>
        <v>0</v>
      </c>
      <c r="AO437" s="20" t="b">
        <f t="shared" si="95"/>
        <v>0</v>
      </c>
      <c r="AP437" s="20" t="b">
        <f t="shared" si="96"/>
        <v>0</v>
      </c>
      <c r="AQ437" s="20" t="b">
        <f t="shared" si="97"/>
        <v>0</v>
      </c>
      <c r="AR437" s="20" t="b">
        <f t="shared" si="98"/>
        <v>0</v>
      </c>
      <c r="AS437" s="20" t="b">
        <f t="shared" si="99"/>
        <v>0</v>
      </c>
      <c r="AT437" s="20" t="b">
        <f t="shared" si="100"/>
        <v>0</v>
      </c>
      <c r="AU437" s="20" t="b">
        <f t="shared" si="101"/>
        <v>0</v>
      </c>
    </row>
    <row r="438" spans="1:47">
      <c r="A438" s="20">
        <f t="shared" si="104"/>
        <v>7</v>
      </c>
      <c r="W438" s="54">
        <f t="shared" si="102"/>
        <v>0</v>
      </c>
      <c r="X438" s="54">
        <f t="shared" si="103"/>
        <v>0</v>
      </c>
      <c r="AJ438" s="20" t="b">
        <f t="shared" si="90"/>
        <v>0</v>
      </c>
      <c r="AK438" s="20" t="b">
        <f t="shared" si="91"/>
        <v>0</v>
      </c>
      <c r="AL438" s="20" t="b">
        <f t="shared" si="92"/>
        <v>0</v>
      </c>
      <c r="AM438" s="20" t="b">
        <f t="shared" si="93"/>
        <v>0</v>
      </c>
      <c r="AN438" s="20" t="b">
        <f t="shared" si="94"/>
        <v>0</v>
      </c>
      <c r="AO438" s="20" t="b">
        <f t="shared" si="95"/>
        <v>0</v>
      </c>
      <c r="AP438" s="20" t="b">
        <f t="shared" si="96"/>
        <v>0</v>
      </c>
      <c r="AQ438" s="20" t="b">
        <f t="shared" si="97"/>
        <v>0</v>
      </c>
      <c r="AR438" s="20" t="b">
        <f t="shared" si="98"/>
        <v>0</v>
      </c>
      <c r="AS438" s="20" t="b">
        <f t="shared" si="99"/>
        <v>0</v>
      </c>
      <c r="AT438" s="20" t="b">
        <f t="shared" si="100"/>
        <v>0</v>
      </c>
      <c r="AU438" s="20" t="b">
        <f t="shared" si="101"/>
        <v>0</v>
      </c>
    </row>
    <row r="439" spans="1:47">
      <c r="A439" s="20">
        <f t="shared" si="104"/>
        <v>7</v>
      </c>
      <c r="W439" s="54">
        <f t="shared" si="102"/>
        <v>0</v>
      </c>
      <c r="X439" s="54">
        <f t="shared" si="103"/>
        <v>0</v>
      </c>
      <c r="AJ439" s="20" t="b">
        <f t="shared" si="90"/>
        <v>0</v>
      </c>
      <c r="AK439" s="20" t="b">
        <f t="shared" si="91"/>
        <v>0</v>
      </c>
      <c r="AL439" s="20" t="b">
        <f t="shared" si="92"/>
        <v>0</v>
      </c>
      <c r="AM439" s="20" t="b">
        <f t="shared" si="93"/>
        <v>0</v>
      </c>
      <c r="AN439" s="20" t="b">
        <f t="shared" si="94"/>
        <v>0</v>
      </c>
      <c r="AO439" s="20" t="b">
        <f t="shared" si="95"/>
        <v>0</v>
      </c>
      <c r="AP439" s="20" t="b">
        <f t="shared" si="96"/>
        <v>0</v>
      </c>
      <c r="AQ439" s="20" t="b">
        <f t="shared" si="97"/>
        <v>0</v>
      </c>
      <c r="AR439" s="20" t="b">
        <f t="shared" si="98"/>
        <v>0</v>
      </c>
      <c r="AS439" s="20" t="b">
        <f t="shared" si="99"/>
        <v>0</v>
      </c>
      <c r="AT439" s="20" t="b">
        <f t="shared" si="100"/>
        <v>0</v>
      </c>
      <c r="AU439" s="20" t="b">
        <f t="shared" si="101"/>
        <v>0</v>
      </c>
    </row>
    <row r="440" spans="1:47">
      <c r="A440" s="20">
        <f t="shared" si="104"/>
        <v>7</v>
      </c>
      <c r="W440" s="54">
        <f t="shared" si="102"/>
        <v>0</v>
      </c>
      <c r="X440" s="54">
        <f t="shared" si="103"/>
        <v>0</v>
      </c>
      <c r="AJ440" s="20" t="b">
        <f t="shared" si="90"/>
        <v>0</v>
      </c>
      <c r="AK440" s="20" t="b">
        <f t="shared" si="91"/>
        <v>0</v>
      </c>
      <c r="AL440" s="20" t="b">
        <f t="shared" si="92"/>
        <v>0</v>
      </c>
      <c r="AM440" s="20" t="b">
        <f t="shared" si="93"/>
        <v>0</v>
      </c>
      <c r="AN440" s="20" t="b">
        <f t="shared" si="94"/>
        <v>0</v>
      </c>
      <c r="AO440" s="20" t="b">
        <f t="shared" si="95"/>
        <v>0</v>
      </c>
      <c r="AP440" s="20" t="b">
        <f t="shared" si="96"/>
        <v>0</v>
      </c>
      <c r="AQ440" s="20" t="b">
        <f t="shared" si="97"/>
        <v>0</v>
      </c>
      <c r="AR440" s="20" t="b">
        <f t="shared" si="98"/>
        <v>0</v>
      </c>
      <c r="AS440" s="20" t="b">
        <f t="shared" si="99"/>
        <v>0</v>
      </c>
      <c r="AT440" s="20" t="b">
        <f t="shared" si="100"/>
        <v>0</v>
      </c>
      <c r="AU440" s="20" t="b">
        <f t="shared" si="101"/>
        <v>0</v>
      </c>
    </row>
    <row r="441" spans="1:47">
      <c r="A441" s="20">
        <f t="shared" si="104"/>
        <v>7</v>
      </c>
      <c r="W441" s="54">
        <f t="shared" si="102"/>
        <v>0</v>
      </c>
      <c r="X441" s="54">
        <f t="shared" si="103"/>
        <v>0</v>
      </c>
      <c r="AJ441" s="20" t="b">
        <f t="shared" si="90"/>
        <v>0</v>
      </c>
      <c r="AK441" s="20" t="b">
        <f t="shared" si="91"/>
        <v>0</v>
      </c>
      <c r="AL441" s="20" t="b">
        <f t="shared" si="92"/>
        <v>0</v>
      </c>
      <c r="AM441" s="20" t="b">
        <f t="shared" si="93"/>
        <v>0</v>
      </c>
      <c r="AN441" s="20" t="b">
        <f t="shared" si="94"/>
        <v>0</v>
      </c>
      <c r="AO441" s="20" t="b">
        <f t="shared" si="95"/>
        <v>0</v>
      </c>
      <c r="AP441" s="20" t="b">
        <f t="shared" si="96"/>
        <v>0</v>
      </c>
      <c r="AQ441" s="20" t="b">
        <f t="shared" si="97"/>
        <v>0</v>
      </c>
      <c r="AR441" s="20" t="b">
        <f t="shared" si="98"/>
        <v>0</v>
      </c>
      <c r="AS441" s="20" t="b">
        <f t="shared" si="99"/>
        <v>0</v>
      </c>
      <c r="AT441" s="20" t="b">
        <f t="shared" si="100"/>
        <v>0</v>
      </c>
      <c r="AU441" s="20" t="b">
        <f t="shared" si="101"/>
        <v>0</v>
      </c>
    </row>
    <row r="442" spans="1:47">
      <c r="A442" s="20">
        <f t="shared" si="104"/>
        <v>7</v>
      </c>
      <c r="W442" s="54">
        <f t="shared" si="102"/>
        <v>0</v>
      </c>
      <c r="X442" s="54">
        <f t="shared" si="103"/>
        <v>0</v>
      </c>
      <c r="AJ442" s="20" t="b">
        <f t="shared" si="90"/>
        <v>0</v>
      </c>
      <c r="AK442" s="20" t="b">
        <f t="shared" si="91"/>
        <v>0</v>
      </c>
      <c r="AL442" s="20" t="b">
        <f t="shared" si="92"/>
        <v>0</v>
      </c>
      <c r="AM442" s="20" t="b">
        <f t="shared" si="93"/>
        <v>0</v>
      </c>
      <c r="AN442" s="20" t="b">
        <f t="shared" si="94"/>
        <v>0</v>
      </c>
      <c r="AO442" s="20" t="b">
        <f t="shared" si="95"/>
        <v>0</v>
      </c>
      <c r="AP442" s="20" t="b">
        <f t="shared" si="96"/>
        <v>0</v>
      </c>
      <c r="AQ442" s="20" t="b">
        <f t="shared" si="97"/>
        <v>0</v>
      </c>
      <c r="AR442" s="20" t="b">
        <f t="shared" si="98"/>
        <v>0</v>
      </c>
      <c r="AS442" s="20" t="b">
        <f t="shared" si="99"/>
        <v>0</v>
      </c>
      <c r="AT442" s="20" t="b">
        <f t="shared" si="100"/>
        <v>0</v>
      </c>
      <c r="AU442" s="20" t="b">
        <f t="shared" si="101"/>
        <v>0</v>
      </c>
    </row>
    <row r="443" spans="1:47">
      <c r="A443" s="20">
        <f t="shared" si="104"/>
        <v>7</v>
      </c>
      <c r="W443" s="54">
        <f t="shared" si="102"/>
        <v>0</v>
      </c>
      <c r="X443" s="54">
        <f t="shared" si="103"/>
        <v>0</v>
      </c>
      <c r="AJ443" s="20" t="b">
        <f t="shared" si="90"/>
        <v>0</v>
      </c>
      <c r="AK443" s="20" t="b">
        <f t="shared" si="91"/>
        <v>0</v>
      </c>
      <c r="AL443" s="20" t="b">
        <f t="shared" si="92"/>
        <v>0</v>
      </c>
      <c r="AM443" s="20" t="b">
        <f t="shared" si="93"/>
        <v>0</v>
      </c>
      <c r="AN443" s="20" t="b">
        <f t="shared" si="94"/>
        <v>0</v>
      </c>
      <c r="AO443" s="20" t="b">
        <f t="shared" si="95"/>
        <v>0</v>
      </c>
      <c r="AP443" s="20" t="b">
        <f t="shared" si="96"/>
        <v>0</v>
      </c>
      <c r="AQ443" s="20" t="b">
        <f t="shared" si="97"/>
        <v>0</v>
      </c>
      <c r="AR443" s="20" t="b">
        <f t="shared" si="98"/>
        <v>0</v>
      </c>
      <c r="AS443" s="20" t="b">
        <f t="shared" si="99"/>
        <v>0</v>
      </c>
      <c r="AT443" s="20" t="b">
        <f t="shared" si="100"/>
        <v>0</v>
      </c>
      <c r="AU443" s="20" t="b">
        <f t="shared" si="101"/>
        <v>0</v>
      </c>
    </row>
    <row r="444" spans="1:47">
      <c r="A444" s="20">
        <f t="shared" si="104"/>
        <v>7</v>
      </c>
      <c r="W444" s="54">
        <f t="shared" si="102"/>
        <v>0</v>
      </c>
      <c r="X444" s="54">
        <f t="shared" si="103"/>
        <v>0</v>
      </c>
      <c r="AJ444" s="20" t="b">
        <f t="shared" si="90"/>
        <v>0</v>
      </c>
      <c r="AK444" s="20" t="b">
        <f t="shared" si="91"/>
        <v>0</v>
      </c>
      <c r="AL444" s="20" t="b">
        <f t="shared" si="92"/>
        <v>0</v>
      </c>
      <c r="AM444" s="20" t="b">
        <f t="shared" si="93"/>
        <v>0</v>
      </c>
      <c r="AN444" s="20" t="b">
        <f t="shared" si="94"/>
        <v>0</v>
      </c>
      <c r="AO444" s="20" t="b">
        <f t="shared" si="95"/>
        <v>0</v>
      </c>
      <c r="AP444" s="20" t="b">
        <f t="shared" si="96"/>
        <v>0</v>
      </c>
      <c r="AQ444" s="20" t="b">
        <f t="shared" si="97"/>
        <v>0</v>
      </c>
      <c r="AR444" s="20" t="b">
        <f t="shared" si="98"/>
        <v>0</v>
      </c>
      <c r="AS444" s="20" t="b">
        <f t="shared" si="99"/>
        <v>0</v>
      </c>
      <c r="AT444" s="20" t="b">
        <f t="shared" si="100"/>
        <v>0</v>
      </c>
      <c r="AU444" s="20" t="b">
        <f t="shared" si="101"/>
        <v>0</v>
      </c>
    </row>
    <row r="445" spans="1:47">
      <c r="A445" s="20">
        <f t="shared" si="104"/>
        <v>7</v>
      </c>
      <c r="W445" s="54">
        <f t="shared" si="102"/>
        <v>0</v>
      </c>
      <c r="X445" s="54">
        <f t="shared" si="103"/>
        <v>0</v>
      </c>
      <c r="AJ445" s="20" t="b">
        <f t="shared" si="90"/>
        <v>0</v>
      </c>
      <c r="AK445" s="20" t="b">
        <f t="shared" si="91"/>
        <v>0</v>
      </c>
      <c r="AL445" s="20" t="b">
        <f t="shared" si="92"/>
        <v>0</v>
      </c>
      <c r="AM445" s="20" t="b">
        <f t="shared" si="93"/>
        <v>0</v>
      </c>
      <c r="AN445" s="20" t="b">
        <f t="shared" si="94"/>
        <v>0</v>
      </c>
      <c r="AO445" s="20" t="b">
        <f t="shared" si="95"/>
        <v>0</v>
      </c>
      <c r="AP445" s="20" t="b">
        <f t="shared" si="96"/>
        <v>0</v>
      </c>
      <c r="AQ445" s="20" t="b">
        <f t="shared" si="97"/>
        <v>0</v>
      </c>
      <c r="AR445" s="20" t="b">
        <f t="shared" si="98"/>
        <v>0</v>
      </c>
      <c r="AS445" s="20" t="b">
        <f t="shared" si="99"/>
        <v>0</v>
      </c>
      <c r="AT445" s="20" t="b">
        <f t="shared" si="100"/>
        <v>0</v>
      </c>
      <c r="AU445" s="20" t="b">
        <f t="shared" si="101"/>
        <v>0</v>
      </c>
    </row>
    <row r="446" spans="1:47">
      <c r="A446" s="20">
        <f t="shared" si="104"/>
        <v>7</v>
      </c>
      <c r="W446" s="54">
        <f t="shared" si="102"/>
        <v>0</v>
      </c>
      <c r="X446" s="54">
        <f t="shared" si="103"/>
        <v>0</v>
      </c>
      <c r="AJ446" s="20" t="b">
        <f t="shared" si="90"/>
        <v>0</v>
      </c>
      <c r="AK446" s="20" t="b">
        <f t="shared" si="91"/>
        <v>0</v>
      </c>
      <c r="AL446" s="20" t="b">
        <f t="shared" si="92"/>
        <v>0</v>
      </c>
      <c r="AM446" s="20" t="b">
        <f t="shared" si="93"/>
        <v>0</v>
      </c>
      <c r="AN446" s="20" t="b">
        <f t="shared" si="94"/>
        <v>0</v>
      </c>
      <c r="AO446" s="20" t="b">
        <f t="shared" si="95"/>
        <v>0</v>
      </c>
      <c r="AP446" s="20" t="b">
        <f t="shared" si="96"/>
        <v>0</v>
      </c>
      <c r="AQ446" s="20" t="b">
        <f t="shared" si="97"/>
        <v>0</v>
      </c>
      <c r="AR446" s="20" t="b">
        <f t="shared" si="98"/>
        <v>0</v>
      </c>
      <c r="AS446" s="20" t="b">
        <f t="shared" si="99"/>
        <v>0</v>
      </c>
      <c r="AT446" s="20" t="b">
        <f t="shared" si="100"/>
        <v>0</v>
      </c>
      <c r="AU446" s="20" t="b">
        <f t="shared" si="101"/>
        <v>0</v>
      </c>
    </row>
    <row r="447" spans="1:47">
      <c r="A447" s="20">
        <f t="shared" si="104"/>
        <v>7</v>
      </c>
      <c r="W447" s="54">
        <f t="shared" si="102"/>
        <v>0</v>
      </c>
      <c r="X447" s="54">
        <f t="shared" si="103"/>
        <v>0</v>
      </c>
      <c r="AJ447" s="20" t="b">
        <f t="shared" si="90"/>
        <v>0</v>
      </c>
      <c r="AK447" s="20" t="b">
        <f t="shared" si="91"/>
        <v>0</v>
      </c>
      <c r="AL447" s="20" t="b">
        <f t="shared" si="92"/>
        <v>0</v>
      </c>
      <c r="AM447" s="20" t="b">
        <f t="shared" si="93"/>
        <v>0</v>
      </c>
      <c r="AN447" s="20" t="b">
        <f t="shared" si="94"/>
        <v>0</v>
      </c>
      <c r="AO447" s="20" t="b">
        <f t="shared" si="95"/>
        <v>0</v>
      </c>
      <c r="AP447" s="20" t="b">
        <f t="shared" si="96"/>
        <v>0</v>
      </c>
      <c r="AQ447" s="20" t="b">
        <f t="shared" si="97"/>
        <v>0</v>
      </c>
      <c r="AR447" s="20" t="b">
        <f t="shared" si="98"/>
        <v>0</v>
      </c>
      <c r="AS447" s="20" t="b">
        <f t="shared" si="99"/>
        <v>0</v>
      </c>
      <c r="AT447" s="20" t="b">
        <f t="shared" si="100"/>
        <v>0</v>
      </c>
      <c r="AU447" s="20" t="b">
        <f t="shared" si="101"/>
        <v>0</v>
      </c>
    </row>
    <row r="448" spans="1:47">
      <c r="A448" s="20">
        <f t="shared" si="104"/>
        <v>7</v>
      </c>
      <c r="W448" s="54">
        <f t="shared" si="102"/>
        <v>0</v>
      </c>
      <c r="X448" s="54">
        <f t="shared" si="103"/>
        <v>0</v>
      </c>
      <c r="AJ448" s="20" t="b">
        <f t="shared" si="90"/>
        <v>0</v>
      </c>
      <c r="AK448" s="20" t="b">
        <f t="shared" si="91"/>
        <v>0</v>
      </c>
      <c r="AL448" s="20" t="b">
        <f t="shared" si="92"/>
        <v>0</v>
      </c>
      <c r="AM448" s="20" t="b">
        <f t="shared" si="93"/>
        <v>0</v>
      </c>
      <c r="AN448" s="20" t="b">
        <f t="shared" si="94"/>
        <v>0</v>
      </c>
      <c r="AO448" s="20" t="b">
        <f t="shared" si="95"/>
        <v>0</v>
      </c>
      <c r="AP448" s="20" t="b">
        <f t="shared" si="96"/>
        <v>0</v>
      </c>
      <c r="AQ448" s="20" t="b">
        <f t="shared" si="97"/>
        <v>0</v>
      </c>
      <c r="AR448" s="20" t="b">
        <f t="shared" si="98"/>
        <v>0</v>
      </c>
      <c r="AS448" s="20" t="b">
        <f t="shared" si="99"/>
        <v>0</v>
      </c>
      <c r="AT448" s="20" t="b">
        <f t="shared" si="100"/>
        <v>0</v>
      </c>
      <c r="AU448" s="20" t="b">
        <f t="shared" si="101"/>
        <v>0</v>
      </c>
    </row>
    <row r="449" spans="1:47">
      <c r="A449" s="20">
        <f t="shared" si="104"/>
        <v>7</v>
      </c>
      <c r="W449" s="54">
        <f t="shared" si="102"/>
        <v>0</v>
      </c>
      <c r="X449" s="54">
        <f t="shared" si="103"/>
        <v>0</v>
      </c>
      <c r="AJ449" s="20" t="b">
        <f t="shared" si="90"/>
        <v>0</v>
      </c>
      <c r="AK449" s="20" t="b">
        <f t="shared" si="91"/>
        <v>0</v>
      </c>
      <c r="AL449" s="20" t="b">
        <f t="shared" si="92"/>
        <v>0</v>
      </c>
      <c r="AM449" s="20" t="b">
        <f t="shared" si="93"/>
        <v>0</v>
      </c>
      <c r="AN449" s="20" t="b">
        <f t="shared" si="94"/>
        <v>0</v>
      </c>
      <c r="AO449" s="20" t="b">
        <f t="shared" si="95"/>
        <v>0</v>
      </c>
      <c r="AP449" s="20" t="b">
        <f t="shared" si="96"/>
        <v>0</v>
      </c>
      <c r="AQ449" s="20" t="b">
        <f t="shared" si="97"/>
        <v>0</v>
      </c>
      <c r="AR449" s="20" t="b">
        <f t="shared" si="98"/>
        <v>0</v>
      </c>
      <c r="AS449" s="20" t="b">
        <f t="shared" si="99"/>
        <v>0</v>
      </c>
      <c r="AT449" s="20" t="b">
        <f t="shared" si="100"/>
        <v>0</v>
      </c>
      <c r="AU449" s="20" t="b">
        <f t="shared" si="101"/>
        <v>0</v>
      </c>
    </row>
    <row r="450" spans="1:47">
      <c r="A450" s="20">
        <f t="shared" si="104"/>
        <v>7</v>
      </c>
      <c r="W450" s="54">
        <f t="shared" si="102"/>
        <v>0</v>
      </c>
      <c r="X450" s="54">
        <f t="shared" si="103"/>
        <v>0</v>
      </c>
      <c r="AJ450" s="20" t="b">
        <f t="shared" ref="AJ450:AJ514" si="105">IF(AND(A450=2, J450="PF", T450="YES", V450="A"), L450)</f>
        <v>0</v>
      </c>
      <c r="AK450" s="20" t="b">
        <f t="shared" ref="AK450:AK514" si="106">IF(AND(A450=3, J450="PF", T450="YES", V450="A"), L450)</f>
        <v>0</v>
      </c>
      <c r="AL450" s="20" t="b">
        <f t="shared" ref="AL450:AL514" si="107">IF(AND(A450=4, J450="PF", T450="YES", V450="A"), L450)</f>
        <v>0</v>
      </c>
      <c r="AM450" s="20" t="b">
        <f t="shared" ref="AM450:AM514" si="108">IF(AND(A450=5, J450="PF", T450="YES", V450="A"), L450)</f>
        <v>0</v>
      </c>
      <c r="AN450" s="20" t="b">
        <f t="shared" ref="AN450:AN514" si="109">IF(AND(A450=6, J450="PF", T450="YES", V450="A"), L450)</f>
        <v>0</v>
      </c>
      <c r="AO450" s="20" t="b">
        <f t="shared" ref="AO450:AO514" si="110">IF(AND(A450=7, J450="PF", T450="YES", V450="A"), L450)</f>
        <v>0</v>
      </c>
      <c r="AP450" s="20" t="b">
        <f t="shared" ref="AP450:AP514" si="111">IF(AND(A450=8, J450="PF", T450="YES", V450="A"), L450)</f>
        <v>0</v>
      </c>
      <c r="AQ450" s="20" t="b">
        <f t="shared" ref="AQ450:AQ514" si="112">IF(AND(A450=9, J450="PF", T450="YES", V450="A"), L450)</f>
        <v>0</v>
      </c>
      <c r="AR450" s="20" t="b">
        <f t="shared" ref="AR450:AR514" si="113">IF(AND(A450=10, J450="PF", T450="YES", V450="A"), L450)</f>
        <v>0</v>
      </c>
      <c r="AS450" s="20" t="b">
        <f t="shared" ref="AS450:AS514" si="114">IF(AND(A450=11, J450="PF", T450="YES", V450="A"), L450)</f>
        <v>0</v>
      </c>
      <c r="AT450" s="20" t="b">
        <f t="shared" ref="AT450:AT514" si="115">IF(AND(A450=12, J450="PF", T450="YES", V450="A"), L450)</f>
        <v>0</v>
      </c>
      <c r="AU450" s="20" t="b">
        <f t="shared" ref="AU450:AU514" si="116">IF(AND(A450=13, J450="PF", T450="YES", V450="A"), L450)</f>
        <v>0</v>
      </c>
    </row>
    <row r="451" spans="1:47">
      <c r="A451" s="20">
        <f t="shared" si="104"/>
        <v>7</v>
      </c>
      <c r="W451" s="54">
        <f t="shared" ref="W451:W514" si="117">IF(J451="pf", L451, 0)</f>
        <v>0</v>
      </c>
      <c r="X451" s="54">
        <f t="shared" ref="X451:X514" si="118">IF(J451&lt;&gt;"PF", L451, 0)</f>
        <v>0</v>
      </c>
      <c r="AJ451" s="20" t="b">
        <f t="shared" si="105"/>
        <v>0</v>
      </c>
      <c r="AK451" s="20" t="b">
        <f t="shared" si="106"/>
        <v>0</v>
      </c>
      <c r="AL451" s="20" t="b">
        <f t="shared" si="107"/>
        <v>0</v>
      </c>
      <c r="AM451" s="20" t="b">
        <f t="shared" si="108"/>
        <v>0</v>
      </c>
      <c r="AN451" s="20" t="b">
        <f t="shared" si="109"/>
        <v>0</v>
      </c>
      <c r="AO451" s="20" t="b">
        <f t="shared" si="110"/>
        <v>0</v>
      </c>
      <c r="AP451" s="20" t="b">
        <f t="shared" si="111"/>
        <v>0</v>
      </c>
      <c r="AQ451" s="20" t="b">
        <f t="shared" si="112"/>
        <v>0</v>
      </c>
      <c r="AR451" s="20" t="b">
        <f t="shared" si="113"/>
        <v>0</v>
      </c>
      <c r="AS451" s="20" t="b">
        <f t="shared" si="114"/>
        <v>0</v>
      </c>
      <c r="AT451" s="20" t="b">
        <f t="shared" si="115"/>
        <v>0</v>
      </c>
      <c r="AU451" s="20" t="b">
        <f t="shared" si="116"/>
        <v>0</v>
      </c>
    </row>
    <row r="452" spans="1:47">
      <c r="A452" s="20">
        <f t="shared" si="104"/>
        <v>7</v>
      </c>
      <c r="W452" s="54">
        <f t="shared" si="117"/>
        <v>0</v>
      </c>
      <c r="X452" s="54">
        <f t="shared" si="118"/>
        <v>0</v>
      </c>
      <c r="AJ452" s="20" t="b">
        <f t="shared" si="105"/>
        <v>0</v>
      </c>
      <c r="AK452" s="20" t="b">
        <f t="shared" si="106"/>
        <v>0</v>
      </c>
      <c r="AL452" s="20" t="b">
        <f t="shared" si="107"/>
        <v>0</v>
      </c>
      <c r="AM452" s="20" t="b">
        <f t="shared" si="108"/>
        <v>0</v>
      </c>
      <c r="AN452" s="20" t="b">
        <f t="shared" si="109"/>
        <v>0</v>
      </c>
      <c r="AO452" s="20" t="b">
        <f t="shared" si="110"/>
        <v>0</v>
      </c>
      <c r="AP452" s="20" t="b">
        <f t="shared" si="111"/>
        <v>0</v>
      </c>
      <c r="AQ452" s="20" t="b">
        <f t="shared" si="112"/>
        <v>0</v>
      </c>
      <c r="AR452" s="20" t="b">
        <f t="shared" si="113"/>
        <v>0</v>
      </c>
      <c r="AS452" s="20" t="b">
        <f t="shared" si="114"/>
        <v>0</v>
      </c>
      <c r="AT452" s="20" t="b">
        <f t="shared" si="115"/>
        <v>0</v>
      </c>
      <c r="AU452" s="20" t="b">
        <f t="shared" si="116"/>
        <v>0</v>
      </c>
    </row>
    <row r="453" spans="1:47">
      <c r="A453" s="20">
        <f t="shared" si="104"/>
        <v>7</v>
      </c>
      <c r="W453" s="54">
        <f t="shared" si="117"/>
        <v>0</v>
      </c>
      <c r="X453" s="54">
        <f t="shared" si="118"/>
        <v>0</v>
      </c>
      <c r="AJ453" s="20" t="b">
        <f t="shared" si="105"/>
        <v>0</v>
      </c>
      <c r="AK453" s="20" t="b">
        <f t="shared" si="106"/>
        <v>0</v>
      </c>
      <c r="AL453" s="20" t="b">
        <f t="shared" si="107"/>
        <v>0</v>
      </c>
      <c r="AM453" s="20" t="b">
        <f t="shared" si="108"/>
        <v>0</v>
      </c>
      <c r="AN453" s="20" t="b">
        <f t="shared" si="109"/>
        <v>0</v>
      </c>
      <c r="AO453" s="20" t="b">
        <f t="shared" si="110"/>
        <v>0</v>
      </c>
      <c r="AP453" s="20" t="b">
        <f t="shared" si="111"/>
        <v>0</v>
      </c>
      <c r="AQ453" s="20" t="b">
        <f t="shared" si="112"/>
        <v>0</v>
      </c>
      <c r="AR453" s="20" t="b">
        <f t="shared" si="113"/>
        <v>0</v>
      </c>
      <c r="AS453" s="20" t="b">
        <f t="shared" si="114"/>
        <v>0</v>
      </c>
      <c r="AT453" s="20" t="b">
        <f t="shared" si="115"/>
        <v>0</v>
      </c>
      <c r="AU453" s="20" t="b">
        <f t="shared" si="116"/>
        <v>0</v>
      </c>
    </row>
    <row r="454" spans="1:47">
      <c r="A454" s="20">
        <f t="shared" si="104"/>
        <v>7</v>
      </c>
      <c r="W454" s="54">
        <f t="shared" si="117"/>
        <v>0</v>
      </c>
      <c r="X454" s="54">
        <f t="shared" si="118"/>
        <v>0</v>
      </c>
      <c r="AJ454" s="20" t="b">
        <f t="shared" si="105"/>
        <v>0</v>
      </c>
      <c r="AK454" s="20" t="b">
        <f t="shared" si="106"/>
        <v>0</v>
      </c>
      <c r="AL454" s="20" t="b">
        <f t="shared" si="107"/>
        <v>0</v>
      </c>
      <c r="AM454" s="20" t="b">
        <f t="shared" si="108"/>
        <v>0</v>
      </c>
      <c r="AN454" s="20" t="b">
        <f t="shared" si="109"/>
        <v>0</v>
      </c>
      <c r="AO454" s="20" t="b">
        <f t="shared" si="110"/>
        <v>0</v>
      </c>
      <c r="AP454" s="20" t="b">
        <f t="shared" si="111"/>
        <v>0</v>
      </c>
      <c r="AQ454" s="20" t="b">
        <f t="shared" si="112"/>
        <v>0</v>
      </c>
      <c r="AR454" s="20" t="b">
        <f t="shared" si="113"/>
        <v>0</v>
      </c>
      <c r="AS454" s="20" t="b">
        <f t="shared" si="114"/>
        <v>0</v>
      </c>
      <c r="AT454" s="20" t="b">
        <f t="shared" si="115"/>
        <v>0</v>
      </c>
      <c r="AU454" s="20" t="b">
        <f t="shared" si="116"/>
        <v>0</v>
      </c>
    </row>
    <row r="455" spans="1:47">
      <c r="A455" s="20">
        <f t="shared" ref="A455:A518" si="119">IF(F455=F454,A454,A454+1)</f>
        <v>7</v>
      </c>
      <c r="W455" s="54">
        <f t="shared" si="117"/>
        <v>0</v>
      </c>
      <c r="X455" s="54">
        <f t="shared" si="118"/>
        <v>0</v>
      </c>
      <c r="AJ455" s="20" t="b">
        <f t="shared" si="105"/>
        <v>0</v>
      </c>
      <c r="AK455" s="20" t="b">
        <f t="shared" si="106"/>
        <v>0</v>
      </c>
      <c r="AL455" s="20" t="b">
        <f t="shared" si="107"/>
        <v>0</v>
      </c>
      <c r="AM455" s="20" t="b">
        <f t="shared" si="108"/>
        <v>0</v>
      </c>
      <c r="AN455" s="20" t="b">
        <f t="shared" si="109"/>
        <v>0</v>
      </c>
      <c r="AO455" s="20" t="b">
        <f t="shared" si="110"/>
        <v>0</v>
      </c>
      <c r="AP455" s="20" t="b">
        <f t="shared" si="111"/>
        <v>0</v>
      </c>
      <c r="AQ455" s="20" t="b">
        <f t="shared" si="112"/>
        <v>0</v>
      </c>
      <c r="AR455" s="20" t="b">
        <f t="shared" si="113"/>
        <v>0</v>
      </c>
      <c r="AS455" s="20" t="b">
        <f t="shared" si="114"/>
        <v>0</v>
      </c>
      <c r="AT455" s="20" t="b">
        <f t="shared" si="115"/>
        <v>0</v>
      </c>
      <c r="AU455" s="20" t="b">
        <f t="shared" si="116"/>
        <v>0</v>
      </c>
    </row>
    <row r="456" spans="1:47">
      <c r="A456" s="20">
        <f t="shared" si="119"/>
        <v>7</v>
      </c>
      <c r="W456" s="54">
        <f t="shared" si="117"/>
        <v>0</v>
      </c>
      <c r="X456" s="54">
        <f t="shared" si="118"/>
        <v>0</v>
      </c>
      <c r="AJ456" s="20" t="b">
        <f t="shared" si="105"/>
        <v>0</v>
      </c>
      <c r="AK456" s="20" t="b">
        <f t="shared" si="106"/>
        <v>0</v>
      </c>
      <c r="AL456" s="20" t="b">
        <f t="shared" si="107"/>
        <v>0</v>
      </c>
      <c r="AM456" s="20" t="b">
        <f t="shared" si="108"/>
        <v>0</v>
      </c>
      <c r="AN456" s="20" t="b">
        <f t="shared" si="109"/>
        <v>0</v>
      </c>
      <c r="AO456" s="20" t="b">
        <f t="shared" si="110"/>
        <v>0</v>
      </c>
      <c r="AP456" s="20" t="b">
        <f t="shared" si="111"/>
        <v>0</v>
      </c>
      <c r="AQ456" s="20" t="b">
        <f t="shared" si="112"/>
        <v>0</v>
      </c>
      <c r="AR456" s="20" t="b">
        <f t="shared" si="113"/>
        <v>0</v>
      </c>
      <c r="AS456" s="20" t="b">
        <f t="shared" si="114"/>
        <v>0</v>
      </c>
      <c r="AT456" s="20" t="b">
        <f t="shared" si="115"/>
        <v>0</v>
      </c>
      <c r="AU456" s="20" t="b">
        <f t="shared" si="116"/>
        <v>0</v>
      </c>
    </row>
    <row r="457" spans="1:47">
      <c r="A457" s="20">
        <f t="shared" si="119"/>
        <v>7</v>
      </c>
      <c r="W457" s="54">
        <f t="shared" si="117"/>
        <v>0</v>
      </c>
      <c r="X457" s="54">
        <f t="shared" si="118"/>
        <v>0</v>
      </c>
      <c r="AJ457" s="20" t="b">
        <f t="shared" si="105"/>
        <v>0</v>
      </c>
      <c r="AK457" s="20" t="b">
        <f t="shared" si="106"/>
        <v>0</v>
      </c>
      <c r="AL457" s="20" t="b">
        <f t="shared" si="107"/>
        <v>0</v>
      </c>
      <c r="AM457" s="20" t="b">
        <f t="shared" si="108"/>
        <v>0</v>
      </c>
      <c r="AN457" s="20" t="b">
        <f t="shared" si="109"/>
        <v>0</v>
      </c>
      <c r="AO457" s="20" t="b">
        <f t="shared" si="110"/>
        <v>0</v>
      </c>
      <c r="AP457" s="20" t="b">
        <f t="shared" si="111"/>
        <v>0</v>
      </c>
      <c r="AQ457" s="20" t="b">
        <f t="shared" si="112"/>
        <v>0</v>
      </c>
      <c r="AR457" s="20" t="b">
        <f t="shared" si="113"/>
        <v>0</v>
      </c>
      <c r="AS457" s="20" t="b">
        <f t="shared" si="114"/>
        <v>0</v>
      </c>
      <c r="AT457" s="20" t="b">
        <f t="shared" si="115"/>
        <v>0</v>
      </c>
      <c r="AU457" s="20" t="b">
        <f t="shared" si="116"/>
        <v>0</v>
      </c>
    </row>
    <row r="458" spans="1:47">
      <c r="A458" s="20">
        <f t="shared" si="119"/>
        <v>7</v>
      </c>
      <c r="W458" s="54">
        <f t="shared" si="117"/>
        <v>0</v>
      </c>
      <c r="X458" s="54">
        <f t="shared" si="118"/>
        <v>0</v>
      </c>
      <c r="AJ458" s="20" t="b">
        <f t="shared" si="105"/>
        <v>0</v>
      </c>
      <c r="AK458" s="20" t="b">
        <f t="shared" si="106"/>
        <v>0</v>
      </c>
      <c r="AL458" s="20" t="b">
        <f t="shared" si="107"/>
        <v>0</v>
      </c>
      <c r="AM458" s="20" t="b">
        <f t="shared" si="108"/>
        <v>0</v>
      </c>
      <c r="AN458" s="20" t="b">
        <f t="shared" si="109"/>
        <v>0</v>
      </c>
      <c r="AO458" s="20" t="b">
        <f t="shared" si="110"/>
        <v>0</v>
      </c>
      <c r="AP458" s="20" t="b">
        <f t="shared" si="111"/>
        <v>0</v>
      </c>
      <c r="AQ458" s="20" t="b">
        <f t="shared" si="112"/>
        <v>0</v>
      </c>
      <c r="AR458" s="20" t="b">
        <f t="shared" si="113"/>
        <v>0</v>
      </c>
      <c r="AS458" s="20" t="b">
        <f t="shared" si="114"/>
        <v>0</v>
      </c>
      <c r="AT458" s="20" t="b">
        <f t="shared" si="115"/>
        <v>0</v>
      </c>
      <c r="AU458" s="20" t="b">
        <f t="shared" si="116"/>
        <v>0</v>
      </c>
    </row>
    <row r="459" spans="1:47">
      <c r="A459" s="20">
        <f t="shared" si="119"/>
        <v>7</v>
      </c>
      <c r="W459" s="54">
        <f t="shared" si="117"/>
        <v>0</v>
      </c>
      <c r="X459" s="54">
        <f t="shared" si="118"/>
        <v>0</v>
      </c>
      <c r="AJ459" s="20" t="b">
        <f t="shared" si="105"/>
        <v>0</v>
      </c>
      <c r="AK459" s="20" t="b">
        <f t="shared" si="106"/>
        <v>0</v>
      </c>
      <c r="AL459" s="20" t="b">
        <f t="shared" si="107"/>
        <v>0</v>
      </c>
      <c r="AM459" s="20" t="b">
        <f t="shared" si="108"/>
        <v>0</v>
      </c>
      <c r="AN459" s="20" t="b">
        <f t="shared" si="109"/>
        <v>0</v>
      </c>
      <c r="AO459" s="20" t="b">
        <f t="shared" si="110"/>
        <v>0</v>
      </c>
      <c r="AP459" s="20" t="b">
        <f t="shared" si="111"/>
        <v>0</v>
      </c>
      <c r="AQ459" s="20" t="b">
        <f t="shared" si="112"/>
        <v>0</v>
      </c>
      <c r="AR459" s="20" t="b">
        <f t="shared" si="113"/>
        <v>0</v>
      </c>
      <c r="AS459" s="20" t="b">
        <f t="shared" si="114"/>
        <v>0</v>
      </c>
      <c r="AT459" s="20" t="b">
        <f t="shared" si="115"/>
        <v>0</v>
      </c>
      <c r="AU459" s="20" t="b">
        <f t="shared" si="116"/>
        <v>0</v>
      </c>
    </row>
    <row r="460" spans="1:47">
      <c r="A460" s="20">
        <f t="shared" si="119"/>
        <v>7</v>
      </c>
      <c r="W460" s="54">
        <f t="shared" si="117"/>
        <v>0</v>
      </c>
      <c r="X460" s="54">
        <f t="shared" si="118"/>
        <v>0</v>
      </c>
      <c r="AJ460" s="20" t="b">
        <f t="shared" si="105"/>
        <v>0</v>
      </c>
      <c r="AK460" s="20" t="b">
        <f t="shared" si="106"/>
        <v>0</v>
      </c>
      <c r="AL460" s="20" t="b">
        <f t="shared" si="107"/>
        <v>0</v>
      </c>
      <c r="AM460" s="20" t="b">
        <f t="shared" si="108"/>
        <v>0</v>
      </c>
      <c r="AN460" s="20" t="b">
        <f t="shared" si="109"/>
        <v>0</v>
      </c>
      <c r="AO460" s="20" t="b">
        <f t="shared" si="110"/>
        <v>0</v>
      </c>
      <c r="AP460" s="20" t="b">
        <f t="shared" si="111"/>
        <v>0</v>
      </c>
      <c r="AQ460" s="20" t="b">
        <f t="shared" si="112"/>
        <v>0</v>
      </c>
      <c r="AR460" s="20" t="b">
        <f t="shared" si="113"/>
        <v>0</v>
      </c>
      <c r="AS460" s="20" t="b">
        <f t="shared" si="114"/>
        <v>0</v>
      </c>
      <c r="AT460" s="20" t="b">
        <f t="shared" si="115"/>
        <v>0</v>
      </c>
      <c r="AU460" s="20" t="b">
        <f t="shared" si="116"/>
        <v>0</v>
      </c>
    </row>
    <row r="461" spans="1:47">
      <c r="A461" s="20">
        <f t="shared" si="119"/>
        <v>7</v>
      </c>
      <c r="W461" s="54">
        <f t="shared" si="117"/>
        <v>0</v>
      </c>
      <c r="X461" s="54">
        <f t="shared" si="118"/>
        <v>0</v>
      </c>
      <c r="AJ461" s="20" t="b">
        <f t="shared" si="105"/>
        <v>0</v>
      </c>
      <c r="AK461" s="20" t="b">
        <f t="shared" si="106"/>
        <v>0</v>
      </c>
      <c r="AL461" s="20" t="b">
        <f t="shared" si="107"/>
        <v>0</v>
      </c>
      <c r="AM461" s="20" t="b">
        <f t="shared" si="108"/>
        <v>0</v>
      </c>
      <c r="AN461" s="20" t="b">
        <f t="shared" si="109"/>
        <v>0</v>
      </c>
      <c r="AO461" s="20" t="b">
        <f t="shared" si="110"/>
        <v>0</v>
      </c>
      <c r="AP461" s="20" t="b">
        <f t="shared" si="111"/>
        <v>0</v>
      </c>
      <c r="AQ461" s="20" t="b">
        <f t="shared" si="112"/>
        <v>0</v>
      </c>
      <c r="AR461" s="20" t="b">
        <f t="shared" si="113"/>
        <v>0</v>
      </c>
      <c r="AS461" s="20" t="b">
        <f t="shared" si="114"/>
        <v>0</v>
      </c>
      <c r="AT461" s="20" t="b">
        <f t="shared" si="115"/>
        <v>0</v>
      </c>
      <c r="AU461" s="20" t="b">
        <f t="shared" si="116"/>
        <v>0</v>
      </c>
    </row>
    <row r="462" spans="1:47">
      <c r="A462" s="20">
        <f t="shared" si="119"/>
        <v>7</v>
      </c>
      <c r="W462" s="54">
        <f t="shared" si="117"/>
        <v>0</v>
      </c>
      <c r="X462" s="54">
        <f t="shared" si="118"/>
        <v>0</v>
      </c>
      <c r="AJ462" s="20" t="b">
        <f t="shared" si="105"/>
        <v>0</v>
      </c>
      <c r="AK462" s="20" t="b">
        <f t="shared" si="106"/>
        <v>0</v>
      </c>
      <c r="AL462" s="20" t="b">
        <f t="shared" si="107"/>
        <v>0</v>
      </c>
      <c r="AM462" s="20" t="b">
        <f t="shared" si="108"/>
        <v>0</v>
      </c>
      <c r="AN462" s="20" t="b">
        <f t="shared" si="109"/>
        <v>0</v>
      </c>
      <c r="AO462" s="20" t="b">
        <f t="shared" si="110"/>
        <v>0</v>
      </c>
      <c r="AP462" s="20" t="b">
        <f t="shared" si="111"/>
        <v>0</v>
      </c>
      <c r="AQ462" s="20" t="b">
        <f t="shared" si="112"/>
        <v>0</v>
      </c>
      <c r="AR462" s="20" t="b">
        <f t="shared" si="113"/>
        <v>0</v>
      </c>
      <c r="AS462" s="20" t="b">
        <f t="shared" si="114"/>
        <v>0</v>
      </c>
      <c r="AT462" s="20" t="b">
        <f t="shared" si="115"/>
        <v>0</v>
      </c>
      <c r="AU462" s="20" t="b">
        <f t="shared" si="116"/>
        <v>0</v>
      </c>
    </row>
    <row r="463" spans="1:47">
      <c r="A463" s="20">
        <f t="shared" si="119"/>
        <v>7</v>
      </c>
      <c r="W463" s="54">
        <f t="shared" si="117"/>
        <v>0</v>
      </c>
      <c r="X463" s="54">
        <f t="shared" si="118"/>
        <v>0</v>
      </c>
      <c r="AJ463" s="20" t="b">
        <f t="shared" si="105"/>
        <v>0</v>
      </c>
      <c r="AK463" s="20" t="b">
        <f t="shared" si="106"/>
        <v>0</v>
      </c>
      <c r="AL463" s="20" t="b">
        <f t="shared" si="107"/>
        <v>0</v>
      </c>
      <c r="AM463" s="20" t="b">
        <f t="shared" si="108"/>
        <v>0</v>
      </c>
      <c r="AN463" s="20" t="b">
        <f t="shared" si="109"/>
        <v>0</v>
      </c>
      <c r="AO463" s="20" t="b">
        <f t="shared" si="110"/>
        <v>0</v>
      </c>
      <c r="AP463" s="20" t="b">
        <f t="shared" si="111"/>
        <v>0</v>
      </c>
      <c r="AQ463" s="20" t="b">
        <f t="shared" si="112"/>
        <v>0</v>
      </c>
      <c r="AR463" s="20" t="b">
        <f t="shared" si="113"/>
        <v>0</v>
      </c>
      <c r="AS463" s="20" t="b">
        <f t="shared" si="114"/>
        <v>0</v>
      </c>
      <c r="AT463" s="20" t="b">
        <f t="shared" si="115"/>
        <v>0</v>
      </c>
      <c r="AU463" s="20" t="b">
        <f t="shared" si="116"/>
        <v>0</v>
      </c>
    </row>
    <row r="464" spans="1:47">
      <c r="A464" s="20">
        <f t="shared" si="119"/>
        <v>7</v>
      </c>
      <c r="W464" s="54">
        <f t="shared" si="117"/>
        <v>0</v>
      </c>
      <c r="X464" s="54">
        <f t="shared" si="118"/>
        <v>0</v>
      </c>
      <c r="AJ464" s="20" t="b">
        <f t="shared" si="105"/>
        <v>0</v>
      </c>
      <c r="AK464" s="20" t="b">
        <f t="shared" si="106"/>
        <v>0</v>
      </c>
      <c r="AL464" s="20" t="b">
        <f t="shared" si="107"/>
        <v>0</v>
      </c>
      <c r="AM464" s="20" t="b">
        <f t="shared" si="108"/>
        <v>0</v>
      </c>
      <c r="AN464" s="20" t="b">
        <f t="shared" si="109"/>
        <v>0</v>
      </c>
      <c r="AO464" s="20" t="b">
        <f t="shared" si="110"/>
        <v>0</v>
      </c>
      <c r="AP464" s="20" t="b">
        <f t="shared" si="111"/>
        <v>0</v>
      </c>
      <c r="AQ464" s="20" t="b">
        <f t="shared" si="112"/>
        <v>0</v>
      </c>
      <c r="AR464" s="20" t="b">
        <f t="shared" si="113"/>
        <v>0</v>
      </c>
      <c r="AS464" s="20" t="b">
        <f t="shared" si="114"/>
        <v>0</v>
      </c>
      <c r="AT464" s="20" t="b">
        <f t="shared" si="115"/>
        <v>0</v>
      </c>
      <c r="AU464" s="20" t="b">
        <f t="shared" si="116"/>
        <v>0</v>
      </c>
    </row>
    <row r="465" spans="1:47">
      <c r="A465" s="20">
        <f t="shared" si="119"/>
        <v>7</v>
      </c>
      <c r="W465" s="54">
        <f t="shared" si="117"/>
        <v>0</v>
      </c>
      <c r="X465" s="54">
        <f t="shared" si="118"/>
        <v>0</v>
      </c>
      <c r="AJ465" s="20" t="b">
        <f t="shared" si="105"/>
        <v>0</v>
      </c>
      <c r="AK465" s="20" t="b">
        <f t="shared" si="106"/>
        <v>0</v>
      </c>
      <c r="AL465" s="20" t="b">
        <f t="shared" si="107"/>
        <v>0</v>
      </c>
      <c r="AM465" s="20" t="b">
        <f t="shared" si="108"/>
        <v>0</v>
      </c>
      <c r="AN465" s="20" t="b">
        <f t="shared" si="109"/>
        <v>0</v>
      </c>
      <c r="AO465" s="20" t="b">
        <f t="shared" si="110"/>
        <v>0</v>
      </c>
      <c r="AP465" s="20" t="b">
        <f t="shared" si="111"/>
        <v>0</v>
      </c>
      <c r="AQ465" s="20" t="b">
        <f t="shared" si="112"/>
        <v>0</v>
      </c>
      <c r="AR465" s="20" t="b">
        <f t="shared" si="113"/>
        <v>0</v>
      </c>
      <c r="AS465" s="20" t="b">
        <f t="shared" si="114"/>
        <v>0</v>
      </c>
      <c r="AT465" s="20" t="b">
        <f t="shared" si="115"/>
        <v>0</v>
      </c>
      <c r="AU465" s="20" t="b">
        <f t="shared" si="116"/>
        <v>0</v>
      </c>
    </row>
    <row r="466" spans="1:47">
      <c r="A466" s="20">
        <f t="shared" si="119"/>
        <v>7</v>
      </c>
      <c r="W466" s="54">
        <f t="shared" si="117"/>
        <v>0</v>
      </c>
      <c r="X466" s="54">
        <f t="shared" si="118"/>
        <v>0</v>
      </c>
      <c r="AJ466" s="20" t="b">
        <f t="shared" si="105"/>
        <v>0</v>
      </c>
      <c r="AK466" s="20" t="b">
        <f t="shared" si="106"/>
        <v>0</v>
      </c>
      <c r="AL466" s="20" t="b">
        <f t="shared" si="107"/>
        <v>0</v>
      </c>
      <c r="AM466" s="20" t="b">
        <f t="shared" si="108"/>
        <v>0</v>
      </c>
      <c r="AN466" s="20" t="b">
        <f t="shared" si="109"/>
        <v>0</v>
      </c>
      <c r="AO466" s="20" t="b">
        <f t="shared" si="110"/>
        <v>0</v>
      </c>
      <c r="AP466" s="20" t="b">
        <f t="shared" si="111"/>
        <v>0</v>
      </c>
      <c r="AQ466" s="20" t="b">
        <f t="shared" si="112"/>
        <v>0</v>
      </c>
      <c r="AR466" s="20" t="b">
        <f t="shared" si="113"/>
        <v>0</v>
      </c>
      <c r="AS466" s="20" t="b">
        <f t="shared" si="114"/>
        <v>0</v>
      </c>
      <c r="AT466" s="20" t="b">
        <f t="shared" si="115"/>
        <v>0</v>
      </c>
      <c r="AU466" s="20" t="b">
        <f t="shared" si="116"/>
        <v>0</v>
      </c>
    </row>
    <row r="467" spans="1:47">
      <c r="A467" s="20">
        <f t="shared" si="119"/>
        <v>7</v>
      </c>
      <c r="W467" s="54">
        <f t="shared" si="117"/>
        <v>0</v>
      </c>
      <c r="X467" s="54">
        <f t="shared" si="118"/>
        <v>0</v>
      </c>
      <c r="AJ467" s="20" t="b">
        <f t="shared" si="105"/>
        <v>0</v>
      </c>
      <c r="AK467" s="20" t="b">
        <f t="shared" si="106"/>
        <v>0</v>
      </c>
      <c r="AL467" s="20" t="b">
        <f t="shared" si="107"/>
        <v>0</v>
      </c>
      <c r="AM467" s="20" t="b">
        <f t="shared" si="108"/>
        <v>0</v>
      </c>
      <c r="AN467" s="20" t="b">
        <f t="shared" si="109"/>
        <v>0</v>
      </c>
      <c r="AO467" s="20" t="b">
        <f t="shared" si="110"/>
        <v>0</v>
      </c>
      <c r="AP467" s="20" t="b">
        <f t="shared" si="111"/>
        <v>0</v>
      </c>
      <c r="AQ467" s="20" t="b">
        <f t="shared" si="112"/>
        <v>0</v>
      </c>
      <c r="AR467" s="20" t="b">
        <f t="shared" si="113"/>
        <v>0</v>
      </c>
      <c r="AS467" s="20" t="b">
        <f t="shared" si="114"/>
        <v>0</v>
      </c>
      <c r="AT467" s="20" t="b">
        <f t="shared" si="115"/>
        <v>0</v>
      </c>
      <c r="AU467" s="20" t="b">
        <f t="shared" si="116"/>
        <v>0</v>
      </c>
    </row>
    <row r="468" spans="1:47">
      <c r="A468" s="20">
        <f t="shared" si="119"/>
        <v>7</v>
      </c>
      <c r="W468" s="54">
        <f t="shared" si="117"/>
        <v>0</v>
      </c>
      <c r="X468" s="54">
        <f t="shared" si="118"/>
        <v>0</v>
      </c>
      <c r="AJ468" s="20" t="b">
        <f t="shared" si="105"/>
        <v>0</v>
      </c>
      <c r="AK468" s="20" t="b">
        <f t="shared" si="106"/>
        <v>0</v>
      </c>
      <c r="AL468" s="20" t="b">
        <f t="shared" si="107"/>
        <v>0</v>
      </c>
      <c r="AM468" s="20" t="b">
        <f t="shared" si="108"/>
        <v>0</v>
      </c>
      <c r="AN468" s="20" t="b">
        <f t="shared" si="109"/>
        <v>0</v>
      </c>
      <c r="AO468" s="20" t="b">
        <f t="shared" si="110"/>
        <v>0</v>
      </c>
      <c r="AP468" s="20" t="b">
        <f t="shared" si="111"/>
        <v>0</v>
      </c>
      <c r="AQ468" s="20" t="b">
        <f t="shared" si="112"/>
        <v>0</v>
      </c>
      <c r="AR468" s="20" t="b">
        <f t="shared" si="113"/>
        <v>0</v>
      </c>
      <c r="AS468" s="20" t="b">
        <f t="shared" si="114"/>
        <v>0</v>
      </c>
      <c r="AT468" s="20" t="b">
        <f t="shared" si="115"/>
        <v>0</v>
      </c>
      <c r="AU468" s="20" t="b">
        <f t="shared" si="116"/>
        <v>0</v>
      </c>
    </row>
    <row r="469" spans="1:47">
      <c r="A469" s="20">
        <f t="shared" si="119"/>
        <v>7</v>
      </c>
      <c r="W469" s="54">
        <f t="shared" si="117"/>
        <v>0</v>
      </c>
      <c r="X469" s="54">
        <f t="shared" si="118"/>
        <v>0</v>
      </c>
      <c r="AJ469" s="20" t="b">
        <f t="shared" si="105"/>
        <v>0</v>
      </c>
      <c r="AK469" s="20" t="b">
        <f t="shared" si="106"/>
        <v>0</v>
      </c>
      <c r="AL469" s="20" t="b">
        <f t="shared" si="107"/>
        <v>0</v>
      </c>
      <c r="AM469" s="20" t="b">
        <f t="shared" si="108"/>
        <v>0</v>
      </c>
      <c r="AN469" s="20" t="b">
        <f t="shared" si="109"/>
        <v>0</v>
      </c>
      <c r="AO469" s="20" t="b">
        <f t="shared" si="110"/>
        <v>0</v>
      </c>
      <c r="AP469" s="20" t="b">
        <f t="shared" si="111"/>
        <v>0</v>
      </c>
      <c r="AQ469" s="20" t="b">
        <f t="shared" si="112"/>
        <v>0</v>
      </c>
      <c r="AR469" s="20" t="b">
        <f t="shared" si="113"/>
        <v>0</v>
      </c>
      <c r="AS469" s="20" t="b">
        <f t="shared" si="114"/>
        <v>0</v>
      </c>
      <c r="AT469" s="20" t="b">
        <f t="shared" si="115"/>
        <v>0</v>
      </c>
      <c r="AU469" s="20" t="b">
        <f t="shared" si="116"/>
        <v>0</v>
      </c>
    </row>
    <row r="470" spans="1:47">
      <c r="A470" s="20">
        <f t="shared" si="119"/>
        <v>7</v>
      </c>
      <c r="W470" s="54">
        <f t="shared" si="117"/>
        <v>0</v>
      </c>
      <c r="X470" s="54">
        <f t="shared" si="118"/>
        <v>0</v>
      </c>
      <c r="AJ470" s="20" t="b">
        <f t="shared" si="105"/>
        <v>0</v>
      </c>
      <c r="AK470" s="20" t="b">
        <f t="shared" si="106"/>
        <v>0</v>
      </c>
      <c r="AL470" s="20" t="b">
        <f t="shared" si="107"/>
        <v>0</v>
      </c>
      <c r="AM470" s="20" t="b">
        <f t="shared" si="108"/>
        <v>0</v>
      </c>
      <c r="AN470" s="20" t="b">
        <f t="shared" si="109"/>
        <v>0</v>
      </c>
      <c r="AO470" s="20" t="b">
        <f t="shared" si="110"/>
        <v>0</v>
      </c>
      <c r="AP470" s="20" t="b">
        <f t="shared" si="111"/>
        <v>0</v>
      </c>
      <c r="AQ470" s="20" t="b">
        <f t="shared" si="112"/>
        <v>0</v>
      </c>
      <c r="AR470" s="20" t="b">
        <f t="shared" si="113"/>
        <v>0</v>
      </c>
      <c r="AS470" s="20" t="b">
        <f t="shared" si="114"/>
        <v>0</v>
      </c>
      <c r="AT470" s="20" t="b">
        <f t="shared" si="115"/>
        <v>0</v>
      </c>
      <c r="AU470" s="20" t="b">
        <f t="shared" si="116"/>
        <v>0</v>
      </c>
    </row>
    <row r="471" spans="1:47">
      <c r="A471" s="20">
        <f t="shared" si="119"/>
        <v>7</v>
      </c>
      <c r="W471" s="54">
        <f t="shared" si="117"/>
        <v>0</v>
      </c>
      <c r="X471" s="54">
        <f t="shared" si="118"/>
        <v>0</v>
      </c>
      <c r="AJ471" s="20" t="b">
        <f t="shared" si="105"/>
        <v>0</v>
      </c>
      <c r="AK471" s="20" t="b">
        <f t="shared" si="106"/>
        <v>0</v>
      </c>
      <c r="AL471" s="20" t="b">
        <f t="shared" si="107"/>
        <v>0</v>
      </c>
      <c r="AM471" s="20" t="b">
        <f t="shared" si="108"/>
        <v>0</v>
      </c>
      <c r="AN471" s="20" t="b">
        <f t="shared" si="109"/>
        <v>0</v>
      </c>
      <c r="AO471" s="20" t="b">
        <f t="shared" si="110"/>
        <v>0</v>
      </c>
      <c r="AP471" s="20" t="b">
        <f t="shared" si="111"/>
        <v>0</v>
      </c>
      <c r="AQ471" s="20" t="b">
        <f t="shared" si="112"/>
        <v>0</v>
      </c>
      <c r="AR471" s="20" t="b">
        <f t="shared" si="113"/>
        <v>0</v>
      </c>
      <c r="AS471" s="20" t="b">
        <f t="shared" si="114"/>
        <v>0</v>
      </c>
      <c r="AT471" s="20" t="b">
        <f t="shared" si="115"/>
        <v>0</v>
      </c>
      <c r="AU471" s="20" t="b">
        <f t="shared" si="116"/>
        <v>0</v>
      </c>
    </row>
    <row r="472" spans="1:47">
      <c r="A472" s="20">
        <f t="shared" si="119"/>
        <v>7</v>
      </c>
      <c r="W472" s="54">
        <f t="shared" si="117"/>
        <v>0</v>
      </c>
      <c r="X472" s="54">
        <f t="shared" si="118"/>
        <v>0</v>
      </c>
      <c r="AJ472" s="20" t="b">
        <f t="shared" si="105"/>
        <v>0</v>
      </c>
      <c r="AK472" s="20" t="b">
        <f t="shared" si="106"/>
        <v>0</v>
      </c>
      <c r="AL472" s="20" t="b">
        <f t="shared" si="107"/>
        <v>0</v>
      </c>
      <c r="AM472" s="20" t="b">
        <f t="shared" si="108"/>
        <v>0</v>
      </c>
      <c r="AN472" s="20" t="b">
        <f t="shared" si="109"/>
        <v>0</v>
      </c>
      <c r="AO472" s="20" t="b">
        <f t="shared" si="110"/>
        <v>0</v>
      </c>
      <c r="AP472" s="20" t="b">
        <f t="shared" si="111"/>
        <v>0</v>
      </c>
      <c r="AQ472" s="20" t="b">
        <f t="shared" si="112"/>
        <v>0</v>
      </c>
      <c r="AR472" s="20" t="b">
        <f t="shared" si="113"/>
        <v>0</v>
      </c>
      <c r="AS472" s="20" t="b">
        <f t="shared" si="114"/>
        <v>0</v>
      </c>
      <c r="AT472" s="20" t="b">
        <f t="shared" si="115"/>
        <v>0</v>
      </c>
      <c r="AU472" s="20" t="b">
        <f t="shared" si="116"/>
        <v>0</v>
      </c>
    </row>
    <row r="473" spans="1:47">
      <c r="A473" s="20">
        <f t="shared" si="119"/>
        <v>7</v>
      </c>
      <c r="W473" s="54">
        <f t="shared" si="117"/>
        <v>0</v>
      </c>
      <c r="X473" s="54">
        <f t="shared" si="118"/>
        <v>0</v>
      </c>
      <c r="AJ473" s="20" t="b">
        <f t="shared" si="105"/>
        <v>0</v>
      </c>
      <c r="AK473" s="20" t="b">
        <f t="shared" si="106"/>
        <v>0</v>
      </c>
      <c r="AL473" s="20" t="b">
        <f t="shared" si="107"/>
        <v>0</v>
      </c>
      <c r="AM473" s="20" t="b">
        <f t="shared" si="108"/>
        <v>0</v>
      </c>
      <c r="AN473" s="20" t="b">
        <f t="shared" si="109"/>
        <v>0</v>
      </c>
      <c r="AO473" s="20" t="b">
        <f t="shared" si="110"/>
        <v>0</v>
      </c>
      <c r="AP473" s="20" t="b">
        <f t="shared" si="111"/>
        <v>0</v>
      </c>
      <c r="AQ473" s="20" t="b">
        <f t="shared" si="112"/>
        <v>0</v>
      </c>
      <c r="AR473" s="20" t="b">
        <f t="shared" si="113"/>
        <v>0</v>
      </c>
      <c r="AS473" s="20" t="b">
        <f t="shared" si="114"/>
        <v>0</v>
      </c>
      <c r="AT473" s="20" t="b">
        <f t="shared" si="115"/>
        <v>0</v>
      </c>
      <c r="AU473" s="20" t="b">
        <f t="shared" si="116"/>
        <v>0</v>
      </c>
    </row>
    <row r="474" spans="1:47">
      <c r="A474" s="20">
        <f t="shared" si="119"/>
        <v>7</v>
      </c>
      <c r="W474" s="54">
        <f t="shared" si="117"/>
        <v>0</v>
      </c>
      <c r="X474" s="54">
        <f t="shared" si="118"/>
        <v>0</v>
      </c>
      <c r="AJ474" s="20" t="b">
        <f t="shared" si="105"/>
        <v>0</v>
      </c>
      <c r="AK474" s="20" t="b">
        <f t="shared" si="106"/>
        <v>0</v>
      </c>
      <c r="AL474" s="20" t="b">
        <f t="shared" si="107"/>
        <v>0</v>
      </c>
      <c r="AM474" s="20" t="b">
        <f t="shared" si="108"/>
        <v>0</v>
      </c>
      <c r="AN474" s="20" t="b">
        <f t="shared" si="109"/>
        <v>0</v>
      </c>
      <c r="AO474" s="20" t="b">
        <f t="shared" si="110"/>
        <v>0</v>
      </c>
      <c r="AP474" s="20" t="b">
        <f t="shared" si="111"/>
        <v>0</v>
      </c>
      <c r="AQ474" s="20" t="b">
        <f t="shared" si="112"/>
        <v>0</v>
      </c>
      <c r="AR474" s="20" t="b">
        <f t="shared" si="113"/>
        <v>0</v>
      </c>
      <c r="AS474" s="20" t="b">
        <f t="shared" si="114"/>
        <v>0</v>
      </c>
      <c r="AT474" s="20" t="b">
        <f t="shared" si="115"/>
        <v>0</v>
      </c>
      <c r="AU474" s="20" t="b">
        <f t="shared" si="116"/>
        <v>0</v>
      </c>
    </row>
    <row r="475" spans="1:47">
      <c r="A475" s="20">
        <f t="shared" si="119"/>
        <v>7</v>
      </c>
      <c r="W475" s="54">
        <f t="shared" si="117"/>
        <v>0</v>
      </c>
      <c r="X475" s="54">
        <f t="shared" si="118"/>
        <v>0</v>
      </c>
      <c r="AJ475" s="20" t="b">
        <f t="shared" si="105"/>
        <v>0</v>
      </c>
      <c r="AK475" s="20" t="b">
        <f t="shared" si="106"/>
        <v>0</v>
      </c>
      <c r="AL475" s="20" t="b">
        <f t="shared" si="107"/>
        <v>0</v>
      </c>
      <c r="AM475" s="20" t="b">
        <f t="shared" si="108"/>
        <v>0</v>
      </c>
      <c r="AN475" s="20" t="b">
        <f t="shared" si="109"/>
        <v>0</v>
      </c>
      <c r="AO475" s="20" t="b">
        <f t="shared" si="110"/>
        <v>0</v>
      </c>
      <c r="AP475" s="20" t="b">
        <f t="shared" si="111"/>
        <v>0</v>
      </c>
      <c r="AQ475" s="20" t="b">
        <f t="shared" si="112"/>
        <v>0</v>
      </c>
      <c r="AR475" s="20" t="b">
        <f t="shared" si="113"/>
        <v>0</v>
      </c>
      <c r="AS475" s="20" t="b">
        <f t="shared" si="114"/>
        <v>0</v>
      </c>
      <c r="AT475" s="20" t="b">
        <f t="shared" si="115"/>
        <v>0</v>
      </c>
      <c r="AU475" s="20" t="b">
        <f t="shared" si="116"/>
        <v>0</v>
      </c>
    </row>
    <row r="476" spans="1:47">
      <c r="A476" s="20">
        <f t="shared" si="119"/>
        <v>7</v>
      </c>
      <c r="W476" s="54">
        <f t="shared" si="117"/>
        <v>0</v>
      </c>
      <c r="X476" s="54">
        <f t="shared" si="118"/>
        <v>0</v>
      </c>
      <c r="AJ476" s="20" t="b">
        <f t="shared" si="105"/>
        <v>0</v>
      </c>
      <c r="AK476" s="20" t="b">
        <f t="shared" si="106"/>
        <v>0</v>
      </c>
      <c r="AL476" s="20" t="b">
        <f t="shared" si="107"/>
        <v>0</v>
      </c>
      <c r="AM476" s="20" t="b">
        <f t="shared" si="108"/>
        <v>0</v>
      </c>
      <c r="AN476" s="20" t="b">
        <f t="shared" si="109"/>
        <v>0</v>
      </c>
      <c r="AO476" s="20" t="b">
        <f t="shared" si="110"/>
        <v>0</v>
      </c>
      <c r="AP476" s="20" t="b">
        <f t="shared" si="111"/>
        <v>0</v>
      </c>
      <c r="AQ476" s="20" t="b">
        <f t="shared" si="112"/>
        <v>0</v>
      </c>
      <c r="AR476" s="20" t="b">
        <f t="shared" si="113"/>
        <v>0</v>
      </c>
      <c r="AS476" s="20" t="b">
        <f t="shared" si="114"/>
        <v>0</v>
      </c>
      <c r="AT476" s="20" t="b">
        <f t="shared" si="115"/>
        <v>0</v>
      </c>
      <c r="AU476" s="20" t="b">
        <f t="shared" si="116"/>
        <v>0</v>
      </c>
    </row>
    <row r="477" spans="1:47">
      <c r="A477" s="20">
        <f t="shared" si="119"/>
        <v>7</v>
      </c>
      <c r="W477" s="54">
        <f t="shared" si="117"/>
        <v>0</v>
      </c>
      <c r="X477" s="54">
        <f t="shared" si="118"/>
        <v>0</v>
      </c>
      <c r="AJ477" s="20" t="b">
        <f t="shared" si="105"/>
        <v>0</v>
      </c>
      <c r="AK477" s="20" t="b">
        <f t="shared" si="106"/>
        <v>0</v>
      </c>
      <c r="AL477" s="20" t="b">
        <f t="shared" si="107"/>
        <v>0</v>
      </c>
      <c r="AM477" s="20" t="b">
        <f t="shared" si="108"/>
        <v>0</v>
      </c>
      <c r="AN477" s="20" t="b">
        <f t="shared" si="109"/>
        <v>0</v>
      </c>
      <c r="AO477" s="20" t="b">
        <f t="shared" si="110"/>
        <v>0</v>
      </c>
      <c r="AP477" s="20" t="b">
        <f t="shared" si="111"/>
        <v>0</v>
      </c>
      <c r="AQ477" s="20" t="b">
        <f t="shared" si="112"/>
        <v>0</v>
      </c>
      <c r="AR477" s="20" t="b">
        <f t="shared" si="113"/>
        <v>0</v>
      </c>
      <c r="AS477" s="20" t="b">
        <f t="shared" si="114"/>
        <v>0</v>
      </c>
      <c r="AT477" s="20" t="b">
        <f t="shared" si="115"/>
        <v>0</v>
      </c>
      <c r="AU477" s="20" t="b">
        <f t="shared" si="116"/>
        <v>0</v>
      </c>
    </row>
    <row r="478" spans="1:47">
      <c r="A478" s="20">
        <f t="shared" si="119"/>
        <v>7</v>
      </c>
      <c r="W478" s="54">
        <f t="shared" si="117"/>
        <v>0</v>
      </c>
      <c r="X478" s="54">
        <f t="shared" si="118"/>
        <v>0</v>
      </c>
      <c r="AJ478" s="20" t="b">
        <f t="shared" si="105"/>
        <v>0</v>
      </c>
      <c r="AK478" s="20" t="b">
        <f t="shared" si="106"/>
        <v>0</v>
      </c>
      <c r="AL478" s="20" t="b">
        <f t="shared" si="107"/>
        <v>0</v>
      </c>
      <c r="AM478" s="20" t="b">
        <f t="shared" si="108"/>
        <v>0</v>
      </c>
      <c r="AN478" s="20" t="b">
        <f t="shared" si="109"/>
        <v>0</v>
      </c>
      <c r="AO478" s="20" t="b">
        <f t="shared" si="110"/>
        <v>0</v>
      </c>
      <c r="AP478" s="20" t="b">
        <f t="shared" si="111"/>
        <v>0</v>
      </c>
      <c r="AQ478" s="20" t="b">
        <f t="shared" si="112"/>
        <v>0</v>
      </c>
      <c r="AR478" s="20" t="b">
        <f t="shared" si="113"/>
        <v>0</v>
      </c>
      <c r="AS478" s="20" t="b">
        <f t="shared" si="114"/>
        <v>0</v>
      </c>
      <c r="AT478" s="20" t="b">
        <f t="shared" si="115"/>
        <v>0</v>
      </c>
      <c r="AU478" s="20" t="b">
        <f t="shared" si="116"/>
        <v>0</v>
      </c>
    </row>
    <row r="479" spans="1:47">
      <c r="A479" s="20">
        <f t="shared" si="119"/>
        <v>7</v>
      </c>
      <c r="W479" s="54">
        <f t="shared" si="117"/>
        <v>0</v>
      </c>
      <c r="X479" s="54">
        <f t="shared" si="118"/>
        <v>0</v>
      </c>
      <c r="AJ479" s="20" t="b">
        <f t="shared" si="105"/>
        <v>0</v>
      </c>
      <c r="AK479" s="20" t="b">
        <f t="shared" si="106"/>
        <v>0</v>
      </c>
      <c r="AL479" s="20" t="b">
        <f t="shared" si="107"/>
        <v>0</v>
      </c>
      <c r="AM479" s="20" t="b">
        <f t="shared" si="108"/>
        <v>0</v>
      </c>
      <c r="AN479" s="20" t="b">
        <f t="shared" si="109"/>
        <v>0</v>
      </c>
      <c r="AO479" s="20" t="b">
        <f t="shared" si="110"/>
        <v>0</v>
      </c>
      <c r="AP479" s="20" t="b">
        <f t="shared" si="111"/>
        <v>0</v>
      </c>
      <c r="AQ479" s="20" t="b">
        <f t="shared" si="112"/>
        <v>0</v>
      </c>
      <c r="AR479" s="20" t="b">
        <f t="shared" si="113"/>
        <v>0</v>
      </c>
      <c r="AS479" s="20" t="b">
        <f t="shared" si="114"/>
        <v>0</v>
      </c>
      <c r="AT479" s="20" t="b">
        <f t="shared" si="115"/>
        <v>0</v>
      </c>
      <c r="AU479" s="20" t="b">
        <f t="shared" si="116"/>
        <v>0</v>
      </c>
    </row>
    <row r="480" spans="1:47">
      <c r="A480" s="20">
        <f t="shared" si="119"/>
        <v>7</v>
      </c>
      <c r="W480" s="54">
        <f t="shared" si="117"/>
        <v>0</v>
      </c>
      <c r="X480" s="54">
        <f t="shared" si="118"/>
        <v>0</v>
      </c>
      <c r="AJ480" s="20" t="b">
        <f t="shared" si="105"/>
        <v>0</v>
      </c>
      <c r="AK480" s="20" t="b">
        <f t="shared" si="106"/>
        <v>0</v>
      </c>
      <c r="AL480" s="20" t="b">
        <f t="shared" si="107"/>
        <v>0</v>
      </c>
      <c r="AM480" s="20" t="b">
        <f t="shared" si="108"/>
        <v>0</v>
      </c>
      <c r="AN480" s="20" t="b">
        <f t="shared" si="109"/>
        <v>0</v>
      </c>
      <c r="AO480" s="20" t="b">
        <f t="shared" si="110"/>
        <v>0</v>
      </c>
      <c r="AP480" s="20" t="b">
        <f t="shared" si="111"/>
        <v>0</v>
      </c>
      <c r="AQ480" s="20" t="b">
        <f t="shared" si="112"/>
        <v>0</v>
      </c>
      <c r="AR480" s="20" t="b">
        <f t="shared" si="113"/>
        <v>0</v>
      </c>
      <c r="AS480" s="20" t="b">
        <f t="shared" si="114"/>
        <v>0</v>
      </c>
      <c r="AT480" s="20" t="b">
        <f t="shared" si="115"/>
        <v>0</v>
      </c>
      <c r="AU480" s="20" t="b">
        <f t="shared" si="116"/>
        <v>0</v>
      </c>
    </row>
    <row r="481" spans="1:47">
      <c r="A481" s="20">
        <f t="shared" si="119"/>
        <v>7</v>
      </c>
      <c r="W481" s="54">
        <f t="shared" si="117"/>
        <v>0</v>
      </c>
      <c r="X481" s="54">
        <f t="shared" si="118"/>
        <v>0</v>
      </c>
      <c r="AJ481" s="20" t="b">
        <f t="shared" si="105"/>
        <v>0</v>
      </c>
      <c r="AK481" s="20" t="b">
        <f t="shared" si="106"/>
        <v>0</v>
      </c>
      <c r="AL481" s="20" t="b">
        <f t="shared" si="107"/>
        <v>0</v>
      </c>
      <c r="AM481" s="20" t="b">
        <f t="shared" si="108"/>
        <v>0</v>
      </c>
      <c r="AN481" s="20" t="b">
        <f t="shared" si="109"/>
        <v>0</v>
      </c>
      <c r="AO481" s="20" t="b">
        <f t="shared" si="110"/>
        <v>0</v>
      </c>
      <c r="AP481" s="20" t="b">
        <f t="shared" si="111"/>
        <v>0</v>
      </c>
      <c r="AQ481" s="20" t="b">
        <f t="shared" si="112"/>
        <v>0</v>
      </c>
      <c r="AR481" s="20" t="b">
        <f t="shared" si="113"/>
        <v>0</v>
      </c>
      <c r="AS481" s="20" t="b">
        <f t="shared" si="114"/>
        <v>0</v>
      </c>
      <c r="AT481" s="20" t="b">
        <f t="shared" si="115"/>
        <v>0</v>
      </c>
      <c r="AU481" s="20" t="b">
        <f t="shared" si="116"/>
        <v>0</v>
      </c>
    </row>
    <row r="482" spans="1:47">
      <c r="A482" s="20">
        <f t="shared" si="119"/>
        <v>7</v>
      </c>
      <c r="W482" s="54">
        <f t="shared" si="117"/>
        <v>0</v>
      </c>
      <c r="X482" s="54">
        <f t="shared" si="118"/>
        <v>0</v>
      </c>
      <c r="AJ482" s="20" t="b">
        <f t="shared" si="105"/>
        <v>0</v>
      </c>
      <c r="AK482" s="20" t="b">
        <f t="shared" si="106"/>
        <v>0</v>
      </c>
      <c r="AL482" s="20" t="b">
        <f t="shared" si="107"/>
        <v>0</v>
      </c>
      <c r="AM482" s="20" t="b">
        <f t="shared" si="108"/>
        <v>0</v>
      </c>
      <c r="AN482" s="20" t="b">
        <f t="shared" si="109"/>
        <v>0</v>
      </c>
      <c r="AO482" s="20" t="b">
        <f t="shared" si="110"/>
        <v>0</v>
      </c>
      <c r="AP482" s="20" t="b">
        <f t="shared" si="111"/>
        <v>0</v>
      </c>
      <c r="AQ482" s="20" t="b">
        <f t="shared" si="112"/>
        <v>0</v>
      </c>
      <c r="AR482" s="20" t="b">
        <f t="shared" si="113"/>
        <v>0</v>
      </c>
      <c r="AS482" s="20" t="b">
        <f t="shared" si="114"/>
        <v>0</v>
      </c>
      <c r="AT482" s="20" t="b">
        <f t="shared" si="115"/>
        <v>0</v>
      </c>
      <c r="AU482" s="20" t="b">
        <f t="shared" si="116"/>
        <v>0</v>
      </c>
    </row>
    <row r="483" spans="1:47">
      <c r="A483" s="20">
        <f t="shared" si="119"/>
        <v>7</v>
      </c>
      <c r="W483" s="54">
        <f t="shared" si="117"/>
        <v>0</v>
      </c>
      <c r="X483" s="54">
        <f t="shared" si="118"/>
        <v>0</v>
      </c>
      <c r="AJ483" s="20" t="b">
        <f t="shared" si="105"/>
        <v>0</v>
      </c>
      <c r="AK483" s="20" t="b">
        <f t="shared" si="106"/>
        <v>0</v>
      </c>
      <c r="AL483" s="20" t="b">
        <f t="shared" si="107"/>
        <v>0</v>
      </c>
      <c r="AM483" s="20" t="b">
        <f t="shared" si="108"/>
        <v>0</v>
      </c>
      <c r="AN483" s="20" t="b">
        <f t="shared" si="109"/>
        <v>0</v>
      </c>
      <c r="AO483" s="20" t="b">
        <f t="shared" si="110"/>
        <v>0</v>
      </c>
      <c r="AP483" s="20" t="b">
        <f t="shared" si="111"/>
        <v>0</v>
      </c>
      <c r="AQ483" s="20" t="b">
        <f t="shared" si="112"/>
        <v>0</v>
      </c>
      <c r="AR483" s="20" t="b">
        <f t="shared" si="113"/>
        <v>0</v>
      </c>
      <c r="AS483" s="20" t="b">
        <f t="shared" si="114"/>
        <v>0</v>
      </c>
      <c r="AT483" s="20" t="b">
        <f t="shared" si="115"/>
        <v>0</v>
      </c>
      <c r="AU483" s="20" t="b">
        <f t="shared" si="116"/>
        <v>0</v>
      </c>
    </row>
    <row r="484" spans="1:47">
      <c r="A484" s="20">
        <f t="shared" si="119"/>
        <v>7</v>
      </c>
      <c r="W484" s="54">
        <f t="shared" si="117"/>
        <v>0</v>
      </c>
      <c r="X484" s="54">
        <f t="shared" si="118"/>
        <v>0</v>
      </c>
      <c r="AJ484" s="20" t="b">
        <f t="shared" si="105"/>
        <v>0</v>
      </c>
      <c r="AK484" s="20" t="b">
        <f t="shared" si="106"/>
        <v>0</v>
      </c>
      <c r="AL484" s="20" t="b">
        <f t="shared" si="107"/>
        <v>0</v>
      </c>
      <c r="AM484" s="20" t="b">
        <f t="shared" si="108"/>
        <v>0</v>
      </c>
      <c r="AN484" s="20" t="b">
        <f t="shared" si="109"/>
        <v>0</v>
      </c>
      <c r="AO484" s="20" t="b">
        <f t="shared" si="110"/>
        <v>0</v>
      </c>
      <c r="AP484" s="20" t="b">
        <f t="shared" si="111"/>
        <v>0</v>
      </c>
      <c r="AQ484" s="20" t="b">
        <f t="shared" si="112"/>
        <v>0</v>
      </c>
      <c r="AR484" s="20" t="b">
        <f t="shared" si="113"/>
        <v>0</v>
      </c>
      <c r="AS484" s="20" t="b">
        <f t="shared" si="114"/>
        <v>0</v>
      </c>
      <c r="AT484" s="20" t="b">
        <f t="shared" si="115"/>
        <v>0</v>
      </c>
      <c r="AU484" s="20" t="b">
        <f t="shared" si="116"/>
        <v>0</v>
      </c>
    </row>
    <row r="485" spans="1:47">
      <c r="A485" s="20">
        <f t="shared" si="119"/>
        <v>7</v>
      </c>
      <c r="W485" s="54">
        <f t="shared" si="117"/>
        <v>0</v>
      </c>
      <c r="X485" s="54">
        <f t="shared" si="118"/>
        <v>0</v>
      </c>
      <c r="AJ485" s="20" t="b">
        <f t="shared" si="105"/>
        <v>0</v>
      </c>
      <c r="AK485" s="20" t="b">
        <f t="shared" si="106"/>
        <v>0</v>
      </c>
      <c r="AL485" s="20" t="b">
        <f t="shared" si="107"/>
        <v>0</v>
      </c>
      <c r="AM485" s="20" t="b">
        <f t="shared" si="108"/>
        <v>0</v>
      </c>
      <c r="AN485" s="20" t="b">
        <f t="shared" si="109"/>
        <v>0</v>
      </c>
      <c r="AO485" s="20" t="b">
        <f t="shared" si="110"/>
        <v>0</v>
      </c>
      <c r="AP485" s="20" t="b">
        <f t="shared" si="111"/>
        <v>0</v>
      </c>
      <c r="AQ485" s="20" t="b">
        <f t="shared" si="112"/>
        <v>0</v>
      </c>
      <c r="AR485" s="20" t="b">
        <f t="shared" si="113"/>
        <v>0</v>
      </c>
      <c r="AS485" s="20" t="b">
        <f t="shared" si="114"/>
        <v>0</v>
      </c>
      <c r="AT485" s="20" t="b">
        <f t="shared" si="115"/>
        <v>0</v>
      </c>
      <c r="AU485" s="20" t="b">
        <f t="shared" si="116"/>
        <v>0</v>
      </c>
    </row>
    <row r="486" spans="1:47">
      <c r="A486" s="20">
        <f t="shared" si="119"/>
        <v>7</v>
      </c>
      <c r="W486" s="54">
        <f t="shared" si="117"/>
        <v>0</v>
      </c>
      <c r="X486" s="54">
        <f t="shared" si="118"/>
        <v>0</v>
      </c>
      <c r="AJ486" s="20" t="b">
        <f t="shared" si="105"/>
        <v>0</v>
      </c>
      <c r="AK486" s="20" t="b">
        <f t="shared" si="106"/>
        <v>0</v>
      </c>
      <c r="AL486" s="20" t="b">
        <f t="shared" si="107"/>
        <v>0</v>
      </c>
      <c r="AM486" s="20" t="b">
        <f t="shared" si="108"/>
        <v>0</v>
      </c>
      <c r="AN486" s="20" t="b">
        <f t="shared" si="109"/>
        <v>0</v>
      </c>
      <c r="AO486" s="20" t="b">
        <f t="shared" si="110"/>
        <v>0</v>
      </c>
      <c r="AP486" s="20" t="b">
        <f t="shared" si="111"/>
        <v>0</v>
      </c>
      <c r="AQ486" s="20" t="b">
        <f t="shared" si="112"/>
        <v>0</v>
      </c>
      <c r="AR486" s="20" t="b">
        <f t="shared" si="113"/>
        <v>0</v>
      </c>
      <c r="AS486" s="20" t="b">
        <f t="shared" si="114"/>
        <v>0</v>
      </c>
      <c r="AT486" s="20" t="b">
        <f t="shared" si="115"/>
        <v>0</v>
      </c>
      <c r="AU486" s="20" t="b">
        <f t="shared" si="116"/>
        <v>0</v>
      </c>
    </row>
    <row r="487" spans="1:47">
      <c r="A487" s="20">
        <f t="shared" si="119"/>
        <v>7</v>
      </c>
      <c r="W487" s="54">
        <f t="shared" si="117"/>
        <v>0</v>
      </c>
      <c r="X487" s="54">
        <f t="shared" si="118"/>
        <v>0</v>
      </c>
      <c r="AJ487" s="20" t="b">
        <f t="shared" si="105"/>
        <v>0</v>
      </c>
      <c r="AK487" s="20" t="b">
        <f t="shared" si="106"/>
        <v>0</v>
      </c>
      <c r="AL487" s="20" t="b">
        <f t="shared" si="107"/>
        <v>0</v>
      </c>
      <c r="AM487" s="20" t="b">
        <f t="shared" si="108"/>
        <v>0</v>
      </c>
      <c r="AN487" s="20" t="b">
        <f t="shared" si="109"/>
        <v>0</v>
      </c>
      <c r="AO487" s="20" t="b">
        <f t="shared" si="110"/>
        <v>0</v>
      </c>
      <c r="AP487" s="20" t="b">
        <f t="shared" si="111"/>
        <v>0</v>
      </c>
      <c r="AQ487" s="20" t="b">
        <f t="shared" si="112"/>
        <v>0</v>
      </c>
      <c r="AR487" s="20" t="b">
        <f t="shared" si="113"/>
        <v>0</v>
      </c>
      <c r="AS487" s="20" t="b">
        <f t="shared" si="114"/>
        <v>0</v>
      </c>
      <c r="AT487" s="20" t="b">
        <f t="shared" si="115"/>
        <v>0</v>
      </c>
      <c r="AU487" s="20" t="b">
        <f t="shared" si="116"/>
        <v>0</v>
      </c>
    </row>
    <row r="488" spans="1:47">
      <c r="A488" s="20">
        <f t="shared" si="119"/>
        <v>7</v>
      </c>
      <c r="W488" s="54">
        <f t="shared" si="117"/>
        <v>0</v>
      </c>
      <c r="X488" s="54">
        <f t="shared" si="118"/>
        <v>0</v>
      </c>
      <c r="AJ488" s="20" t="b">
        <f t="shared" si="105"/>
        <v>0</v>
      </c>
      <c r="AK488" s="20" t="b">
        <f t="shared" si="106"/>
        <v>0</v>
      </c>
      <c r="AL488" s="20" t="b">
        <f t="shared" si="107"/>
        <v>0</v>
      </c>
      <c r="AM488" s="20" t="b">
        <f t="shared" si="108"/>
        <v>0</v>
      </c>
      <c r="AN488" s="20" t="b">
        <f t="shared" si="109"/>
        <v>0</v>
      </c>
      <c r="AO488" s="20" t="b">
        <f t="shared" si="110"/>
        <v>0</v>
      </c>
      <c r="AP488" s="20" t="b">
        <f t="shared" si="111"/>
        <v>0</v>
      </c>
      <c r="AQ488" s="20" t="b">
        <f t="shared" si="112"/>
        <v>0</v>
      </c>
      <c r="AR488" s="20" t="b">
        <f t="shared" si="113"/>
        <v>0</v>
      </c>
      <c r="AS488" s="20" t="b">
        <f t="shared" si="114"/>
        <v>0</v>
      </c>
      <c r="AT488" s="20" t="b">
        <f t="shared" si="115"/>
        <v>0</v>
      </c>
      <c r="AU488" s="20" t="b">
        <f t="shared" si="116"/>
        <v>0</v>
      </c>
    </row>
    <row r="489" spans="1:47">
      <c r="A489" s="20">
        <f t="shared" si="119"/>
        <v>7</v>
      </c>
      <c r="W489" s="54">
        <f t="shared" si="117"/>
        <v>0</v>
      </c>
      <c r="X489" s="54">
        <f t="shared" si="118"/>
        <v>0</v>
      </c>
      <c r="AJ489" s="20" t="b">
        <f t="shared" si="105"/>
        <v>0</v>
      </c>
      <c r="AK489" s="20" t="b">
        <f t="shared" si="106"/>
        <v>0</v>
      </c>
      <c r="AL489" s="20" t="b">
        <f t="shared" si="107"/>
        <v>0</v>
      </c>
      <c r="AM489" s="20" t="b">
        <f t="shared" si="108"/>
        <v>0</v>
      </c>
      <c r="AN489" s="20" t="b">
        <f t="shared" si="109"/>
        <v>0</v>
      </c>
      <c r="AO489" s="20" t="b">
        <f t="shared" si="110"/>
        <v>0</v>
      </c>
      <c r="AP489" s="20" t="b">
        <f t="shared" si="111"/>
        <v>0</v>
      </c>
      <c r="AQ489" s="20" t="b">
        <f t="shared" si="112"/>
        <v>0</v>
      </c>
      <c r="AR489" s="20" t="b">
        <f t="shared" si="113"/>
        <v>0</v>
      </c>
      <c r="AS489" s="20" t="b">
        <f t="shared" si="114"/>
        <v>0</v>
      </c>
      <c r="AT489" s="20" t="b">
        <f t="shared" si="115"/>
        <v>0</v>
      </c>
      <c r="AU489" s="20" t="b">
        <f t="shared" si="116"/>
        <v>0</v>
      </c>
    </row>
    <row r="490" spans="1:47">
      <c r="A490" s="20">
        <f t="shared" si="119"/>
        <v>7</v>
      </c>
      <c r="W490" s="54">
        <f t="shared" si="117"/>
        <v>0</v>
      </c>
      <c r="X490" s="54">
        <f t="shared" si="118"/>
        <v>0</v>
      </c>
      <c r="AJ490" s="20" t="b">
        <f t="shared" si="105"/>
        <v>0</v>
      </c>
      <c r="AK490" s="20" t="b">
        <f t="shared" si="106"/>
        <v>0</v>
      </c>
      <c r="AL490" s="20" t="b">
        <f t="shared" si="107"/>
        <v>0</v>
      </c>
      <c r="AM490" s="20" t="b">
        <f t="shared" si="108"/>
        <v>0</v>
      </c>
      <c r="AN490" s="20" t="b">
        <f t="shared" si="109"/>
        <v>0</v>
      </c>
      <c r="AO490" s="20" t="b">
        <f t="shared" si="110"/>
        <v>0</v>
      </c>
      <c r="AP490" s="20" t="b">
        <f t="shared" si="111"/>
        <v>0</v>
      </c>
      <c r="AQ490" s="20" t="b">
        <f t="shared" si="112"/>
        <v>0</v>
      </c>
      <c r="AR490" s="20" t="b">
        <f t="shared" si="113"/>
        <v>0</v>
      </c>
      <c r="AS490" s="20" t="b">
        <f t="shared" si="114"/>
        <v>0</v>
      </c>
      <c r="AT490" s="20" t="b">
        <f t="shared" si="115"/>
        <v>0</v>
      </c>
      <c r="AU490" s="20" t="b">
        <f t="shared" si="116"/>
        <v>0</v>
      </c>
    </row>
    <row r="491" spans="1:47">
      <c r="A491" s="20">
        <f t="shared" si="119"/>
        <v>7</v>
      </c>
      <c r="W491" s="54">
        <f t="shared" si="117"/>
        <v>0</v>
      </c>
      <c r="X491" s="54">
        <f t="shared" si="118"/>
        <v>0</v>
      </c>
      <c r="AJ491" s="20" t="b">
        <f t="shared" si="105"/>
        <v>0</v>
      </c>
      <c r="AK491" s="20" t="b">
        <f t="shared" si="106"/>
        <v>0</v>
      </c>
      <c r="AL491" s="20" t="b">
        <f t="shared" si="107"/>
        <v>0</v>
      </c>
      <c r="AM491" s="20" t="b">
        <f t="shared" si="108"/>
        <v>0</v>
      </c>
      <c r="AN491" s="20" t="b">
        <f t="shared" si="109"/>
        <v>0</v>
      </c>
      <c r="AO491" s="20" t="b">
        <f t="shared" si="110"/>
        <v>0</v>
      </c>
      <c r="AP491" s="20" t="b">
        <f t="shared" si="111"/>
        <v>0</v>
      </c>
      <c r="AQ491" s="20" t="b">
        <f t="shared" si="112"/>
        <v>0</v>
      </c>
      <c r="AR491" s="20" t="b">
        <f t="shared" si="113"/>
        <v>0</v>
      </c>
      <c r="AS491" s="20" t="b">
        <f t="shared" si="114"/>
        <v>0</v>
      </c>
      <c r="AT491" s="20" t="b">
        <f t="shared" si="115"/>
        <v>0</v>
      </c>
      <c r="AU491" s="20" t="b">
        <f t="shared" si="116"/>
        <v>0</v>
      </c>
    </row>
    <row r="492" spans="1:47">
      <c r="A492" s="20">
        <f t="shared" si="119"/>
        <v>7</v>
      </c>
      <c r="W492" s="54">
        <f t="shared" si="117"/>
        <v>0</v>
      </c>
      <c r="X492" s="54">
        <f t="shared" si="118"/>
        <v>0</v>
      </c>
      <c r="AJ492" s="20" t="b">
        <f t="shared" si="105"/>
        <v>0</v>
      </c>
      <c r="AK492" s="20" t="b">
        <f t="shared" si="106"/>
        <v>0</v>
      </c>
      <c r="AL492" s="20" t="b">
        <f t="shared" si="107"/>
        <v>0</v>
      </c>
      <c r="AM492" s="20" t="b">
        <f t="shared" si="108"/>
        <v>0</v>
      </c>
      <c r="AN492" s="20" t="b">
        <f t="shared" si="109"/>
        <v>0</v>
      </c>
      <c r="AO492" s="20" t="b">
        <f t="shared" si="110"/>
        <v>0</v>
      </c>
      <c r="AP492" s="20" t="b">
        <f t="shared" si="111"/>
        <v>0</v>
      </c>
      <c r="AQ492" s="20" t="b">
        <f t="shared" si="112"/>
        <v>0</v>
      </c>
      <c r="AR492" s="20" t="b">
        <f t="shared" si="113"/>
        <v>0</v>
      </c>
      <c r="AS492" s="20" t="b">
        <f t="shared" si="114"/>
        <v>0</v>
      </c>
      <c r="AT492" s="20" t="b">
        <f t="shared" si="115"/>
        <v>0</v>
      </c>
      <c r="AU492" s="20" t="b">
        <f t="shared" si="116"/>
        <v>0</v>
      </c>
    </row>
    <row r="493" spans="1:47">
      <c r="A493" s="20">
        <f t="shared" si="119"/>
        <v>7</v>
      </c>
      <c r="W493" s="54">
        <f t="shared" si="117"/>
        <v>0</v>
      </c>
      <c r="X493" s="54">
        <f t="shared" si="118"/>
        <v>0</v>
      </c>
      <c r="AJ493" s="20" t="b">
        <f t="shared" si="105"/>
        <v>0</v>
      </c>
      <c r="AK493" s="20" t="b">
        <f t="shared" si="106"/>
        <v>0</v>
      </c>
      <c r="AL493" s="20" t="b">
        <f t="shared" si="107"/>
        <v>0</v>
      </c>
      <c r="AM493" s="20" t="b">
        <f t="shared" si="108"/>
        <v>0</v>
      </c>
      <c r="AN493" s="20" t="b">
        <f t="shared" si="109"/>
        <v>0</v>
      </c>
      <c r="AO493" s="20" t="b">
        <f t="shared" si="110"/>
        <v>0</v>
      </c>
      <c r="AP493" s="20" t="b">
        <f t="shared" si="111"/>
        <v>0</v>
      </c>
      <c r="AQ493" s="20" t="b">
        <f t="shared" si="112"/>
        <v>0</v>
      </c>
      <c r="AR493" s="20" t="b">
        <f t="shared" si="113"/>
        <v>0</v>
      </c>
      <c r="AS493" s="20" t="b">
        <f t="shared" si="114"/>
        <v>0</v>
      </c>
      <c r="AT493" s="20" t="b">
        <f t="shared" si="115"/>
        <v>0</v>
      </c>
      <c r="AU493" s="20" t="b">
        <f t="shared" si="116"/>
        <v>0</v>
      </c>
    </row>
    <row r="494" spans="1:47">
      <c r="A494" s="20">
        <f t="shared" si="119"/>
        <v>7</v>
      </c>
      <c r="W494" s="54">
        <f t="shared" si="117"/>
        <v>0</v>
      </c>
      <c r="X494" s="54">
        <f t="shared" si="118"/>
        <v>0</v>
      </c>
      <c r="AJ494" s="20" t="b">
        <f t="shared" si="105"/>
        <v>0</v>
      </c>
      <c r="AK494" s="20" t="b">
        <f t="shared" si="106"/>
        <v>0</v>
      </c>
      <c r="AL494" s="20" t="b">
        <f t="shared" si="107"/>
        <v>0</v>
      </c>
      <c r="AM494" s="20" t="b">
        <f t="shared" si="108"/>
        <v>0</v>
      </c>
      <c r="AN494" s="20" t="b">
        <f t="shared" si="109"/>
        <v>0</v>
      </c>
      <c r="AO494" s="20" t="b">
        <f t="shared" si="110"/>
        <v>0</v>
      </c>
      <c r="AP494" s="20" t="b">
        <f t="shared" si="111"/>
        <v>0</v>
      </c>
      <c r="AQ494" s="20" t="b">
        <f t="shared" si="112"/>
        <v>0</v>
      </c>
      <c r="AR494" s="20" t="b">
        <f t="shared" si="113"/>
        <v>0</v>
      </c>
      <c r="AS494" s="20" t="b">
        <f t="shared" si="114"/>
        <v>0</v>
      </c>
      <c r="AT494" s="20" t="b">
        <f t="shared" si="115"/>
        <v>0</v>
      </c>
      <c r="AU494" s="20" t="b">
        <f t="shared" si="116"/>
        <v>0</v>
      </c>
    </row>
    <row r="495" spans="1:47">
      <c r="A495" s="20">
        <f t="shared" si="119"/>
        <v>7</v>
      </c>
      <c r="W495" s="54">
        <f t="shared" si="117"/>
        <v>0</v>
      </c>
      <c r="X495" s="54">
        <f t="shared" si="118"/>
        <v>0</v>
      </c>
      <c r="AJ495" s="20" t="b">
        <f t="shared" si="105"/>
        <v>0</v>
      </c>
      <c r="AK495" s="20" t="b">
        <f t="shared" si="106"/>
        <v>0</v>
      </c>
      <c r="AL495" s="20" t="b">
        <f t="shared" si="107"/>
        <v>0</v>
      </c>
      <c r="AM495" s="20" t="b">
        <f t="shared" si="108"/>
        <v>0</v>
      </c>
      <c r="AN495" s="20" t="b">
        <f t="shared" si="109"/>
        <v>0</v>
      </c>
      <c r="AO495" s="20" t="b">
        <f t="shared" si="110"/>
        <v>0</v>
      </c>
      <c r="AP495" s="20" t="b">
        <f t="shared" si="111"/>
        <v>0</v>
      </c>
      <c r="AQ495" s="20" t="b">
        <f t="shared" si="112"/>
        <v>0</v>
      </c>
      <c r="AR495" s="20" t="b">
        <f t="shared" si="113"/>
        <v>0</v>
      </c>
      <c r="AS495" s="20" t="b">
        <f t="shared" si="114"/>
        <v>0</v>
      </c>
      <c r="AT495" s="20" t="b">
        <f t="shared" si="115"/>
        <v>0</v>
      </c>
      <c r="AU495" s="20" t="b">
        <f t="shared" si="116"/>
        <v>0</v>
      </c>
    </row>
    <row r="496" spans="1:47">
      <c r="A496" s="20">
        <f t="shared" si="119"/>
        <v>7</v>
      </c>
      <c r="W496" s="54">
        <f t="shared" si="117"/>
        <v>0</v>
      </c>
      <c r="X496" s="54">
        <f t="shared" si="118"/>
        <v>0</v>
      </c>
      <c r="AJ496" s="20" t="b">
        <f t="shared" si="105"/>
        <v>0</v>
      </c>
      <c r="AK496" s="20" t="b">
        <f t="shared" si="106"/>
        <v>0</v>
      </c>
      <c r="AL496" s="20" t="b">
        <f t="shared" si="107"/>
        <v>0</v>
      </c>
      <c r="AM496" s="20" t="b">
        <f t="shared" si="108"/>
        <v>0</v>
      </c>
      <c r="AN496" s="20" t="b">
        <f t="shared" si="109"/>
        <v>0</v>
      </c>
      <c r="AO496" s="20" t="b">
        <f t="shared" si="110"/>
        <v>0</v>
      </c>
      <c r="AP496" s="20" t="b">
        <f t="shared" si="111"/>
        <v>0</v>
      </c>
      <c r="AQ496" s="20" t="b">
        <f t="shared" si="112"/>
        <v>0</v>
      </c>
      <c r="AR496" s="20" t="b">
        <f t="shared" si="113"/>
        <v>0</v>
      </c>
      <c r="AS496" s="20" t="b">
        <f t="shared" si="114"/>
        <v>0</v>
      </c>
      <c r="AT496" s="20" t="b">
        <f t="shared" si="115"/>
        <v>0</v>
      </c>
      <c r="AU496" s="20" t="b">
        <f t="shared" si="116"/>
        <v>0</v>
      </c>
    </row>
    <row r="497" spans="1:47">
      <c r="A497" s="20">
        <f t="shared" si="119"/>
        <v>7</v>
      </c>
      <c r="W497" s="54">
        <f t="shared" si="117"/>
        <v>0</v>
      </c>
      <c r="X497" s="54">
        <f t="shared" si="118"/>
        <v>0</v>
      </c>
      <c r="AJ497" s="20" t="b">
        <f t="shared" si="105"/>
        <v>0</v>
      </c>
      <c r="AK497" s="20" t="b">
        <f t="shared" si="106"/>
        <v>0</v>
      </c>
      <c r="AL497" s="20" t="b">
        <f t="shared" si="107"/>
        <v>0</v>
      </c>
      <c r="AM497" s="20" t="b">
        <f t="shared" si="108"/>
        <v>0</v>
      </c>
      <c r="AN497" s="20" t="b">
        <f t="shared" si="109"/>
        <v>0</v>
      </c>
      <c r="AO497" s="20" t="b">
        <f t="shared" si="110"/>
        <v>0</v>
      </c>
      <c r="AP497" s="20" t="b">
        <f t="shared" si="111"/>
        <v>0</v>
      </c>
      <c r="AQ497" s="20" t="b">
        <f t="shared" si="112"/>
        <v>0</v>
      </c>
      <c r="AR497" s="20" t="b">
        <f t="shared" si="113"/>
        <v>0</v>
      </c>
      <c r="AS497" s="20" t="b">
        <f t="shared" si="114"/>
        <v>0</v>
      </c>
      <c r="AT497" s="20" t="b">
        <f t="shared" si="115"/>
        <v>0</v>
      </c>
      <c r="AU497" s="20" t="b">
        <f t="shared" si="116"/>
        <v>0</v>
      </c>
    </row>
    <row r="498" spans="1:47">
      <c r="A498" s="20">
        <f t="shared" si="119"/>
        <v>7</v>
      </c>
      <c r="W498" s="54">
        <f t="shared" si="117"/>
        <v>0</v>
      </c>
      <c r="X498" s="54">
        <f t="shared" si="118"/>
        <v>0</v>
      </c>
      <c r="AJ498" s="20" t="b">
        <f t="shared" si="105"/>
        <v>0</v>
      </c>
      <c r="AK498" s="20" t="b">
        <f t="shared" si="106"/>
        <v>0</v>
      </c>
      <c r="AL498" s="20" t="b">
        <f t="shared" si="107"/>
        <v>0</v>
      </c>
      <c r="AM498" s="20" t="b">
        <f t="shared" si="108"/>
        <v>0</v>
      </c>
      <c r="AN498" s="20" t="b">
        <f t="shared" si="109"/>
        <v>0</v>
      </c>
      <c r="AO498" s="20" t="b">
        <f t="shared" si="110"/>
        <v>0</v>
      </c>
      <c r="AP498" s="20" t="b">
        <f t="shared" si="111"/>
        <v>0</v>
      </c>
      <c r="AQ498" s="20" t="b">
        <f t="shared" si="112"/>
        <v>0</v>
      </c>
      <c r="AR498" s="20" t="b">
        <f t="shared" si="113"/>
        <v>0</v>
      </c>
      <c r="AS498" s="20" t="b">
        <f t="shared" si="114"/>
        <v>0</v>
      </c>
      <c r="AT498" s="20" t="b">
        <f t="shared" si="115"/>
        <v>0</v>
      </c>
      <c r="AU498" s="20" t="b">
        <f t="shared" si="116"/>
        <v>0</v>
      </c>
    </row>
    <row r="499" spans="1:47">
      <c r="A499" s="20">
        <f t="shared" si="119"/>
        <v>7</v>
      </c>
      <c r="W499" s="54">
        <f t="shared" si="117"/>
        <v>0</v>
      </c>
      <c r="X499" s="54">
        <f t="shared" si="118"/>
        <v>0</v>
      </c>
      <c r="AJ499" s="20" t="b">
        <f t="shared" si="105"/>
        <v>0</v>
      </c>
      <c r="AK499" s="20" t="b">
        <f t="shared" si="106"/>
        <v>0</v>
      </c>
      <c r="AL499" s="20" t="b">
        <f t="shared" si="107"/>
        <v>0</v>
      </c>
      <c r="AM499" s="20" t="b">
        <f t="shared" si="108"/>
        <v>0</v>
      </c>
      <c r="AN499" s="20" t="b">
        <f t="shared" si="109"/>
        <v>0</v>
      </c>
      <c r="AO499" s="20" t="b">
        <f t="shared" si="110"/>
        <v>0</v>
      </c>
      <c r="AP499" s="20" t="b">
        <f t="shared" si="111"/>
        <v>0</v>
      </c>
      <c r="AQ499" s="20" t="b">
        <f t="shared" si="112"/>
        <v>0</v>
      </c>
      <c r="AR499" s="20" t="b">
        <f t="shared" si="113"/>
        <v>0</v>
      </c>
      <c r="AS499" s="20" t="b">
        <f t="shared" si="114"/>
        <v>0</v>
      </c>
      <c r="AT499" s="20" t="b">
        <f t="shared" si="115"/>
        <v>0</v>
      </c>
      <c r="AU499" s="20" t="b">
        <f t="shared" si="116"/>
        <v>0</v>
      </c>
    </row>
    <row r="500" spans="1:47">
      <c r="A500" s="20">
        <f t="shared" si="119"/>
        <v>7</v>
      </c>
      <c r="W500" s="54">
        <f t="shared" si="117"/>
        <v>0</v>
      </c>
      <c r="X500" s="54">
        <f t="shared" si="118"/>
        <v>0</v>
      </c>
      <c r="AJ500" s="20" t="b">
        <f t="shared" si="105"/>
        <v>0</v>
      </c>
      <c r="AK500" s="20" t="b">
        <f t="shared" si="106"/>
        <v>0</v>
      </c>
      <c r="AL500" s="20" t="b">
        <f t="shared" si="107"/>
        <v>0</v>
      </c>
      <c r="AM500" s="20" t="b">
        <f t="shared" si="108"/>
        <v>0</v>
      </c>
      <c r="AN500" s="20" t="b">
        <f t="shared" si="109"/>
        <v>0</v>
      </c>
      <c r="AO500" s="20" t="b">
        <f t="shared" si="110"/>
        <v>0</v>
      </c>
      <c r="AP500" s="20" t="b">
        <f t="shared" si="111"/>
        <v>0</v>
      </c>
      <c r="AQ500" s="20" t="b">
        <f t="shared" si="112"/>
        <v>0</v>
      </c>
      <c r="AR500" s="20" t="b">
        <f t="shared" si="113"/>
        <v>0</v>
      </c>
      <c r="AS500" s="20" t="b">
        <f t="shared" si="114"/>
        <v>0</v>
      </c>
      <c r="AT500" s="20" t="b">
        <f t="shared" si="115"/>
        <v>0</v>
      </c>
      <c r="AU500" s="20" t="b">
        <f t="shared" si="116"/>
        <v>0</v>
      </c>
    </row>
    <row r="501" spans="1:47">
      <c r="A501" s="20">
        <f t="shared" si="119"/>
        <v>7</v>
      </c>
      <c r="W501" s="54">
        <f t="shared" si="117"/>
        <v>0</v>
      </c>
      <c r="X501" s="54">
        <f t="shared" si="118"/>
        <v>0</v>
      </c>
      <c r="AJ501" s="20" t="b">
        <f t="shared" si="105"/>
        <v>0</v>
      </c>
      <c r="AK501" s="20" t="b">
        <f t="shared" si="106"/>
        <v>0</v>
      </c>
      <c r="AL501" s="20" t="b">
        <f t="shared" si="107"/>
        <v>0</v>
      </c>
      <c r="AM501" s="20" t="b">
        <f t="shared" si="108"/>
        <v>0</v>
      </c>
      <c r="AN501" s="20" t="b">
        <f t="shared" si="109"/>
        <v>0</v>
      </c>
      <c r="AO501" s="20" t="b">
        <f t="shared" si="110"/>
        <v>0</v>
      </c>
      <c r="AP501" s="20" t="b">
        <f t="shared" si="111"/>
        <v>0</v>
      </c>
      <c r="AQ501" s="20" t="b">
        <f t="shared" si="112"/>
        <v>0</v>
      </c>
      <c r="AR501" s="20" t="b">
        <f t="shared" si="113"/>
        <v>0</v>
      </c>
      <c r="AS501" s="20" t="b">
        <f t="shared" si="114"/>
        <v>0</v>
      </c>
      <c r="AT501" s="20" t="b">
        <f t="shared" si="115"/>
        <v>0</v>
      </c>
      <c r="AU501" s="20" t="b">
        <f t="shared" si="116"/>
        <v>0</v>
      </c>
    </row>
    <row r="502" spans="1:47">
      <c r="A502" s="20">
        <f t="shared" si="119"/>
        <v>7</v>
      </c>
      <c r="W502" s="54">
        <f t="shared" si="117"/>
        <v>0</v>
      </c>
      <c r="X502" s="54">
        <f t="shared" si="118"/>
        <v>0</v>
      </c>
      <c r="AJ502" s="20" t="b">
        <f t="shared" si="105"/>
        <v>0</v>
      </c>
      <c r="AK502" s="20" t="b">
        <f t="shared" si="106"/>
        <v>0</v>
      </c>
      <c r="AL502" s="20" t="b">
        <f t="shared" si="107"/>
        <v>0</v>
      </c>
      <c r="AM502" s="20" t="b">
        <f t="shared" si="108"/>
        <v>0</v>
      </c>
      <c r="AN502" s="20" t="b">
        <f t="shared" si="109"/>
        <v>0</v>
      </c>
      <c r="AO502" s="20" t="b">
        <f t="shared" si="110"/>
        <v>0</v>
      </c>
      <c r="AP502" s="20" t="b">
        <f t="shared" si="111"/>
        <v>0</v>
      </c>
      <c r="AQ502" s="20" t="b">
        <f t="shared" si="112"/>
        <v>0</v>
      </c>
      <c r="AR502" s="20" t="b">
        <f t="shared" si="113"/>
        <v>0</v>
      </c>
      <c r="AS502" s="20" t="b">
        <f t="shared" si="114"/>
        <v>0</v>
      </c>
      <c r="AT502" s="20" t="b">
        <f t="shared" si="115"/>
        <v>0</v>
      </c>
      <c r="AU502" s="20" t="b">
        <f t="shared" si="116"/>
        <v>0</v>
      </c>
    </row>
    <row r="503" spans="1:47">
      <c r="A503" s="20">
        <f t="shared" si="119"/>
        <v>7</v>
      </c>
      <c r="W503" s="54">
        <f t="shared" si="117"/>
        <v>0</v>
      </c>
      <c r="X503" s="54">
        <f t="shared" si="118"/>
        <v>0</v>
      </c>
      <c r="AJ503" s="20" t="b">
        <f t="shared" si="105"/>
        <v>0</v>
      </c>
      <c r="AK503" s="20" t="b">
        <f t="shared" si="106"/>
        <v>0</v>
      </c>
      <c r="AL503" s="20" t="b">
        <f t="shared" si="107"/>
        <v>0</v>
      </c>
      <c r="AM503" s="20" t="b">
        <f t="shared" si="108"/>
        <v>0</v>
      </c>
      <c r="AN503" s="20" t="b">
        <f t="shared" si="109"/>
        <v>0</v>
      </c>
      <c r="AO503" s="20" t="b">
        <f t="shared" si="110"/>
        <v>0</v>
      </c>
      <c r="AP503" s="20" t="b">
        <f t="shared" si="111"/>
        <v>0</v>
      </c>
      <c r="AQ503" s="20" t="b">
        <f t="shared" si="112"/>
        <v>0</v>
      </c>
      <c r="AR503" s="20" t="b">
        <f t="shared" si="113"/>
        <v>0</v>
      </c>
      <c r="AS503" s="20" t="b">
        <f t="shared" si="114"/>
        <v>0</v>
      </c>
      <c r="AT503" s="20" t="b">
        <f t="shared" si="115"/>
        <v>0</v>
      </c>
      <c r="AU503" s="20" t="b">
        <f t="shared" si="116"/>
        <v>0</v>
      </c>
    </row>
    <row r="504" spans="1:47">
      <c r="A504" s="20">
        <f t="shared" si="119"/>
        <v>7</v>
      </c>
      <c r="W504" s="54">
        <f t="shared" si="117"/>
        <v>0</v>
      </c>
      <c r="X504" s="54">
        <f t="shared" si="118"/>
        <v>0</v>
      </c>
      <c r="AJ504" s="20" t="b">
        <f t="shared" si="105"/>
        <v>0</v>
      </c>
      <c r="AK504" s="20" t="b">
        <f t="shared" si="106"/>
        <v>0</v>
      </c>
      <c r="AL504" s="20" t="b">
        <f t="shared" si="107"/>
        <v>0</v>
      </c>
      <c r="AM504" s="20" t="b">
        <f t="shared" si="108"/>
        <v>0</v>
      </c>
      <c r="AN504" s="20" t="b">
        <f t="shared" si="109"/>
        <v>0</v>
      </c>
      <c r="AO504" s="20" t="b">
        <f t="shared" si="110"/>
        <v>0</v>
      </c>
      <c r="AP504" s="20" t="b">
        <f t="shared" si="111"/>
        <v>0</v>
      </c>
      <c r="AQ504" s="20" t="b">
        <f t="shared" si="112"/>
        <v>0</v>
      </c>
      <c r="AR504" s="20" t="b">
        <f t="shared" si="113"/>
        <v>0</v>
      </c>
      <c r="AS504" s="20" t="b">
        <f t="shared" si="114"/>
        <v>0</v>
      </c>
      <c r="AT504" s="20" t="b">
        <f t="shared" si="115"/>
        <v>0</v>
      </c>
      <c r="AU504" s="20" t="b">
        <f t="shared" si="116"/>
        <v>0</v>
      </c>
    </row>
    <row r="505" spans="1:47">
      <c r="A505" s="20">
        <f t="shared" si="119"/>
        <v>7</v>
      </c>
      <c r="W505" s="54">
        <f t="shared" si="117"/>
        <v>0</v>
      </c>
      <c r="X505" s="54">
        <f t="shared" si="118"/>
        <v>0</v>
      </c>
      <c r="AJ505" s="20" t="b">
        <f t="shared" si="105"/>
        <v>0</v>
      </c>
      <c r="AK505" s="20" t="b">
        <f t="shared" si="106"/>
        <v>0</v>
      </c>
      <c r="AL505" s="20" t="b">
        <f t="shared" si="107"/>
        <v>0</v>
      </c>
      <c r="AM505" s="20" t="b">
        <f t="shared" si="108"/>
        <v>0</v>
      </c>
      <c r="AN505" s="20" t="b">
        <f t="shared" si="109"/>
        <v>0</v>
      </c>
      <c r="AO505" s="20" t="b">
        <f t="shared" si="110"/>
        <v>0</v>
      </c>
      <c r="AP505" s="20" t="b">
        <f t="shared" si="111"/>
        <v>0</v>
      </c>
      <c r="AQ505" s="20" t="b">
        <f t="shared" si="112"/>
        <v>0</v>
      </c>
      <c r="AR505" s="20" t="b">
        <f t="shared" si="113"/>
        <v>0</v>
      </c>
      <c r="AS505" s="20" t="b">
        <f t="shared" si="114"/>
        <v>0</v>
      </c>
      <c r="AT505" s="20" t="b">
        <f t="shared" si="115"/>
        <v>0</v>
      </c>
      <c r="AU505" s="20" t="b">
        <f t="shared" si="116"/>
        <v>0</v>
      </c>
    </row>
    <row r="506" spans="1:47">
      <c r="A506" s="20">
        <f t="shared" si="119"/>
        <v>7</v>
      </c>
      <c r="W506" s="54">
        <f t="shared" si="117"/>
        <v>0</v>
      </c>
      <c r="X506" s="54">
        <f t="shared" si="118"/>
        <v>0</v>
      </c>
      <c r="AJ506" s="20" t="b">
        <f t="shared" si="105"/>
        <v>0</v>
      </c>
      <c r="AK506" s="20" t="b">
        <f t="shared" si="106"/>
        <v>0</v>
      </c>
      <c r="AL506" s="20" t="b">
        <f t="shared" si="107"/>
        <v>0</v>
      </c>
      <c r="AM506" s="20" t="b">
        <f t="shared" si="108"/>
        <v>0</v>
      </c>
      <c r="AN506" s="20" t="b">
        <f t="shared" si="109"/>
        <v>0</v>
      </c>
      <c r="AO506" s="20" t="b">
        <f t="shared" si="110"/>
        <v>0</v>
      </c>
      <c r="AP506" s="20" t="b">
        <f t="shared" si="111"/>
        <v>0</v>
      </c>
      <c r="AQ506" s="20" t="b">
        <f t="shared" si="112"/>
        <v>0</v>
      </c>
      <c r="AR506" s="20" t="b">
        <f t="shared" si="113"/>
        <v>0</v>
      </c>
      <c r="AS506" s="20" t="b">
        <f t="shared" si="114"/>
        <v>0</v>
      </c>
      <c r="AT506" s="20" t="b">
        <f t="shared" si="115"/>
        <v>0</v>
      </c>
      <c r="AU506" s="20" t="b">
        <f t="shared" si="116"/>
        <v>0</v>
      </c>
    </row>
    <row r="507" spans="1:47">
      <c r="A507" s="20">
        <f t="shared" si="119"/>
        <v>7</v>
      </c>
      <c r="W507" s="54">
        <f t="shared" si="117"/>
        <v>0</v>
      </c>
      <c r="X507" s="54">
        <f t="shared" si="118"/>
        <v>0</v>
      </c>
      <c r="AJ507" s="20" t="b">
        <f t="shared" si="105"/>
        <v>0</v>
      </c>
      <c r="AK507" s="20" t="b">
        <f t="shared" si="106"/>
        <v>0</v>
      </c>
      <c r="AL507" s="20" t="b">
        <f t="shared" si="107"/>
        <v>0</v>
      </c>
      <c r="AM507" s="20" t="b">
        <f t="shared" si="108"/>
        <v>0</v>
      </c>
      <c r="AN507" s="20" t="b">
        <f t="shared" si="109"/>
        <v>0</v>
      </c>
      <c r="AO507" s="20" t="b">
        <f t="shared" si="110"/>
        <v>0</v>
      </c>
      <c r="AP507" s="20" t="b">
        <f t="shared" si="111"/>
        <v>0</v>
      </c>
      <c r="AQ507" s="20" t="b">
        <f t="shared" si="112"/>
        <v>0</v>
      </c>
      <c r="AR507" s="20" t="b">
        <f t="shared" si="113"/>
        <v>0</v>
      </c>
      <c r="AS507" s="20" t="b">
        <f t="shared" si="114"/>
        <v>0</v>
      </c>
      <c r="AT507" s="20" t="b">
        <f t="shared" si="115"/>
        <v>0</v>
      </c>
      <c r="AU507" s="20" t="b">
        <f t="shared" si="116"/>
        <v>0</v>
      </c>
    </row>
    <row r="508" spans="1:47">
      <c r="A508" s="20">
        <f t="shared" si="119"/>
        <v>7</v>
      </c>
      <c r="W508" s="54">
        <f t="shared" si="117"/>
        <v>0</v>
      </c>
      <c r="X508" s="54">
        <f t="shared" si="118"/>
        <v>0</v>
      </c>
      <c r="AJ508" s="20" t="b">
        <f t="shared" si="105"/>
        <v>0</v>
      </c>
      <c r="AK508" s="20" t="b">
        <f t="shared" si="106"/>
        <v>0</v>
      </c>
      <c r="AL508" s="20" t="b">
        <f t="shared" si="107"/>
        <v>0</v>
      </c>
      <c r="AM508" s="20" t="b">
        <f t="shared" si="108"/>
        <v>0</v>
      </c>
      <c r="AN508" s="20" t="b">
        <f t="shared" si="109"/>
        <v>0</v>
      </c>
      <c r="AO508" s="20" t="b">
        <f t="shared" si="110"/>
        <v>0</v>
      </c>
      <c r="AP508" s="20" t="b">
        <f t="shared" si="111"/>
        <v>0</v>
      </c>
      <c r="AQ508" s="20" t="b">
        <f t="shared" si="112"/>
        <v>0</v>
      </c>
      <c r="AR508" s="20" t="b">
        <f t="shared" si="113"/>
        <v>0</v>
      </c>
      <c r="AS508" s="20" t="b">
        <f t="shared" si="114"/>
        <v>0</v>
      </c>
      <c r="AT508" s="20" t="b">
        <f t="shared" si="115"/>
        <v>0</v>
      </c>
      <c r="AU508" s="20" t="b">
        <f t="shared" si="116"/>
        <v>0</v>
      </c>
    </row>
    <row r="509" spans="1:47">
      <c r="A509" s="20">
        <f t="shared" si="119"/>
        <v>7</v>
      </c>
      <c r="W509" s="54">
        <f t="shared" si="117"/>
        <v>0</v>
      </c>
      <c r="X509" s="54">
        <f t="shared" si="118"/>
        <v>0</v>
      </c>
      <c r="AJ509" s="20" t="b">
        <f t="shared" si="105"/>
        <v>0</v>
      </c>
      <c r="AK509" s="20" t="b">
        <f t="shared" si="106"/>
        <v>0</v>
      </c>
      <c r="AL509" s="20" t="b">
        <f t="shared" si="107"/>
        <v>0</v>
      </c>
      <c r="AM509" s="20" t="b">
        <f t="shared" si="108"/>
        <v>0</v>
      </c>
      <c r="AN509" s="20" t="b">
        <f t="shared" si="109"/>
        <v>0</v>
      </c>
      <c r="AO509" s="20" t="b">
        <f t="shared" si="110"/>
        <v>0</v>
      </c>
      <c r="AP509" s="20" t="b">
        <f t="shared" si="111"/>
        <v>0</v>
      </c>
      <c r="AQ509" s="20" t="b">
        <f t="shared" si="112"/>
        <v>0</v>
      </c>
      <c r="AR509" s="20" t="b">
        <f t="shared" si="113"/>
        <v>0</v>
      </c>
      <c r="AS509" s="20" t="b">
        <f t="shared" si="114"/>
        <v>0</v>
      </c>
      <c r="AT509" s="20" t="b">
        <f t="shared" si="115"/>
        <v>0</v>
      </c>
      <c r="AU509" s="20" t="b">
        <f t="shared" si="116"/>
        <v>0</v>
      </c>
    </row>
    <row r="510" spans="1:47">
      <c r="A510" s="20">
        <f t="shared" si="119"/>
        <v>7</v>
      </c>
      <c r="W510" s="54">
        <f t="shared" si="117"/>
        <v>0</v>
      </c>
      <c r="X510" s="54">
        <f t="shared" si="118"/>
        <v>0</v>
      </c>
      <c r="AJ510" s="20" t="b">
        <f t="shared" si="105"/>
        <v>0</v>
      </c>
      <c r="AK510" s="20" t="b">
        <f t="shared" si="106"/>
        <v>0</v>
      </c>
      <c r="AL510" s="20" t="b">
        <f t="shared" si="107"/>
        <v>0</v>
      </c>
      <c r="AM510" s="20" t="b">
        <f t="shared" si="108"/>
        <v>0</v>
      </c>
      <c r="AN510" s="20" t="b">
        <f t="shared" si="109"/>
        <v>0</v>
      </c>
      <c r="AO510" s="20" t="b">
        <f t="shared" si="110"/>
        <v>0</v>
      </c>
      <c r="AP510" s="20" t="b">
        <f t="shared" si="111"/>
        <v>0</v>
      </c>
      <c r="AQ510" s="20" t="b">
        <f t="shared" si="112"/>
        <v>0</v>
      </c>
      <c r="AR510" s="20" t="b">
        <f t="shared" si="113"/>
        <v>0</v>
      </c>
      <c r="AS510" s="20" t="b">
        <f t="shared" si="114"/>
        <v>0</v>
      </c>
      <c r="AT510" s="20" t="b">
        <f t="shared" si="115"/>
        <v>0</v>
      </c>
      <c r="AU510" s="20" t="b">
        <f t="shared" si="116"/>
        <v>0</v>
      </c>
    </row>
    <row r="511" spans="1:47">
      <c r="A511" s="20">
        <f t="shared" si="119"/>
        <v>7</v>
      </c>
      <c r="W511" s="54">
        <f t="shared" si="117"/>
        <v>0</v>
      </c>
      <c r="X511" s="54">
        <f t="shared" si="118"/>
        <v>0</v>
      </c>
      <c r="AJ511" s="20" t="b">
        <f t="shared" si="105"/>
        <v>0</v>
      </c>
      <c r="AK511" s="20" t="b">
        <f t="shared" si="106"/>
        <v>0</v>
      </c>
      <c r="AL511" s="20" t="b">
        <f t="shared" si="107"/>
        <v>0</v>
      </c>
      <c r="AM511" s="20" t="b">
        <f t="shared" si="108"/>
        <v>0</v>
      </c>
      <c r="AN511" s="20" t="b">
        <f t="shared" si="109"/>
        <v>0</v>
      </c>
      <c r="AO511" s="20" t="b">
        <f t="shared" si="110"/>
        <v>0</v>
      </c>
      <c r="AP511" s="20" t="b">
        <f t="shared" si="111"/>
        <v>0</v>
      </c>
      <c r="AQ511" s="20" t="b">
        <f t="shared" si="112"/>
        <v>0</v>
      </c>
      <c r="AR511" s="20" t="b">
        <f t="shared" si="113"/>
        <v>0</v>
      </c>
      <c r="AS511" s="20" t="b">
        <f t="shared" si="114"/>
        <v>0</v>
      </c>
      <c r="AT511" s="20" t="b">
        <f t="shared" si="115"/>
        <v>0</v>
      </c>
      <c r="AU511" s="20" t="b">
        <f t="shared" si="116"/>
        <v>0</v>
      </c>
    </row>
    <row r="512" spans="1:47">
      <c r="A512" s="20">
        <f t="shared" si="119"/>
        <v>7</v>
      </c>
      <c r="W512" s="54">
        <f t="shared" si="117"/>
        <v>0</v>
      </c>
      <c r="X512" s="54">
        <f t="shared" si="118"/>
        <v>0</v>
      </c>
      <c r="AJ512" s="20" t="b">
        <f t="shared" si="105"/>
        <v>0</v>
      </c>
      <c r="AK512" s="20" t="b">
        <f t="shared" si="106"/>
        <v>0</v>
      </c>
      <c r="AL512" s="20" t="b">
        <f t="shared" si="107"/>
        <v>0</v>
      </c>
      <c r="AM512" s="20" t="b">
        <f t="shared" si="108"/>
        <v>0</v>
      </c>
      <c r="AN512" s="20" t="b">
        <f t="shared" si="109"/>
        <v>0</v>
      </c>
      <c r="AO512" s="20" t="b">
        <f t="shared" si="110"/>
        <v>0</v>
      </c>
      <c r="AP512" s="20" t="b">
        <f t="shared" si="111"/>
        <v>0</v>
      </c>
      <c r="AQ512" s="20" t="b">
        <f t="shared" si="112"/>
        <v>0</v>
      </c>
      <c r="AR512" s="20" t="b">
        <f t="shared" si="113"/>
        <v>0</v>
      </c>
      <c r="AS512" s="20" t="b">
        <f t="shared" si="114"/>
        <v>0</v>
      </c>
      <c r="AT512" s="20" t="b">
        <f t="shared" si="115"/>
        <v>0</v>
      </c>
      <c r="AU512" s="20" t="b">
        <f t="shared" si="116"/>
        <v>0</v>
      </c>
    </row>
    <row r="513" spans="1:47">
      <c r="A513" s="20">
        <f t="shared" si="119"/>
        <v>7</v>
      </c>
      <c r="W513" s="54">
        <f t="shared" si="117"/>
        <v>0</v>
      </c>
      <c r="X513" s="54">
        <f t="shared" si="118"/>
        <v>0</v>
      </c>
      <c r="AJ513" s="20" t="b">
        <f t="shared" si="105"/>
        <v>0</v>
      </c>
      <c r="AK513" s="20" t="b">
        <f t="shared" si="106"/>
        <v>0</v>
      </c>
      <c r="AL513" s="20" t="b">
        <f t="shared" si="107"/>
        <v>0</v>
      </c>
      <c r="AM513" s="20" t="b">
        <f t="shared" si="108"/>
        <v>0</v>
      </c>
      <c r="AN513" s="20" t="b">
        <f t="shared" si="109"/>
        <v>0</v>
      </c>
      <c r="AO513" s="20" t="b">
        <f t="shared" si="110"/>
        <v>0</v>
      </c>
      <c r="AP513" s="20" t="b">
        <f t="shared" si="111"/>
        <v>0</v>
      </c>
      <c r="AQ513" s="20" t="b">
        <f t="shared" si="112"/>
        <v>0</v>
      </c>
      <c r="AR513" s="20" t="b">
        <f t="shared" si="113"/>
        <v>0</v>
      </c>
      <c r="AS513" s="20" t="b">
        <f t="shared" si="114"/>
        <v>0</v>
      </c>
      <c r="AT513" s="20" t="b">
        <f t="shared" si="115"/>
        <v>0</v>
      </c>
      <c r="AU513" s="20" t="b">
        <f t="shared" si="116"/>
        <v>0</v>
      </c>
    </row>
    <row r="514" spans="1:47">
      <c r="A514" s="20">
        <f t="shared" si="119"/>
        <v>7</v>
      </c>
      <c r="W514" s="54">
        <f t="shared" si="117"/>
        <v>0</v>
      </c>
      <c r="X514" s="54">
        <f t="shared" si="118"/>
        <v>0</v>
      </c>
      <c r="AJ514" s="20" t="b">
        <f t="shared" si="105"/>
        <v>0</v>
      </c>
      <c r="AK514" s="20" t="b">
        <f t="shared" si="106"/>
        <v>0</v>
      </c>
      <c r="AL514" s="20" t="b">
        <f t="shared" si="107"/>
        <v>0</v>
      </c>
      <c r="AM514" s="20" t="b">
        <f t="shared" si="108"/>
        <v>0</v>
      </c>
      <c r="AN514" s="20" t="b">
        <f t="shared" si="109"/>
        <v>0</v>
      </c>
      <c r="AO514" s="20" t="b">
        <f t="shared" si="110"/>
        <v>0</v>
      </c>
      <c r="AP514" s="20" t="b">
        <f t="shared" si="111"/>
        <v>0</v>
      </c>
      <c r="AQ514" s="20" t="b">
        <f t="shared" si="112"/>
        <v>0</v>
      </c>
      <c r="AR514" s="20" t="b">
        <f t="shared" si="113"/>
        <v>0</v>
      </c>
      <c r="AS514" s="20" t="b">
        <f t="shared" si="114"/>
        <v>0</v>
      </c>
      <c r="AT514" s="20" t="b">
        <f t="shared" si="115"/>
        <v>0</v>
      </c>
      <c r="AU514" s="20" t="b">
        <f t="shared" si="116"/>
        <v>0</v>
      </c>
    </row>
    <row r="515" spans="1:47">
      <c r="A515" s="20">
        <f t="shared" si="119"/>
        <v>7</v>
      </c>
      <c r="AI515" s="119" t="s">
        <v>9</v>
      </c>
      <c r="AK515" s="20">
        <f>SUM(AK2:AK514)</f>
        <v>0</v>
      </c>
      <c r="AL515" s="20">
        <f>SUM(AL2:AL514)</f>
        <v>0</v>
      </c>
      <c r="AM515" s="20">
        <f>SUM(AM2:AM514)</f>
        <v>0</v>
      </c>
      <c r="AN515" s="20">
        <f t="shared" ref="AN515:AU515" si="120">SUM(AN2:AN514)</f>
        <v>0</v>
      </c>
      <c r="AO515" s="20">
        <f t="shared" si="120"/>
        <v>0</v>
      </c>
      <c r="AP515" s="20">
        <f t="shared" si="120"/>
        <v>0</v>
      </c>
      <c r="AQ515" s="20">
        <f t="shared" si="120"/>
        <v>0</v>
      </c>
      <c r="AR515" s="20">
        <f t="shared" si="120"/>
        <v>0</v>
      </c>
      <c r="AS515" s="20">
        <f t="shared" si="120"/>
        <v>0</v>
      </c>
      <c r="AT515" s="20">
        <f t="shared" si="120"/>
        <v>0</v>
      </c>
      <c r="AU515" s="20">
        <f t="shared" si="120"/>
        <v>0</v>
      </c>
    </row>
    <row r="516" spans="1:47">
      <c r="A516" s="20">
        <f t="shared" si="119"/>
        <v>7</v>
      </c>
    </row>
    <row r="517" spans="1:47">
      <c r="A517" s="20">
        <f t="shared" si="119"/>
        <v>7</v>
      </c>
    </row>
    <row r="518" spans="1:47">
      <c r="A518" s="20">
        <f t="shared" si="119"/>
        <v>7</v>
      </c>
    </row>
    <row r="519" spans="1:47">
      <c r="A519" s="20">
        <f>IF(F519=F518,A518,A518+1)</f>
        <v>7</v>
      </c>
    </row>
    <row r="520" spans="1:47">
      <c r="A520" s="20">
        <f>IF(F520=F519,A519,A519+1)</f>
        <v>7</v>
      </c>
    </row>
  </sheetData>
  <autoFilter ref="A1:Z520" xr:uid="{00000000-0009-0000-0000-000001000000}"/>
  <mergeCells count="1">
    <mergeCell ref="AA2:AE2"/>
  </mergeCells>
  <conditionalFormatting sqref="J1:J1048576">
    <cfRule type="containsText" dxfId="404" priority="13" operator="containsText" text="SW">
      <formula>NOT(ISERROR(SEARCH("SW",J1)))</formula>
    </cfRule>
    <cfRule type="containsText" dxfId="403" priority="14" operator="containsText" text="SQ">
      <formula>NOT(ISERROR(SEARCH("SQ",J1)))</formula>
    </cfRule>
    <cfRule type="containsText" dxfId="402" priority="15" operator="containsText" text="SC">
      <formula>NOT(ISERROR(SEARCH("SC",J1)))</formula>
    </cfRule>
    <cfRule type="containsText" dxfId="401" priority="16" operator="containsText" text="AP">
      <formula>NOT(ISERROR(SEARCH("AP",J1)))</formula>
    </cfRule>
    <cfRule type="containsText" dxfId="400" priority="17" operator="containsText" text="SS">
      <formula>NOT(ISERROR(SEARCH("SS",J1)))</formula>
    </cfRule>
    <cfRule type="containsText" dxfId="399" priority="18" operator="containsText" text="PQ">
      <formula>NOT(ISERROR(SEARCH("PQ",J1)))</formula>
    </cfRule>
    <cfRule type="containsText" dxfId="398" priority="19" operator="containsText" text="PC">
      <formula>NOT(ISERROR(SEARCH("PC",J1)))</formula>
    </cfRule>
    <cfRule type="containsText" dxfId="397" priority="20" operator="containsText" text="PW">
      <formula>NOT(ISERROR(SEARCH("PW",J1)))</formula>
    </cfRule>
    <cfRule type="containsText" dxfId="396" priority="21" operator="containsText" text="RS">
      <formula>NOT(ISERROR(SEARCH("RS",J1)))</formula>
    </cfRule>
    <cfRule type="containsText" dxfId="395" priority="22" operator="containsText" text="PF">
      <formula>NOT(ISERROR(SEARCH("PF",J1)))</formula>
    </cfRule>
  </conditionalFormatting>
  <conditionalFormatting sqref="J1:J1048576">
    <cfRule type="containsText" dxfId="394" priority="9" operator="containsText" text="rc">
      <formula>NOT(ISERROR(SEARCH("rc",J1)))</formula>
    </cfRule>
    <cfRule type="containsText" dxfId="393" priority="10" operator="containsText" text="sf">
      <formula>NOT(ISERROR(SEARCH("sf",J1)))</formula>
    </cfRule>
    <cfRule type="containsText" dxfId="392" priority="11" operator="containsText" text="rq">
      <formula>NOT(ISERROR(SEARCH("rq",J1)))</formula>
    </cfRule>
    <cfRule type="containsText" dxfId="391" priority="12" operator="containsText" text="rf">
      <formula>NOT(ISERROR(SEARCH("rf",J1)))</formula>
    </cfRule>
  </conditionalFormatting>
  <conditionalFormatting sqref="S1:S1048576">
    <cfRule type="containsText" dxfId="390" priority="8" operator="containsText" text="FALSE">
      <formula>NOT(ISERROR(SEARCH("FALSE",S1)))</formula>
    </cfRule>
  </conditionalFormatting>
  <conditionalFormatting sqref="T1:T1048576">
    <cfRule type="containsText" dxfId="389" priority="7" operator="containsText" text="NO">
      <formula>NOT(ISERROR(SEARCH("NO",T1)))</formula>
    </cfRule>
  </conditionalFormatting>
  <conditionalFormatting sqref="V2:V505">
    <cfRule type="containsBlanks" dxfId="388" priority="6">
      <formula>LEN(TRIM(V2))=0</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1" operator="containsText" id="{4BC42EC1-9213-4570-83D1-F5294F9B9A7D}">
            <xm:f>NOT(ISERROR(SEARCH($AE$3,F1)))</xm:f>
            <xm:f>$AE$3</xm:f>
            <x14:dxf>
              <fill>
                <patternFill>
                  <bgColor theme="9" tint="0.59996337778862885"/>
                </patternFill>
              </fill>
            </x14:dxf>
          </x14:cfRule>
          <x14:cfRule type="containsText" priority="2" operator="containsText" id="{EA0498AD-51B3-44E7-85D3-476170574285}">
            <xm:f>NOT(ISERROR(SEARCH($AD$3,F1)))</xm:f>
            <xm:f>$AD$3</xm:f>
            <x14:dxf>
              <fill>
                <patternFill>
                  <bgColor theme="8" tint="0.59996337778862885"/>
                </patternFill>
              </fill>
            </x14:dxf>
          </x14:cfRule>
          <x14:cfRule type="containsText" priority="3" operator="containsText" id="{A931CB6A-06CB-42FA-B8F6-B6DF4A44C8F3}">
            <xm:f>NOT(ISERROR(SEARCH($AC$3,F1)))</xm:f>
            <xm:f>$AC$3</xm:f>
            <x14:dxf>
              <fill>
                <patternFill>
                  <bgColor theme="7" tint="0.79998168889431442"/>
                </patternFill>
              </fill>
            </x14:dxf>
          </x14:cfRule>
          <x14:cfRule type="containsText" priority="4" operator="containsText" id="{B2616442-E1F0-46CE-9C84-D4046AD6863F}">
            <xm:f>NOT(ISERROR(SEARCH($AB$3,F1)))</xm:f>
            <xm:f>$AB$3</xm:f>
            <x14:dxf>
              <fill>
                <patternFill>
                  <bgColor theme="3" tint="0.79998168889431442"/>
                </patternFill>
              </fill>
            </x14:dxf>
          </x14:cfRule>
          <x14:cfRule type="containsText" priority="5" operator="containsText" id="{064AC6F9-8120-4EBF-8919-4CCB3C839F0C}">
            <xm:f>NOT(ISERROR(SEARCH($AA$3,F1)))</xm:f>
            <xm:f>$AA$3</xm:f>
            <x14:dxf>
              <fill>
                <patternFill>
                  <bgColor theme="5" tint="0.79998168889431442"/>
                </patternFill>
              </fill>
            </x14:dxf>
          </x14:cfRule>
          <xm:sqref>F1:F1048576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B1:AN150"/>
  <sheetViews>
    <sheetView topLeftCell="A100" zoomScaleNormal="100" workbookViewId="0">
      <selection activeCell="F120" sqref="F120:F121"/>
    </sheetView>
  </sheetViews>
  <sheetFormatPr defaultRowHeight="12.75"/>
  <cols>
    <col min="4" max="4" width="14" customWidth="1"/>
    <col min="6" max="6" width="12.85546875" customWidth="1"/>
    <col min="7" max="7" width="25.28515625" customWidth="1"/>
    <col min="8" max="8" width="30.5703125" customWidth="1"/>
    <col min="9" max="9" width="12.85546875" customWidth="1"/>
    <col min="10" max="10" width="12.85546875" style="36" customWidth="1"/>
    <col min="11" max="11" width="16.28515625" style="37" customWidth="1"/>
    <col min="12" max="12" width="12.85546875" customWidth="1"/>
    <col min="13" max="13" width="12.85546875" style="37" customWidth="1"/>
    <col min="14" max="14" width="12.85546875" customWidth="1"/>
    <col min="15" max="15" width="9.5703125" customWidth="1"/>
    <col min="16" max="16" width="12.85546875" customWidth="1"/>
    <col min="17" max="17" width="9.5703125" customWidth="1"/>
    <col min="18" max="18" width="20" customWidth="1"/>
    <col min="19" max="19" width="12.85546875" style="28" hidden="1" customWidth="1"/>
    <col min="20" max="20" width="9.140625" hidden="1" customWidth="1"/>
    <col min="21" max="21" width="22.42578125" hidden="1" customWidth="1"/>
    <col min="22" max="22" width="0" style="28" hidden="1" customWidth="1"/>
    <col min="23" max="23" width="0" hidden="1" customWidth="1"/>
    <col min="25" max="25" width="0" hidden="1" customWidth="1"/>
  </cols>
  <sheetData>
    <row r="1" spans="2:21" ht="13.5" thickBot="1">
      <c r="D1">
        <v>1</v>
      </c>
    </row>
    <row r="2" spans="2:21" ht="12.75" customHeight="1" thickBot="1">
      <c r="C2" s="25" t="s">
        <v>47</v>
      </c>
      <c r="D2" s="11">
        <v>10</v>
      </c>
      <c r="F2" s="2"/>
      <c r="G2" s="2"/>
      <c r="H2" s="2"/>
      <c r="I2" s="2"/>
      <c r="L2" s="2"/>
      <c r="N2" s="2"/>
      <c r="O2" s="2"/>
      <c r="P2" s="2"/>
      <c r="Q2" s="2"/>
      <c r="R2" s="2"/>
      <c r="S2" s="29"/>
      <c r="T2" s="10"/>
      <c r="U2" s="9"/>
    </row>
    <row r="3" spans="2:21">
      <c r="D3" s="3"/>
      <c r="F3" s="8"/>
      <c r="G3" s="8"/>
      <c r="H3" s="8"/>
      <c r="I3" s="8"/>
      <c r="K3" s="36"/>
      <c r="L3" s="8"/>
      <c r="M3" s="36"/>
      <c r="N3" s="8"/>
      <c r="O3" s="8"/>
      <c r="P3" s="8"/>
      <c r="Q3" s="8"/>
      <c r="R3" s="8"/>
      <c r="S3" s="30"/>
      <c r="T3" s="8"/>
      <c r="U3" s="8"/>
    </row>
    <row r="4" spans="2:21">
      <c r="C4" s="12">
        <f>COUNTIF('Prod. SCHED'!K:K,"M")</f>
        <v>0</v>
      </c>
      <c r="D4" s="13" t="s">
        <v>12</v>
      </c>
      <c r="G4" s="2"/>
      <c r="H4" s="2"/>
      <c r="I4" s="2"/>
      <c r="J4" s="2"/>
      <c r="K4" s="2"/>
    </row>
    <row r="5" spans="2:21">
      <c r="C5">
        <f>COUNTIF('Prod. SCHED'!K:K,"A")</f>
        <v>0</v>
      </c>
      <c r="D5" s="3" t="s">
        <v>15</v>
      </c>
    </row>
    <row r="6" spans="2:21">
      <c r="C6" s="12">
        <f>COUNTIF('Prod. SCHED'!K:K,"F")</f>
        <v>0</v>
      </c>
      <c r="D6" s="13" t="s">
        <v>11</v>
      </c>
    </row>
    <row r="7" spans="2:21">
      <c r="C7">
        <f>COUNTIF('Prod. SCHED'!K:K,"D")</f>
        <v>0</v>
      </c>
      <c r="D7" s="3" t="s">
        <v>13</v>
      </c>
    </row>
    <row r="8" spans="2:21">
      <c r="B8" s="15" t="s">
        <v>16</v>
      </c>
      <c r="C8" s="15">
        <f>SUM(C4:C7)</f>
        <v>0</v>
      </c>
      <c r="D8" s="43"/>
    </row>
    <row r="16" spans="2:21" ht="15.75">
      <c r="H16" s="14"/>
    </row>
    <row r="19" spans="2:40" ht="15.75">
      <c r="D19" s="19" t="s">
        <v>17</v>
      </c>
    </row>
    <row r="20" spans="2:40" ht="34.5" customHeight="1">
      <c r="B20" s="2"/>
      <c r="C20" s="2"/>
      <c r="F20" s="2"/>
      <c r="G20" s="2"/>
      <c r="H20" s="2"/>
      <c r="I20" s="2"/>
      <c r="L20" s="2"/>
      <c r="N20" s="2"/>
      <c r="O20" s="2"/>
      <c r="P20" s="2"/>
      <c r="Q20" s="2"/>
      <c r="R20" s="2"/>
      <c r="T20" s="2"/>
      <c r="U20" s="2"/>
      <c r="W20" s="2"/>
      <c r="X20" s="2"/>
      <c r="Y20" s="2"/>
      <c r="Z20" s="2"/>
    </row>
    <row r="21" spans="2:40" ht="30">
      <c r="B21" s="26"/>
      <c r="C21" s="26"/>
      <c r="D21" s="26"/>
      <c r="E21" s="26"/>
      <c r="F21" s="21" t="s">
        <v>0</v>
      </c>
      <c r="G21" s="21" t="s">
        <v>1</v>
      </c>
      <c r="H21" s="21" t="s">
        <v>21</v>
      </c>
      <c r="I21" s="21" t="s">
        <v>22</v>
      </c>
      <c r="J21" s="39" t="s">
        <v>23</v>
      </c>
      <c r="K21" s="39" t="s">
        <v>24</v>
      </c>
      <c r="L21" s="21" t="s">
        <v>25</v>
      </c>
      <c r="M21" s="39" t="s">
        <v>2</v>
      </c>
      <c r="N21" s="22" t="s">
        <v>3</v>
      </c>
      <c r="O21" s="23" t="s">
        <v>10</v>
      </c>
      <c r="P21" s="23" t="s">
        <v>4</v>
      </c>
      <c r="Q21" s="23" t="s">
        <v>5</v>
      </c>
      <c r="R21" s="23" t="s">
        <v>6</v>
      </c>
      <c r="S21" s="33" t="s">
        <v>26</v>
      </c>
      <c r="T21" s="27" t="s">
        <v>27</v>
      </c>
      <c r="U21" s="27" t="s">
        <v>28</v>
      </c>
      <c r="V21" s="33" t="s">
        <v>29</v>
      </c>
      <c r="W21" s="27" t="s">
        <v>30</v>
      </c>
      <c r="X21" s="23" t="s">
        <v>31</v>
      </c>
      <c r="Y21" s="27" t="s">
        <v>14</v>
      </c>
      <c r="Z21" s="21" t="s">
        <v>32</v>
      </c>
      <c r="AA21" s="2"/>
      <c r="AB21" s="26"/>
    </row>
    <row r="22" spans="2:40" ht="15">
      <c r="E22" s="56">
        <f>COUNTIF(F22,"*")</f>
        <v>0</v>
      </c>
      <c r="F22" s="2" t="e">
        <f t="array" ref="F22:Z22">INDEX(PRODUCTION,SMALL(IF((INDEX(PRODUCTION,,'CURRENT WIP'!$D$2,1)&lt;='CURRENT WIP'!$D$4)*(INDEX(PRODUCTION,,'CURRENT WIP'!$D$2,1)&gt;='CURRENT WIP'!$D$4),ROW(PRODUCTION)-MIN(ROW(PRODUCTION))+1,""),ROWS(K21:$N$21)),,1)</f>
        <v>#NUM!</v>
      </c>
      <c r="G22" s="2" t="e">
        <v>#NUM!</v>
      </c>
      <c r="H22" s="2" t="e">
        <v>#NUM!</v>
      </c>
      <c r="I22" s="2" t="e">
        <v>#NUM!</v>
      </c>
      <c r="J22" s="37" t="e">
        <v>#NUM!</v>
      </c>
      <c r="K22" s="37" t="e">
        <v>#NUM!</v>
      </c>
      <c r="L22" s="2" t="e">
        <v>#NUM!</v>
      </c>
      <c r="M22" s="37" t="e">
        <v>#NUM!</v>
      </c>
      <c r="N22" s="2" t="e">
        <v>#NUM!</v>
      </c>
      <c r="O22" s="2" t="e">
        <v>#NUM!</v>
      </c>
      <c r="P22" s="2" t="e">
        <v>#NUM!</v>
      </c>
      <c r="Q22" s="2" t="e">
        <v>#NUM!</v>
      </c>
      <c r="R22" s="2" t="e">
        <v>#NUM!</v>
      </c>
      <c r="S22" s="28" t="e">
        <v>#NUM!</v>
      </c>
      <c r="T22" s="2" t="e">
        <v>#NUM!</v>
      </c>
      <c r="U22" s="2" t="e">
        <v>#NUM!</v>
      </c>
      <c r="V22" s="28" t="e">
        <v>#NUM!</v>
      </c>
      <c r="W22" s="2" t="e">
        <v>#NUM!</v>
      </c>
      <c r="X22" s="2" t="e">
        <v>#NUM!</v>
      </c>
      <c r="Y22" s="2" t="e">
        <v>#NUM!</v>
      </c>
      <c r="Z22" s="2" t="e">
        <v>#NUM!</v>
      </c>
      <c r="AA22" s="2"/>
      <c r="AB22" s="2"/>
      <c r="AC22" s="2"/>
      <c r="AD22" s="2"/>
      <c r="AE22" s="2"/>
      <c r="AF22" s="2"/>
      <c r="AG22" s="2"/>
      <c r="AH22" s="2"/>
      <c r="AI22" s="2"/>
      <c r="AJ22" s="2"/>
      <c r="AK22" s="2"/>
      <c r="AL22" s="2"/>
      <c r="AM22" s="2"/>
      <c r="AN22" s="2"/>
    </row>
    <row r="23" spans="2:40" ht="15">
      <c r="E23" s="56">
        <f t="shared" ref="E23:E50" si="0">COUNTIF(F23,"*")</f>
        <v>0</v>
      </c>
      <c r="F23" s="2" t="e">
        <f t="array" ref="F23:Z23">INDEX(PRODUCTION,SMALL(IF((INDEX(PRODUCTION,,'CURRENT WIP'!$D$2,1)&lt;='CURRENT WIP'!$D$4)*(INDEX(PRODUCTION,,'CURRENT WIP'!$D$2,1)&gt;='CURRENT WIP'!$D$4),ROW(PRODUCTION)-MIN(ROW(PRODUCTION))+1,""),ROWS(K$21:$N22)),,1)</f>
        <v>#NUM!</v>
      </c>
      <c r="G23" s="2" t="e">
        <v>#NUM!</v>
      </c>
      <c r="H23" s="2" t="e">
        <v>#NUM!</v>
      </c>
      <c r="I23" s="2" t="e">
        <v>#NUM!</v>
      </c>
      <c r="J23" s="37" t="e">
        <v>#NUM!</v>
      </c>
      <c r="K23" s="37" t="e">
        <v>#NUM!</v>
      </c>
      <c r="L23" s="2" t="e">
        <v>#NUM!</v>
      </c>
      <c r="M23" s="37" t="e">
        <v>#NUM!</v>
      </c>
      <c r="N23" s="2" t="e">
        <v>#NUM!</v>
      </c>
      <c r="O23" s="2" t="e">
        <v>#NUM!</v>
      </c>
      <c r="P23" s="2" t="e">
        <v>#NUM!</v>
      </c>
      <c r="Q23" s="2" t="e">
        <v>#NUM!</v>
      </c>
      <c r="R23" s="2" t="e">
        <v>#NUM!</v>
      </c>
      <c r="S23" s="28" t="e">
        <v>#NUM!</v>
      </c>
      <c r="T23" s="2" t="e">
        <v>#NUM!</v>
      </c>
      <c r="U23" s="2" t="e">
        <v>#NUM!</v>
      </c>
      <c r="V23" s="28" t="e">
        <v>#NUM!</v>
      </c>
      <c r="W23" s="2" t="e">
        <v>#NUM!</v>
      </c>
      <c r="X23" s="2" t="e">
        <v>#NUM!</v>
      </c>
      <c r="Y23" s="2" t="e">
        <v>#NUM!</v>
      </c>
      <c r="Z23" s="2" t="e">
        <v>#NUM!</v>
      </c>
    </row>
    <row r="24" spans="2:40" ht="15">
      <c r="E24" s="56">
        <f t="shared" si="0"/>
        <v>0</v>
      </c>
      <c r="F24" s="2" t="e">
        <f t="array" ref="F24:Z24">INDEX(PRODUCTION,SMALL(IF((INDEX(PRODUCTION,,'CURRENT WIP'!$D$2,1)&lt;='CURRENT WIP'!$D$4)*(INDEX(PRODUCTION,,'CURRENT WIP'!$D$2,1)&gt;='CURRENT WIP'!$D$4),ROW(PRODUCTION)-MIN(ROW(PRODUCTION))+1,""),ROWS(K$21:$N23)),,1)</f>
        <v>#NUM!</v>
      </c>
      <c r="G24" s="2" t="e">
        <v>#NUM!</v>
      </c>
      <c r="H24" s="2" t="e">
        <v>#NUM!</v>
      </c>
      <c r="I24" s="2" t="e">
        <v>#NUM!</v>
      </c>
      <c r="J24" s="37" t="e">
        <v>#NUM!</v>
      </c>
      <c r="K24" s="37" t="e">
        <v>#NUM!</v>
      </c>
      <c r="L24" s="2" t="e">
        <v>#NUM!</v>
      </c>
      <c r="M24" s="37" t="e">
        <v>#NUM!</v>
      </c>
      <c r="N24" s="2" t="e">
        <v>#NUM!</v>
      </c>
      <c r="O24" s="2" t="e">
        <v>#NUM!</v>
      </c>
      <c r="P24" s="2" t="e">
        <v>#NUM!</v>
      </c>
      <c r="Q24" s="2" t="e">
        <v>#NUM!</v>
      </c>
      <c r="R24" s="2" t="e">
        <v>#NUM!</v>
      </c>
      <c r="S24" s="28" t="e">
        <v>#NUM!</v>
      </c>
      <c r="T24" s="2" t="e">
        <v>#NUM!</v>
      </c>
      <c r="U24" s="2" t="e">
        <v>#NUM!</v>
      </c>
      <c r="V24" s="28" t="e">
        <v>#NUM!</v>
      </c>
      <c r="W24" s="2" t="e">
        <v>#NUM!</v>
      </c>
      <c r="X24" s="2" t="e">
        <v>#NUM!</v>
      </c>
      <c r="Y24" s="2" t="e">
        <v>#NUM!</v>
      </c>
      <c r="Z24" s="2" t="e">
        <v>#NUM!</v>
      </c>
    </row>
    <row r="25" spans="2:40" ht="15">
      <c r="E25" s="56">
        <f t="shared" si="0"/>
        <v>0</v>
      </c>
      <c r="F25" s="2" t="e">
        <f t="array" ref="F25:Z25">INDEX(PRODUCTION,SMALL(IF((INDEX(PRODUCTION,,'CURRENT WIP'!$D$2,1)&lt;='CURRENT WIP'!$D$4)*(INDEX(PRODUCTION,,'CURRENT WIP'!$D$2,1)&gt;='CURRENT WIP'!$D$4),ROW(PRODUCTION)-MIN(ROW(PRODUCTION))+1,""),ROWS(K$21:$N24)),,1)</f>
        <v>#NUM!</v>
      </c>
      <c r="G25" s="2" t="e">
        <v>#NUM!</v>
      </c>
      <c r="H25" s="2" t="e">
        <v>#NUM!</v>
      </c>
      <c r="I25" s="2" t="e">
        <v>#NUM!</v>
      </c>
      <c r="J25" s="37" t="e">
        <v>#NUM!</v>
      </c>
      <c r="K25" s="37" t="e">
        <v>#NUM!</v>
      </c>
      <c r="L25" s="2" t="e">
        <v>#NUM!</v>
      </c>
      <c r="M25" s="37" t="e">
        <v>#NUM!</v>
      </c>
      <c r="N25" s="2" t="e">
        <v>#NUM!</v>
      </c>
      <c r="O25" s="2" t="e">
        <v>#NUM!</v>
      </c>
      <c r="P25" s="2" t="e">
        <v>#NUM!</v>
      </c>
      <c r="Q25" s="2" t="e">
        <v>#NUM!</v>
      </c>
      <c r="R25" s="2" t="e">
        <v>#NUM!</v>
      </c>
      <c r="S25" s="28" t="e">
        <v>#NUM!</v>
      </c>
      <c r="T25" s="2" t="e">
        <v>#NUM!</v>
      </c>
      <c r="U25" s="2" t="e">
        <v>#NUM!</v>
      </c>
      <c r="V25" s="28" t="e">
        <v>#NUM!</v>
      </c>
      <c r="W25" s="2" t="e">
        <v>#NUM!</v>
      </c>
      <c r="X25" s="2" t="e">
        <v>#NUM!</v>
      </c>
      <c r="Y25" s="2" t="e">
        <v>#NUM!</v>
      </c>
      <c r="Z25" s="2" t="e">
        <v>#NUM!</v>
      </c>
    </row>
    <row r="26" spans="2:40" ht="15">
      <c r="E26" s="56">
        <f t="shared" si="0"/>
        <v>0</v>
      </c>
      <c r="F26" s="2" t="e">
        <f t="array" ref="F26:Z26">INDEX(PRODUCTION,SMALL(IF((INDEX(PRODUCTION,,'CURRENT WIP'!$D$2,1)&lt;='CURRENT WIP'!$D$4)*(INDEX(PRODUCTION,,'CURRENT WIP'!$D$2,1)&gt;='CURRENT WIP'!$D$4),ROW(PRODUCTION)-MIN(ROW(PRODUCTION))+1,""),ROWS(K$21:$N25)),,1)</f>
        <v>#NUM!</v>
      </c>
      <c r="G26" s="2" t="e">
        <v>#NUM!</v>
      </c>
      <c r="H26" s="2" t="e">
        <v>#NUM!</v>
      </c>
      <c r="I26" s="2" t="e">
        <v>#NUM!</v>
      </c>
      <c r="J26" s="37" t="e">
        <v>#NUM!</v>
      </c>
      <c r="K26" s="37" t="e">
        <v>#NUM!</v>
      </c>
      <c r="L26" s="2" t="e">
        <v>#NUM!</v>
      </c>
      <c r="M26" s="37" t="e">
        <v>#NUM!</v>
      </c>
      <c r="N26" s="2" t="e">
        <v>#NUM!</v>
      </c>
      <c r="O26" s="2" t="e">
        <v>#NUM!</v>
      </c>
      <c r="P26" s="2" t="e">
        <v>#NUM!</v>
      </c>
      <c r="Q26" s="2" t="e">
        <v>#NUM!</v>
      </c>
      <c r="R26" s="2" t="e">
        <v>#NUM!</v>
      </c>
      <c r="S26" s="28" t="e">
        <v>#NUM!</v>
      </c>
      <c r="T26" s="2" t="e">
        <v>#NUM!</v>
      </c>
      <c r="U26" s="2" t="e">
        <v>#NUM!</v>
      </c>
      <c r="V26" s="28" t="e">
        <v>#NUM!</v>
      </c>
      <c r="W26" s="2" t="e">
        <v>#NUM!</v>
      </c>
      <c r="X26" s="2" t="e">
        <v>#NUM!</v>
      </c>
      <c r="Y26" s="2" t="e">
        <v>#NUM!</v>
      </c>
      <c r="Z26" s="2" t="e">
        <v>#NUM!</v>
      </c>
    </row>
    <row r="27" spans="2:40" ht="15">
      <c r="E27" s="56">
        <f t="shared" si="0"/>
        <v>0</v>
      </c>
      <c r="F27" s="2" t="e">
        <f t="array" ref="F27:Z27">INDEX(PRODUCTION,SMALL(IF((INDEX(PRODUCTION,,'CURRENT WIP'!$D$2,1)&lt;='CURRENT WIP'!$D$4)*(INDEX(PRODUCTION,,'CURRENT WIP'!$D$2,1)&gt;='CURRENT WIP'!$D$4),ROW(PRODUCTION)-MIN(ROW(PRODUCTION))+1,""),ROWS(K$21:$N26)),,1)</f>
        <v>#NUM!</v>
      </c>
      <c r="G27" s="2" t="e">
        <v>#NUM!</v>
      </c>
      <c r="H27" s="2" t="e">
        <v>#NUM!</v>
      </c>
      <c r="I27" s="2" t="e">
        <v>#NUM!</v>
      </c>
      <c r="J27" s="37" t="e">
        <v>#NUM!</v>
      </c>
      <c r="K27" s="37" t="e">
        <v>#NUM!</v>
      </c>
      <c r="L27" s="2" t="e">
        <v>#NUM!</v>
      </c>
      <c r="M27" s="37" t="e">
        <v>#NUM!</v>
      </c>
      <c r="N27" s="2" t="e">
        <v>#NUM!</v>
      </c>
      <c r="O27" s="2" t="e">
        <v>#NUM!</v>
      </c>
      <c r="P27" s="2" t="e">
        <v>#NUM!</v>
      </c>
      <c r="Q27" s="2" t="e">
        <v>#NUM!</v>
      </c>
      <c r="R27" s="2" t="e">
        <v>#NUM!</v>
      </c>
      <c r="S27" s="28" t="e">
        <v>#NUM!</v>
      </c>
      <c r="T27" s="2" t="e">
        <v>#NUM!</v>
      </c>
      <c r="U27" s="2" t="e">
        <v>#NUM!</v>
      </c>
      <c r="V27" s="28" t="e">
        <v>#NUM!</v>
      </c>
      <c r="W27" s="2" t="e">
        <v>#NUM!</v>
      </c>
      <c r="X27" s="2" t="e">
        <v>#NUM!</v>
      </c>
      <c r="Y27" s="2" t="e">
        <v>#NUM!</v>
      </c>
      <c r="Z27" s="2" t="e">
        <v>#NUM!</v>
      </c>
    </row>
    <row r="28" spans="2:40" ht="15">
      <c r="E28" s="56">
        <f t="shared" si="0"/>
        <v>0</v>
      </c>
      <c r="F28" s="2" t="e">
        <f t="array" ref="F28:Z28">INDEX(PRODUCTION,SMALL(IF((INDEX(PRODUCTION,,'CURRENT WIP'!$D$2,1)&lt;='CURRENT WIP'!$D$4)*(INDEX(PRODUCTION,,'CURRENT WIP'!$D$2,1)&gt;='CURRENT WIP'!$D$4),ROW(PRODUCTION)-MIN(ROW(PRODUCTION))+1,""),ROWS(K$21:$N27)),,1)</f>
        <v>#NUM!</v>
      </c>
      <c r="G28" s="2" t="e">
        <v>#NUM!</v>
      </c>
      <c r="H28" s="2" t="e">
        <v>#NUM!</v>
      </c>
      <c r="I28" s="2" t="e">
        <v>#NUM!</v>
      </c>
      <c r="J28" s="37" t="e">
        <v>#NUM!</v>
      </c>
      <c r="K28" s="37" t="e">
        <v>#NUM!</v>
      </c>
      <c r="L28" s="2" t="e">
        <v>#NUM!</v>
      </c>
      <c r="M28" s="37" t="e">
        <v>#NUM!</v>
      </c>
      <c r="N28" s="2" t="e">
        <v>#NUM!</v>
      </c>
      <c r="O28" s="2" t="e">
        <v>#NUM!</v>
      </c>
      <c r="P28" s="2" t="e">
        <v>#NUM!</v>
      </c>
      <c r="Q28" s="2" t="e">
        <v>#NUM!</v>
      </c>
      <c r="R28" s="2" t="e">
        <v>#NUM!</v>
      </c>
      <c r="S28" s="28" t="e">
        <v>#NUM!</v>
      </c>
      <c r="T28" s="2" t="e">
        <v>#NUM!</v>
      </c>
      <c r="U28" s="2" t="e">
        <v>#NUM!</v>
      </c>
      <c r="V28" s="28" t="e">
        <v>#NUM!</v>
      </c>
      <c r="W28" s="2" t="e">
        <v>#NUM!</v>
      </c>
      <c r="X28" s="2" t="e">
        <v>#NUM!</v>
      </c>
      <c r="Y28" s="2" t="e">
        <v>#NUM!</v>
      </c>
      <c r="Z28" s="2" t="e">
        <v>#NUM!</v>
      </c>
    </row>
    <row r="29" spans="2:40" ht="15">
      <c r="E29" s="56">
        <f t="shared" si="0"/>
        <v>0</v>
      </c>
      <c r="F29" s="2" t="e">
        <f t="array" ref="F29:Z29">INDEX(PRODUCTION,SMALL(IF((INDEX(PRODUCTION,,'CURRENT WIP'!$D$2,1)&lt;='CURRENT WIP'!$D$4)*(INDEX(PRODUCTION,,'CURRENT WIP'!$D$2,1)&gt;='CURRENT WIP'!$D$4),ROW(PRODUCTION)-MIN(ROW(PRODUCTION))+1,""),ROWS(K$21:$N28)),,1)</f>
        <v>#NUM!</v>
      </c>
      <c r="G29" s="2" t="e">
        <v>#NUM!</v>
      </c>
      <c r="H29" s="2" t="e">
        <v>#NUM!</v>
      </c>
      <c r="I29" s="2" t="e">
        <v>#NUM!</v>
      </c>
      <c r="J29" s="37" t="e">
        <v>#NUM!</v>
      </c>
      <c r="K29" s="37" t="e">
        <v>#NUM!</v>
      </c>
      <c r="L29" s="2" t="e">
        <v>#NUM!</v>
      </c>
      <c r="M29" s="37" t="e">
        <v>#NUM!</v>
      </c>
      <c r="N29" s="2" t="e">
        <v>#NUM!</v>
      </c>
      <c r="O29" s="2" t="e">
        <v>#NUM!</v>
      </c>
      <c r="P29" s="2" t="e">
        <v>#NUM!</v>
      </c>
      <c r="Q29" s="2" t="e">
        <v>#NUM!</v>
      </c>
      <c r="R29" s="2" t="e">
        <v>#NUM!</v>
      </c>
      <c r="S29" s="28" t="e">
        <v>#NUM!</v>
      </c>
      <c r="T29" s="2" t="e">
        <v>#NUM!</v>
      </c>
      <c r="U29" s="2" t="e">
        <v>#NUM!</v>
      </c>
      <c r="V29" s="28" t="e">
        <v>#NUM!</v>
      </c>
      <c r="W29" s="2" t="e">
        <v>#NUM!</v>
      </c>
      <c r="X29" s="2" t="e">
        <v>#NUM!</v>
      </c>
      <c r="Y29" s="2" t="e">
        <v>#NUM!</v>
      </c>
      <c r="Z29" s="2" t="e">
        <v>#NUM!</v>
      </c>
    </row>
    <row r="30" spans="2:40" ht="15">
      <c r="E30" s="56">
        <f t="shared" si="0"/>
        <v>0</v>
      </c>
      <c r="F30" s="2" t="e">
        <f t="array" ref="F30:Z30">INDEX(PRODUCTION,SMALL(IF((INDEX(PRODUCTION,,'CURRENT WIP'!$D$2,1)&lt;='CURRENT WIP'!$D$4)*(INDEX(PRODUCTION,,'CURRENT WIP'!$D$2,1)&gt;='CURRENT WIP'!$D$4),ROW(PRODUCTION)-MIN(ROW(PRODUCTION))+1,""),ROWS(K$21:$N29)),,1)</f>
        <v>#NUM!</v>
      </c>
      <c r="G30" s="2" t="e">
        <v>#NUM!</v>
      </c>
      <c r="H30" s="2" t="e">
        <v>#NUM!</v>
      </c>
      <c r="I30" s="2" t="e">
        <v>#NUM!</v>
      </c>
      <c r="J30" s="37" t="e">
        <v>#NUM!</v>
      </c>
      <c r="K30" s="37" t="e">
        <v>#NUM!</v>
      </c>
      <c r="L30" s="2" t="e">
        <v>#NUM!</v>
      </c>
      <c r="M30" s="37" t="e">
        <v>#NUM!</v>
      </c>
      <c r="N30" s="2" t="e">
        <v>#NUM!</v>
      </c>
      <c r="O30" s="2" t="e">
        <v>#NUM!</v>
      </c>
      <c r="P30" s="2" t="e">
        <v>#NUM!</v>
      </c>
      <c r="Q30" s="2" t="e">
        <v>#NUM!</v>
      </c>
      <c r="R30" s="2" t="e">
        <v>#NUM!</v>
      </c>
      <c r="S30" s="28" t="e">
        <v>#NUM!</v>
      </c>
      <c r="T30" s="2" t="e">
        <v>#NUM!</v>
      </c>
      <c r="U30" s="2" t="e">
        <v>#NUM!</v>
      </c>
      <c r="V30" s="28" t="e">
        <v>#NUM!</v>
      </c>
      <c r="W30" s="2" t="e">
        <v>#NUM!</v>
      </c>
      <c r="X30" s="2" t="e">
        <v>#NUM!</v>
      </c>
      <c r="Y30" s="2" t="e">
        <v>#NUM!</v>
      </c>
      <c r="Z30" s="2" t="e">
        <v>#NUM!</v>
      </c>
    </row>
    <row r="31" spans="2:40" ht="15">
      <c r="E31" s="56">
        <f t="shared" si="0"/>
        <v>0</v>
      </c>
      <c r="F31" s="2" t="e">
        <f t="array" ref="F31:Z31">INDEX(PRODUCTION,SMALL(IF((INDEX(PRODUCTION,,'CURRENT WIP'!$D$2,1)&lt;='CURRENT WIP'!$D$4)*(INDEX(PRODUCTION,,'CURRENT WIP'!$D$2,1)&gt;='CURRENT WIP'!$D$4),ROW(PRODUCTION)-MIN(ROW(PRODUCTION))+1,""),ROWS(K$21:$N30)),,1)</f>
        <v>#NUM!</v>
      </c>
      <c r="G31" s="2" t="e">
        <v>#NUM!</v>
      </c>
      <c r="H31" s="2" t="e">
        <v>#NUM!</v>
      </c>
      <c r="I31" s="2" t="e">
        <v>#NUM!</v>
      </c>
      <c r="J31" s="37" t="e">
        <v>#NUM!</v>
      </c>
      <c r="K31" s="37" t="e">
        <v>#NUM!</v>
      </c>
      <c r="L31" s="2" t="e">
        <v>#NUM!</v>
      </c>
      <c r="M31" s="37" t="e">
        <v>#NUM!</v>
      </c>
      <c r="N31" s="2" t="e">
        <v>#NUM!</v>
      </c>
      <c r="O31" s="2" t="e">
        <v>#NUM!</v>
      </c>
      <c r="P31" s="2" t="e">
        <v>#NUM!</v>
      </c>
      <c r="Q31" s="2" t="e">
        <v>#NUM!</v>
      </c>
      <c r="R31" s="2" t="e">
        <v>#NUM!</v>
      </c>
      <c r="S31" s="28" t="e">
        <v>#NUM!</v>
      </c>
      <c r="T31" s="2" t="e">
        <v>#NUM!</v>
      </c>
      <c r="U31" s="2" t="e">
        <v>#NUM!</v>
      </c>
      <c r="V31" s="28" t="e">
        <v>#NUM!</v>
      </c>
      <c r="W31" s="2" t="e">
        <v>#NUM!</v>
      </c>
      <c r="X31" s="2" t="e">
        <v>#NUM!</v>
      </c>
      <c r="Y31" s="2" t="e">
        <v>#NUM!</v>
      </c>
      <c r="Z31" s="2" t="e">
        <v>#NUM!</v>
      </c>
    </row>
    <row r="32" spans="2:40" ht="15">
      <c r="E32" s="56">
        <f t="shared" si="0"/>
        <v>0</v>
      </c>
      <c r="F32" s="2" t="e">
        <f t="array" ref="F32:Z32">INDEX(PRODUCTION,SMALL(IF((INDEX(PRODUCTION,,'CURRENT WIP'!$D$2,1)&lt;='CURRENT WIP'!$D$4)*(INDEX(PRODUCTION,,'CURRENT WIP'!$D$2,1)&gt;='CURRENT WIP'!$D$4),ROW(PRODUCTION)-MIN(ROW(PRODUCTION))+1,""),ROWS(K$21:$N31)),,1)</f>
        <v>#NUM!</v>
      </c>
      <c r="G32" s="2" t="e">
        <v>#NUM!</v>
      </c>
      <c r="H32" s="2" t="e">
        <v>#NUM!</v>
      </c>
      <c r="I32" s="2" t="e">
        <v>#NUM!</v>
      </c>
      <c r="J32" s="37" t="e">
        <v>#NUM!</v>
      </c>
      <c r="K32" s="37" t="e">
        <v>#NUM!</v>
      </c>
      <c r="L32" s="2" t="e">
        <v>#NUM!</v>
      </c>
      <c r="M32" s="37" t="e">
        <v>#NUM!</v>
      </c>
      <c r="N32" s="2" t="e">
        <v>#NUM!</v>
      </c>
      <c r="O32" s="2" t="e">
        <v>#NUM!</v>
      </c>
      <c r="P32" s="2" t="e">
        <v>#NUM!</v>
      </c>
      <c r="Q32" s="2" t="e">
        <v>#NUM!</v>
      </c>
      <c r="R32" s="2" t="e">
        <v>#NUM!</v>
      </c>
      <c r="S32" s="28" t="e">
        <v>#NUM!</v>
      </c>
      <c r="T32" s="2" t="e">
        <v>#NUM!</v>
      </c>
      <c r="U32" s="2" t="e">
        <v>#NUM!</v>
      </c>
      <c r="V32" s="28" t="e">
        <v>#NUM!</v>
      </c>
      <c r="W32" s="2" t="e">
        <v>#NUM!</v>
      </c>
      <c r="X32" s="2" t="e">
        <v>#NUM!</v>
      </c>
      <c r="Y32" s="2" t="e">
        <v>#NUM!</v>
      </c>
      <c r="Z32" s="2" t="e">
        <v>#NUM!</v>
      </c>
    </row>
    <row r="33" spans="5:26" ht="15">
      <c r="E33" s="56">
        <f t="shared" si="0"/>
        <v>0</v>
      </c>
      <c r="F33" s="2" t="e">
        <f t="array" ref="F33:Z33">INDEX(PRODUCTION,SMALL(IF((INDEX(PRODUCTION,,'CURRENT WIP'!$D$2,1)&lt;='CURRENT WIP'!$D$4)*(INDEX(PRODUCTION,,'CURRENT WIP'!$D$2,1)&gt;='CURRENT WIP'!$D$4),ROW(PRODUCTION)-MIN(ROW(PRODUCTION))+1,""),ROWS(K$21:$N32)),,1)</f>
        <v>#NUM!</v>
      </c>
      <c r="G33" s="2" t="e">
        <v>#NUM!</v>
      </c>
      <c r="H33" s="2" t="e">
        <v>#NUM!</v>
      </c>
      <c r="I33" s="2" t="e">
        <v>#NUM!</v>
      </c>
      <c r="J33" s="37" t="e">
        <v>#NUM!</v>
      </c>
      <c r="K33" s="37" t="e">
        <v>#NUM!</v>
      </c>
      <c r="L33" s="2" t="e">
        <v>#NUM!</v>
      </c>
      <c r="M33" s="37" t="e">
        <v>#NUM!</v>
      </c>
      <c r="N33" s="2" t="e">
        <v>#NUM!</v>
      </c>
      <c r="O33" s="2" t="e">
        <v>#NUM!</v>
      </c>
      <c r="P33" s="2" t="e">
        <v>#NUM!</v>
      </c>
      <c r="Q33" s="2" t="e">
        <v>#NUM!</v>
      </c>
      <c r="R33" s="2" t="e">
        <v>#NUM!</v>
      </c>
      <c r="S33" s="28" t="e">
        <v>#NUM!</v>
      </c>
      <c r="T33" s="2" t="e">
        <v>#NUM!</v>
      </c>
      <c r="U33" s="2" t="e">
        <v>#NUM!</v>
      </c>
      <c r="V33" s="28" t="e">
        <v>#NUM!</v>
      </c>
      <c r="W33" s="2" t="e">
        <v>#NUM!</v>
      </c>
      <c r="X33" s="2" t="e">
        <v>#NUM!</v>
      </c>
      <c r="Y33" s="2" t="e">
        <v>#NUM!</v>
      </c>
      <c r="Z33" s="2" t="e">
        <v>#NUM!</v>
      </c>
    </row>
    <row r="34" spans="5:26" ht="15">
      <c r="E34" s="56">
        <f t="shared" si="0"/>
        <v>0</v>
      </c>
      <c r="F34" s="2" t="e">
        <f t="array" ref="F34:Z34">INDEX(PRODUCTION,SMALL(IF((INDEX(PRODUCTION,,'CURRENT WIP'!$D$2,1)&lt;='CURRENT WIP'!$D$4)*(INDEX(PRODUCTION,,'CURRENT WIP'!$D$2,1)&gt;='CURRENT WIP'!$D$4),ROW(PRODUCTION)-MIN(ROW(PRODUCTION))+1,""),ROWS(K$21:$N33)),,1)</f>
        <v>#NUM!</v>
      </c>
      <c r="G34" s="2" t="e">
        <v>#NUM!</v>
      </c>
      <c r="H34" s="2" t="e">
        <v>#NUM!</v>
      </c>
      <c r="I34" s="2" t="e">
        <v>#NUM!</v>
      </c>
      <c r="J34" s="37" t="e">
        <v>#NUM!</v>
      </c>
      <c r="K34" s="37" t="e">
        <v>#NUM!</v>
      </c>
      <c r="L34" s="2" t="e">
        <v>#NUM!</v>
      </c>
      <c r="M34" s="37" t="e">
        <v>#NUM!</v>
      </c>
      <c r="N34" s="2" t="e">
        <v>#NUM!</v>
      </c>
      <c r="O34" s="2" t="e">
        <v>#NUM!</v>
      </c>
      <c r="P34" s="2" t="e">
        <v>#NUM!</v>
      </c>
      <c r="Q34" s="2" t="e">
        <v>#NUM!</v>
      </c>
      <c r="R34" s="2" t="e">
        <v>#NUM!</v>
      </c>
      <c r="S34" s="28" t="e">
        <v>#NUM!</v>
      </c>
      <c r="T34" s="2" t="e">
        <v>#NUM!</v>
      </c>
      <c r="U34" s="2" t="e">
        <v>#NUM!</v>
      </c>
      <c r="V34" s="28" t="e">
        <v>#NUM!</v>
      </c>
      <c r="W34" s="2" t="e">
        <v>#NUM!</v>
      </c>
      <c r="X34" s="2" t="e">
        <v>#NUM!</v>
      </c>
      <c r="Y34" s="2" t="e">
        <v>#NUM!</v>
      </c>
      <c r="Z34" s="2" t="e">
        <v>#NUM!</v>
      </c>
    </row>
    <row r="35" spans="5:26" ht="15">
      <c r="E35" s="56">
        <f t="shared" si="0"/>
        <v>0</v>
      </c>
      <c r="F35" s="2" t="e">
        <f t="array" ref="F35:Z35">INDEX(PRODUCTION,SMALL(IF((INDEX(PRODUCTION,,'CURRENT WIP'!$D$2,1)&lt;='CURRENT WIP'!$D$4)*(INDEX(PRODUCTION,,'CURRENT WIP'!$D$2,1)&gt;='CURRENT WIP'!$D$4),ROW(PRODUCTION)-MIN(ROW(PRODUCTION))+1,""),ROWS(K$21:$N34)),,1)</f>
        <v>#NUM!</v>
      </c>
      <c r="G35" s="2" t="e">
        <v>#NUM!</v>
      </c>
      <c r="H35" s="2" t="e">
        <v>#NUM!</v>
      </c>
      <c r="I35" s="2" t="e">
        <v>#NUM!</v>
      </c>
      <c r="J35" s="37" t="e">
        <v>#NUM!</v>
      </c>
      <c r="K35" s="37" t="e">
        <v>#NUM!</v>
      </c>
      <c r="L35" s="2" t="e">
        <v>#NUM!</v>
      </c>
      <c r="M35" s="37" t="e">
        <v>#NUM!</v>
      </c>
      <c r="N35" s="2" t="e">
        <v>#NUM!</v>
      </c>
      <c r="O35" s="2" t="e">
        <v>#NUM!</v>
      </c>
      <c r="P35" s="2" t="e">
        <v>#NUM!</v>
      </c>
      <c r="Q35" s="2" t="e">
        <v>#NUM!</v>
      </c>
      <c r="R35" s="2" t="e">
        <v>#NUM!</v>
      </c>
      <c r="S35" s="28" t="e">
        <v>#NUM!</v>
      </c>
      <c r="T35" s="2" t="e">
        <v>#NUM!</v>
      </c>
      <c r="U35" s="2" t="e">
        <v>#NUM!</v>
      </c>
      <c r="V35" s="28" t="e">
        <v>#NUM!</v>
      </c>
      <c r="W35" s="2" t="e">
        <v>#NUM!</v>
      </c>
      <c r="X35" s="2" t="e">
        <v>#NUM!</v>
      </c>
      <c r="Y35" s="2" t="e">
        <v>#NUM!</v>
      </c>
      <c r="Z35" s="2" t="e">
        <v>#NUM!</v>
      </c>
    </row>
    <row r="36" spans="5:26" ht="15">
      <c r="E36" s="56">
        <f t="shared" si="0"/>
        <v>0</v>
      </c>
      <c r="F36" s="2" t="e">
        <f t="array" ref="F36:Z36">INDEX(PRODUCTION,SMALL(IF((INDEX(PRODUCTION,,'CURRENT WIP'!$D$2,1)&lt;='CURRENT WIP'!$D$4)*(INDEX(PRODUCTION,,'CURRENT WIP'!$D$2,1)&gt;='CURRENT WIP'!$D$4),ROW(PRODUCTION)-MIN(ROW(PRODUCTION))+1,""),ROWS(K$21:$N35)),,1)</f>
        <v>#NUM!</v>
      </c>
      <c r="G36" s="2" t="e">
        <v>#NUM!</v>
      </c>
      <c r="H36" s="2" t="e">
        <v>#NUM!</v>
      </c>
      <c r="I36" s="2" t="e">
        <v>#NUM!</v>
      </c>
      <c r="J36" s="37" t="e">
        <v>#NUM!</v>
      </c>
      <c r="K36" s="37" t="e">
        <v>#NUM!</v>
      </c>
      <c r="L36" s="2" t="e">
        <v>#NUM!</v>
      </c>
      <c r="M36" s="37" t="e">
        <v>#NUM!</v>
      </c>
      <c r="N36" s="2" t="e">
        <v>#NUM!</v>
      </c>
      <c r="O36" s="2" t="e">
        <v>#NUM!</v>
      </c>
      <c r="P36" s="2" t="e">
        <v>#NUM!</v>
      </c>
      <c r="Q36" s="2" t="e">
        <v>#NUM!</v>
      </c>
      <c r="R36" s="2" t="e">
        <v>#NUM!</v>
      </c>
      <c r="S36" s="28" t="e">
        <v>#NUM!</v>
      </c>
      <c r="T36" s="2" t="e">
        <v>#NUM!</v>
      </c>
      <c r="U36" s="2" t="e">
        <v>#NUM!</v>
      </c>
      <c r="V36" s="28" t="e">
        <v>#NUM!</v>
      </c>
      <c r="W36" s="2" t="e">
        <v>#NUM!</v>
      </c>
      <c r="X36" s="2" t="e">
        <v>#NUM!</v>
      </c>
      <c r="Y36" s="2" t="e">
        <v>#NUM!</v>
      </c>
      <c r="Z36" s="2" t="e">
        <v>#NUM!</v>
      </c>
    </row>
    <row r="37" spans="5:26" ht="15">
      <c r="E37" s="56">
        <f t="shared" si="0"/>
        <v>0</v>
      </c>
      <c r="F37" s="2" t="e">
        <f t="array" ref="F37:Z37">INDEX(PRODUCTION,SMALL(IF((INDEX(PRODUCTION,,'CURRENT WIP'!$D$2,1)&lt;='CURRENT WIP'!$D$4)*(INDEX(PRODUCTION,,'CURRENT WIP'!$D$2,1)&gt;='CURRENT WIP'!$D$4),ROW(PRODUCTION)-MIN(ROW(PRODUCTION))+1,""),ROWS(K$21:$N36)),,1)</f>
        <v>#NUM!</v>
      </c>
      <c r="G37" s="2" t="e">
        <v>#NUM!</v>
      </c>
      <c r="H37" s="2" t="e">
        <v>#NUM!</v>
      </c>
      <c r="I37" s="2" t="e">
        <v>#NUM!</v>
      </c>
      <c r="J37" s="37" t="e">
        <v>#NUM!</v>
      </c>
      <c r="K37" s="37" t="e">
        <v>#NUM!</v>
      </c>
      <c r="L37" s="2" t="e">
        <v>#NUM!</v>
      </c>
      <c r="M37" s="37" t="e">
        <v>#NUM!</v>
      </c>
      <c r="N37" s="2" t="e">
        <v>#NUM!</v>
      </c>
      <c r="O37" s="2" t="e">
        <v>#NUM!</v>
      </c>
      <c r="P37" s="2" t="e">
        <v>#NUM!</v>
      </c>
      <c r="Q37" s="2" t="e">
        <v>#NUM!</v>
      </c>
      <c r="R37" s="2" t="e">
        <v>#NUM!</v>
      </c>
      <c r="S37" s="28" t="e">
        <v>#NUM!</v>
      </c>
      <c r="T37" s="2" t="e">
        <v>#NUM!</v>
      </c>
      <c r="U37" s="2" t="e">
        <v>#NUM!</v>
      </c>
      <c r="V37" s="28" t="e">
        <v>#NUM!</v>
      </c>
      <c r="W37" s="2" t="e">
        <v>#NUM!</v>
      </c>
      <c r="X37" s="2" t="e">
        <v>#NUM!</v>
      </c>
      <c r="Y37" s="2" t="e">
        <v>#NUM!</v>
      </c>
      <c r="Z37" s="2" t="e">
        <v>#NUM!</v>
      </c>
    </row>
    <row r="38" spans="5:26" ht="15">
      <c r="E38" s="56">
        <f t="shared" si="0"/>
        <v>0</v>
      </c>
      <c r="F38" s="2" t="e">
        <f t="array" ref="F38:Z38">INDEX(PRODUCTION,SMALL(IF((INDEX(PRODUCTION,,'CURRENT WIP'!$D$2,1)&lt;='CURRENT WIP'!$D$4)*(INDEX(PRODUCTION,,'CURRENT WIP'!$D$2,1)&gt;='CURRENT WIP'!$D$4),ROW(PRODUCTION)-MIN(ROW(PRODUCTION))+1,""),ROWS(K$21:$N37)),,1)</f>
        <v>#NUM!</v>
      </c>
      <c r="G38" s="2" t="e">
        <v>#NUM!</v>
      </c>
      <c r="H38" s="2" t="e">
        <v>#NUM!</v>
      </c>
      <c r="I38" s="2" t="e">
        <v>#NUM!</v>
      </c>
      <c r="J38" s="37" t="e">
        <v>#NUM!</v>
      </c>
      <c r="K38" s="37" t="e">
        <v>#NUM!</v>
      </c>
      <c r="L38" s="2" t="e">
        <v>#NUM!</v>
      </c>
      <c r="M38" s="37" t="e">
        <v>#NUM!</v>
      </c>
      <c r="N38" s="2" t="e">
        <v>#NUM!</v>
      </c>
      <c r="O38" s="2" t="e">
        <v>#NUM!</v>
      </c>
      <c r="P38" s="2" t="e">
        <v>#NUM!</v>
      </c>
      <c r="Q38" s="2" t="e">
        <v>#NUM!</v>
      </c>
      <c r="R38" s="2" t="e">
        <v>#NUM!</v>
      </c>
      <c r="S38" s="28" t="e">
        <v>#NUM!</v>
      </c>
      <c r="T38" s="2" t="e">
        <v>#NUM!</v>
      </c>
      <c r="U38" s="2" t="e">
        <v>#NUM!</v>
      </c>
      <c r="V38" s="28" t="e">
        <v>#NUM!</v>
      </c>
      <c r="W38" s="2" t="e">
        <v>#NUM!</v>
      </c>
      <c r="X38" s="2" t="e">
        <v>#NUM!</v>
      </c>
      <c r="Y38" s="2" t="e">
        <v>#NUM!</v>
      </c>
      <c r="Z38" s="2" t="e">
        <v>#NUM!</v>
      </c>
    </row>
    <row r="39" spans="5:26" ht="15">
      <c r="E39" s="56">
        <f t="shared" si="0"/>
        <v>0</v>
      </c>
      <c r="F39" s="2" t="e">
        <f t="array" ref="F39:Z39">INDEX(PRODUCTION,SMALL(IF((INDEX(PRODUCTION,,'CURRENT WIP'!$D$2,1)&lt;='CURRENT WIP'!$D$4)*(INDEX(PRODUCTION,,'CURRENT WIP'!$D$2,1)&gt;='CURRENT WIP'!$D$4),ROW(PRODUCTION)-MIN(ROW(PRODUCTION))+1,""),ROWS(K$21:$N38)),,1)</f>
        <v>#NUM!</v>
      </c>
      <c r="G39" s="2" t="e">
        <v>#NUM!</v>
      </c>
      <c r="H39" s="2" t="e">
        <v>#NUM!</v>
      </c>
      <c r="I39" s="2" t="e">
        <v>#NUM!</v>
      </c>
      <c r="J39" s="37" t="e">
        <v>#NUM!</v>
      </c>
      <c r="K39" s="37" t="e">
        <v>#NUM!</v>
      </c>
      <c r="L39" s="2" t="e">
        <v>#NUM!</v>
      </c>
      <c r="M39" s="37" t="e">
        <v>#NUM!</v>
      </c>
      <c r="N39" s="2" t="e">
        <v>#NUM!</v>
      </c>
      <c r="O39" s="2" t="e">
        <v>#NUM!</v>
      </c>
      <c r="P39" s="2" t="e">
        <v>#NUM!</v>
      </c>
      <c r="Q39" s="2" t="e">
        <v>#NUM!</v>
      </c>
      <c r="R39" s="2" t="e">
        <v>#NUM!</v>
      </c>
      <c r="S39" s="28" t="e">
        <v>#NUM!</v>
      </c>
      <c r="T39" s="2" t="e">
        <v>#NUM!</v>
      </c>
      <c r="U39" s="2" t="e">
        <v>#NUM!</v>
      </c>
      <c r="V39" s="28" t="e">
        <v>#NUM!</v>
      </c>
      <c r="W39" s="2" t="e">
        <v>#NUM!</v>
      </c>
      <c r="X39" s="2" t="e">
        <v>#NUM!</v>
      </c>
      <c r="Y39" s="2" t="e">
        <v>#NUM!</v>
      </c>
      <c r="Z39" s="2" t="e">
        <v>#NUM!</v>
      </c>
    </row>
    <row r="40" spans="5:26" ht="15">
      <c r="E40" s="56">
        <f t="shared" si="0"/>
        <v>0</v>
      </c>
      <c r="F40" s="2" t="e">
        <f t="array" ref="F40:Z40">INDEX(PRODUCTION,SMALL(IF((INDEX(PRODUCTION,,'CURRENT WIP'!$D$2,1)&lt;='CURRENT WIP'!$D$4)*(INDEX(PRODUCTION,,'CURRENT WIP'!$D$2,1)&gt;='CURRENT WIP'!$D$4),ROW(PRODUCTION)-MIN(ROW(PRODUCTION))+1,""),ROWS(K$21:$N39)),,1)</f>
        <v>#NUM!</v>
      </c>
      <c r="G40" s="2" t="e">
        <v>#NUM!</v>
      </c>
      <c r="H40" s="2" t="e">
        <v>#NUM!</v>
      </c>
      <c r="I40" s="2" t="e">
        <v>#NUM!</v>
      </c>
      <c r="J40" s="37" t="e">
        <v>#NUM!</v>
      </c>
      <c r="K40" s="37" t="e">
        <v>#NUM!</v>
      </c>
      <c r="L40" s="2" t="e">
        <v>#NUM!</v>
      </c>
      <c r="M40" s="37" t="e">
        <v>#NUM!</v>
      </c>
      <c r="N40" s="2" t="e">
        <v>#NUM!</v>
      </c>
      <c r="O40" s="2" t="e">
        <v>#NUM!</v>
      </c>
      <c r="P40" s="2" t="e">
        <v>#NUM!</v>
      </c>
      <c r="Q40" s="2" t="e">
        <v>#NUM!</v>
      </c>
      <c r="R40" s="2" t="e">
        <v>#NUM!</v>
      </c>
      <c r="S40" s="28" t="e">
        <v>#NUM!</v>
      </c>
      <c r="T40" s="2" t="e">
        <v>#NUM!</v>
      </c>
      <c r="U40" s="2" t="e">
        <v>#NUM!</v>
      </c>
      <c r="V40" s="28" t="e">
        <v>#NUM!</v>
      </c>
      <c r="W40" s="2" t="e">
        <v>#NUM!</v>
      </c>
      <c r="X40" s="2" t="e">
        <v>#NUM!</v>
      </c>
      <c r="Y40" s="2" t="e">
        <v>#NUM!</v>
      </c>
      <c r="Z40" s="2" t="e">
        <v>#NUM!</v>
      </c>
    </row>
    <row r="41" spans="5:26" ht="15">
      <c r="E41" s="56">
        <f t="shared" si="0"/>
        <v>0</v>
      </c>
      <c r="F41" s="2" t="e">
        <f t="array" ref="F41:Z41">INDEX(PRODUCTION,SMALL(IF((INDEX(PRODUCTION,,'CURRENT WIP'!$D$2,1)&lt;='CURRENT WIP'!$D$4)*(INDEX(PRODUCTION,,'CURRENT WIP'!$D$2,1)&gt;='CURRENT WIP'!$D$4),ROW(PRODUCTION)-MIN(ROW(PRODUCTION))+1,""),ROWS(K$21:$N40)),,1)</f>
        <v>#NUM!</v>
      </c>
      <c r="G41" s="2" t="e">
        <v>#NUM!</v>
      </c>
      <c r="H41" s="2" t="e">
        <v>#NUM!</v>
      </c>
      <c r="I41" s="2" t="e">
        <v>#NUM!</v>
      </c>
      <c r="J41" s="37" t="e">
        <v>#NUM!</v>
      </c>
      <c r="K41" s="37" t="e">
        <v>#NUM!</v>
      </c>
      <c r="L41" s="2" t="e">
        <v>#NUM!</v>
      </c>
      <c r="M41" s="37" t="e">
        <v>#NUM!</v>
      </c>
      <c r="N41" s="2" t="e">
        <v>#NUM!</v>
      </c>
      <c r="O41" s="2" t="e">
        <v>#NUM!</v>
      </c>
      <c r="P41" s="2" t="e">
        <v>#NUM!</v>
      </c>
      <c r="Q41" s="2" t="e">
        <v>#NUM!</v>
      </c>
      <c r="R41" s="2" t="e">
        <v>#NUM!</v>
      </c>
      <c r="S41" s="28" t="e">
        <v>#NUM!</v>
      </c>
      <c r="T41" s="2" t="e">
        <v>#NUM!</v>
      </c>
      <c r="U41" s="2" t="e">
        <v>#NUM!</v>
      </c>
      <c r="V41" s="28" t="e">
        <v>#NUM!</v>
      </c>
      <c r="W41" s="2" t="e">
        <v>#NUM!</v>
      </c>
      <c r="X41" s="2" t="e">
        <v>#NUM!</v>
      </c>
      <c r="Y41" s="2" t="e">
        <v>#NUM!</v>
      </c>
      <c r="Z41" s="2" t="e">
        <v>#NUM!</v>
      </c>
    </row>
    <row r="42" spans="5:26" ht="15">
      <c r="E42" s="56">
        <f t="shared" si="0"/>
        <v>0</v>
      </c>
      <c r="F42" s="2" t="e">
        <f t="array" ref="F42:Z42">INDEX(PRODUCTION,SMALL(IF((INDEX(PRODUCTION,,'CURRENT WIP'!$D$2,1)&lt;='CURRENT WIP'!$D$4)*(INDEX(PRODUCTION,,'CURRENT WIP'!$D$2,1)&gt;='CURRENT WIP'!$D$4),ROW(PRODUCTION)-MIN(ROW(PRODUCTION))+1,""),ROWS(K$21:$N41)),,1)</f>
        <v>#NUM!</v>
      </c>
      <c r="G42" s="2" t="e">
        <v>#NUM!</v>
      </c>
      <c r="H42" s="2" t="e">
        <v>#NUM!</v>
      </c>
      <c r="I42" s="2" t="e">
        <v>#NUM!</v>
      </c>
      <c r="J42" s="37" t="e">
        <v>#NUM!</v>
      </c>
      <c r="K42" s="37" t="e">
        <v>#NUM!</v>
      </c>
      <c r="L42" s="2" t="e">
        <v>#NUM!</v>
      </c>
      <c r="M42" s="37" t="e">
        <v>#NUM!</v>
      </c>
      <c r="N42" s="2" t="e">
        <v>#NUM!</v>
      </c>
      <c r="O42" s="2" t="e">
        <v>#NUM!</v>
      </c>
      <c r="P42" s="2" t="e">
        <v>#NUM!</v>
      </c>
      <c r="Q42" s="2" t="e">
        <v>#NUM!</v>
      </c>
      <c r="R42" s="2" t="e">
        <v>#NUM!</v>
      </c>
      <c r="S42" s="28" t="e">
        <v>#NUM!</v>
      </c>
      <c r="T42" s="2" t="e">
        <v>#NUM!</v>
      </c>
      <c r="U42" s="2" t="e">
        <v>#NUM!</v>
      </c>
      <c r="V42" s="28" t="e">
        <v>#NUM!</v>
      </c>
      <c r="W42" s="2" t="e">
        <v>#NUM!</v>
      </c>
      <c r="X42" s="2" t="e">
        <v>#NUM!</v>
      </c>
      <c r="Y42" s="2" t="e">
        <v>#NUM!</v>
      </c>
      <c r="Z42" s="2" t="e">
        <v>#NUM!</v>
      </c>
    </row>
    <row r="43" spans="5:26" ht="15">
      <c r="E43" s="56">
        <f t="shared" si="0"/>
        <v>0</v>
      </c>
      <c r="F43" s="2" t="e">
        <f t="array" ref="F43:Z43">INDEX(PRODUCTION,SMALL(IF((INDEX(PRODUCTION,,'CURRENT WIP'!$D$2,1)&lt;='CURRENT WIP'!$D$4)*(INDEX(PRODUCTION,,'CURRENT WIP'!$D$2,1)&gt;='CURRENT WIP'!$D$4),ROW(PRODUCTION)-MIN(ROW(PRODUCTION))+1,""),ROWS(K$21:$N42)),,1)</f>
        <v>#NUM!</v>
      </c>
      <c r="G43" s="2" t="e">
        <v>#NUM!</v>
      </c>
      <c r="H43" s="2" t="e">
        <v>#NUM!</v>
      </c>
      <c r="I43" s="2" t="e">
        <v>#NUM!</v>
      </c>
      <c r="J43" s="37" t="e">
        <v>#NUM!</v>
      </c>
      <c r="K43" s="37" t="e">
        <v>#NUM!</v>
      </c>
      <c r="L43" s="2" t="e">
        <v>#NUM!</v>
      </c>
      <c r="M43" s="37" t="e">
        <v>#NUM!</v>
      </c>
      <c r="N43" s="2" t="e">
        <v>#NUM!</v>
      </c>
      <c r="O43" s="2" t="e">
        <v>#NUM!</v>
      </c>
      <c r="P43" s="2" t="e">
        <v>#NUM!</v>
      </c>
      <c r="Q43" s="2" t="e">
        <v>#NUM!</v>
      </c>
      <c r="R43" s="2" t="e">
        <v>#NUM!</v>
      </c>
      <c r="S43" s="28" t="e">
        <v>#NUM!</v>
      </c>
      <c r="T43" s="2" t="e">
        <v>#NUM!</v>
      </c>
      <c r="U43" s="2" t="e">
        <v>#NUM!</v>
      </c>
      <c r="V43" s="28" t="e">
        <v>#NUM!</v>
      </c>
      <c r="W43" s="2" t="e">
        <v>#NUM!</v>
      </c>
      <c r="X43" s="2" t="e">
        <v>#NUM!</v>
      </c>
      <c r="Y43" s="2" t="e">
        <v>#NUM!</v>
      </c>
      <c r="Z43" s="2" t="e">
        <v>#NUM!</v>
      </c>
    </row>
    <row r="44" spans="5:26" ht="15">
      <c r="E44" s="56">
        <f t="shared" si="0"/>
        <v>0</v>
      </c>
      <c r="F44" s="2" t="e">
        <f t="array" ref="F44:Z44">INDEX(PRODUCTION,SMALL(IF((INDEX(PRODUCTION,,'CURRENT WIP'!$D$2,1)&lt;='CURRENT WIP'!$D$4)*(INDEX(PRODUCTION,,'CURRENT WIP'!$D$2,1)&gt;='CURRENT WIP'!$D$4),ROW(PRODUCTION)-MIN(ROW(PRODUCTION))+1,""),ROWS(K$21:$N43)),,1)</f>
        <v>#NUM!</v>
      </c>
      <c r="G44" s="2" t="e">
        <v>#NUM!</v>
      </c>
      <c r="H44" s="2" t="e">
        <v>#NUM!</v>
      </c>
      <c r="I44" s="2" t="e">
        <v>#NUM!</v>
      </c>
      <c r="J44" s="37" t="e">
        <v>#NUM!</v>
      </c>
      <c r="K44" s="37" t="e">
        <v>#NUM!</v>
      </c>
      <c r="L44" s="2" t="e">
        <v>#NUM!</v>
      </c>
      <c r="M44" s="37" t="e">
        <v>#NUM!</v>
      </c>
      <c r="N44" s="2" t="e">
        <v>#NUM!</v>
      </c>
      <c r="O44" s="2" t="e">
        <v>#NUM!</v>
      </c>
      <c r="P44" s="2" t="e">
        <v>#NUM!</v>
      </c>
      <c r="Q44" s="2" t="e">
        <v>#NUM!</v>
      </c>
      <c r="R44" s="2" t="e">
        <v>#NUM!</v>
      </c>
      <c r="S44" s="28" t="e">
        <v>#NUM!</v>
      </c>
      <c r="T44" s="2" t="e">
        <v>#NUM!</v>
      </c>
      <c r="U44" s="2" t="e">
        <v>#NUM!</v>
      </c>
      <c r="V44" s="28" t="e">
        <v>#NUM!</v>
      </c>
      <c r="W44" s="2" t="e">
        <v>#NUM!</v>
      </c>
      <c r="X44" s="2" t="e">
        <v>#NUM!</v>
      </c>
      <c r="Y44" s="2" t="e">
        <v>#NUM!</v>
      </c>
      <c r="Z44" s="2" t="e">
        <v>#NUM!</v>
      </c>
    </row>
    <row r="45" spans="5:26" ht="15">
      <c r="E45" s="56">
        <f t="shared" si="0"/>
        <v>0</v>
      </c>
      <c r="F45" s="2" t="e">
        <f t="array" ref="F45:Z45">INDEX(PRODUCTION,SMALL(IF((INDEX(PRODUCTION,,'CURRENT WIP'!$D$2,1)&lt;='CURRENT WIP'!$D$4)*(INDEX(PRODUCTION,,'CURRENT WIP'!$D$2,1)&gt;='CURRENT WIP'!$D$4),ROW(PRODUCTION)-MIN(ROW(PRODUCTION))+1,""),ROWS(K$21:$N44)),,1)</f>
        <v>#NUM!</v>
      </c>
      <c r="G45" s="2" t="e">
        <v>#NUM!</v>
      </c>
      <c r="H45" s="2" t="e">
        <v>#NUM!</v>
      </c>
      <c r="I45" s="2" t="e">
        <v>#NUM!</v>
      </c>
      <c r="J45" s="37" t="e">
        <v>#NUM!</v>
      </c>
      <c r="K45" s="37" t="e">
        <v>#NUM!</v>
      </c>
      <c r="L45" s="2" t="e">
        <v>#NUM!</v>
      </c>
      <c r="M45" s="37" t="e">
        <v>#NUM!</v>
      </c>
      <c r="N45" s="2" t="e">
        <v>#NUM!</v>
      </c>
      <c r="O45" s="2" t="e">
        <v>#NUM!</v>
      </c>
      <c r="P45" s="2" t="e">
        <v>#NUM!</v>
      </c>
      <c r="Q45" s="2" t="e">
        <v>#NUM!</v>
      </c>
      <c r="R45" s="2" t="e">
        <v>#NUM!</v>
      </c>
      <c r="S45" s="28" t="e">
        <v>#NUM!</v>
      </c>
      <c r="T45" s="2" t="e">
        <v>#NUM!</v>
      </c>
      <c r="U45" s="2" t="e">
        <v>#NUM!</v>
      </c>
      <c r="V45" s="28" t="e">
        <v>#NUM!</v>
      </c>
      <c r="W45" s="2" t="e">
        <v>#NUM!</v>
      </c>
      <c r="X45" s="2" t="e">
        <v>#NUM!</v>
      </c>
      <c r="Y45" s="2" t="e">
        <v>#NUM!</v>
      </c>
      <c r="Z45" s="2" t="e">
        <v>#NUM!</v>
      </c>
    </row>
    <row r="46" spans="5:26" ht="15">
      <c r="E46" s="56">
        <f t="shared" si="0"/>
        <v>0</v>
      </c>
      <c r="F46" s="2" t="e">
        <f t="array" ref="F46:Z46">INDEX(PRODUCTION,SMALL(IF((INDEX(PRODUCTION,,'CURRENT WIP'!$D$2,1)&lt;='CURRENT WIP'!$D$4)*(INDEX(PRODUCTION,,'CURRENT WIP'!$D$2,1)&gt;='CURRENT WIP'!$D$4),ROW(PRODUCTION)-MIN(ROW(PRODUCTION))+1,""),ROWS(K$21:$N45)),,1)</f>
        <v>#NUM!</v>
      </c>
      <c r="G46" s="2" t="e">
        <v>#NUM!</v>
      </c>
      <c r="H46" s="2" t="e">
        <v>#NUM!</v>
      </c>
      <c r="I46" s="2" t="e">
        <v>#NUM!</v>
      </c>
      <c r="J46" s="37" t="e">
        <v>#NUM!</v>
      </c>
      <c r="K46" s="37" t="e">
        <v>#NUM!</v>
      </c>
      <c r="L46" s="2" t="e">
        <v>#NUM!</v>
      </c>
      <c r="M46" s="37" t="e">
        <v>#NUM!</v>
      </c>
      <c r="N46" s="2" t="e">
        <v>#NUM!</v>
      </c>
      <c r="O46" s="2" t="e">
        <v>#NUM!</v>
      </c>
      <c r="P46" s="2" t="e">
        <v>#NUM!</v>
      </c>
      <c r="Q46" s="2" t="e">
        <v>#NUM!</v>
      </c>
      <c r="R46" s="2" t="e">
        <v>#NUM!</v>
      </c>
      <c r="S46" s="28" t="e">
        <v>#NUM!</v>
      </c>
      <c r="T46" s="2" t="e">
        <v>#NUM!</v>
      </c>
      <c r="U46" s="2" t="e">
        <v>#NUM!</v>
      </c>
      <c r="V46" s="28" t="e">
        <v>#NUM!</v>
      </c>
      <c r="W46" s="2" t="e">
        <v>#NUM!</v>
      </c>
      <c r="X46" s="2" t="e">
        <v>#NUM!</v>
      </c>
      <c r="Y46" s="2" t="e">
        <v>#NUM!</v>
      </c>
      <c r="Z46" s="2" t="e">
        <v>#NUM!</v>
      </c>
    </row>
    <row r="47" spans="5:26" ht="15">
      <c r="E47" s="56">
        <f t="shared" si="0"/>
        <v>0</v>
      </c>
      <c r="F47" s="2" t="e">
        <f t="array" ref="F47:Z47">INDEX(PRODUCTION,SMALL(IF((INDEX(PRODUCTION,,'CURRENT WIP'!$D$2,1)&lt;='CURRENT WIP'!$D$4)*(INDEX(PRODUCTION,,'CURRENT WIP'!$D$2,1)&gt;='CURRENT WIP'!$D$4),ROW(PRODUCTION)-MIN(ROW(PRODUCTION))+1,""),ROWS(K$21:$N46)),,1)</f>
        <v>#NUM!</v>
      </c>
      <c r="G47" s="2" t="e">
        <v>#NUM!</v>
      </c>
      <c r="H47" s="2" t="e">
        <v>#NUM!</v>
      </c>
      <c r="I47" s="2" t="e">
        <v>#NUM!</v>
      </c>
      <c r="J47" s="37" t="e">
        <v>#NUM!</v>
      </c>
      <c r="K47" s="37" t="e">
        <v>#NUM!</v>
      </c>
      <c r="L47" s="2" t="e">
        <v>#NUM!</v>
      </c>
      <c r="M47" s="37" t="e">
        <v>#NUM!</v>
      </c>
      <c r="N47" s="2" t="e">
        <v>#NUM!</v>
      </c>
      <c r="O47" s="2" t="e">
        <v>#NUM!</v>
      </c>
      <c r="P47" s="2" t="e">
        <v>#NUM!</v>
      </c>
      <c r="Q47" s="2" t="e">
        <v>#NUM!</v>
      </c>
      <c r="R47" s="2" t="e">
        <v>#NUM!</v>
      </c>
      <c r="S47" s="28" t="e">
        <v>#NUM!</v>
      </c>
      <c r="T47" s="2" t="e">
        <v>#NUM!</v>
      </c>
      <c r="U47" s="2" t="e">
        <v>#NUM!</v>
      </c>
      <c r="V47" s="28" t="e">
        <v>#NUM!</v>
      </c>
      <c r="W47" s="2" t="e">
        <v>#NUM!</v>
      </c>
      <c r="X47" s="2" t="e">
        <v>#NUM!</v>
      </c>
      <c r="Y47" s="2" t="e">
        <v>#NUM!</v>
      </c>
      <c r="Z47" s="2" t="e">
        <v>#NUM!</v>
      </c>
    </row>
    <row r="48" spans="5:26" ht="15">
      <c r="E48" s="56">
        <f t="shared" si="0"/>
        <v>0</v>
      </c>
      <c r="F48" s="2" t="e">
        <f t="array" ref="F48:Z48">INDEX(PRODUCTION,SMALL(IF((INDEX(PRODUCTION,,'CURRENT WIP'!$D$2,1)&lt;='CURRENT WIP'!$D$4)*(INDEX(PRODUCTION,,'CURRENT WIP'!$D$2,1)&gt;='CURRENT WIP'!$D$4),ROW(PRODUCTION)-MIN(ROW(PRODUCTION))+1,""),ROWS(K$21:$N47)),,1)</f>
        <v>#NUM!</v>
      </c>
      <c r="G48" s="2" t="e">
        <v>#NUM!</v>
      </c>
      <c r="H48" s="2" t="e">
        <v>#NUM!</v>
      </c>
      <c r="I48" s="2" t="e">
        <v>#NUM!</v>
      </c>
      <c r="J48" s="37" t="e">
        <v>#NUM!</v>
      </c>
      <c r="K48" s="37" t="e">
        <v>#NUM!</v>
      </c>
      <c r="L48" s="2" t="e">
        <v>#NUM!</v>
      </c>
      <c r="M48" s="37" t="e">
        <v>#NUM!</v>
      </c>
      <c r="N48" s="2" t="e">
        <v>#NUM!</v>
      </c>
      <c r="O48" s="2" t="e">
        <v>#NUM!</v>
      </c>
      <c r="P48" s="2" t="e">
        <v>#NUM!</v>
      </c>
      <c r="Q48" s="2" t="e">
        <v>#NUM!</v>
      </c>
      <c r="R48" s="2" t="e">
        <v>#NUM!</v>
      </c>
      <c r="S48" s="28" t="e">
        <v>#NUM!</v>
      </c>
      <c r="T48" s="2" t="e">
        <v>#NUM!</v>
      </c>
      <c r="U48" s="2" t="e">
        <v>#NUM!</v>
      </c>
      <c r="V48" s="28" t="e">
        <v>#NUM!</v>
      </c>
      <c r="W48" s="2" t="e">
        <v>#NUM!</v>
      </c>
      <c r="X48" s="2" t="e">
        <v>#NUM!</v>
      </c>
      <c r="Y48" s="2" t="e">
        <v>#NUM!</v>
      </c>
      <c r="Z48" s="2" t="e">
        <v>#NUM!</v>
      </c>
    </row>
    <row r="49" spans="4:26" ht="15">
      <c r="E49" s="56">
        <f t="shared" si="0"/>
        <v>0</v>
      </c>
      <c r="F49" s="2" t="e">
        <f t="array" ref="F49:Z49">INDEX(PRODUCTION,SMALL(IF((INDEX(PRODUCTION,,'CURRENT WIP'!$D$2,1)&lt;='CURRENT WIP'!$D$4)*(INDEX(PRODUCTION,,'CURRENT WIP'!$D$2,1)&gt;='CURRENT WIP'!$D$4),ROW(PRODUCTION)-MIN(ROW(PRODUCTION))+1,""),ROWS(K$21:$N48)),,1)</f>
        <v>#NUM!</v>
      </c>
      <c r="G49" s="2" t="e">
        <v>#NUM!</v>
      </c>
      <c r="H49" s="2" t="e">
        <v>#NUM!</v>
      </c>
      <c r="I49" s="2" t="e">
        <v>#NUM!</v>
      </c>
      <c r="J49" s="37" t="e">
        <v>#NUM!</v>
      </c>
      <c r="K49" s="37" t="e">
        <v>#NUM!</v>
      </c>
      <c r="L49" s="2" t="e">
        <v>#NUM!</v>
      </c>
      <c r="M49" s="37" t="e">
        <v>#NUM!</v>
      </c>
      <c r="N49" s="2" t="e">
        <v>#NUM!</v>
      </c>
      <c r="O49" s="2" t="e">
        <v>#NUM!</v>
      </c>
      <c r="P49" s="2" t="e">
        <v>#NUM!</v>
      </c>
      <c r="Q49" s="2" t="e">
        <v>#NUM!</v>
      </c>
      <c r="R49" s="2" t="e">
        <v>#NUM!</v>
      </c>
      <c r="S49" s="28" t="e">
        <v>#NUM!</v>
      </c>
      <c r="T49" s="2" t="e">
        <v>#NUM!</v>
      </c>
      <c r="U49" s="2" t="e">
        <v>#NUM!</v>
      </c>
      <c r="V49" s="28" t="e">
        <v>#NUM!</v>
      </c>
      <c r="W49" s="2" t="e">
        <v>#NUM!</v>
      </c>
      <c r="X49" s="2" t="e">
        <v>#NUM!</v>
      </c>
      <c r="Y49" s="2" t="e">
        <v>#NUM!</v>
      </c>
      <c r="Z49" s="2" t="e">
        <v>#NUM!</v>
      </c>
    </row>
    <row r="50" spans="4:26" ht="15">
      <c r="E50" s="56">
        <f t="shared" si="0"/>
        <v>0</v>
      </c>
      <c r="F50" s="2" t="e">
        <f t="array" ref="F50:Z50">INDEX(PRODUCTION,SMALL(IF((INDEX(PRODUCTION,,'CURRENT WIP'!$D$2,1)&lt;='CURRENT WIP'!$D$4)*(INDEX(PRODUCTION,,'CURRENT WIP'!$D$2,1)&gt;='CURRENT WIP'!$D$4),ROW(PRODUCTION)-MIN(ROW(PRODUCTION))+1,""),ROWS(K$21:$N49)),,1)</f>
        <v>#NUM!</v>
      </c>
      <c r="G50" s="2" t="e">
        <v>#NUM!</v>
      </c>
      <c r="H50" s="2" t="e">
        <v>#NUM!</v>
      </c>
      <c r="I50" s="2" t="e">
        <v>#NUM!</v>
      </c>
      <c r="J50" s="37" t="e">
        <v>#NUM!</v>
      </c>
      <c r="K50" s="37" t="e">
        <v>#NUM!</v>
      </c>
      <c r="L50" s="2" t="e">
        <v>#NUM!</v>
      </c>
      <c r="M50" s="37" t="e">
        <v>#NUM!</v>
      </c>
      <c r="N50" s="2" t="e">
        <v>#NUM!</v>
      </c>
      <c r="O50" s="2" t="e">
        <v>#NUM!</v>
      </c>
      <c r="P50" s="2" t="e">
        <v>#NUM!</v>
      </c>
      <c r="Q50" s="2" t="e">
        <v>#NUM!</v>
      </c>
      <c r="R50" s="2" t="e">
        <v>#NUM!</v>
      </c>
      <c r="S50" s="28" t="e">
        <v>#NUM!</v>
      </c>
      <c r="T50" s="2" t="e">
        <v>#NUM!</v>
      </c>
      <c r="U50" s="2" t="e">
        <v>#NUM!</v>
      </c>
      <c r="V50" s="28" t="e">
        <v>#NUM!</v>
      </c>
      <c r="W50" s="2" t="e">
        <v>#NUM!</v>
      </c>
      <c r="X50" s="2" t="e">
        <v>#NUM!</v>
      </c>
      <c r="Y50" s="2" t="e">
        <v>#NUM!</v>
      </c>
      <c r="Z50" s="2" t="e">
        <v>#NUM!</v>
      </c>
    </row>
    <row r="51" spans="4:26" ht="15.75">
      <c r="E51" s="19"/>
      <c r="F51" s="16"/>
      <c r="G51" s="16"/>
      <c r="H51" s="16"/>
      <c r="I51" s="16"/>
      <c r="K51" s="40"/>
      <c r="L51" s="16"/>
      <c r="M51" s="40"/>
      <c r="N51" s="17" t="s">
        <v>20</v>
      </c>
      <c r="O51" s="42"/>
      <c r="P51" s="42">
        <f t="array" ref="P51">SUM(IF(ISERROR(P21:P50),0,P21:P50))</f>
        <v>0</v>
      </c>
      <c r="Q51" s="42">
        <f t="array" ref="Q51">SUM(IF(ISERROR(Q21:Q50),0,Q21:Q50))</f>
        <v>0</v>
      </c>
      <c r="R51" s="42">
        <f t="array" ref="R51">SUM(IF(ISERROR(R21:R50),0,R21:R50))</f>
        <v>0</v>
      </c>
      <c r="S51" s="32"/>
      <c r="T51" s="16"/>
      <c r="U51" s="16"/>
    </row>
    <row r="52" spans="4:26" ht="30" customHeight="1">
      <c r="D52" s="2"/>
      <c r="F52" s="21" t="s">
        <v>0</v>
      </c>
      <c r="G52" s="21" t="s">
        <v>1</v>
      </c>
      <c r="H52" s="21" t="s">
        <v>21</v>
      </c>
      <c r="I52" s="21" t="s">
        <v>22</v>
      </c>
      <c r="J52" s="39" t="s">
        <v>23</v>
      </c>
      <c r="K52" s="39" t="s">
        <v>24</v>
      </c>
      <c r="L52" s="21" t="s">
        <v>25</v>
      </c>
      <c r="M52" s="39" t="s">
        <v>2</v>
      </c>
      <c r="N52" s="22" t="s">
        <v>3</v>
      </c>
      <c r="O52" s="23" t="s">
        <v>10</v>
      </c>
      <c r="P52" s="23" t="s">
        <v>4</v>
      </c>
      <c r="Q52" s="23" t="s">
        <v>5</v>
      </c>
      <c r="R52" s="23" t="s">
        <v>6</v>
      </c>
      <c r="S52" s="33" t="s">
        <v>26</v>
      </c>
      <c r="T52" s="27" t="s">
        <v>27</v>
      </c>
      <c r="U52" s="27" t="s">
        <v>28</v>
      </c>
      <c r="V52" s="33" t="s">
        <v>29</v>
      </c>
      <c r="W52" s="27" t="s">
        <v>30</v>
      </c>
      <c r="X52" s="23" t="s">
        <v>31</v>
      </c>
      <c r="Y52" s="27" t="s">
        <v>14</v>
      </c>
      <c r="Z52" s="21" t="s">
        <v>32</v>
      </c>
    </row>
    <row r="53" spans="4:26" ht="15.75">
      <c r="D53" s="19" t="s">
        <v>18</v>
      </c>
    </row>
    <row r="54" spans="4:26" ht="15">
      <c r="E54" s="56">
        <f>COUNTIF(F54,"*")</f>
        <v>0</v>
      </c>
      <c r="F54" t="e">
        <f t="array" ref="F54:Z54">INDEX(PRODUCTION,SMALL(IF((INDEX(PRODUCTION,,'CURRENT WIP'!$D$2,1)&lt;='CURRENT WIP'!$D$5)*(INDEX(PRODUCTION,,'CURRENT WIP'!$D$2,1)&gt;='CURRENT WIP'!$D$5),ROW(PRODUCTION)-MIN(ROW(PRODUCTION))+1,""),ROWS(N21:$N$21)),,1)</f>
        <v>#NUM!</v>
      </c>
      <c r="G54" s="2" t="e">
        <v>#NUM!</v>
      </c>
      <c r="H54" s="2" t="e">
        <v>#NUM!</v>
      </c>
      <c r="I54" s="2" t="e">
        <v>#NUM!</v>
      </c>
      <c r="J54" s="37" t="e">
        <v>#NUM!</v>
      </c>
      <c r="K54" s="37" t="e">
        <v>#NUM!</v>
      </c>
      <c r="L54" s="2" t="e">
        <v>#NUM!</v>
      </c>
      <c r="M54" s="37" t="e">
        <v>#NUM!</v>
      </c>
      <c r="N54" s="2" t="e">
        <v>#NUM!</v>
      </c>
      <c r="O54" s="2" t="e">
        <v>#NUM!</v>
      </c>
      <c r="P54" s="2" t="e">
        <v>#NUM!</v>
      </c>
      <c r="Q54" s="2" t="e">
        <v>#NUM!</v>
      </c>
      <c r="R54" s="2" t="e">
        <v>#NUM!</v>
      </c>
      <c r="S54" s="28" t="e">
        <v>#NUM!</v>
      </c>
      <c r="T54" s="2" t="e">
        <v>#NUM!</v>
      </c>
      <c r="U54" s="2" t="e">
        <v>#NUM!</v>
      </c>
      <c r="V54" s="28" t="e">
        <v>#NUM!</v>
      </c>
      <c r="W54" s="2" t="e">
        <v>#NUM!</v>
      </c>
      <c r="X54" s="2" t="e">
        <v>#NUM!</v>
      </c>
      <c r="Y54" s="2" t="e">
        <v>#NUM!</v>
      </c>
      <c r="Z54" s="2" t="e">
        <v>#NUM!</v>
      </c>
    </row>
    <row r="55" spans="4:26" ht="15">
      <c r="E55" s="56">
        <f t="shared" ref="E55:E82" si="1">COUNTIF(F55,"*")</f>
        <v>0</v>
      </c>
      <c r="F55" s="2" t="e">
        <f t="array" ref="F55:Z55">INDEX(PRODUCTION,SMALL(IF((INDEX(PRODUCTION,,'CURRENT WIP'!$D$2,1)&lt;='CURRENT WIP'!$D$5)*(INDEX(PRODUCTION,,'CURRENT WIP'!$D$2,1)&gt;='CURRENT WIP'!$D$5),ROW(PRODUCTION)-MIN(ROW(PRODUCTION))+1,""),ROWS(N$21:$N22)),,1)</f>
        <v>#NUM!</v>
      </c>
      <c r="G55" s="2" t="e">
        <v>#NUM!</v>
      </c>
      <c r="H55" s="2" t="e">
        <v>#NUM!</v>
      </c>
      <c r="I55" s="2" t="e">
        <v>#NUM!</v>
      </c>
      <c r="J55" s="37" t="e">
        <v>#NUM!</v>
      </c>
      <c r="K55" s="37" t="e">
        <v>#NUM!</v>
      </c>
      <c r="L55" s="2" t="e">
        <v>#NUM!</v>
      </c>
      <c r="M55" s="37" t="e">
        <v>#NUM!</v>
      </c>
      <c r="N55" s="2" t="e">
        <v>#NUM!</v>
      </c>
      <c r="O55" s="2" t="e">
        <v>#NUM!</v>
      </c>
      <c r="P55" s="2" t="e">
        <v>#NUM!</v>
      </c>
      <c r="Q55" s="2" t="e">
        <v>#NUM!</v>
      </c>
      <c r="R55" s="2" t="e">
        <v>#NUM!</v>
      </c>
      <c r="S55" s="28" t="e">
        <v>#NUM!</v>
      </c>
      <c r="T55" s="2" t="e">
        <v>#NUM!</v>
      </c>
      <c r="U55" s="2" t="e">
        <v>#NUM!</v>
      </c>
      <c r="V55" s="28" t="e">
        <v>#NUM!</v>
      </c>
      <c r="W55" s="2" t="e">
        <v>#NUM!</v>
      </c>
      <c r="X55" s="2" t="e">
        <v>#NUM!</v>
      </c>
      <c r="Y55" s="2" t="e">
        <v>#NUM!</v>
      </c>
      <c r="Z55" s="2" t="e">
        <v>#NUM!</v>
      </c>
    </row>
    <row r="56" spans="4:26" ht="15">
      <c r="E56" s="56">
        <f t="shared" si="1"/>
        <v>0</v>
      </c>
      <c r="F56" s="2" t="e">
        <f t="array" ref="F56:Z56">INDEX(PRODUCTION,SMALL(IF((INDEX(PRODUCTION,,'CURRENT WIP'!$D$2,1)&lt;='CURRENT WIP'!$D$5)*(INDEX(PRODUCTION,,'CURRENT WIP'!$D$2,1)&gt;='CURRENT WIP'!$D$5),ROW(PRODUCTION)-MIN(ROW(PRODUCTION))+1,""),ROWS(N$21:$N23)),,1)</f>
        <v>#NUM!</v>
      </c>
      <c r="G56" s="2" t="e">
        <v>#NUM!</v>
      </c>
      <c r="H56" s="2" t="e">
        <v>#NUM!</v>
      </c>
      <c r="I56" s="2" t="e">
        <v>#NUM!</v>
      </c>
      <c r="J56" s="37" t="e">
        <v>#NUM!</v>
      </c>
      <c r="K56" s="37" t="e">
        <v>#NUM!</v>
      </c>
      <c r="L56" s="2" t="e">
        <v>#NUM!</v>
      </c>
      <c r="M56" s="37" t="e">
        <v>#NUM!</v>
      </c>
      <c r="N56" s="2" t="e">
        <v>#NUM!</v>
      </c>
      <c r="O56" s="2" t="e">
        <v>#NUM!</v>
      </c>
      <c r="P56" s="2" t="e">
        <v>#NUM!</v>
      </c>
      <c r="Q56" s="2" t="e">
        <v>#NUM!</v>
      </c>
      <c r="R56" s="2" t="e">
        <v>#NUM!</v>
      </c>
      <c r="S56" s="28" t="e">
        <v>#NUM!</v>
      </c>
      <c r="T56" s="2" t="e">
        <v>#NUM!</v>
      </c>
      <c r="U56" s="2" t="e">
        <v>#NUM!</v>
      </c>
      <c r="V56" s="28" t="e">
        <v>#NUM!</v>
      </c>
      <c r="W56" s="2" t="e">
        <v>#NUM!</v>
      </c>
      <c r="X56" s="2" t="e">
        <v>#NUM!</v>
      </c>
      <c r="Y56" s="2" t="e">
        <v>#NUM!</v>
      </c>
      <c r="Z56" s="2" t="e">
        <v>#NUM!</v>
      </c>
    </row>
    <row r="57" spans="4:26" ht="15">
      <c r="E57" s="56">
        <f t="shared" si="1"/>
        <v>0</v>
      </c>
      <c r="F57" s="2" t="e">
        <f t="array" ref="F57:Z57">INDEX(PRODUCTION,SMALL(IF((INDEX(PRODUCTION,,'CURRENT WIP'!$D$2,1)&lt;='CURRENT WIP'!$D$5)*(INDEX(PRODUCTION,,'CURRENT WIP'!$D$2,1)&gt;='CURRENT WIP'!$D$5),ROW(PRODUCTION)-MIN(ROW(PRODUCTION))+1,""),ROWS(N$21:$N24)),,1)</f>
        <v>#NUM!</v>
      </c>
      <c r="G57" s="2" t="e">
        <v>#NUM!</v>
      </c>
      <c r="H57" s="2" t="e">
        <v>#NUM!</v>
      </c>
      <c r="I57" s="2" t="e">
        <v>#NUM!</v>
      </c>
      <c r="J57" s="37" t="e">
        <v>#NUM!</v>
      </c>
      <c r="K57" s="37" t="e">
        <v>#NUM!</v>
      </c>
      <c r="L57" s="2" t="e">
        <v>#NUM!</v>
      </c>
      <c r="M57" s="37" t="e">
        <v>#NUM!</v>
      </c>
      <c r="N57" s="2" t="e">
        <v>#NUM!</v>
      </c>
      <c r="O57" s="2" t="e">
        <v>#NUM!</v>
      </c>
      <c r="P57" s="2" t="e">
        <v>#NUM!</v>
      </c>
      <c r="Q57" s="2" t="e">
        <v>#NUM!</v>
      </c>
      <c r="R57" s="2" t="e">
        <v>#NUM!</v>
      </c>
      <c r="S57" s="28" t="e">
        <v>#NUM!</v>
      </c>
      <c r="T57" s="2" t="e">
        <v>#NUM!</v>
      </c>
      <c r="U57" s="2" t="e">
        <v>#NUM!</v>
      </c>
      <c r="V57" s="28" t="e">
        <v>#NUM!</v>
      </c>
      <c r="W57" s="2" t="e">
        <v>#NUM!</v>
      </c>
      <c r="X57" s="2" t="e">
        <v>#NUM!</v>
      </c>
      <c r="Y57" s="2" t="e">
        <v>#NUM!</v>
      </c>
      <c r="Z57" s="2" t="e">
        <v>#NUM!</v>
      </c>
    </row>
    <row r="58" spans="4:26" ht="15">
      <c r="E58" s="56">
        <f t="shared" si="1"/>
        <v>0</v>
      </c>
      <c r="F58" s="2" t="e">
        <f t="array" ref="F58:Z58">INDEX(PRODUCTION,SMALL(IF((INDEX(PRODUCTION,,'CURRENT WIP'!$D$2,1)&lt;='CURRENT WIP'!$D$5)*(INDEX(PRODUCTION,,'CURRENT WIP'!$D$2,1)&gt;='CURRENT WIP'!$D$5),ROW(PRODUCTION)-MIN(ROW(PRODUCTION))+1,""),ROWS(N$21:$N25)),,1)</f>
        <v>#NUM!</v>
      </c>
      <c r="G58" s="2" t="e">
        <v>#NUM!</v>
      </c>
      <c r="H58" s="2" t="e">
        <v>#NUM!</v>
      </c>
      <c r="I58" s="2" t="e">
        <v>#NUM!</v>
      </c>
      <c r="J58" s="37" t="e">
        <v>#NUM!</v>
      </c>
      <c r="K58" s="37" t="e">
        <v>#NUM!</v>
      </c>
      <c r="L58" s="2" t="e">
        <v>#NUM!</v>
      </c>
      <c r="M58" s="37" t="e">
        <v>#NUM!</v>
      </c>
      <c r="N58" s="2" t="e">
        <v>#NUM!</v>
      </c>
      <c r="O58" s="2" t="e">
        <v>#NUM!</v>
      </c>
      <c r="P58" s="2" t="e">
        <v>#NUM!</v>
      </c>
      <c r="Q58" s="2" t="e">
        <v>#NUM!</v>
      </c>
      <c r="R58" s="2" t="e">
        <v>#NUM!</v>
      </c>
      <c r="S58" s="28" t="e">
        <v>#NUM!</v>
      </c>
      <c r="T58" s="2" t="e">
        <v>#NUM!</v>
      </c>
      <c r="U58" s="2" t="e">
        <v>#NUM!</v>
      </c>
      <c r="V58" s="28" t="e">
        <v>#NUM!</v>
      </c>
      <c r="W58" s="2" t="e">
        <v>#NUM!</v>
      </c>
      <c r="X58" s="2" t="e">
        <v>#NUM!</v>
      </c>
      <c r="Y58" s="2" t="e">
        <v>#NUM!</v>
      </c>
      <c r="Z58" s="2" t="e">
        <v>#NUM!</v>
      </c>
    </row>
    <row r="59" spans="4:26" ht="15">
      <c r="E59" s="56">
        <f t="shared" si="1"/>
        <v>0</v>
      </c>
      <c r="F59" s="2" t="e">
        <f t="array" ref="F59:Z59">INDEX(PRODUCTION,SMALL(IF((INDEX(PRODUCTION,,'CURRENT WIP'!$D$2,1)&lt;='CURRENT WIP'!$D$5)*(INDEX(PRODUCTION,,'CURRENT WIP'!$D$2,1)&gt;='CURRENT WIP'!$D$5),ROW(PRODUCTION)-MIN(ROW(PRODUCTION))+1,""),ROWS(N$21:$N26)),,1)</f>
        <v>#NUM!</v>
      </c>
      <c r="G59" s="2" t="e">
        <v>#NUM!</v>
      </c>
      <c r="H59" s="2" t="e">
        <v>#NUM!</v>
      </c>
      <c r="I59" s="2" t="e">
        <v>#NUM!</v>
      </c>
      <c r="J59" s="37" t="e">
        <v>#NUM!</v>
      </c>
      <c r="K59" s="37" t="e">
        <v>#NUM!</v>
      </c>
      <c r="L59" s="2" t="e">
        <v>#NUM!</v>
      </c>
      <c r="M59" s="37" t="e">
        <v>#NUM!</v>
      </c>
      <c r="N59" s="2" t="e">
        <v>#NUM!</v>
      </c>
      <c r="O59" s="2" t="e">
        <v>#NUM!</v>
      </c>
      <c r="P59" s="2" t="e">
        <v>#NUM!</v>
      </c>
      <c r="Q59" s="2" t="e">
        <v>#NUM!</v>
      </c>
      <c r="R59" s="2" t="e">
        <v>#NUM!</v>
      </c>
      <c r="S59" s="28" t="e">
        <v>#NUM!</v>
      </c>
      <c r="T59" s="2" t="e">
        <v>#NUM!</v>
      </c>
      <c r="U59" s="2" t="e">
        <v>#NUM!</v>
      </c>
      <c r="V59" s="28" t="e">
        <v>#NUM!</v>
      </c>
      <c r="W59" s="2" t="e">
        <v>#NUM!</v>
      </c>
      <c r="X59" s="2" t="e">
        <v>#NUM!</v>
      </c>
      <c r="Y59" s="2" t="e">
        <v>#NUM!</v>
      </c>
      <c r="Z59" s="2" t="e">
        <v>#NUM!</v>
      </c>
    </row>
    <row r="60" spans="4:26" ht="15">
      <c r="E60" s="56">
        <f t="shared" si="1"/>
        <v>0</v>
      </c>
      <c r="F60" s="2" t="e">
        <f t="array" ref="F60:Z60">INDEX(PRODUCTION,SMALL(IF((INDEX(PRODUCTION,,'CURRENT WIP'!$D$2,1)&lt;='CURRENT WIP'!$D$5)*(INDEX(PRODUCTION,,'CURRENT WIP'!$D$2,1)&gt;='CURRENT WIP'!$D$5),ROW(PRODUCTION)-MIN(ROW(PRODUCTION))+1,""),ROWS(N$21:$N27)),,1)</f>
        <v>#NUM!</v>
      </c>
      <c r="G60" s="2" t="e">
        <v>#NUM!</v>
      </c>
      <c r="H60" s="2" t="e">
        <v>#NUM!</v>
      </c>
      <c r="I60" s="2" t="e">
        <v>#NUM!</v>
      </c>
      <c r="J60" s="37" t="e">
        <v>#NUM!</v>
      </c>
      <c r="K60" s="37" t="e">
        <v>#NUM!</v>
      </c>
      <c r="L60" s="2" t="e">
        <v>#NUM!</v>
      </c>
      <c r="M60" s="37" t="e">
        <v>#NUM!</v>
      </c>
      <c r="N60" s="2" t="e">
        <v>#NUM!</v>
      </c>
      <c r="O60" s="2" t="e">
        <v>#NUM!</v>
      </c>
      <c r="P60" s="2" t="e">
        <v>#NUM!</v>
      </c>
      <c r="Q60" s="2" t="e">
        <v>#NUM!</v>
      </c>
      <c r="R60" s="2" t="e">
        <v>#NUM!</v>
      </c>
      <c r="S60" s="28" t="e">
        <v>#NUM!</v>
      </c>
      <c r="T60" s="2" t="e">
        <v>#NUM!</v>
      </c>
      <c r="U60" s="2" t="e">
        <v>#NUM!</v>
      </c>
      <c r="V60" s="28" t="e">
        <v>#NUM!</v>
      </c>
      <c r="W60" s="2" t="e">
        <v>#NUM!</v>
      </c>
      <c r="X60" s="2" t="e">
        <v>#NUM!</v>
      </c>
      <c r="Y60" s="2" t="e">
        <v>#NUM!</v>
      </c>
      <c r="Z60" s="2" t="e">
        <v>#NUM!</v>
      </c>
    </row>
    <row r="61" spans="4:26" ht="15">
      <c r="E61" s="56">
        <f t="shared" si="1"/>
        <v>0</v>
      </c>
      <c r="F61" s="2" t="e">
        <f t="array" ref="F61:Z61">INDEX(PRODUCTION,SMALL(IF((INDEX(PRODUCTION,,'CURRENT WIP'!$D$2,1)&lt;='CURRENT WIP'!$D$5)*(INDEX(PRODUCTION,,'CURRENT WIP'!$D$2,1)&gt;='CURRENT WIP'!$D$5),ROW(PRODUCTION)-MIN(ROW(PRODUCTION))+1,""),ROWS(N$21:$N28)),,1)</f>
        <v>#NUM!</v>
      </c>
      <c r="G61" s="2" t="e">
        <v>#NUM!</v>
      </c>
      <c r="H61" s="2" t="e">
        <v>#NUM!</v>
      </c>
      <c r="I61" s="2" t="e">
        <v>#NUM!</v>
      </c>
      <c r="J61" s="37" t="e">
        <v>#NUM!</v>
      </c>
      <c r="K61" s="37" t="e">
        <v>#NUM!</v>
      </c>
      <c r="L61" s="2" t="e">
        <v>#NUM!</v>
      </c>
      <c r="M61" s="37" t="e">
        <v>#NUM!</v>
      </c>
      <c r="N61" s="2" t="e">
        <v>#NUM!</v>
      </c>
      <c r="O61" s="2" t="e">
        <v>#NUM!</v>
      </c>
      <c r="P61" s="2" t="e">
        <v>#NUM!</v>
      </c>
      <c r="Q61" s="2" t="e">
        <v>#NUM!</v>
      </c>
      <c r="R61" s="2" t="e">
        <v>#NUM!</v>
      </c>
      <c r="S61" s="28" t="e">
        <v>#NUM!</v>
      </c>
      <c r="T61" s="2" t="e">
        <v>#NUM!</v>
      </c>
      <c r="U61" s="2" t="e">
        <v>#NUM!</v>
      </c>
      <c r="V61" s="28" t="e">
        <v>#NUM!</v>
      </c>
      <c r="W61" s="2" t="e">
        <v>#NUM!</v>
      </c>
      <c r="X61" s="2" t="e">
        <v>#NUM!</v>
      </c>
      <c r="Y61" s="2" t="e">
        <v>#NUM!</v>
      </c>
      <c r="Z61" s="2" t="e">
        <v>#NUM!</v>
      </c>
    </row>
    <row r="62" spans="4:26" ht="15">
      <c r="E62" s="56">
        <f t="shared" si="1"/>
        <v>0</v>
      </c>
      <c r="F62" s="2" t="e">
        <f t="array" ref="F62:Z62">INDEX(PRODUCTION,SMALL(IF((INDEX(PRODUCTION,,'CURRENT WIP'!$D$2,1)&lt;='CURRENT WIP'!$D$5)*(INDEX(PRODUCTION,,'CURRENT WIP'!$D$2,1)&gt;='CURRENT WIP'!$D$5),ROW(PRODUCTION)-MIN(ROW(PRODUCTION))+1,""),ROWS(N$21:$N29)),,1)</f>
        <v>#NUM!</v>
      </c>
      <c r="G62" s="2" t="e">
        <v>#NUM!</v>
      </c>
      <c r="H62" s="2" t="e">
        <v>#NUM!</v>
      </c>
      <c r="I62" s="2" t="e">
        <v>#NUM!</v>
      </c>
      <c r="J62" s="37" t="e">
        <v>#NUM!</v>
      </c>
      <c r="K62" s="37" t="e">
        <v>#NUM!</v>
      </c>
      <c r="L62" s="2" t="e">
        <v>#NUM!</v>
      </c>
      <c r="M62" s="37" t="e">
        <v>#NUM!</v>
      </c>
      <c r="N62" s="2" t="e">
        <v>#NUM!</v>
      </c>
      <c r="O62" s="2" t="e">
        <v>#NUM!</v>
      </c>
      <c r="P62" s="2" t="e">
        <v>#NUM!</v>
      </c>
      <c r="Q62" s="2" t="e">
        <v>#NUM!</v>
      </c>
      <c r="R62" s="2" t="e">
        <v>#NUM!</v>
      </c>
      <c r="S62" s="28" t="e">
        <v>#NUM!</v>
      </c>
      <c r="T62" s="2" t="e">
        <v>#NUM!</v>
      </c>
      <c r="U62" s="2" t="e">
        <v>#NUM!</v>
      </c>
      <c r="V62" s="28" t="e">
        <v>#NUM!</v>
      </c>
      <c r="W62" s="2" t="e">
        <v>#NUM!</v>
      </c>
      <c r="X62" s="2" t="e">
        <v>#NUM!</v>
      </c>
      <c r="Y62" s="2" t="e">
        <v>#NUM!</v>
      </c>
      <c r="Z62" s="2" t="e">
        <v>#NUM!</v>
      </c>
    </row>
    <row r="63" spans="4:26" ht="15">
      <c r="E63" s="56">
        <f t="shared" si="1"/>
        <v>0</v>
      </c>
      <c r="F63" s="2" t="e">
        <f t="array" ref="F63:Z63">INDEX(PRODUCTION,SMALL(IF((INDEX(PRODUCTION,,'CURRENT WIP'!$D$2,1)&lt;='CURRENT WIP'!$D$5)*(INDEX(PRODUCTION,,'CURRENT WIP'!$D$2,1)&gt;='CURRENT WIP'!$D$5),ROW(PRODUCTION)-MIN(ROW(PRODUCTION))+1,""),ROWS(N$21:$N30)),,1)</f>
        <v>#NUM!</v>
      </c>
      <c r="G63" s="2" t="e">
        <v>#NUM!</v>
      </c>
      <c r="H63" s="2" t="e">
        <v>#NUM!</v>
      </c>
      <c r="I63" s="2" t="e">
        <v>#NUM!</v>
      </c>
      <c r="J63" s="37" t="e">
        <v>#NUM!</v>
      </c>
      <c r="K63" s="37" t="e">
        <v>#NUM!</v>
      </c>
      <c r="L63" s="2" t="e">
        <v>#NUM!</v>
      </c>
      <c r="M63" s="37" t="e">
        <v>#NUM!</v>
      </c>
      <c r="N63" s="2" t="e">
        <v>#NUM!</v>
      </c>
      <c r="O63" s="2" t="e">
        <v>#NUM!</v>
      </c>
      <c r="P63" s="2" t="e">
        <v>#NUM!</v>
      </c>
      <c r="Q63" s="2" t="e">
        <v>#NUM!</v>
      </c>
      <c r="R63" s="2" t="e">
        <v>#NUM!</v>
      </c>
      <c r="S63" s="28" t="e">
        <v>#NUM!</v>
      </c>
      <c r="T63" s="2" t="e">
        <v>#NUM!</v>
      </c>
      <c r="U63" s="2" t="e">
        <v>#NUM!</v>
      </c>
      <c r="V63" s="28" t="e">
        <v>#NUM!</v>
      </c>
      <c r="W63" s="2" t="e">
        <v>#NUM!</v>
      </c>
      <c r="X63" s="2" t="e">
        <v>#NUM!</v>
      </c>
      <c r="Y63" s="2" t="e">
        <v>#NUM!</v>
      </c>
      <c r="Z63" s="2" t="e">
        <v>#NUM!</v>
      </c>
    </row>
    <row r="64" spans="4:26" ht="15">
      <c r="E64" s="56">
        <f t="shared" si="1"/>
        <v>0</v>
      </c>
      <c r="F64" s="2" t="e">
        <f t="array" ref="F64:Z64">INDEX(PRODUCTION,SMALL(IF((INDEX(PRODUCTION,,'CURRENT WIP'!$D$2,1)&lt;='CURRENT WIP'!$D$5)*(INDEX(PRODUCTION,,'CURRENT WIP'!$D$2,1)&gt;='CURRENT WIP'!$D$5),ROW(PRODUCTION)-MIN(ROW(PRODUCTION))+1,""),ROWS(N$21:$N31)),,1)</f>
        <v>#NUM!</v>
      </c>
      <c r="G64" s="2" t="e">
        <v>#NUM!</v>
      </c>
      <c r="H64" s="2" t="e">
        <v>#NUM!</v>
      </c>
      <c r="I64" s="2" t="e">
        <v>#NUM!</v>
      </c>
      <c r="J64" s="37" t="e">
        <v>#NUM!</v>
      </c>
      <c r="K64" s="37" t="e">
        <v>#NUM!</v>
      </c>
      <c r="L64" s="2" t="e">
        <v>#NUM!</v>
      </c>
      <c r="M64" s="37" t="e">
        <v>#NUM!</v>
      </c>
      <c r="N64" s="2" t="e">
        <v>#NUM!</v>
      </c>
      <c r="O64" s="2" t="e">
        <v>#NUM!</v>
      </c>
      <c r="P64" s="2" t="e">
        <v>#NUM!</v>
      </c>
      <c r="Q64" s="2" t="e">
        <v>#NUM!</v>
      </c>
      <c r="R64" s="2" t="e">
        <v>#NUM!</v>
      </c>
      <c r="S64" s="28" t="e">
        <v>#NUM!</v>
      </c>
      <c r="T64" s="2" t="e">
        <v>#NUM!</v>
      </c>
      <c r="U64" s="2" t="e">
        <v>#NUM!</v>
      </c>
      <c r="V64" s="28" t="e">
        <v>#NUM!</v>
      </c>
      <c r="W64" s="2" t="e">
        <v>#NUM!</v>
      </c>
      <c r="X64" s="2" t="e">
        <v>#NUM!</v>
      </c>
      <c r="Y64" s="2" t="e">
        <v>#NUM!</v>
      </c>
      <c r="Z64" s="2" t="e">
        <v>#NUM!</v>
      </c>
    </row>
    <row r="65" spans="5:26" ht="15">
      <c r="E65" s="56">
        <f t="shared" si="1"/>
        <v>0</v>
      </c>
      <c r="F65" s="2" t="e">
        <f t="array" ref="F65:Z65">INDEX(PRODUCTION,SMALL(IF((INDEX(PRODUCTION,,'CURRENT WIP'!$D$2,1)&lt;='CURRENT WIP'!$D$5)*(INDEX(PRODUCTION,,'CURRENT WIP'!$D$2,1)&gt;='CURRENT WIP'!$D$5),ROW(PRODUCTION)-MIN(ROW(PRODUCTION))+1,""),ROWS(N$21:$N32)),,1)</f>
        <v>#NUM!</v>
      </c>
      <c r="G65" s="2" t="e">
        <v>#NUM!</v>
      </c>
      <c r="H65" s="2" t="e">
        <v>#NUM!</v>
      </c>
      <c r="I65" s="2" t="e">
        <v>#NUM!</v>
      </c>
      <c r="J65" s="37" t="e">
        <v>#NUM!</v>
      </c>
      <c r="K65" s="37" t="e">
        <v>#NUM!</v>
      </c>
      <c r="L65" s="2" t="e">
        <v>#NUM!</v>
      </c>
      <c r="M65" s="37" t="e">
        <v>#NUM!</v>
      </c>
      <c r="N65" s="2" t="e">
        <v>#NUM!</v>
      </c>
      <c r="O65" s="2" t="e">
        <v>#NUM!</v>
      </c>
      <c r="P65" s="2" t="e">
        <v>#NUM!</v>
      </c>
      <c r="Q65" s="2" t="e">
        <v>#NUM!</v>
      </c>
      <c r="R65" s="2" t="e">
        <v>#NUM!</v>
      </c>
      <c r="S65" s="28" t="e">
        <v>#NUM!</v>
      </c>
      <c r="T65" s="2" t="e">
        <v>#NUM!</v>
      </c>
      <c r="U65" s="2" t="e">
        <v>#NUM!</v>
      </c>
      <c r="V65" s="28" t="e">
        <v>#NUM!</v>
      </c>
      <c r="W65" s="2" t="e">
        <v>#NUM!</v>
      </c>
      <c r="X65" s="2" t="e">
        <v>#NUM!</v>
      </c>
      <c r="Y65" s="2" t="e">
        <v>#NUM!</v>
      </c>
      <c r="Z65" s="2" t="e">
        <v>#NUM!</v>
      </c>
    </row>
    <row r="66" spans="5:26" ht="15">
      <c r="E66" s="56">
        <f t="shared" si="1"/>
        <v>0</v>
      </c>
      <c r="F66" s="2" t="e">
        <f t="array" ref="F66:Z66">INDEX(PRODUCTION,SMALL(IF((INDEX(PRODUCTION,,'CURRENT WIP'!$D$2,1)&lt;='CURRENT WIP'!$D$5)*(INDEX(PRODUCTION,,'CURRENT WIP'!$D$2,1)&gt;='CURRENT WIP'!$D$5),ROW(PRODUCTION)-MIN(ROW(PRODUCTION))+1,""),ROWS(N$21:$N33)),,1)</f>
        <v>#NUM!</v>
      </c>
      <c r="G66" s="2" t="e">
        <v>#NUM!</v>
      </c>
      <c r="H66" s="2" t="e">
        <v>#NUM!</v>
      </c>
      <c r="I66" s="2" t="e">
        <v>#NUM!</v>
      </c>
      <c r="J66" s="37" t="e">
        <v>#NUM!</v>
      </c>
      <c r="K66" s="37" t="e">
        <v>#NUM!</v>
      </c>
      <c r="L66" s="2" t="e">
        <v>#NUM!</v>
      </c>
      <c r="M66" s="37" t="e">
        <v>#NUM!</v>
      </c>
      <c r="N66" s="2" t="e">
        <v>#NUM!</v>
      </c>
      <c r="O66" s="2" t="e">
        <v>#NUM!</v>
      </c>
      <c r="P66" s="2" t="e">
        <v>#NUM!</v>
      </c>
      <c r="Q66" s="2" t="e">
        <v>#NUM!</v>
      </c>
      <c r="R66" s="2" t="e">
        <v>#NUM!</v>
      </c>
      <c r="S66" s="28" t="e">
        <v>#NUM!</v>
      </c>
      <c r="T66" s="2" t="e">
        <v>#NUM!</v>
      </c>
      <c r="U66" s="2" t="e">
        <v>#NUM!</v>
      </c>
      <c r="V66" s="28" t="e">
        <v>#NUM!</v>
      </c>
      <c r="W66" s="2" t="e">
        <v>#NUM!</v>
      </c>
      <c r="X66" s="2" t="e">
        <v>#NUM!</v>
      </c>
      <c r="Y66" s="2" t="e">
        <v>#NUM!</v>
      </c>
      <c r="Z66" s="2" t="e">
        <v>#NUM!</v>
      </c>
    </row>
    <row r="67" spans="5:26" ht="15">
      <c r="E67" s="56">
        <f t="shared" si="1"/>
        <v>0</v>
      </c>
      <c r="F67" s="2" t="e">
        <f t="array" ref="F67:Z67">INDEX(PRODUCTION,SMALL(IF((INDEX(PRODUCTION,,'CURRENT WIP'!$D$2,1)&lt;='CURRENT WIP'!$D$5)*(INDEX(PRODUCTION,,'CURRENT WIP'!$D$2,1)&gt;='CURRENT WIP'!$D$5),ROW(PRODUCTION)-MIN(ROW(PRODUCTION))+1,""),ROWS(N$21:$N34)),,1)</f>
        <v>#NUM!</v>
      </c>
      <c r="G67" s="2" t="e">
        <v>#NUM!</v>
      </c>
      <c r="H67" s="2" t="e">
        <v>#NUM!</v>
      </c>
      <c r="I67" s="2" t="e">
        <v>#NUM!</v>
      </c>
      <c r="J67" s="37" t="e">
        <v>#NUM!</v>
      </c>
      <c r="K67" s="37" t="e">
        <v>#NUM!</v>
      </c>
      <c r="L67" s="2" t="e">
        <v>#NUM!</v>
      </c>
      <c r="M67" s="37" t="e">
        <v>#NUM!</v>
      </c>
      <c r="N67" s="2" t="e">
        <v>#NUM!</v>
      </c>
      <c r="O67" s="2" t="e">
        <v>#NUM!</v>
      </c>
      <c r="P67" s="2" t="e">
        <v>#NUM!</v>
      </c>
      <c r="Q67" s="2" t="e">
        <v>#NUM!</v>
      </c>
      <c r="R67" s="2" t="e">
        <v>#NUM!</v>
      </c>
      <c r="S67" s="28" t="e">
        <v>#NUM!</v>
      </c>
      <c r="T67" s="2" t="e">
        <v>#NUM!</v>
      </c>
      <c r="U67" s="2" t="e">
        <v>#NUM!</v>
      </c>
      <c r="V67" s="28" t="e">
        <v>#NUM!</v>
      </c>
      <c r="W67" s="2" t="e">
        <v>#NUM!</v>
      </c>
      <c r="X67" s="2" t="e">
        <v>#NUM!</v>
      </c>
      <c r="Y67" s="2" t="e">
        <v>#NUM!</v>
      </c>
      <c r="Z67" s="2" t="e">
        <v>#NUM!</v>
      </c>
    </row>
    <row r="68" spans="5:26" ht="15">
      <c r="E68" s="56">
        <f t="shared" si="1"/>
        <v>0</v>
      </c>
      <c r="F68" s="2" t="e">
        <f t="array" ref="F68:Z68">INDEX(PRODUCTION,SMALL(IF((INDEX(PRODUCTION,,'CURRENT WIP'!$D$2,1)&lt;='CURRENT WIP'!$D$5)*(INDEX(PRODUCTION,,'CURRENT WIP'!$D$2,1)&gt;='CURRENT WIP'!$D$5),ROW(PRODUCTION)-MIN(ROW(PRODUCTION))+1,""),ROWS(N$21:$N35)),,1)</f>
        <v>#NUM!</v>
      </c>
      <c r="G68" s="2" t="e">
        <v>#NUM!</v>
      </c>
      <c r="H68" s="2" t="e">
        <v>#NUM!</v>
      </c>
      <c r="I68" s="2" t="e">
        <v>#NUM!</v>
      </c>
      <c r="J68" s="37" t="e">
        <v>#NUM!</v>
      </c>
      <c r="K68" s="37" t="e">
        <v>#NUM!</v>
      </c>
      <c r="L68" s="2" t="e">
        <v>#NUM!</v>
      </c>
      <c r="M68" s="37" t="e">
        <v>#NUM!</v>
      </c>
      <c r="N68" s="2" t="e">
        <v>#NUM!</v>
      </c>
      <c r="O68" s="2" t="e">
        <v>#NUM!</v>
      </c>
      <c r="P68" s="2" t="e">
        <v>#NUM!</v>
      </c>
      <c r="Q68" s="2" t="e">
        <v>#NUM!</v>
      </c>
      <c r="R68" s="2" t="e">
        <v>#NUM!</v>
      </c>
      <c r="S68" s="28" t="e">
        <v>#NUM!</v>
      </c>
      <c r="T68" s="2" t="e">
        <v>#NUM!</v>
      </c>
      <c r="U68" s="2" t="e">
        <v>#NUM!</v>
      </c>
      <c r="V68" s="28" t="e">
        <v>#NUM!</v>
      </c>
      <c r="W68" s="2" t="e">
        <v>#NUM!</v>
      </c>
      <c r="X68" s="2" t="e">
        <v>#NUM!</v>
      </c>
      <c r="Y68" s="2" t="e">
        <v>#NUM!</v>
      </c>
      <c r="Z68" s="2" t="e">
        <v>#NUM!</v>
      </c>
    </row>
    <row r="69" spans="5:26" ht="15">
      <c r="E69" s="56">
        <f t="shared" si="1"/>
        <v>0</v>
      </c>
      <c r="F69" s="2" t="e">
        <f t="array" ref="F69:Z69">INDEX(PRODUCTION,SMALL(IF((INDEX(PRODUCTION,,'CURRENT WIP'!$D$2,1)&lt;='CURRENT WIP'!$D$5)*(INDEX(PRODUCTION,,'CURRENT WIP'!$D$2,1)&gt;='CURRENT WIP'!$D$5),ROW(PRODUCTION)-MIN(ROW(PRODUCTION))+1,""),ROWS(N$21:$N36)),,1)</f>
        <v>#NUM!</v>
      </c>
      <c r="G69" s="2" t="e">
        <v>#NUM!</v>
      </c>
      <c r="H69" s="2" t="e">
        <v>#NUM!</v>
      </c>
      <c r="I69" s="2" t="e">
        <v>#NUM!</v>
      </c>
      <c r="J69" s="37" t="e">
        <v>#NUM!</v>
      </c>
      <c r="K69" s="37" t="e">
        <v>#NUM!</v>
      </c>
      <c r="L69" s="2" t="e">
        <v>#NUM!</v>
      </c>
      <c r="M69" s="37" t="e">
        <v>#NUM!</v>
      </c>
      <c r="N69" s="2" t="e">
        <v>#NUM!</v>
      </c>
      <c r="O69" s="2" t="e">
        <v>#NUM!</v>
      </c>
      <c r="P69" s="2" t="e">
        <v>#NUM!</v>
      </c>
      <c r="Q69" s="2" t="e">
        <v>#NUM!</v>
      </c>
      <c r="R69" s="2" t="e">
        <v>#NUM!</v>
      </c>
      <c r="S69" s="28" t="e">
        <v>#NUM!</v>
      </c>
      <c r="T69" s="2" t="e">
        <v>#NUM!</v>
      </c>
      <c r="U69" s="2" t="e">
        <v>#NUM!</v>
      </c>
      <c r="V69" s="28" t="e">
        <v>#NUM!</v>
      </c>
      <c r="W69" s="2" t="e">
        <v>#NUM!</v>
      </c>
      <c r="X69" s="2" t="e">
        <v>#NUM!</v>
      </c>
      <c r="Y69" s="2" t="e">
        <v>#NUM!</v>
      </c>
      <c r="Z69" s="2" t="e">
        <v>#NUM!</v>
      </c>
    </row>
    <row r="70" spans="5:26" ht="15">
      <c r="E70" s="56">
        <f t="shared" si="1"/>
        <v>0</v>
      </c>
      <c r="F70" s="2" t="e">
        <f t="array" ref="F70:Z70">INDEX(PRODUCTION,SMALL(IF((INDEX(PRODUCTION,,'CURRENT WIP'!$D$2,1)&lt;='CURRENT WIP'!$D$5)*(INDEX(PRODUCTION,,'CURRENT WIP'!$D$2,1)&gt;='CURRENT WIP'!$D$5),ROW(PRODUCTION)-MIN(ROW(PRODUCTION))+1,""),ROWS(N$21:$N37)),,1)</f>
        <v>#NUM!</v>
      </c>
      <c r="G70" s="2" t="e">
        <v>#NUM!</v>
      </c>
      <c r="H70" s="2" t="e">
        <v>#NUM!</v>
      </c>
      <c r="I70" s="2" t="e">
        <v>#NUM!</v>
      </c>
      <c r="J70" s="37" t="e">
        <v>#NUM!</v>
      </c>
      <c r="K70" s="37" t="e">
        <v>#NUM!</v>
      </c>
      <c r="L70" s="2" t="e">
        <v>#NUM!</v>
      </c>
      <c r="M70" s="37" t="e">
        <v>#NUM!</v>
      </c>
      <c r="N70" s="2" t="e">
        <v>#NUM!</v>
      </c>
      <c r="O70" s="2" t="e">
        <v>#NUM!</v>
      </c>
      <c r="P70" s="2" t="e">
        <v>#NUM!</v>
      </c>
      <c r="Q70" s="2" t="e">
        <v>#NUM!</v>
      </c>
      <c r="R70" s="2" t="e">
        <v>#NUM!</v>
      </c>
      <c r="S70" s="28" t="e">
        <v>#NUM!</v>
      </c>
      <c r="T70" s="2" t="e">
        <v>#NUM!</v>
      </c>
      <c r="U70" s="2" t="e">
        <v>#NUM!</v>
      </c>
      <c r="V70" s="28" t="e">
        <v>#NUM!</v>
      </c>
      <c r="W70" s="2" t="e">
        <v>#NUM!</v>
      </c>
      <c r="X70" s="2" t="e">
        <v>#NUM!</v>
      </c>
      <c r="Y70" s="2" t="e">
        <v>#NUM!</v>
      </c>
      <c r="Z70" s="2" t="e">
        <v>#NUM!</v>
      </c>
    </row>
    <row r="71" spans="5:26" ht="15">
      <c r="E71" s="56">
        <f t="shared" si="1"/>
        <v>0</v>
      </c>
      <c r="F71" s="2" t="e">
        <f t="array" ref="F71:Z71">INDEX(PRODUCTION,SMALL(IF((INDEX(PRODUCTION,,'CURRENT WIP'!$D$2,1)&lt;='CURRENT WIP'!$D$5)*(INDEX(PRODUCTION,,'CURRENT WIP'!$D$2,1)&gt;='CURRENT WIP'!$D$5),ROW(PRODUCTION)-MIN(ROW(PRODUCTION))+1,""),ROWS(N$21:$N38)),,1)</f>
        <v>#NUM!</v>
      </c>
      <c r="G71" s="2" t="e">
        <v>#NUM!</v>
      </c>
      <c r="H71" s="2" t="e">
        <v>#NUM!</v>
      </c>
      <c r="I71" s="2" t="e">
        <v>#NUM!</v>
      </c>
      <c r="J71" s="37" t="e">
        <v>#NUM!</v>
      </c>
      <c r="K71" s="37" t="e">
        <v>#NUM!</v>
      </c>
      <c r="L71" s="2" t="e">
        <v>#NUM!</v>
      </c>
      <c r="M71" s="37" t="e">
        <v>#NUM!</v>
      </c>
      <c r="N71" s="2" t="e">
        <v>#NUM!</v>
      </c>
      <c r="O71" s="2" t="e">
        <v>#NUM!</v>
      </c>
      <c r="P71" s="2" t="e">
        <v>#NUM!</v>
      </c>
      <c r="Q71" s="2" t="e">
        <v>#NUM!</v>
      </c>
      <c r="R71" s="2" t="e">
        <v>#NUM!</v>
      </c>
      <c r="S71" s="28" t="e">
        <v>#NUM!</v>
      </c>
      <c r="T71" s="2" t="e">
        <v>#NUM!</v>
      </c>
      <c r="U71" s="2" t="e">
        <v>#NUM!</v>
      </c>
      <c r="V71" s="28" t="e">
        <v>#NUM!</v>
      </c>
      <c r="W71" s="2" t="e">
        <v>#NUM!</v>
      </c>
      <c r="X71" s="2" t="e">
        <v>#NUM!</v>
      </c>
      <c r="Y71" s="2" t="e">
        <v>#NUM!</v>
      </c>
      <c r="Z71" s="2" t="e">
        <v>#NUM!</v>
      </c>
    </row>
    <row r="72" spans="5:26" ht="15">
      <c r="E72" s="56">
        <f t="shared" si="1"/>
        <v>0</v>
      </c>
      <c r="F72" s="2" t="e">
        <f t="array" ref="F72:Z72">INDEX(PRODUCTION,SMALL(IF((INDEX(PRODUCTION,,'CURRENT WIP'!$D$2,1)&lt;='CURRENT WIP'!$D$5)*(INDEX(PRODUCTION,,'CURRENT WIP'!$D$2,1)&gt;='CURRENT WIP'!$D$5),ROW(PRODUCTION)-MIN(ROW(PRODUCTION))+1,""),ROWS(N$21:$N39)),,1)</f>
        <v>#NUM!</v>
      </c>
      <c r="G72" s="2" t="e">
        <v>#NUM!</v>
      </c>
      <c r="H72" s="2" t="e">
        <v>#NUM!</v>
      </c>
      <c r="I72" s="2" t="e">
        <v>#NUM!</v>
      </c>
      <c r="J72" s="37" t="e">
        <v>#NUM!</v>
      </c>
      <c r="K72" s="37" t="e">
        <v>#NUM!</v>
      </c>
      <c r="L72" s="2" t="e">
        <v>#NUM!</v>
      </c>
      <c r="M72" s="37" t="e">
        <v>#NUM!</v>
      </c>
      <c r="N72" s="2" t="e">
        <v>#NUM!</v>
      </c>
      <c r="O72" s="2" t="e">
        <v>#NUM!</v>
      </c>
      <c r="P72" s="2" t="e">
        <v>#NUM!</v>
      </c>
      <c r="Q72" s="2" t="e">
        <v>#NUM!</v>
      </c>
      <c r="R72" s="2" t="e">
        <v>#NUM!</v>
      </c>
      <c r="S72" s="28" t="e">
        <v>#NUM!</v>
      </c>
      <c r="T72" s="2" t="e">
        <v>#NUM!</v>
      </c>
      <c r="U72" s="2" t="e">
        <v>#NUM!</v>
      </c>
      <c r="V72" s="28" t="e">
        <v>#NUM!</v>
      </c>
      <c r="W72" s="2" t="e">
        <v>#NUM!</v>
      </c>
      <c r="X72" s="2" t="e">
        <v>#NUM!</v>
      </c>
      <c r="Y72" s="2" t="e">
        <v>#NUM!</v>
      </c>
      <c r="Z72" s="2" t="e">
        <v>#NUM!</v>
      </c>
    </row>
    <row r="73" spans="5:26" ht="15">
      <c r="E73" s="56">
        <f t="shared" si="1"/>
        <v>0</v>
      </c>
      <c r="F73" s="2" t="e">
        <f t="array" ref="F73:Z73">INDEX(PRODUCTION,SMALL(IF((INDEX(PRODUCTION,,'CURRENT WIP'!$D$2,1)&lt;='CURRENT WIP'!$D$5)*(INDEX(PRODUCTION,,'CURRENT WIP'!$D$2,1)&gt;='CURRENT WIP'!$D$5),ROW(PRODUCTION)-MIN(ROW(PRODUCTION))+1,""),ROWS(N$21:$N40)),,1)</f>
        <v>#NUM!</v>
      </c>
      <c r="G73" s="2" t="e">
        <v>#NUM!</v>
      </c>
      <c r="H73" s="2" t="e">
        <v>#NUM!</v>
      </c>
      <c r="I73" s="2" t="e">
        <v>#NUM!</v>
      </c>
      <c r="J73" s="37" t="e">
        <v>#NUM!</v>
      </c>
      <c r="K73" s="37" t="e">
        <v>#NUM!</v>
      </c>
      <c r="L73" s="2" t="e">
        <v>#NUM!</v>
      </c>
      <c r="M73" s="37" t="e">
        <v>#NUM!</v>
      </c>
      <c r="N73" s="2" t="e">
        <v>#NUM!</v>
      </c>
      <c r="O73" s="2" t="e">
        <v>#NUM!</v>
      </c>
      <c r="P73" s="2" t="e">
        <v>#NUM!</v>
      </c>
      <c r="Q73" s="2" t="e">
        <v>#NUM!</v>
      </c>
      <c r="R73" s="2" t="e">
        <v>#NUM!</v>
      </c>
      <c r="S73" s="28" t="e">
        <v>#NUM!</v>
      </c>
      <c r="T73" s="2" t="e">
        <v>#NUM!</v>
      </c>
      <c r="U73" s="2" t="e">
        <v>#NUM!</v>
      </c>
      <c r="V73" s="28" t="e">
        <v>#NUM!</v>
      </c>
      <c r="W73" s="2" t="e">
        <v>#NUM!</v>
      </c>
      <c r="X73" s="2" t="e">
        <v>#NUM!</v>
      </c>
      <c r="Y73" s="2" t="e">
        <v>#NUM!</v>
      </c>
      <c r="Z73" s="2" t="e">
        <v>#NUM!</v>
      </c>
    </row>
    <row r="74" spans="5:26" ht="15">
      <c r="E74" s="56">
        <f t="shared" si="1"/>
        <v>0</v>
      </c>
      <c r="F74" s="2" t="e">
        <f t="array" ref="F74:Z74">INDEX(PRODUCTION,SMALL(IF((INDEX(PRODUCTION,,'CURRENT WIP'!$D$2,1)&lt;='CURRENT WIP'!$D$5)*(INDEX(PRODUCTION,,'CURRENT WIP'!$D$2,1)&gt;='CURRENT WIP'!$D$5),ROW(PRODUCTION)-MIN(ROW(PRODUCTION))+1,""),ROWS(N$21:$N41)),,1)</f>
        <v>#NUM!</v>
      </c>
      <c r="G74" s="2" t="e">
        <v>#NUM!</v>
      </c>
      <c r="H74" s="2" t="e">
        <v>#NUM!</v>
      </c>
      <c r="I74" s="2" t="e">
        <v>#NUM!</v>
      </c>
      <c r="J74" s="37" t="e">
        <v>#NUM!</v>
      </c>
      <c r="K74" s="37" t="e">
        <v>#NUM!</v>
      </c>
      <c r="L74" s="2" t="e">
        <v>#NUM!</v>
      </c>
      <c r="M74" s="37" t="e">
        <v>#NUM!</v>
      </c>
      <c r="N74" s="2" t="e">
        <v>#NUM!</v>
      </c>
      <c r="O74" s="2" t="e">
        <v>#NUM!</v>
      </c>
      <c r="P74" s="2" t="e">
        <v>#NUM!</v>
      </c>
      <c r="Q74" s="2" t="e">
        <v>#NUM!</v>
      </c>
      <c r="R74" s="2" t="e">
        <v>#NUM!</v>
      </c>
      <c r="S74" s="28" t="e">
        <v>#NUM!</v>
      </c>
      <c r="T74" s="2" t="e">
        <v>#NUM!</v>
      </c>
      <c r="U74" s="2" t="e">
        <v>#NUM!</v>
      </c>
      <c r="V74" s="28" t="e">
        <v>#NUM!</v>
      </c>
      <c r="W74" s="2" t="e">
        <v>#NUM!</v>
      </c>
      <c r="X74" s="2" t="e">
        <v>#NUM!</v>
      </c>
      <c r="Y74" s="2" t="e">
        <v>#NUM!</v>
      </c>
      <c r="Z74" s="2" t="e">
        <v>#NUM!</v>
      </c>
    </row>
    <row r="75" spans="5:26" ht="15">
      <c r="E75" s="56">
        <f t="shared" si="1"/>
        <v>0</v>
      </c>
      <c r="F75" s="2" t="e">
        <f t="array" ref="F75:Z75">INDEX(PRODUCTION,SMALL(IF((INDEX(PRODUCTION,,'CURRENT WIP'!$D$2,1)&lt;='CURRENT WIP'!$D$5)*(INDEX(PRODUCTION,,'CURRENT WIP'!$D$2,1)&gt;='CURRENT WIP'!$D$5),ROW(PRODUCTION)-MIN(ROW(PRODUCTION))+1,""),ROWS(N$21:$N42)),,1)</f>
        <v>#NUM!</v>
      </c>
      <c r="G75" s="2" t="e">
        <v>#NUM!</v>
      </c>
      <c r="H75" s="2" t="e">
        <v>#NUM!</v>
      </c>
      <c r="I75" s="2" t="e">
        <v>#NUM!</v>
      </c>
      <c r="J75" s="37" t="e">
        <v>#NUM!</v>
      </c>
      <c r="K75" s="37" t="e">
        <v>#NUM!</v>
      </c>
      <c r="L75" s="2" t="e">
        <v>#NUM!</v>
      </c>
      <c r="M75" s="37" t="e">
        <v>#NUM!</v>
      </c>
      <c r="N75" s="2" t="e">
        <v>#NUM!</v>
      </c>
      <c r="O75" s="2" t="e">
        <v>#NUM!</v>
      </c>
      <c r="P75" s="2" t="e">
        <v>#NUM!</v>
      </c>
      <c r="Q75" s="2" t="e">
        <v>#NUM!</v>
      </c>
      <c r="R75" s="2" t="e">
        <v>#NUM!</v>
      </c>
      <c r="S75" s="28" t="e">
        <v>#NUM!</v>
      </c>
      <c r="T75" s="2" t="e">
        <v>#NUM!</v>
      </c>
      <c r="U75" s="2" t="e">
        <v>#NUM!</v>
      </c>
      <c r="V75" s="28" t="e">
        <v>#NUM!</v>
      </c>
      <c r="W75" s="2" t="e">
        <v>#NUM!</v>
      </c>
      <c r="X75" s="2" t="e">
        <v>#NUM!</v>
      </c>
      <c r="Y75" s="2" t="e">
        <v>#NUM!</v>
      </c>
      <c r="Z75" s="2" t="e">
        <v>#NUM!</v>
      </c>
    </row>
    <row r="76" spans="5:26" ht="15">
      <c r="E76" s="56">
        <f t="shared" si="1"/>
        <v>0</v>
      </c>
      <c r="F76" s="2" t="e">
        <f t="array" ref="F76:Z76">INDEX(PRODUCTION,SMALL(IF((INDEX(PRODUCTION,,'CURRENT WIP'!$D$2,1)&lt;='CURRENT WIP'!$D$5)*(INDEX(PRODUCTION,,'CURRENT WIP'!$D$2,1)&gt;='CURRENT WIP'!$D$5),ROW(PRODUCTION)-MIN(ROW(PRODUCTION))+1,""),ROWS(N$21:$N43)),,1)</f>
        <v>#NUM!</v>
      </c>
      <c r="G76" s="2" t="e">
        <v>#NUM!</v>
      </c>
      <c r="H76" s="2" t="e">
        <v>#NUM!</v>
      </c>
      <c r="I76" s="2" t="e">
        <v>#NUM!</v>
      </c>
      <c r="J76" s="37" t="e">
        <v>#NUM!</v>
      </c>
      <c r="K76" s="37" t="e">
        <v>#NUM!</v>
      </c>
      <c r="L76" s="2" t="e">
        <v>#NUM!</v>
      </c>
      <c r="M76" s="37" t="e">
        <v>#NUM!</v>
      </c>
      <c r="N76" s="2" t="e">
        <v>#NUM!</v>
      </c>
      <c r="O76" s="2" t="e">
        <v>#NUM!</v>
      </c>
      <c r="P76" s="2" t="e">
        <v>#NUM!</v>
      </c>
      <c r="Q76" s="2" t="e">
        <v>#NUM!</v>
      </c>
      <c r="R76" s="2" t="e">
        <v>#NUM!</v>
      </c>
      <c r="S76" s="28" t="e">
        <v>#NUM!</v>
      </c>
      <c r="T76" s="2" t="e">
        <v>#NUM!</v>
      </c>
      <c r="U76" s="2" t="e">
        <v>#NUM!</v>
      </c>
      <c r="V76" s="28" t="e">
        <v>#NUM!</v>
      </c>
      <c r="W76" s="2" t="e">
        <v>#NUM!</v>
      </c>
      <c r="X76" s="2" t="e">
        <v>#NUM!</v>
      </c>
      <c r="Y76" s="2" t="e">
        <v>#NUM!</v>
      </c>
      <c r="Z76" s="2" t="e">
        <v>#NUM!</v>
      </c>
    </row>
    <row r="77" spans="5:26" ht="15">
      <c r="E77" s="56">
        <f t="shared" si="1"/>
        <v>0</v>
      </c>
      <c r="F77" s="2" t="e">
        <f t="array" ref="F77:Z77">INDEX(PRODUCTION,SMALL(IF((INDEX(PRODUCTION,,'CURRENT WIP'!$D$2,1)&lt;='CURRENT WIP'!$D$5)*(INDEX(PRODUCTION,,'CURRENT WIP'!$D$2,1)&gt;='CURRENT WIP'!$D$5),ROW(PRODUCTION)-MIN(ROW(PRODUCTION))+1,""),ROWS(N$21:$N44)),,1)</f>
        <v>#NUM!</v>
      </c>
      <c r="G77" s="2" t="e">
        <v>#NUM!</v>
      </c>
      <c r="H77" s="2" t="e">
        <v>#NUM!</v>
      </c>
      <c r="I77" s="2" t="e">
        <v>#NUM!</v>
      </c>
      <c r="J77" s="37" t="e">
        <v>#NUM!</v>
      </c>
      <c r="K77" s="37" t="e">
        <v>#NUM!</v>
      </c>
      <c r="L77" s="2" t="e">
        <v>#NUM!</v>
      </c>
      <c r="M77" s="37" t="e">
        <v>#NUM!</v>
      </c>
      <c r="N77" s="2" t="e">
        <v>#NUM!</v>
      </c>
      <c r="O77" s="2" t="e">
        <v>#NUM!</v>
      </c>
      <c r="P77" s="2" t="e">
        <v>#NUM!</v>
      </c>
      <c r="Q77" s="2" t="e">
        <v>#NUM!</v>
      </c>
      <c r="R77" s="2" t="e">
        <v>#NUM!</v>
      </c>
      <c r="S77" s="28" t="e">
        <v>#NUM!</v>
      </c>
      <c r="T77" s="2" t="e">
        <v>#NUM!</v>
      </c>
      <c r="U77" s="2" t="e">
        <v>#NUM!</v>
      </c>
      <c r="V77" s="28" t="e">
        <v>#NUM!</v>
      </c>
      <c r="W77" s="2" t="e">
        <v>#NUM!</v>
      </c>
      <c r="X77" s="2" t="e">
        <v>#NUM!</v>
      </c>
      <c r="Y77" s="2" t="e">
        <v>#NUM!</v>
      </c>
      <c r="Z77" s="2" t="e">
        <v>#NUM!</v>
      </c>
    </row>
    <row r="78" spans="5:26" ht="15">
      <c r="E78" s="56">
        <f t="shared" si="1"/>
        <v>0</v>
      </c>
      <c r="F78" s="2" t="e">
        <f t="array" ref="F78:Z78">INDEX(PRODUCTION,SMALL(IF((INDEX(PRODUCTION,,'CURRENT WIP'!$D$2,1)&lt;='CURRENT WIP'!$D$5)*(INDEX(PRODUCTION,,'CURRENT WIP'!$D$2,1)&gt;='CURRENT WIP'!$D$5),ROW(PRODUCTION)-MIN(ROW(PRODUCTION))+1,""),ROWS(N$21:$N45)),,1)</f>
        <v>#NUM!</v>
      </c>
      <c r="G78" s="2" t="e">
        <v>#NUM!</v>
      </c>
      <c r="H78" s="2" t="e">
        <v>#NUM!</v>
      </c>
      <c r="I78" s="2" t="e">
        <v>#NUM!</v>
      </c>
      <c r="J78" s="37" t="e">
        <v>#NUM!</v>
      </c>
      <c r="K78" s="37" t="e">
        <v>#NUM!</v>
      </c>
      <c r="L78" s="2" t="e">
        <v>#NUM!</v>
      </c>
      <c r="M78" s="37" t="e">
        <v>#NUM!</v>
      </c>
      <c r="N78" s="2" t="e">
        <v>#NUM!</v>
      </c>
      <c r="O78" s="2" t="e">
        <v>#NUM!</v>
      </c>
      <c r="P78" s="2" t="e">
        <v>#NUM!</v>
      </c>
      <c r="Q78" s="2" t="e">
        <v>#NUM!</v>
      </c>
      <c r="R78" s="2" t="e">
        <v>#NUM!</v>
      </c>
      <c r="S78" s="28" t="e">
        <v>#NUM!</v>
      </c>
      <c r="T78" s="2" t="e">
        <v>#NUM!</v>
      </c>
      <c r="U78" s="2" t="e">
        <v>#NUM!</v>
      </c>
      <c r="V78" s="28" t="e">
        <v>#NUM!</v>
      </c>
      <c r="W78" s="2" t="e">
        <v>#NUM!</v>
      </c>
      <c r="X78" s="2" t="e">
        <v>#NUM!</v>
      </c>
      <c r="Y78" s="2" t="e">
        <v>#NUM!</v>
      </c>
      <c r="Z78" s="2" t="e">
        <v>#NUM!</v>
      </c>
    </row>
    <row r="79" spans="5:26" ht="15">
      <c r="E79" s="56">
        <f t="shared" si="1"/>
        <v>0</v>
      </c>
      <c r="F79" s="2" t="e">
        <f t="array" ref="F79:Z79">INDEX(PRODUCTION,SMALL(IF((INDEX(PRODUCTION,,'CURRENT WIP'!$D$2,1)&lt;='CURRENT WIP'!$D$5)*(INDEX(PRODUCTION,,'CURRENT WIP'!$D$2,1)&gt;='CURRENT WIP'!$D$5),ROW(PRODUCTION)-MIN(ROW(PRODUCTION))+1,""),ROWS(N$21:$N46)),,1)</f>
        <v>#NUM!</v>
      </c>
      <c r="G79" s="2" t="e">
        <v>#NUM!</v>
      </c>
      <c r="H79" s="2" t="e">
        <v>#NUM!</v>
      </c>
      <c r="I79" s="2" t="e">
        <v>#NUM!</v>
      </c>
      <c r="J79" s="37" t="e">
        <v>#NUM!</v>
      </c>
      <c r="K79" s="37" t="e">
        <v>#NUM!</v>
      </c>
      <c r="L79" s="2" t="e">
        <v>#NUM!</v>
      </c>
      <c r="M79" s="37" t="e">
        <v>#NUM!</v>
      </c>
      <c r="N79" s="2" t="e">
        <v>#NUM!</v>
      </c>
      <c r="O79" s="2" t="e">
        <v>#NUM!</v>
      </c>
      <c r="P79" s="2" t="e">
        <v>#NUM!</v>
      </c>
      <c r="Q79" s="2" t="e">
        <v>#NUM!</v>
      </c>
      <c r="R79" s="2" t="e">
        <v>#NUM!</v>
      </c>
      <c r="S79" s="28" t="e">
        <v>#NUM!</v>
      </c>
      <c r="T79" s="2" t="e">
        <v>#NUM!</v>
      </c>
      <c r="U79" s="2" t="e">
        <v>#NUM!</v>
      </c>
      <c r="V79" s="28" t="e">
        <v>#NUM!</v>
      </c>
      <c r="W79" s="2" t="e">
        <v>#NUM!</v>
      </c>
      <c r="X79" s="2" t="e">
        <v>#NUM!</v>
      </c>
      <c r="Y79" s="2" t="e">
        <v>#NUM!</v>
      </c>
      <c r="Z79" s="2" t="e">
        <v>#NUM!</v>
      </c>
    </row>
    <row r="80" spans="5:26" ht="15">
      <c r="E80" s="56">
        <f t="shared" si="1"/>
        <v>0</v>
      </c>
      <c r="F80" s="2" t="e">
        <f t="array" ref="F80:Z80">INDEX(PRODUCTION,SMALL(IF((INDEX(PRODUCTION,,'CURRENT WIP'!$D$2,1)&lt;='CURRENT WIP'!$D$5)*(INDEX(PRODUCTION,,'CURRENT WIP'!$D$2,1)&gt;='CURRENT WIP'!$D$5),ROW(PRODUCTION)-MIN(ROW(PRODUCTION))+1,""),ROWS(N$21:$N47)),,1)</f>
        <v>#NUM!</v>
      </c>
      <c r="G80" s="2" t="e">
        <v>#NUM!</v>
      </c>
      <c r="H80" s="2" t="e">
        <v>#NUM!</v>
      </c>
      <c r="I80" s="2" t="e">
        <v>#NUM!</v>
      </c>
      <c r="J80" s="37" t="e">
        <v>#NUM!</v>
      </c>
      <c r="K80" s="37" t="e">
        <v>#NUM!</v>
      </c>
      <c r="L80" s="2" t="e">
        <v>#NUM!</v>
      </c>
      <c r="M80" s="37" t="e">
        <v>#NUM!</v>
      </c>
      <c r="N80" s="2" t="e">
        <v>#NUM!</v>
      </c>
      <c r="O80" s="2" t="e">
        <v>#NUM!</v>
      </c>
      <c r="P80" s="2" t="e">
        <v>#NUM!</v>
      </c>
      <c r="Q80" s="2" t="e">
        <v>#NUM!</v>
      </c>
      <c r="R80" s="2" t="e">
        <v>#NUM!</v>
      </c>
      <c r="S80" s="28" t="e">
        <v>#NUM!</v>
      </c>
      <c r="T80" s="2" t="e">
        <v>#NUM!</v>
      </c>
      <c r="U80" s="2" t="e">
        <v>#NUM!</v>
      </c>
      <c r="V80" s="28" t="e">
        <v>#NUM!</v>
      </c>
      <c r="W80" s="2" t="e">
        <v>#NUM!</v>
      </c>
      <c r="X80" s="2" t="e">
        <v>#NUM!</v>
      </c>
      <c r="Y80" s="2" t="e">
        <v>#NUM!</v>
      </c>
      <c r="Z80" s="2" t="e">
        <v>#NUM!</v>
      </c>
    </row>
    <row r="81" spans="4:26" ht="15">
      <c r="E81" s="56">
        <f t="shared" si="1"/>
        <v>0</v>
      </c>
      <c r="F81" s="2" t="e">
        <f t="array" ref="F81:Z81">INDEX(PRODUCTION,SMALL(IF((INDEX(PRODUCTION,,'CURRENT WIP'!$D$2,1)&lt;='CURRENT WIP'!$D$5)*(INDEX(PRODUCTION,,'CURRENT WIP'!$D$2,1)&gt;='CURRENT WIP'!$D$5),ROW(PRODUCTION)-MIN(ROW(PRODUCTION))+1,""),ROWS(N$21:$N48)),,1)</f>
        <v>#NUM!</v>
      </c>
      <c r="G81" s="2" t="e">
        <v>#NUM!</v>
      </c>
      <c r="H81" s="2" t="e">
        <v>#NUM!</v>
      </c>
      <c r="I81" s="2" t="e">
        <v>#NUM!</v>
      </c>
      <c r="J81" s="37" t="e">
        <v>#NUM!</v>
      </c>
      <c r="K81" s="37" t="e">
        <v>#NUM!</v>
      </c>
      <c r="L81" s="2" t="e">
        <v>#NUM!</v>
      </c>
      <c r="M81" s="37" t="e">
        <v>#NUM!</v>
      </c>
      <c r="N81" s="2" t="e">
        <v>#NUM!</v>
      </c>
      <c r="O81" s="2" t="e">
        <v>#NUM!</v>
      </c>
      <c r="P81" s="2" t="e">
        <v>#NUM!</v>
      </c>
      <c r="Q81" s="2" t="e">
        <v>#NUM!</v>
      </c>
      <c r="R81" s="2" t="e">
        <v>#NUM!</v>
      </c>
      <c r="S81" s="28" t="e">
        <v>#NUM!</v>
      </c>
      <c r="T81" s="2" t="e">
        <v>#NUM!</v>
      </c>
      <c r="U81" s="2" t="e">
        <v>#NUM!</v>
      </c>
      <c r="V81" s="28" t="e">
        <v>#NUM!</v>
      </c>
      <c r="W81" s="2" t="e">
        <v>#NUM!</v>
      </c>
      <c r="X81" s="2" t="e">
        <v>#NUM!</v>
      </c>
      <c r="Y81" s="2" t="e">
        <v>#NUM!</v>
      </c>
      <c r="Z81" s="2" t="e">
        <v>#NUM!</v>
      </c>
    </row>
    <row r="82" spans="4:26" ht="15">
      <c r="E82" s="56">
        <f t="shared" si="1"/>
        <v>0</v>
      </c>
      <c r="F82" s="2" t="e">
        <f t="array" ref="F82:Z82">INDEX(PRODUCTION,SMALL(IF((INDEX(PRODUCTION,,'CURRENT WIP'!$D$2,1)&lt;='CURRENT WIP'!$D$5)*(INDEX(PRODUCTION,,'CURRENT WIP'!$D$2,1)&gt;='CURRENT WIP'!$D$5),ROW(PRODUCTION)-MIN(ROW(PRODUCTION))+1,""),ROWS(N$21:$N49)),,1)</f>
        <v>#NUM!</v>
      </c>
      <c r="G82" s="2" t="e">
        <v>#NUM!</v>
      </c>
      <c r="H82" s="2" t="e">
        <v>#NUM!</v>
      </c>
      <c r="I82" s="2" t="e">
        <v>#NUM!</v>
      </c>
      <c r="J82" s="37" t="e">
        <v>#NUM!</v>
      </c>
      <c r="K82" s="37" t="e">
        <v>#NUM!</v>
      </c>
      <c r="L82" s="2" t="e">
        <v>#NUM!</v>
      </c>
      <c r="M82" s="37" t="e">
        <v>#NUM!</v>
      </c>
      <c r="N82" s="2" t="e">
        <v>#NUM!</v>
      </c>
      <c r="O82" s="2" t="e">
        <v>#NUM!</v>
      </c>
      <c r="P82" s="2" t="e">
        <v>#NUM!</v>
      </c>
      <c r="Q82" s="2" t="e">
        <v>#NUM!</v>
      </c>
      <c r="R82" s="2" t="e">
        <v>#NUM!</v>
      </c>
      <c r="S82" s="28" t="e">
        <v>#NUM!</v>
      </c>
      <c r="T82" s="2" t="e">
        <v>#NUM!</v>
      </c>
      <c r="U82" s="2" t="e">
        <v>#NUM!</v>
      </c>
      <c r="V82" s="28" t="e">
        <v>#NUM!</v>
      </c>
      <c r="W82" s="2" t="e">
        <v>#NUM!</v>
      </c>
      <c r="X82" s="2" t="e">
        <v>#NUM!</v>
      </c>
      <c r="Y82" s="2" t="e">
        <v>#NUM!</v>
      </c>
      <c r="Z82" s="2" t="e">
        <v>#NUM!</v>
      </c>
    </row>
    <row r="83" spans="4:26" ht="15">
      <c r="E83" s="56">
        <f>COUNTIF(F83,"*")</f>
        <v>0</v>
      </c>
      <c r="F83" s="2" t="e">
        <f t="array" ref="F83:Z83">INDEX(PRODUCTION,SMALL(IF((INDEX(PRODUCTION,,'CURRENT WIP'!$D$2,1)&lt;='CURRENT WIP'!$D$5)*(INDEX(PRODUCTION,,'CURRENT WIP'!$D$2,1)&gt;='CURRENT WIP'!$D$5),ROW(PRODUCTION)-MIN(ROW(PRODUCTION))+1,""),ROWS(N$21:$N50)),,1)</f>
        <v>#NUM!</v>
      </c>
      <c r="G83" s="2" t="e">
        <v>#NUM!</v>
      </c>
      <c r="H83" s="2" t="e">
        <v>#NUM!</v>
      </c>
      <c r="I83" s="2" t="e">
        <v>#NUM!</v>
      </c>
      <c r="J83" s="37" t="e">
        <v>#NUM!</v>
      </c>
      <c r="K83" s="37" t="e">
        <v>#NUM!</v>
      </c>
      <c r="L83" s="2" t="e">
        <v>#NUM!</v>
      </c>
      <c r="M83" s="37" t="e">
        <v>#NUM!</v>
      </c>
      <c r="N83" s="2" t="e">
        <v>#NUM!</v>
      </c>
      <c r="O83" s="2" t="e">
        <v>#NUM!</v>
      </c>
      <c r="P83" s="2" t="e">
        <v>#NUM!</v>
      </c>
      <c r="Q83" s="2" t="e">
        <v>#NUM!</v>
      </c>
      <c r="R83" s="2" t="e">
        <v>#NUM!</v>
      </c>
      <c r="S83" s="28" t="e">
        <v>#NUM!</v>
      </c>
      <c r="T83" s="2" t="e">
        <v>#NUM!</v>
      </c>
      <c r="U83" s="2" t="e">
        <v>#NUM!</v>
      </c>
      <c r="V83" s="28" t="e">
        <v>#NUM!</v>
      </c>
      <c r="W83" s="2" t="e">
        <v>#NUM!</v>
      </c>
      <c r="X83" s="2" t="e">
        <v>#NUM!</v>
      </c>
      <c r="Y83" s="2" t="e">
        <v>#NUM!</v>
      </c>
      <c r="Z83" s="2" t="e">
        <v>#NUM!</v>
      </c>
    </row>
    <row r="84" spans="4:26" ht="15.75">
      <c r="E84" s="19"/>
      <c r="F84" s="2"/>
      <c r="G84" s="2"/>
      <c r="H84" s="2"/>
      <c r="I84" s="2"/>
      <c r="L84" s="2"/>
      <c r="O84" s="17" t="s">
        <v>20</v>
      </c>
      <c r="P84" s="42">
        <f t="array" ref="P84">SUM(IF(ISERROR(P54:P83),0,P54:P83))</f>
        <v>0</v>
      </c>
      <c r="Q84" s="42">
        <f t="array" ref="Q84">SUM(IF(ISERROR(Q54:Q83),0,Q54:Q83))</f>
        <v>0</v>
      </c>
      <c r="R84" s="42">
        <f t="array" ref="R84">SUM(IF(ISERROR(R54:R83),0,R54:R83))</f>
        <v>0</v>
      </c>
      <c r="T84" s="2"/>
      <c r="U84" s="2"/>
    </row>
    <row r="85" spans="4:26" ht="15.75">
      <c r="E85" s="19"/>
      <c r="Q85" s="3" t="s">
        <v>48</v>
      </c>
      <c r="R85" s="34" t="s">
        <v>49</v>
      </c>
    </row>
    <row r="86" spans="4:26" ht="15.75">
      <c r="D86" s="19" t="s">
        <v>19</v>
      </c>
    </row>
    <row r="87" spans="4:26" ht="32.25" customHeight="1">
      <c r="E87" s="19"/>
      <c r="F87" s="21" t="s">
        <v>0</v>
      </c>
      <c r="G87" s="21" t="s">
        <v>1</v>
      </c>
      <c r="H87" s="21" t="s">
        <v>21</v>
      </c>
      <c r="I87" s="21" t="s">
        <v>22</v>
      </c>
      <c r="J87" s="39" t="s">
        <v>23</v>
      </c>
      <c r="K87" s="39" t="s">
        <v>24</v>
      </c>
      <c r="L87" s="21" t="s">
        <v>25</v>
      </c>
      <c r="M87" s="39" t="s">
        <v>2</v>
      </c>
      <c r="N87" s="22" t="s">
        <v>3</v>
      </c>
      <c r="O87" s="23" t="s">
        <v>10</v>
      </c>
      <c r="P87" s="23" t="s">
        <v>4</v>
      </c>
      <c r="Q87" s="23" t="s">
        <v>5</v>
      </c>
      <c r="R87" s="23" t="s">
        <v>6</v>
      </c>
      <c r="S87" s="33" t="s">
        <v>26</v>
      </c>
      <c r="T87" s="27" t="s">
        <v>27</v>
      </c>
      <c r="U87" s="27" t="s">
        <v>28</v>
      </c>
      <c r="V87" s="33" t="s">
        <v>29</v>
      </c>
      <c r="W87" s="27" t="s">
        <v>30</v>
      </c>
      <c r="X87" s="23" t="s">
        <v>31</v>
      </c>
      <c r="Y87" s="27" t="s">
        <v>14</v>
      </c>
      <c r="Z87" s="21" t="s">
        <v>32</v>
      </c>
    </row>
    <row r="88" spans="4:26" ht="15">
      <c r="E88" s="56">
        <f>COUNTIF(F88,"*")</f>
        <v>0</v>
      </c>
      <c r="F88" s="12" t="e">
        <f t="array" ref="F88:Z88">INDEX(PRODUCTION,SMALL(IF((INDEX(PRODUCTION,,'CURRENT WIP'!$D$2,1)&lt;='CURRENT WIP'!$D$6)*(INDEX(PRODUCTION,,'CURRENT WIP'!$D$2,1)&gt;='CURRENT WIP'!$D$6),ROW(PRODUCTION)-MIN(ROW(PRODUCTION))+1,""),ROWS(N21:$N$21)),,1)</f>
        <v>#NUM!</v>
      </c>
      <c r="G88" s="12" t="e">
        <v>#NUM!</v>
      </c>
      <c r="H88" s="12" t="e">
        <v>#NUM!</v>
      </c>
      <c r="I88" s="12" t="e">
        <v>#NUM!</v>
      </c>
      <c r="J88" s="38" t="e">
        <v>#NUM!</v>
      </c>
      <c r="K88" s="38" t="e">
        <v>#NUM!</v>
      </c>
      <c r="L88" s="12" t="e">
        <v>#NUM!</v>
      </c>
      <c r="M88" s="38" t="e">
        <v>#NUM!</v>
      </c>
      <c r="N88" s="12" t="e">
        <v>#NUM!</v>
      </c>
      <c r="O88" s="12" t="e">
        <v>#NUM!</v>
      </c>
      <c r="P88" s="12" t="e">
        <v>#NUM!</v>
      </c>
      <c r="Q88" s="12" t="e">
        <v>#NUM!</v>
      </c>
      <c r="R88" s="12" t="e">
        <v>#NUM!</v>
      </c>
      <c r="S88" s="31" t="e">
        <v>#NUM!</v>
      </c>
      <c r="T88" s="12" t="e">
        <v>#NUM!</v>
      </c>
      <c r="U88" s="12" t="e">
        <v>#NUM!</v>
      </c>
      <c r="V88" s="31" t="e">
        <v>#NUM!</v>
      </c>
      <c r="W88" s="12" t="e">
        <v>#NUM!</v>
      </c>
      <c r="X88" s="12" t="e">
        <v>#NUM!</v>
      </c>
      <c r="Y88" s="12" t="e">
        <v>#NUM!</v>
      </c>
      <c r="Z88" s="12" t="e">
        <v>#NUM!</v>
      </c>
    </row>
    <row r="89" spans="4:26" ht="15">
      <c r="E89" s="56">
        <f t="shared" ref="E89:E116" si="2">COUNTIF(F89,"*")</f>
        <v>0</v>
      </c>
      <c r="F89" s="12" t="e">
        <f t="array" ref="F89:Z89">INDEX(PRODUCTION,SMALL(IF((INDEX(PRODUCTION,,'CURRENT WIP'!$D$2,1)&lt;='CURRENT WIP'!$D$6)*(INDEX(PRODUCTION,,'CURRENT WIP'!$D$2,1)&gt;='CURRENT WIP'!$D$6),ROW(PRODUCTION)-MIN(ROW(PRODUCTION))+1,""),ROWS(N$21:$N22)),,1)</f>
        <v>#NUM!</v>
      </c>
      <c r="G89" s="12" t="e">
        <v>#NUM!</v>
      </c>
      <c r="H89" s="12" t="e">
        <v>#NUM!</v>
      </c>
      <c r="I89" s="12" t="e">
        <v>#NUM!</v>
      </c>
      <c r="J89" s="38" t="e">
        <v>#NUM!</v>
      </c>
      <c r="K89" s="38" t="e">
        <v>#NUM!</v>
      </c>
      <c r="L89" s="12" t="e">
        <v>#NUM!</v>
      </c>
      <c r="M89" s="38" t="e">
        <v>#NUM!</v>
      </c>
      <c r="N89" s="12" t="e">
        <v>#NUM!</v>
      </c>
      <c r="O89" s="12" t="e">
        <v>#NUM!</v>
      </c>
      <c r="P89" s="12" t="e">
        <v>#NUM!</v>
      </c>
      <c r="Q89" s="12" t="e">
        <v>#NUM!</v>
      </c>
      <c r="R89" s="12" t="e">
        <v>#NUM!</v>
      </c>
      <c r="S89" s="31" t="e">
        <v>#NUM!</v>
      </c>
      <c r="T89" s="12" t="e">
        <v>#NUM!</v>
      </c>
      <c r="U89" s="12" t="e">
        <v>#NUM!</v>
      </c>
      <c r="V89" s="31" t="e">
        <v>#NUM!</v>
      </c>
      <c r="W89" s="12" t="e">
        <v>#NUM!</v>
      </c>
      <c r="X89" s="12" t="e">
        <v>#NUM!</v>
      </c>
      <c r="Y89" s="12" t="e">
        <v>#NUM!</v>
      </c>
      <c r="Z89" s="12" t="e">
        <v>#NUM!</v>
      </c>
    </row>
    <row r="90" spans="4:26" ht="15">
      <c r="E90" s="56">
        <f t="shared" si="2"/>
        <v>0</v>
      </c>
      <c r="F90" s="12" t="e">
        <f t="array" ref="F90:Z90">INDEX(PRODUCTION,SMALL(IF((INDEX(PRODUCTION,,'CURRENT WIP'!$D$2,1)&lt;='CURRENT WIP'!$D$6)*(INDEX(PRODUCTION,,'CURRENT WIP'!$D$2,1)&gt;='CURRENT WIP'!$D$6),ROW(PRODUCTION)-MIN(ROW(PRODUCTION))+1,""),ROWS(N$21:$N23)),,1)</f>
        <v>#NUM!</v>
      </c>
      <c r="G90" s="12" t="e">
        <v>#NUM!</v>
      </c>
      <c r="H90" s="12" t="e">
        <v>#NUM!</v>
      </c>
      <c r="I90" s="12" t="e">
        <v>#NUM!</v>
      </c>
      <c r="J90" s="38" t="e">
        <v>#NUM!</v>
      </c>
      <c r="K90" s="38" t="e">
        <v>#NUM!</v>
      </c>
      <c r="L90" s="12" t="e">
        <v>#NUM!</v>
      </c>
      <c r="M90" s="38" t="e">
        <v>#NUM!</v>
      </c>
      <c r="N90" s="12" t="e">
        <v>#NUM!</v>
      </c>
      <c r="O90" s="12" t="e">
        <v>#NUM!</v>
      </c>
      <c r="P90" s="12" t="e">
        <v>#NUM!</v>
      </c>
      <c r="Q90" s="12" t="e">
        <v>#NUM!</v>
      </c>
      <c r="R90" s="12" t="e">
        <v>#NUM!</v>
      </c>
      <c r="S90" s="31" t="e">
        <v>#NUM!</v>
      </c>
      <c r="T90" s="12" t="e">
        <v>#NUM!</v>
      </c>
      <c r="U90" s="12" t="e">
        <v>#NUM!</v>
      </c>
      <c r="V90" s="31" t="e">
        <v>#NUM!</v>
      </c>
      <c r="W90" s="12" t="e">
        <v>#NUM!</v>
      </c>
      <c r="X90" s="12" t="e">
        <v>#NUM!</v>
      </c>
      <c r="Y90" s="12" t="e">
        <v>#NUM!</v>
      </c>
      <c r="Z90" s="12" t="e">
        <v>#NUM!</v>
      </c>
    </row>
    <row r="91" spans="4:26" ht="15">
      <c r="E91" s="56">
        <f t="shared" si="2"/>
        <v>0</v>
      </c>
      <c r="F91" s="12" t="e">
        <f t="array" ref="F91:Z91">INDEX(PRODUCTION,SMALL(IF((INDEX(PRODUCTION,,'CURRENT WIP'!$D$2,1)&lt;='CURRENT WIP'!$D$6)*(INDEX(PRODUCTION,,'CURRENT WIP'!$D$2,1)&gt;='CURRENT WIP'!$D$6),ROW(PRODUCTION)-MIN(ROW(PRODUCTION))+1,""),ROWS(N$21:$N24)),,1)</f>
        <v>#NUM!</v>
      </c>
      <c r="G91" s="12" t="e">
        <v>#NUM!</v>
      </c>
      <c r="H91" s="12" t="e">
        <v>#NUM!</v>
      </c>
      <c r="I91" s="12" t="e">
        <v>#NUM!</v>
      </c>
      <c r="J91" s="38" t="e">
        <v>#NUM!</v>
      </c>
      <c r="K91" s="38" t="e">
        <v>#NUM!</v>
      </c>
      <c r="L91" s="12" t="e">
        <v>#NUM!</v>
      </c>
      <c r="M91" s="38" t="e">
        <v>#NUM!</v>
      </c>
      <c r="N91" s="12" t="e">
        <v>#NUM!</v>
      </c>
      <c r="O91" s="12" t="e">
        <v>#NUM!</v>
      </c>
      <c r="P91" s="12" t="e">
        <v>#NUM!</v>
      </c>
      <c r="Q91" s="12" t="e">
        <v>#NUM!</v>
      </c>
      <c r="R91" s="12" t="e">
        <v>#NUM!</v>
      </c>
      <c r="S91" s="31" t="e">
        <v>#NUM!</v>
      </c>
      <c r="T91" s="12" t="e">
        <v>#NUM!</v>
      </c>
      <c r="U91" s="12" t="e">
        <v>#NUM!</v>
      </c>
      <c r="V91" s="31" t="e">
        <v>#NUM!</v>
      </c>
      <c r="W91" s="12" t="e">
        <v>#NUM!</v>
      </c>
      <c r="X91" s="12" t="e">
        <v>#NUM!</v>
      </c>
      <c r="Y91" s="12" t="e">
        <v>#NUM!</v>
      </c>
      <c r="Z91" s="12" t="e">
        <v>#NUM!</v>
      </c>
    </row>
    <row r="92" spans="4:26" ht="15">
      <c r="E92" s="56">
        <f t="shared" si="2"/>
        <v>0</v>
      </c>
      <c r="F92" s="12" t="e">
        <f t="array" ref="F92:Z92">INDEX(PRODUCTION,SMALL(IF((INDEX(PRODUCTION,,'CURRENT WIP'!$D$2,1)&lt;='CURRENT WIP'!$D$6)*(INDEX(PRODUCTION,,'CURRENT WIP'!$D$2,1)&gt;='CURRENT WIP'!$D$6),ROW(PRODUCTION)-MIN(ROW(PRODUCTION))+1,""),ROWS(N$21:$N25)),,1)</f>
        <v>#NUM!</v>
      </c>
      <c r="G92" s="12" t="e">
        <v>#NUM!</v>
      </c>
      <c r="H92" s="12" t="e">
        <v>#NUM!</v>
      </c>
      <c r="I92" s="12" t="e">
        <v>#NUM!</v>
      </c>
      <c r="J92" s="38" t="e">
        <v>#NUM!</v>
      </c>
      <c r="K92" s="38" t="e">
        <v>#NUM!</v>
      </c>
      <c r="L92" s="12" t="e">
        <v>#NUM!</v>
      </c>
      <c r="M92" s="38" t="e">
        <v>#NUM!</v>
      </c>
      <c r="N92" s="12" t="e">
        <v>#NUM!</v>
      </c>
      <c r="O92" s="12" t="e">
        <v>#NUM!</v>
      </c>
      <c r="P92" s="12" t="e">
        <v>#NUM!</v>
      </c>
      <c r="Q92" s="12" t="e">
        <v>#NUM!</v>
      </c>
      <c r="R92" s="12" t="e">
        <v>#NUM!</v>
      </c>
      <c r="S92" s="31" t="e">
        <v>#NUM!</v>
      </c>
      <c r="T92" s="12" t="e">
        <v>#NUM!</v>
      </c>
      <c r="U92" s="12" t="e">
        <v>#NUM!</v>
      </c>
      <c r="V92" s="31" t="e">
        <v>#NUM!</v>
      </c>
      <c r="W92" s="12" t="e">
        <v>#NUM!</v>
      </c>
      <c r="X92" s="12" t="e">
        <v>#NUM!</v>
      </c>
      <c r="Y92" s="12" t="e">
        <v>#NUM!</v>
      </c>
      <c r="Z92" s="12" t="e">
        <v>#NUM!</v>
      </c>
    </row>
    <row r="93" spans="4:26" ht="15">
      <c r="E93" s="56">
        <f t="shared" si="2"/>
        <v>0</v>
      </c>
      <c r="F93" s="12" t="e">
        <f t="array" ref="F93:Z93">INDEX(PRODUCTION,SMALL(IF((INDEX(PRODUCTION,,'CURRENT WIP'!$D$2,1)&lt;='CURRENT WIP'!$D$6)*(INDEX(PRODUCTION,,'CURRENT WIP'!$D$2,1)&gt;='CURRENT WIP'!$D$6),ROW(PRODUCTION)-MIN(ROW(PRODUCTION))+1,""),ROWS(N$21:$N26)),,1)</f>
        <v>#NUM!</v>
      </c>
      <c r="G93" s="12" t="e">
        <v>#NUM!</v>
      </c>
      <c r="H93" s="12" t="e">
        <v>#NUM!</v>
      </c>
      <c r="I93" s="12" t="e">
        <v>#NUM!</v>
      </c>
      <c r="J93" s="38" t="e">
        <v>#NUM!</v>
      </c>
      <c r="K93" s="38" t="e">
        <v>#NUM!</v>
      </c>
      <c r="L93" s="12" t="e">
        <v>#NUM!</v>
      </c>
      <c r="M93" s="38" t="e">
        <v>#NUM!</v>
      </c>
      <c r="N93" s="12" t="e">
        <v>#NUM!</v>
      </c>
      <c r="O93" s="12" t="e">
        <v>#NUM!</v>
      </c>
      <c r="P93" s="12" t="e">
        <v>#NUM!</v>
      </c>
      <c r="Q93" s="12" t="e">
        <v>#NUM!</v>
      </c>
      <c r="R93" s="12" t="e">
        <v>#NUM!</v>
      </c>
      <c r="S93" s="31" t="e">
        <v>#NUM!</v>
      </c>
      <c r="T93" s="12" t="e">
        <v>#NUM!</v>
      </c>
      <c r="U93" s="12" t="e">
        <v>#NUM!</v>
      </c>
      <c r="V93" s="31" t="e">
        <v>#NUM!</v>
      </c>
      <c r="W93" s="12" t="e">
        <v>#NUM!</v>
      </c>
      <c r="X93" s="12" t="e">
        <v>#NUM!</v>
      </c>
      <c r="Y93" s="12" t="e">
        <v>#NUM!</v>
      </c>
      <c r="Z93" s="12" t="e">
        <v>#NUM!</v>
      </c>
    </row>
    <row r="94" spans="4:26" ht="15">
      <c r="E94" s="56">
        <f t="shared" si="2"/>
        <v>0</v>
      </c>
      <c r="F94" s="12" t="e">
        <f t="array" ref="F94:Z94">INDEX(PRODUCTION,SMALL(IF((INDEX(PRODUCTION,,'CURRENT WIP'!$D$2,1)&lt;='CURRENT WIP'!$D$6)*(INDEX(PRODUCTION,,'CURRENT WIP'!$D$2,1)&gt;='CURRENT WIP'!$D$6),ROW(PRODUCTION)-MIN(ROW(PRODUCTION))+1,""),ROWS(N$21:$N27)),,1)</f>
        <v>#NUM!</v>
      </c>
      <c r="G94" s="12" t="e">
        <v>#NUM!</v>
      </c>
      <c r="H94" s="12" t="e">
        <v>#NUM!</v>
      </c>
      <c r="I94" s="12" t="e">
        <v>#NUM!</v>
      </c>
      <c r="J94" s="38" t="e">
        <v>#NUM!</v>
      </c>
      <c r="K94" s="38" t="e">
        <v>#NUM!</v>
      </c>
      <c r="L94" s="12" t="e">
        <v>#NUM!</v>
      </c>
      <c r="M94" s="38" t="e">
        <v>#NUM!</v>
      </c>
      <c r="N94" s="12" t="e">
        <v>#NUM!</v>
      </c>
      <c r="O94" s="12" t="e">
        <v>#NUM!</v>
      </c>
      <c r="P94" s="12" t="e">
        <v>#NUM!</v>
      </c>
      <c r="Q94" s="12" t="e">
        <v>#NUM!</v>
      </c>
      <c r="R94" s="12" t="e">
        <v>#NUM!</v>
      </c>
      <c r="S94" s="31" t="e">
        <v>#NUM!</v>
      </c>
      <c r="T94" s="12" t="e">
        <v>#NUM!</v>
      </c>
      <c r="U94" s="12" t="e">
        <v>#NUM!</v>
      </c>
      <c r="V94" s="31" t="e">
        <v>#NUM!</v>
      </c>
      <c r="W94" s="12" t="e">
        <v>#NUM!</v>
      </c>
      <c r="X94" s="12" t="e">
        <v>#NUM!</v>
      </c>
      <c r="Y94" s="12" t="e">
        <v>#NUM!</v>
      </c>
      <c r="Z94" s="12" t="e">
        <v>#NUM!</v>
      </c>
    </row>
    <row r="95" spans="4:26" ht="15">
      <c r="E95" s="56">
        <f t="shared" si="2"/>
        <v>0</v>
      </c>
      <c r="F95" s="12" t="e">
        <f t="array" ref="F95:Z95">INDEX(PRODUCTION,SMALL(IF((INDEX(PRODUCTION,,'CURRENT WIP'!$D$2,1)&lt;='CURRENT WIP'!$D$6)*(INDEX(PRODUCTION,,'CURRENT WIP'!$D$2,1)&gt;='CURRENT WIP'!$D$6),ROW(PRODUCTION)-MIN(ROW(PRODUCTION))+1,""),ROWS(N$21:$N28)),,1)</f>
        <v>#NUM!</v>
      </c>
      <c r="G95" s="12" t="e">
        <v>#NUM!</v>
      </c>
      <c r="H95" s="12" t="e">
        <v>#NUM!</v>
      </c>
      <c r="I95" s="12" t="e">
        <v>#NUM!</v>
      </c>
      <c r="J95" s="38" t="e">
        <v>#NUM!</v>
      </c>
      <c r="K95" s="38" t="e">
        <v>#NUM!</v>
      </c>
      <c r="L95" s="12" t="e">
        <v>#NUM!</v>
      </c>
      <c r="M95" s="38" t="e">
        <v>#NUM!</v>
      </c>
      <c r="N95" s="12" t="e">
        <v>#NUM!</v>
      </c>
      <c r="O95" s="12" t="e">
        <v>#NUM!</v>
      </c>
      <c r="P95" s="12" t="e">
        <v>#NUM!</v>
      </c>
      <c r="Q95" s="12" t="e">
        <v>#NUM!</v>
      </c>
      <c r="R95" s="12" t="e">
        <v>#NUM!</v>
      </c>
      <c r="S95" s="31" t="e">
        <v>#NUM!</v>
      </c>
      <c r="T95" s="12" t="e">
        <v>#NUM!</v>
      </c>
      <c r="U95" s="12" t="e">
        <v>#NUM!</v>
      </c>
      <c r="V95" s="31" t="e">
        <v>#NUM!</v>
      </c>
      <c r="W95" s="12" t="e">
        <v>#NUM!</v>
      </c>
      <c r="X95" s="12" t="e">
        <v>#NUM!</v>
      </c>
      <c r="Y95" s="12" t="e">
        <v>#NUM!</v>
      </c>
      <c r="Z95" s="12" t="e">
        <v>#NUM!</v>
      </c>
    </row>
    <row r="96" spans="4:26" ht="15">
      <c r="E96" s="56">
        <f t="shared" si="2"/>
        <v>0</v>
      </c>
      <c r="F96" s="12" t="e">
        <f t="array" ref="F96:Z96">INDEX(PRODUCTION,SMALL(IF((INDEX(PRODUCTION,,'CURRENT WIP'!$D$2,1)&lt;='CURRENT WIP'!$D$6)*(INDEX(PRODUCTION,,'CURRENT WIP'!$D$2,1)&gt;='CURRENT WIP'!$D$6),ROW(PRODUCTION)-MIN(ROW(PRODUCTION))+1,""),ROWS(N$21:$N29)),,1)</f>
        <v>#NUM!</v>
      </c>
      <c r="G96" s="12" t="e">
        <v>#NUM!</v>
      </c>
      <c r="H96" s="12" t="e">
        <v>#NUM!</v>
      </c>
      <c r="I96" s="12" t="e">
        <v>#NUM!</v>
      </c>
      <c r="J96" s="38" t="e">
        <v>#NUM!</v>
      </c>
      <c r="K96" s="38" t="e">
        <v>#NUM!</v>
      </c>
      <c r="L96" s="12" t="e">
        <v>#NUM!</v>
      </c>
      <c r="M96" s="38" t="e">
        <v>#NUM!</v>
      </c>
      <c r="N96" s="12" t="e">
        <v>#NUM!</v>
      </c>
      <c r="O96" s="12" t="e">
        <v>#NUM!</v>
      </c>
      <c r="P96" s="12" t="e">
        <v>#NUM!</v>
      </c>
      <c r="Q96" s="12" t="e">
        <v>#NUM!</v>
      </c>
      <c r="R96" s="12" t="e">
        <v>#NUM!</v>
      </c>
      <c r="S96" s="31" t="e">
        <v>#NUM!</v>
      </c>
      <c r="T96" s="12" t="e">
        <v>#NUM!</v>
      </c>
      <c r="U96" s="12" t="e">
        <v>#NUM!</v>
      </c>
      <c r="V96" s="31" t="e">
        <v>#NUM!</v>
      </c>
      <c r="W96" s="12" t="e">
        <v>#NUM!</v>
      </c>
      <c r="X96" s="12" t="e">
        <v>#NUM!</v>
      </c>
      <c r="Y96" s="12" t="e">
        <v>#NUM!</v>
      </c>
      <c r="Z96" s="12" t="e">
        <v>#NUM!</v>
      </c>
    </row>
    <row r="97" spans="5:26" ht="15">
      <c r="E97" s="56">
        <f t="shared" si="2"/>
        <v>0</v>
      </c>
      <c r="F97" s="12" t="e">
        <f t="array" ref="F97:Z97">INDEX(PRODUCTION,SMALL(IF((INDEX(PRODUCTION,,'CURRENT WIP'!$D$2,1)&lt;='CURRENT WIP'!$D$6)*(INDEX(PRODUCTION,,'CURRENT WIP'!$D$2,1)&gt;='CURRENT WIP'!$D$6),ROW(PRODUCTION)-MIN(ROW(PRODUCTION))+1,""),ROWS(N$21:$N30)),,1)</f>
        <v>#NUM!</v>
      </c>
      <c r="G97" s="12" t="e">
        <v>#NUM!</v>
      </c>
      <c r="H97" s="12" t="e">
        <v>#NUM!</v>
      </c>
      <c r="I97" s="12" t="e">
        <v>#NUM!</v>
      </c>
      <c r="J97" s="38" t="e">
        <v>#NUM!</v>
      </c>
      <c r="K97" s="38" t="e">
        <v>#NUM!</v>
      </c>
      <c r="L97" s="12" t="e">
        <v>#NUM!</v>
      </c>
      <c r="M97" s="38" t="e">
        <v>#NUM!</v>
      </c>
      <c r="N97" s="12" t="e">
        <v>#NUM!</v>
      </c>
      <c r="O97" s="12" t="e">
        <v>#NUM!</v>
      </c>
      <c r="P97" s="12" t="e">
        <v>#NUM!</v>
      </c>
      <c r="Q97" s="12" t="e">
        <v>#NUM!</v>
      </c>
      <c r="R97" s="12" t="e">
        <v>#NUM!</v>
      </c>
      <c r="S97" s="31" t="e">
        <v>#NUM!</v>
      </c>
      <c r="T97" s="12" t="e">
        <v>#NUM!</v>
      </c>
      <c r="U97" s="12" t="e">
        <v>#NUM!</v>
      </c>
      <c r="V97" s="31" t="e">
        <v>#NUM!</v>
      </c>
      <c r="W97" s="12" t="e">
        <v>#NUM!</v>
      </c>
      <c r="X97" s="12" t="e">
        <v>#NUM!</v>
      </c>
      <c r="Y97" s="12" t="e">
        <v>#NUM!</v>
      </c>
      <c r="Z97" s="12" t="e">
        <v>#NUM!</v>
      </c>
    </row>
    <row r="98" spans="5:26" ht="15">
      <c r="E98" s="56">
        <f t="shared" si="2"/>
        <v>0</v>
      </c>
      <c r="F98" s="12" t="e">
        <f t="array" ref="F98:Z98">INDEX(PRODUCTION,SMALL(IF((INDEX(PRODUCTION,,'CURRENT WIP'!$D$2,1)&lt;='CURRENT WIP'!$D$6)*(INDEX(PRODUCTION,,'CURRENT WIP'!$D$2,1)&gt;='CURRENT WIP'!$D$6),ROW(PRODUCTION)-MIN(ROW(PRODUCTION))+1,""),ROWS(N$21:$N31)),,1)</f>
        <v>#NUM!</v>
      </c>
      <c r="G98" s="12" t="e">
        <v>#NUM!</v>
      </c>
      <c r="H98" s="12" t="e">
        <v>#NUM!</v>
      </c>
      <c r="I98" s="12" t="e">
        <v>#NUM!</v>
      </c>
      <c r="J98" s="38" t="e">
        <v>#NUM!</v>
      </c>
      <c r="K98" s="38" t="e">
        <v>#NUM!</v>
      </c>
      <c r="L98" s="12" t="e">
        <v>#NUM!</v>
      </c>
      <c r="M98" s="38" t="e">
        <v>#NUM!</v>
      </c>
      <c r="N98" s="12" t="e">
        <v>#NUM!</v>
      </c>
      <c r="O98" s="12" t="e">
        <v>#NUM!</v>
      </c>
      <c r="P98" s="12" t="e">
        <v>#NUM!</v>
      </c>
      <c r="Q98" s="12" t="e">
        <v>#NUM!</v>
      </c>
      <c r="R98" s="12" t="e">
        <v>#NUM!</v>
      </c>
      <c r="S98" s="31" t="e">
        <v>#NUM!</v>
      </c>
      <c r="T98" s="12" t="e">
        <v>#NUM!</v>
      </c>
      <c r="U98" s="12" t="e">
        <v>#NUM!</v>
      </c>
      <c r="V98" s="31" t="e">
        <v>#NUM!</v>
      </c>
      <c r="W98" s="12" t="e">
        <v>#NUM!</v>
      </c>
      <c r="X98" s="12" t="e">
        <v>#NUM!</v>
      </c>
      <c r="Y98" s="12" t="e">
        <v>#NUM!</v>
      </c>
      <c r="Z98" s="12" t="e">
        <v>#NUM!</v>
      </c>
    </row>
    <row r="99" spans="5:26" ht="15">
      <c r="E99" s="56">
        <f t="shared" si="2"/>
        <v>0</v>
      </c>
      <c r="F99" s="12" t="e">
        <f t="array" ref="F99:Z99">INDEX(PRODUCTION,SMALL(IF((INDEX(PRODUCTION,,'CURRENT WIP'!$D$2,1)&lt;='CURRENT WIP'!$D$6)*(INDEX(PRODUCTION,,'CURRENT WIP'!$D$2,1)&gt;='CURRENT WIP'!$D$6),ROW(PRODUCTION)-MIN(ROW(PRODUCTION))+1,""),ROWS(N$21:$N32)),,1)</f>
        <v>#NUM!</v>
      </c>
      <c r="G99" s="12" t="e">
        <v>#NUM!</v>
      </c>
      <c r="H99" s="12" t="e">
        <v>#NUM!</v>
      </c>
      <c r="I99" s="12" t="e">
        <v>#NUM!</v>
      </c>
      <c r="J99" s="38" t="e">
        <v>#NUM!</v>
      </c>
      <c r="K99" s="38" t="e">
        <v>#NUM!</v>
      </c>
      <c r="L99" s="12" t="e">
        <v>#NUM!</v>
      </c>
      <c r="M99" s="38" t="e">
        <v>#NUM!</v>
      </c>
      <c r="N99" s="12" t="e">
        <v>#NUM!</v>
      </c>
      <c r="O99" s="12" t="e">
        <v>#NUM!</v>
      </c>
      <c r="P99" s="12" t="e">
        <v>#NUM!</v>
      </c>
      <c r="Q99" s="12" t="e">
        <v>#NUM!</v>
      </c>
      <c r="R99" s="12" t="e">
        <v>#NUM!</v>
      </c>
      <c r="S99" s="31" t="e">
        <v>#NUM!</v>
      </c>
      <c r="T99" s="12" t="e">
        <v>#NUM!</v>
      </c>
      <c r="U99" s="12" t="e">
        <v>#NUM!</v>
      </c>
      <c r="V99" s="31" t="e">
        <v>#NUM!</v>
      </c>
      <c r="W99" s="12" t="e">
        <v>#NUM!</v>
      </c>
      <c r="X99" s="12" t="e">
        <v>#NUM!</v>
      </c>
      <c r="Y99" s="12" t="e">
        <v>#NUM!</v>
      </c>
      <c r="Z99" s="12" t="e">
        <v>#NUM!</v>
      </c>
    </row>
    <row r="100" spans="5:26" ht="15">
      <c r="E100" s="56">
        <f t="shared" si="2"/>
        <v>0</v>
      </c>
      <c r="F100" s="12" t="e">
        <f t="array" ref="F100:Z100">INDEX(PRODUCTION,SMALL(IF((INDEX(PRODUCTION,,'CURRENT WIP'!$D$2,1)&lt;='CURRENT WIP'!$D$6)*(INDEX(PRODUCTION,,'CURRENT WIP'!$D$2,1)&gt;='CURRENT WIP'!$D$6),ROW(PRODUCTION)-MIN(ROW(PRODUCTION))+1,""),ROWS(N$21:$N33)),,1)</f>
        <v>#NUM!</v>
      </c>
      <c r="G100" s="12" t="e">
        <v>#NUM!</v>
      </c>
      <c r="H100" s="12" t="e">
        <v>#NUM!</v>
      </c>
      <c r="I100" s="12" t="e">
        <v>#NUM!</v>
      </c>
      <c r="J100" s="38" t="e">
        <v>#NUM!</v>
      </c>
      <c r="K100" s="38" t="e">
        <v>#NUM!</v>
      </c>
      <c r="L100" s="12" t="e">
        <v>#NUM!</v>
      </c>
      <c r="M100" s="38" t="e">
        <v>#NUM!</v>
      </c>
      <c r="N100" s="12" t="e">
        <v>#NUM!</v>
      </c>
      <c r="O100" s="12" t="e">
        <v>#NUM!</v>
      </c>
      <c r="P100" s="12" t="e">
        <v>#NUM!</v>
      </c>
      <c r="Q100" s="12" t="e">
        <v>#NUM!</v>
      </c>
      <c r="R100" s="12" t="e">
        <v>#NUM!</v>
      </c>
      <c r="S100" s="31" t="e">
        <v>#NUM!</v>
      </c>
      <c r="T100" s="12" t="e">
        <v>#NUM!</v>
      </c>
      <c r="U100" s="12" t="e">
        <v>#NUM!</v>
      </c>
      <c r="V100" s="31" t="e">
        <v>#NUM!</v>
      </c>
      <c r="W100" s="12" t="e">
        <v>#NUM!</v>
      </c>
      <c r="X100" s="12" t="e">
        <v>#NUM!</v>
      </c>
      <c r="Y100" s="12" t="e">
        <v>#NUM!</v>
      </c>
      <c r="Z100" s="12" t="e">
        <v>#NUM!</v>
      </c>
    </row>
    <row r="101" spans="5:26" ht="15">
      <c r="E101" s="56">
        <f t="shared" si="2"/>
        <v>0</v>
      </c>
      <c r="F101" s="12" t="e">
        <f t="array" ref="F101:Z101">INDEX(PRODUCTION,SMALL(IF((INDEX(PRODUCTION,,'CURRENT WIP'!$D$2,1)&lt;='CURRENT WIP'!$D$6)*(INDEX(PRODUCTION,,'CURRENT WIP'!$D$2,1)&gt;='CURRENT WIP'!$D$6),ROW(PRODUCTION)-MIN(ROW(PRODUCTION))+1,""),ROWS(N$21:$N34)),,1)</f>
        <v>#NUM!</v>
      </c>
      <c r="G101" s="12" t="e">
        <v>#NUM!</v>
      </c>
      <c r="H101" s="12" t="e">
        <v>#NUM!</v>
      </c>
      <c r="I101" s="12" t="e">
        <v>#NUM!</v>
      </c>
      <c r="J101" s="38" t="e">
        <v>#NUM!</v>
      </c>
      <c r="K101" s="38" t="e">
        <v>#NUM!</v>
      </c>
      <c r="L101" s="12" t="e">
        <v>#NUM!</v>
      </c>
      <c r="M101" s="38" t="e">
        <v>#NUM!</v>
      </c>
      <c r="N101" s="12" t="e">
        <v>#NUM!</v>
      </c>
      <c r="O101" s="12" t="e">
        <v>#NUM!</v>
      </c>
      <c r="P101" s="12" t="e">
        <v>#NUM!</v>
      </c>
      <c r="Q101" s="12" t="e">
        <v>#NUM!</v>
      </c>
      <c r="R101" s="12" t="e">
        <v>#NUM!</v>
      </c>
      <c r="S101" s="31" t="e">
        <v>#NUM!</v>
      </c>
      <c r="T101" s="12" t="e">
        <v>#NUM!</v>
      </c>
      <c r="U101" s="12" t="e">
        <v>#NUM!</v>
      </c>
      <c r="V101" s="31" t="e">
        <v>#NUM!</v>
      </c>
      <c r="W101" s="12" t="e">
        <v>#NUM!</v>
      </c>
      <c r="X101" s="12" t="e">
        <v>#NUM!</v>
      </c>
      <c r="Y101" s="12" t="e">
        <v>#NUM!</v>
      </c>
      <c r="Z101" s="12" t="e">
        <v>#NUM!</v>
      </c>
    </row>
    <row r="102" spans="5:26" ht="15">
      <c r="E102" s="56">
        <f t="shared" si="2"/>
        <v>0</v>
      </c>
      <c r="F102" s="12" t="e">
        <f t="array" ref="F102:Z102">INDEX(PRODUCTION,SMALL(IF((INDEX(PRODUCTION,,'CURRENT WIP'!$D$2,1)&lt;='CURRENT WIP'!$D$6)*(INDEX(PRODUCTION,,'CURRENT WIP'!$D$2,1)&gt;='CURRENT WIP'!$D$6),ROW(PRODUCTION)-MIN(ROW(PRODUCTION))+1,""),ROWS(N$21:$N35)),,1)</f>
        <v>#NUM!</v>
      </c>
      <c r="G102" s="12" t="e">
        <v>#NUM!</v>
      </c>
      <c r="H102" s="12" t="e">
        <v>#NUM!</v>
      </c>
      <c r="I102" s="12" t="e">
        <v>#NUM!</v>
      </c>
      <c r="J102" s="38" t="e">
        <v>#NUM!</v>
      </c>
      <c r="K102" s="38" t="e">
        <v>#NUM!</v>
      </c>
      <c r="L102" s="12" t="e">
        <v>#NUM!</v>
      </c>
      <c r="M102" s="38" t="e">
        <v>#NUM!</v>
      </c>
      <c r="N102" s="12" t="e">
        <v>#NUM!</v>
      </c>
      <c r="O102" s="12" t="e">
        <v>#NUM!</v>
      </c>
      <c r="P102" s="12" t="e">
        <v>#NUM!</v>
      </c>
      <c r="Q102" s="12" t="e">
        <v>#NUM!</v>
      </c>
      <c r="R102" s="12" t="e">
        <v>#NUM!</v>
      </c>
      <c r="S102" s="31" t="e">
        <v>#NUM!</v>
      </c>
      <c r="T102" s="12" t="e">
        <v>#NUM!</v>
      </c>
      <c r="U102" s="12" t="e">
        <v>#NUM!</v>
      </c>
      <c r="V102" s="31" t="e">
        <v>#NUM!</v>
      </c>
      <c r="W102" s="12" t="e">
        <v>#NUM!</v>
      </c>
      <c r="X102" s="12" t="e">
        <v>#NUM!</v>
      </c>
      <c r="Y102" s="12" t="e">
        <v>#NUM!</v>
      </c>
      <c r="Z102" s="12" t="e">
        <v>#NUM!</v>
      </c>
    </row>
    <row r="103" spans="5:26" ht="15">
      <c r="E103" s="56">
        <f t="shared" si="2"/>
        <v>0</v>
      </c>
      <c r="F103" s="12" t="e">
        <f t="array" ref="F103:Z103">INDEX(PRODUCTION,SMALL(IF((INDEX(PRODUCTION,,'CURRENT WIP'!$D$2,1)&lt;='CURRENT WIP'!$D$6)*(INDEX(PRODUCTION,,'CURRENT WIP'!$D$2,1)&gt;='CURRENT WIP'!$D$6),ROW(PRODUCTION)-MIN(ROW(PRODUCTION))+1,""),ROWS(N$21:$N36)),,1)</f>
        <v>#NUM!</v>
      </c>
      <c r="G103" s="12" t="e">
        <v>#NUM!</v>
      </c>
      <c r="H103" s="12" t="e">
        <v>#NUM!</v>
      </c>
      <c r="I103" s="12" t="e">
        <v>#NUM!</v>
      </c>
      <c r="J103" s="38" t="e">
        <v>#NUM!</v>
      </c>
      <c r="K103" s="38" t="e">
        <v>#NUM!</v>
      </c>
      <c r="L103" s="12" t="e">
        <v>#NUM!</v>
      </c>
      <c r="M103" s="38" t="e">
        <v>#NUM!</v>
      </c>
      <c r="N103" s="12" t="e">
        <v>#NUM!</v>
      </c>
      <c r="O103" s="12" t="e">
        <v>#NUM!</v>
      </c>
      <c r="P103" s="12" t="e">
        <v>#NUM!</v>
      </c>
      <c r="Q103" s="12" t="e">
        <v>#NUM!</v>
      </c>
      <c r="R103" s="12" t="e">
        <v>#NUM!</v>
      </c>
      <c r="S103" s="31" t="e">
        <v>#NUM!</v>
      </c>
      <c r="T103" s="12" t="e">
        <v>#NUM!</v>
      </c>
      <c r="U103" s="12" t="e">
        <v>#NUM!</v>
      </c>
      <c r="V103" s="31" t="e">
        <v>#NUM!</v>
      </c>
      <c r="W103" s="12" t="e">
        <v>#NUM!</v>
      </c>
      <c r="X103" s="12" t="e">
        <v>#NUM!</v>
      </c>
      <c r="Y103" s="12" t="e">
        <v>#NUM!</v>
      </c>
      <c r="Z103" s="12" t="e">
        <v>#NUM!</v>
      </c>
    </row>
    <row r="104" spans="5:26" ht="15">
      <c r="E104" s="56">
        <f t="shared" si="2"/>
        <v>0</v>
      </c>
      <c r="F104" s="12" t="e">
        <f t="array" ref="F104:Z104">INDEX(PRODUCTION,SMALL(IF((INDEX(PRODUCTION,,'CURRENT WIP'!$D$2,1)&lt;='CURRENT WIP'!$D$6)*(INDEX(PRODUCTION,,'CURRENT WIP'!$D$2,1)&gt;='CURRENT WIP'!$D$6),ROW(PRODUCTION)-MIN(ROW(PRODUCTION))+1,""),ROWS(N$21:$N37)),,1)</f>
        <v>#NUM!</v>
      </c>
      <c r="G104" s="12" t="e">
        <v>#NUM!</v>
      </c>
      <c r="H104" s="12" t="e">
        <v>#NUM!</v>
      </c>
      <c r="I104" s="12" t="e">
        <v>#NUM!</v>
      </c>
      <c r="J104" s="38" t="e">
        <v>#NUM!</v>
      </c>
      <c r="K104" s="38" t="e">
        <v>#NUM!</v>
      </c>
      <c r="L104" s="12" t="e">
        <v>#NUM!</v>
      </c>
      <c r="M104" s="38" t="e">
        <v>#NUM!</v>
      </c>
      <c r="N104" s="12" t="e">
        <v>#NUM!</v>
      </c>
      <c r="O104" s="12" t="e">
        <v>#NUM!</v>
      </c>
      <c r="P104" s="12" t="e">
        <v>#NUM!</v>
      </c>
      <c r="Q104" s="12" t="e">
        <v>#NUM!</v>
      </c>
      <c r="R104" s="12" t="e">
        <v>#NUM!</v>
      </c>
      <c r="S104" s="31" t="e">
        <v>#NUM!</v>
      </c>
      <c r="T104" s="12" t="e">
        <v>#NUM!</v>
      </c>
      <c r="U104" s="12" t="e">
        <v>#NUM!</v>
      </c>
      <c r="V104" s="31" t="e">
        <v>#NUM!</v>
      </c>
      <c r="W104" s="12" t="e">
        <v>#NUM!</v>
      </c>
      <c r="X104" s="12" t="e">
        <v>#NUM!</v>
      </c>
      <c r="Y104" s="12" t="e">
        <v>#NUM!</v>
      </c>
      <c r="Z104" s="12" t="e">
        <v>#NUM!</v>
      </c>
    </row>
    <row r="105" spans="5:26" ht="15">
      <c r="E105" s="56">
        <f t="shared" si="2"/>
        <v>0</v>
      </c>
      <c r="F105" s="12" t="e">
        <f t="array" ref="F105:Z105">INDEX(PRODUCTION,SMALL(IF((INDEX(PRODUCTION,,'CURRENT WIP'!$D$2,1)&lt;='CURRENT WIP'!$D$6)*(INDEX(PRODUCTION,,'CURRENT WIP'!$D$2,1)&gt;='CURRENT WIP'!$D$6),ROW(PRODUCTION)-MIN(ROW(PRODUCTION))+1,""),ROWS(N$21:$N38)),,1)</f>
        <v>#NUM!</v>
      </c>
      <c r="G105" s="12" t="e">
        <v>#NUM!</v>
      </c>
      <c r="H105" s="12" t="e">
        <v>#NUM!</v>
      </c>
      <c r="I105" s="12" t="e">
        <v>#NUM!</v>
      </c>
      <c r="J105" s="38" t="e">
        <v>#NUM!</v>
      </c>
      <c r="K105" s="38" t="e">
        <v>#NUM!</v>
      </c>
      <c r="L105" s="12" t="e">
        <v>#NUM!</v>
      </c>
      <c r="M105" s="38" t="e">
        <v>#NUM!</v>
      </c>
      <c r="N105" s="12" t="e">
        <v>#NUM!</v>
      </c>
      <c r="O105" s="12" t="e">
        <v>#NUM!</v>
      </c>
      <c r="P105" s="12" t="e">
        <v>#NUM!</v>
      </c>
      <c r="Q105" s="12" t="e">
        <v>#NUM!</v>
      </c>
      <c r="R105" s="12" t="e">
        <v>#NUM!</v>
      </c>
      <c r="S105" s="31" t="e">
        <v>#NUM!</v>
      </c>
      <c r="T105" s="12" t="e">
        <v>#NUM!</v>
      </c>
      <c r="U105" s="12" t="e">
        <v>#NUM!</v>
      </c>
      <c r="V105" s="31" t="e">
        <v>#NUM!</v>
      </c>
      <c r="W105" s="12" t="e">
        <v>#NUM!</v>
      </c>
      <c r="X105" s="12" t="e">
        <v>#NUM!</v>
      </c>
      <c r="Y105" s="12" t="e">
        <v>#NUM!</v>
      </c>
      <c r="Z105" s="12" t="e">
        <v>#NUM!</v>
      </c>
    </row>
    <row r="106" spans="5:26" ht="15">
      <c r="E106" s="56">
        <f t="shared" si="2"/>
        <v>0</v>
      </c>
      <c r="F106" s="12" t="e">
        <f t="array" ref="F106:Z106">INDEX(PRODUCTION,SMALL(IF((INDEX(PRODUCTION,,'CURRENT WIP'!$D$2,1)&lt;='CURRENT WIP'!$D$6)*(INDEX(PRODUCTION,,'CURRENT WIP'!$D$2,1)&gt;='CURRENT WIP'!$D$6),ROW(PRODUCTION)-MIN(ROW(PRODUCTION))+1,""),ROWS(N$21:$N39)),,1)</f>
        <v>#NUM!</v>
      </c>
      <c r="G106" s="12" t="e">
        <v>#NUM!</v>
      </c>
      <c r="H106" s="12" t="e">
        <v>#NUM!</v>
      </c>
      <c r="I106" s="12" t="e">
        <v>#NUM!</v>
      </c>
      <c r="J106" s="38" t="e">
        <v>#NUM!</v>
      </c>
      <c r="K106" s="38" t="e">
        <v>#NUM!</v>
      </c>
      <c r="L106" s="12" t="e">
        <v>#NUM!</v>
      </c>
      <c r="M106" s="38" t="e">
        <v>#NUM!</v>
      </c>
      <c r="N106" s="12" t="e">
        <v>#NUM!</v>
      </c>
      <c r="O106" s="12" t="e">
        <v>#NUM!</v>
      </c>
      <c r="P106" s="12" t="e">
        <v>#NUM!</v>
      </c>
      <c r="Q106" s="12" t="e">
        <v>#NUM!</v>
      </c>
      <c r="R106" s="12" t="e">
        <v>#NUM!</v>
      </c>
      <c r="S106" s="31" t="e">
        <v>#NUM!</v>
      </c>
      <c r="T106" s="12" t="e">
        <v>#NUM!</v>
      </c>
      <c r="U106" s="12" t="e">
        <v>#NUM!</v>
      </c>
      <c r="V106" s="31" t="e">
        <v>#NUM!</v>
      </c>
      <c r="W106" s="12" t="e">
        <v>#NUM!</v>
      </c>
      <c r="X106" s="12" t="e">
        <v>#NUM!</v>
      </c>
      <c r="Y106" s="12" t="e">
        <v>#NUM!</v>
      </c>
      <c r="Z106" s="12" t="e">
        <v>#NUM!</v>
      </c>
    </row>
    <row r="107" spans="5:26" ht="15">
      <c r="E107" s="56">
        <f t="shared" si="2"/>
        <v>0</v>
      </c>
      <c r="F107" s="12" t="e">
        <f t="array" ref="F107:Z107">INDEX(PRODUCTION,SMALL(IF((INDEX(PRODUCTION,,'CURRENT WIP'!$D$2,1)&lt;='CURRENT WIP'!$D$6)*(INDEX(PRODUCTION,,'CURRENT WIP'!$D$2,1)&gt;='CURRENT WIP'!$D$6),ROW(PRODUCTION)-MIN(ROW(PRODUCTION))+1,""),ROWS(N$21:$N40)),,1)</f>
        <v>#NUM!</v>
      </c>
      <c r="G107" s="12" t="e">
        <v>#NUM!</v>
      </c>
      <c r="H107" s="12" t="e">
        <v>#NUM!</v>
      </c>
      <c r="I107" s="12" t="e">
        <v>#NUM!</v>
      </c>
      <c r="J107" s="38" t="e">
        <v>#NUM!</v>
      </c>
      <c r="K107" s="38" t="e">
        <v>#NUM!</v>
      </c>
      <c r="L107" s="12" t="e">
        <v>#NUM!</v>
      </c>
      <c r="M107" s="38" t="e">
        <v>#NUM!</v>
      </c>
      <c r="N107" s="12" t="e">
        <v>#NUM!</v>
      </c>
      <c r="O107" s="12" t="e">
        <v>#NUM!</v>
      </c>
      <c r="P107" s="12" t="e">
        <v>#NUM!</v>
      </c>
      <c r="Q107" s="12" t="e">
        <v>#NUM!</v>
      </c>
      <c r="R107" s="12" t="e">
        <v>#NUM!</v>
      </c>
      <c r="S107" s="31" t="e">
        <v>#NUM!</v>
      </c>
      <c r="T107" s="12" t="e">
        <v>#NUM!</v>
      </c>
      <c r="U107" s="12" t="e">
        <v>#NUM!</v>
      </c>
      <c r="V107" s="31" t="e">
        <v>#NUM!</v>
      </c>
      <c r="W107" s="12" t="e">
        <v>#NUM!</v>
      </c>
      <c r="X107" s="12" t="e">
        <v>#NUM!</v>
      </c>
      <c r="Y107" s="12" t="e">
        <v>#NUM!</v>
      </c>
      <c r="Z107" s="12" t="e">
        <v>#NUM!</v>
      </c>
    </row>
    <row r="108" spans="5:26" ht="15">
      <c r="E108" s="56">
        <f t="shared" si="2"/>
        <v>0</v>
      </c>
      <c r="F108" s="12" t="e">
        <f t="array" ref="F108:Z108">INDEX(PRODUCTION,SMALL(IF((INDEX(PRODUCTION,,'CURRENT WIP'!$D$2,1)&lt;='CURRENT WIP'!$D$6)*(INDEX(PRODUCTION,,'CURRENT WIP'!$D$2,1)&gt;='CURRENT WIP'!$D$6),ROW(PRODUCTION)-MIN(ROW(PRODUCTION))+1,""),ROWS(N$21:$N41)),,1)</f>
        <v>#NUM!</v>
      </c>
      <c r="G108" s="12" t="e">
        <v>#NUM!</v>
      </c>
      <c r="H108" s="12" t="e">
        <v>#NUM!</v>
      </c>
      <c r="I108" s="12" t="e">
        <v>#NUM!</v>
      </c>
      <c r="J108" s="38" t="e">
        <v>#NUM!</v>
      </c>
      <c r="K108" s="38" t="e">
        <v>#NUM!</v>
      </c>
      <c r="L108" s="12" t="e">
        <v>#NUM!</v>
      </c>
      <c r="M108" s="38" t="e">
        <v>#NUM!</v>
      </c>
      <c r="N108" s="12" t="e">
        <v>#NUM!</v>
      </c>
      <c r="O108" s="12" t="e">
        <v>#NUM!</v>
      </c>
      <c r="P108" s="12" t="e">
        <v>#NUM!</v>
      </c>
      <c r="Q108" s="12" t="e">
        <v>#NUM!</v>
      </c>
      <c r="R108" s="12" t="e">
        <v>#NUM!</v>
      </c>
      <c r="S108" s="31" t="e">
        <v>#NUM!</v>
      </c>
      <c r="T108" s="12" t="e">
        <v>#NUM!</v>
      </c>
      <c r="U108" s="12" t="e">
        <v>#NUM!</v>
      </c>
      <c r="V108" s="31" t="e">
        <v>#NUM!</v>
      </c>
      <c r="W108" s="12" t="e">
        <v>#NUM!</v>
      </c>
      <c r="X108" s="12" t="e">
        <v>#NUM!</v>
      </c>
      <c r="Y108" s="12" t="e">
        <v>#NUM!</v>
      </c>
      <c r="Z108" s="12" t="e">
        <v>#NUM!</v>
      </c>
    </row>
    <row r="109" spans="5:26" ht="15">
      <c r="E109" s="56">
        <f t="shared" si="2"/>
        <v>0</v>
      </c>
      <c r="F109" s="12" t="e">
        <f t="array" ref="F109:Z109">INDEX(PRODUCTION,SMALL(IF((INDEX(PRODUCTION,,'CURRENT WIP'!$D$2,1)&lt;='CURRENT WIP'!$D$6)*(INDEX(PRODUCTION,,'CURRENT WIP'!$D$2,1)&gt;='CURRENT WIP'!$D$6),ROW(PRODUCTION)-MIN(ROW(PRODUCTION))+1,""),ROWS(N$21:$N42)),,1)</f>
        <v>#NUM!</v>
      </c>
      <c r="G109" s="12" t="e">
        <v>#NUM!</v>
      </c>
      <c r="H109" s="12" t="e">
        <v>#NUM!</v>
      </c>
      <c r="I109" s="12" t="e">
        <v>#NUM!</v>
      </c>
      <c r="J109" s="38" t="e">
        <v>#NUM!</v>
      </c>
      <c r="K109" s="38" t="e">
        <v>#NUM!</v>
      </c>
      <c r="L109" s="12" t="e">
        <v>#NUM!</v>
      </c>
      <c r="M109" s="38" t="e">
        <v>#NUM!</v>
      </c>
      <c r="N109" s="12" t="e">
        <v>#NUM!</v>
      </c>
      <c r="O109" s="12" t="e">
        <v>#NUM!</v>
      </c>
      <c r="P109" s="12" t="e">
        <v>#NUM!</v>
      </c>
      <c r="Q109" s="12" t="e">
        <v>#NUM!</v>
      </c>
      <c r="R109" s="12" t="e">
        <v>#NUM!</v>
      </c>
      <c r="S109" s="31" t="e">
        <v>#NUM!</v>
      </c>
      <c r="T109" s="12" t="e">
        <v>#NUM!</v>
      </c>
      <c r="U109" s="12" t="e">
        <v>#NUM!</v>
      </c>
      <c r="V109" s="31" t="e">
        <v>#NUM!</v>
      </c>
      <c r="W109" s="12" t="e">
        <v>#NUM!</v>
      </c>
      <c r="X109" s="12" t="e">
        <v>#NUM!</v>
      </c>
      <c r="Y109" s="12" t="e">
        <v>#NUM!</v>
      </c>
      <c r="Z109" s="12" t="e">
        <v>#NUM!</v>
      </c>
    </row>
    <row r="110" spans="5:26" ht="15">
      <c r="E110" s="56">
        <f t="shared" si="2"/>
        <v>0</v>
      </c>
      <c r="F110" s="12" t="e">
        <f t="array" ref="F110:Z110">INDEX(PRODUCTION,SMALL(IF((INDEX(PRODUCTION,,'CURRENT WIP'!$D$2,1)&lt;='CURRENT WIP'!$D$6)*(INDEX(PRODUCTION,,'CURRENT WIP'!$D$2,1)&gt;='CURRENT WIP'!$D$6),ROW(PRODUCTION)-MIN(ROW(PRODUCTION))+1,""),ROWS(N$21:$N43)),,1)</f>
        <v>#NUM!</v>
      </c>
      <c r="G110" s="12" t="e">
        <v>#NUM!</v>
      </c>
      <c r="H110" s="12" t="e">
        <v>#NUM!</v>
      </c>
      <c r="I110" s="12" t="e">
        <v>#NUM!</v>
      </c>
      <c r="J110" s="38" t="e">
        <v>#NUM!</v>
      </c>
      <c r="K110" s="38" t="e">
        <v>#NUM!</v>
      </c>
      <c r="L110" s="12" t="e">
        <v>#NUM!</v>
      </c>
      <c r="M110" s="38" t="e">
        <v>#NUM!</v>
      </c>
      <c r="N110" s="12" t="e">
        <v>#NUM!</v>
      </c>
      <c r="O110" s="12" t="e">
        <v>#NUM!</v>
      </c>
      <c r="P110" s="12" t="e">
        <v>#NUM!</v>
      </c>
      <c r="Q110" s="12" t="e">
        <v>#NUM!</v>
      </c>
      <c r="R110" s="12" t="e">
        <v>#NUM!</v>
      </c>
      <c r="S110" s="31" t="e">
        <v>#NUM!</v>
      </c>
      <c r="T110" s="12" t="e">
        <v>#NUM!</v>
      </c>
      <c r="U110" s="12" t="e">
        <v>#NUM!</v>
      </c>
      <c r="V110" s="31" t="e">
        <v>#NUM!</v>
      </c>
      <c r="W110" s="12" t="e">
        <v>#NUM!</v>
      </c>
      <c r="X110" s="12" t="e">
        <v>#NUM!</v>
      </c>
      <c r="Y110" s="12" t="e">
        <v>#NUM!</v>
      </c>
      <c r="Z110" s="12" t="e">
        <v>#NUM!</v>
      </c>
    </row>
    <row r="111" spans="5:26" ht="15">
      <c r="E111" s="56">
        <f t="shared" si="2"/>
        <v>0</v>
      </c>
      <c r="F111" s="12" t="e">
        <f t="array" ref="F111:Z111">INDEX(PRODUCTION,SMALL(IF((INDEX(PRODUCTION,,'CURRENT WIP'!$D$2,1)&lt;='CURRENT WIP'!$D$6)*(INDEX(PRODUCTION,,'CURRENT WIP'!$D$2,1)&gt;='CURRENT WIP'!$D$6),ROW(PRODUCTION)-MIN(ROW(PRODUCTION))+1,""),ROWS(N$21:$N44)),,1)</f>
        <v>#NUM!</v>
      </c>
      <c r="G111" s="12" t="e">
        <v>#NUM!</v>
      </c>
      <c r="H111" s="12" t="e">
        <v>#NUM!</v>
      </c>
      <c r="I111" s="12" t="e">
        <v>#NUM!</v>
      </c>
      <c r="J111" s="38" t="e">
        <v>#NUM!</v>
      </c>
      <c r="K111" s="38" t="e">
        <v>#NUM!</v>
      </c>
      <c r="L111" s="12" t="e">
        <v>#NUM!</v>
      </c>
      <c r="M111" s="38" t="e">
        <v>#NUM!</v>
      </c>
      <c r="N111" s="12" t="e">
        <v>#NUM!</v>
      </c>
      <c r="O111" s="12" t="e">
        <v>#NUM!</v>
      </c>
      <c r="P111" s="12" t="e">
        <v>#NUM!</v>
      </c>
      <c r="Q111" s="12" t="e">
        <v>#NUM!</v>
      </c>
      <c r="R111" s="12" t="e">
        <v>#NUM!</v>
      </c>
      <c r="S111" s="31" t="e">
        <v>#NUM!</v>
      </c>
      <c r="T111" s="12" t="e">
        <v>#NUM!</v>
      </c>
      <c r="U111" s="12" t="e">
        <v>#NUM!</v>
      </c>
      <c r="V111" s="31" t="e">
        <v>#NUM!</v>
      </c>
      <c r="W111" s="12" t="e">
        <v>#NUM!</v>
      </c>
      <c r="X111" s="12" t="e">
        <v>#NUM!</v>
      </c>
      <c r="Y111" s="12" t="e">
        <v>#NUM!</v>
      </c>
      <c r="Z111" s="12" t="e">
        <v>#NUM!</v>
      </c>
    </row>
    <row r="112" spans="5:26" ht="15">
      <c r="E112" s="56">
        <f t="shared" si="2"/>
        <v>0</v>
      </c>
      <c r="F112" s="12" t="e">
        <f t="array" ref="F112:Z112">INDEX(PRODUCTION,SMALL(IF((INDEX(PRODUCTION,,'CURRENT WIP'!$D$2,1)&lt;='CURRENT WIP'!$D$6)*(INDEX(PRODUCTION,,'CURRENT WIP'!$D$2,1)&gt;='CURRENT WIP'!$D$6),ROW(PRODUCTION)-MIN(ROW(PRODUCTION))+1,""),ROWS(N$21:$N45)),,1)</f>
        <v>#NUM!</v>
      </c>
      <c r="G112" s="12" t="e">
        <v>#NUM!</v>
      </c>
      <c r="H112" s="12" t="e">
        <v>#NUM!</v>
      </c>
      <c r="I112" s="12" t="e">
        <v>#NUM!</v>
      </c>
      <c r="J112" s="38" t="e">
        <v>#NUM!</v>
      </c>
      <c r="K112" s="38" t="e">
        <v>#NUM!</v>
      </c>
      <c r="L112" s="12" t="e">
        <v>#NUM!</v>
      </c>
      <c r="M112" s="38" t="e">
        <v>#NUM!</v>
      </c>
      <c r="N112" s="12" t="e">
        <v>#NUM!</v>
      </c>
      <c r="O112" s="12" t="e">
        <v>#NUM!</v>
      </c>
      <c r="P112" s="12" t="e">
        <v>#NUM!</v>
      </c>
      <c r="Q112" s="12" t="e">
        <v>#NUM!</v>
      </c>
      <c r="R112" s="12" t="e">
        <v>#NUM!</v>
      </c>
      <c r="S112" s="31" t="e">
        <v>#NUM!</v>
      </c>
      <c r="T112" s="12" t="e">
        <v>#NUM!</v>
      </c>
      <c r="U112" s="12" t="e">
        <v>#NUM!</v>
      </c>
      <c r="V112" s="31" t="e">
        <v>#NUM!</v>
      </c>
      <c r="W112" s="12" t="e">
        <v>#NUM!</v>
      </c>
      <c r="X112" s="12" t="e">
        <v>#NUM!</v>
      </c>
      <c r="Y112" s="12" t="e">
        <v>#NUM!</v>
      </c>
      <c r="Z112" s="12" t="e">
        <v>#NUM!</v>
      </c>
    </row>
    <row r="113" spans="4:26" ht="15">
      <c r="E113" s="56">
        <f t="shared" si="2"/>
        <v>0</v>
      </c>
      <c r="F113" s="12" t="e">
        <f t="array" ref="F113:Z113">INDEX(PRODUCTION,SMALL(IF((INDEX(PRODUCTION,,'CURRENT WIP'!$D$2,1)&lt;='CURRENT WIP'!$D$6)*(INDEX(PRODUCTION,,'CURRENT WIP'!$D$2,1)&gt;='CURRENT WIP'!$D$6),ROW(PRODUCTION)-MIN(ROW(PRODUCTION))+1,""),ROWS(N$21:$N46)),,1)</f>
        <v>#NUM!</v>
      </c>
      <c r="G113" s="12" t="e">
        <v>#NUM!</v>
      </c>
      <c r="H113" s="12" t="e">
        <v>#NUM!</v>
      </c>
      <c r="I113" s="12" t="e">
        <v>#NUM!</v>
      </c>
      <c r="J113" s="38" t="e">
        <v>#NUM!</v>
      </c>
      <c r="K113" s="38" t="e">
        <v>#NUM!</v>
      </c>
      <c r="L113" s="12" t="e">
        <v>#NUM!</v>
      </c>
      <c r="M113" s="38" t="e">
        <v>#NUM!</v>
      </c>
      <c r="N113" s="12" t="e">
        <v>#NUM!</v>
      </c>
      <c r="O113" s="12" t="e">
        <v>#NUM!</v>
      </c>
      <c r="P113" s="12" t="e">
        <v>#NUM!</v>
      </c>
      <c r="Q113" s="12" t="e">
        <v>#NUM!</v>
      </c>
      <c r="R113" s="12" t="e">
        <v>#NUM!</v>
      </c>
      <c r="S113" s="31" t="e">
        <v>#NUM!</v>
      </c>
      <c r="T113" s="12" t="e">
        <v>#NUM!</v>
      </c>
      <c r="U113" s="12" t="e">
        <v>#NUM!</v>
      </c>
      <c r="V113" s="31" t="e">
        <v>#NUM!</v>
      </c>
      <c r="W113" s="12" t="e">
        <v>#NUM!</v>
      </c>
      <c r="X113" s="12" t="e">
        <v>#NUM!</v>
      </c>
      <c r="Y113" s="12" t="e">
        <v>#NUM!</v>
      </c>
      <c r="Z113" s="12" t="e">
        <v>#NUM!</v>
      </c>
    </row>
    <row r="114" spans="4:26" ht="15">
      <c r="E114" s="56">
        <f t="shared" si="2"/>
        <v>0</v>
      </c>
      <c r="F114" s="12" t="e">
        <f t="array" ref="F114:Z114">INDEX(PRODUCTION,SMALL(IF((INDEX(PRODUCTION,,'CURRENT WIP'!$D$2,1)&lt;='CURRENT WIP'!$D$6)*(INDEX(PRODUCTION,,'CURRENT WIP'!$D$2,1)&gt;='CURRENT WIP'!$D$6),ROW(PRODUCTION)-MIN(ROW(PRODUCTION))+1,""),ROWS(N$21:$N47)),,1)</f>
        <v>#NUM!</v>
      </c>
      <c r="G114" s="12" t="e">
        <v>#NUM!</v>
      </c>
      <c r="H114" s="12" t="e">
        <v>#NUM!</v>
      </c>
      <c r="I114" s="12" t="e">
        <v>#NUM!</v>
      </c>
      <c r="J114" s="38" t="e">
        <v>#NUM!</v>
      </c>
      <c r="K114" s="38" t="e">
        <v>#NUM!</v>
      </c>
      <c r="L114" s="12" t="e">
        <v>#NUM!</v>
      </c>
      <c r="M114" s="38" t="e">
        <v>#NUM!</v>
      </c>
      <c r="N114" s="12" t="e">
        <v>#NUM!</v>
      </c>
      <c r="O114" s="12" t="e">
        <v>#NUM!</v>
      </c>
      <c r="P114" s="12" t="e">
        <v>#NUM!</v>
      </c>
      <c r="Q114" s="12" t="e">
        <v>#NUM!</v>
      </c>
      <c r="R114" s="12" t="e">
        <v>#NUM!</v>
      </c>
      <c r="S114" s="31" t="e">
        <v>#NUM!</v>
      </c>
      <c r="T114" s="12" t="e">
        <v>#NUM!</v>
      </c>
      <c r="U114" s="12" t="e">
        <v>#NUM!</v>
      </c>
      <c r="V114" s="31" t="e">
        <v>#NUM!</v>
      </c>
      <c r="W114" s="12" t="e">
        <v>#NUM!</v>
      </c>
      <c r="X114" s="12" t="e">
        <v>#NUM!</v>
      </c>
      <c r="Y114" s="12" t="e">
        <v>#NUM!</v>
      </c>
      <c r="Z114" s="12" t="e">
        <v>#NUM!</v>
      </c>
    </row>
    <row r="115" spans="4:26" ht="15">
      <c r="E115" s="56">
        <f t="shared" si="2"/>
        <v>0</v>
      </c>
      <c r="F115" s="12" t="e">
        <f t="array" ref="F115:Z115">INDEX(PRODUCTION,SMALL(IF((INDEX(PRODUCTION,,'CURRENT WIP'!$D$2,1)&lt;='CURRENT WIP'!$D$6)*(INDEX(PRODUCTION,,'CURRENT WIP'!$D$2,1)&gt;='CURRENT WIP'!$D$6),ROW(PRODUCTION)-MIN(ROW(PRODUCTION))+1,""),ROWS(N$21:$N48)),,1)</f>
        <v>#NUM!</v>
      </c>
      <c r="G115" s="12" t="e">
        <v>#NUM!</v>
      </c>
      <c r="H115" s="12" t="e">
        <v>#NUM!</v>
      </c>
      <c r="I115" s="12" t="e">
        <v>#NUM!</v>
      </c>
      <c r="J115" s="38" t="e">
        <v>#NUM!</v>
      </c>
      <c r="K115" s="38" t="e">
        <v>#NUM!</v>
      </c>
      <c r="L115" s="12" t="e">
        <v>#NUM!</v>
      </c>
      <c r="M115" s="38" t="e">
        <v>#NUM!</v>
      </c>
      <c r="N115" s="12" t="e">
        <v>#NUM!</v>
      </c>
      <c r="O115" s="12" t="e">
        <v>#NUM!</v>
      </c>
      <c r="P115" s="12" t="e">
        <v>#NUM!</v>
      </c>
      <c r="Q115" s="12" t="e">
        <v>#NUM!</v>
      </c>
      <c r="R115" s="12" t="e">
        <v>#NUM!</v>
      </c>
      <c r="S115" s="31" t="e">
        <v>#NUM!</v>
      </c>
      <c r="T115" s="12" t="e">
        <v>#NUM!</v>
      </c>
      <c r="U115" s="12" t="e">
        <v>#NUM!</v>
      </c>
      <c r="V115" s="31" t="e">
        <v>#NUM!</v>
      </c>
      <c r="W115" s="12" t="e">
        <v>#NUM!</v>
      </c>
      <c r="X115" s="12" t="e">
        <v>#NUM!</v>
      </c>
      <c r="Y115" s="12" t="e">
        <v>#NUM!</v>
      </c>
      <c r="Z115" s="12" t="e">
        <v>#NUM!</v>
      </c>
    </row>
    <row r="116" spans="4:26" ht="15">
      <c r="E116" s="56">
        <f t="shared" si="2"/>
        <v>0</v>
      </c>
      <c r="F116" s="12" t="e">
        <f t="array" ref="F116:Z116">INDEX(PRODUCTION,SMALL(IF((INDEX(PRODUCTION,,'CURRENT WIP'!$D$2,1)&lt;='CURRENT WIP'!$D$6)*(INDEX(PRODUCTION,,'CURRENT WIP'!$D$2,1)&gt;='CURRENT WIP'!$D$6),ROW(PRODUCTION)-MIN(ROW(PRODUCTION))+1,""),ROWS(N$21:$N49)),,1)</f>
        <v>#NUM!</v>
      </c>
      <c r="G116" s="12" t="e">
        <v>#NUM!</v>
      </c>
      <c r="H116" s="12" t="e">
        <v>#NUM!</v>
      </c>
      <c r="I116" s="12" t="e">
        <v>#NUM!</v>
      </c>
      <c r="J116" s="38" t="e">
        <v>#NUM!</v>
      </c>
      <c r="K116" s="38" t="e">
        <v>#NUM!</v>
      </c>
      <c r="L116" s="12" t="e">
        <v>#NUM!</v>
      </c>
      <c r="M116" s="38" t="e">
        <v>#NUM!</v>
      </c>
      <c r="N116" s="12" t="e">
        <v>#NUM!</v>
      </c>
      <c r="O116" s="12" t="e">
        <v>#NUM!</v>
      </c>
      <c r="P116" s="12" t="e">
        <v>#NUM!</v>
      </c>
      <c r="Q116" s="12" t="e">
        <v>#NUM!</v>
      </c>
      <c r="R116" s="12" t="e">
        <v>#NUM!</v>
      </c>
      <c r="S116" s="31" t="e">
        <v>#NUM!</v>
      </c>
      <c r="T116" s="12" t="e">
        <v>#NUM!</v>
      </c>
      <c r="U116" s="12" t="e">
        <v>#NUM!</v>
      </c>
      <c r="V116" s="31" t="e">
        <v>#NUM!</v>
      </c>
      <c r="W116" s="12" t="e">
        <v>#NUM!</v>
      </c>
      <c r="X116" s="12" t="e">
        <v>#NUM!</v>
      </c>
      <c r="Y116" s="12" t="e">
        <v>#NUM!</v>
      </c>
      <c r="Z116" s="12" t="e">
        <v>#NUM!</v>
      </c>
    </row>
    <row r="117" spans="4:26" ht="15">
      <c r="E117" s="56"/>
      <c r="F117" s="18"/>
      <c r="G117" s="18"/>
      <c r="H117" s="18"/>
      <c r="I117" s="18"/>
      <c r="K117" s="41"/>
      <c r="L117" s="18"/>
      <c r="M117" s="41"/>
      <c r="N117" s="17" t="s">
        <v>20</v>
      </c>
      <c r="O117" s="16"/>
      <c r="P117" s="42">
        <f t="array" ref="P117">SUM(IF(ISERROR(P87:P116),0,P87:P116))</f>
        <v>0</v>
      </c>
      <c r="Q117" s="42">
        <f t="array" ref="Q117">SUM(IF(ISERROR(Q87:Q116),0,Q87:Q116))</f>
        <v>0</v>
      </c>
      <c r="R117" s="42">
        <f t="array" ref="R117">SUM(IF(ISERROR(R87:R116),0,R87:R116))</f>
        <v>0</v>
      </c>
      <c r="S117" s="35"/>
      <c r="T117" s="18"/>
      <c r="U117" s="18"/>
    </row>
    <row r="118" spans="4:26" ht="32.25" customHeight="1">
      <c r="E118" s="19"/>
      <c r="F118" s="21" t="s">
        <v>0</v>
      </c>
      <c r="G118" s="21" t="s">
        <v>1</v>
      </c>
      <c r="H118" s="21" t="s">
        <v>21</v>
      </c>
      <c r="I118" s="21" t="s">
        <v>22</v>
      </c>
      <c r="J118" s="39" t="s">
        <v>23</v>
      </c>
      <c r="K118" s="39" t="s">
        <v>24</v>
      </c>
      <c r="L118" s="21" t="s">
        <v>25</v>
      </c>
      <c r="M118" s="39" t="s">
        <v>2</v>
      </c>
      <c r="N118" s="22" t="s">
        <v>3</v>
      </c>
      <c r="O118" s="23" t="s">
        <v>10</v>
      </c>
      <c r="P118" s="23" t="s">
        <v>4</v>
      </c>
      <c r="Q118" s="23" t="s">
        <v>5</v>
      </c>
      <c r="R118" s="23" t="s">
        <v>6</v>
      </c>
      <c r="S118" s="33" t="s">
        <v>26</v>
      </c>
      <c r="T118" s="27" t="s">
        <v>27</v>
      </c>
      <c r="U118" s="27" t="s">
        <v>28</v>
      </c>
      <c r="V118" s="33" t="s">
        <v>29</v>
      </c>
      <c r="W118" s="27" t="s">
        <v>30</v>
      </c>
      <c r="X118" s="23" t="s">
        <v>31</v>
      </c>
      <c r="Y118" s="27" t="s">
        <v>14</v>
      </c>
      <c r="Z118" s="21" t="s">
        <v>32</v>
      </c>
    </row>
    <row r="119" spans="4:26" ht="15.75">
      <c r="D119" s="19" t="s">
        <v>6</v>
      </c>
    </row>
    <row r="120" spans="4:26" ht="15">
      <c r="E120" s="56">
        <f>COUNTIF(F120,"*")</f>
        <v>0</v>
      </c>
      <c r="F120" t="e">
        <f t="array" ref="F120:Z120">INDEX(PRODUCTION,SMALL(IF((INDEX(PRODUCTION,,'CURRENT WIP'!$D$2,1)&lt;='CURRENT WIP'!$D$7)*(INDEX(PRODUCTION,,'CURRENT WIP'!$D$2,1)&gt;='CURRENT WIP'!$D$7),ROW(PRODUCTION)-MIN(ROW(PRODUCTION))+1,""),ROWS(N21:$N$21)),,1)</f>
        <v>#NUM!</v>
      </c>
      <c r="G120" s="2" t="e">
        <v>#NUM!</v>
      </c>
      <c r="H120" s="2" t="e">
        <v>#NUM!</v>
      </c>
      <c r="I120" s="2" t="e">
        <v>#NUM!</v>
      </c>
      <c r="J120" s="37" t="e">
        <v>#NUM!</v>
      </c>
      <c r="K120" s="37" t="e">
        <v>#NUM!</v>
      </c>
      <c r="L120" s="2" t="e">
        <v>#NUM!</v>
      </c>
      <c r="M120" s="37" t="e">
        <v>#NUM!</v>
      </c>
      <c r="N120" s="2" t="e">
        <v>#NUM!</v>
      </c>
      <c r="O120" s="2" t="e">
        <v>#NUM!</v>
      </c>
      <c r="P120" s="2" t="e">
        <v>#NUM!</v>
      </c>
      <c r="Q120" s="2" t="e">
        <v>#NUM!</v>
      </c>
      <c r="R120" s="2" t="e">
        <v>#NUM!</v>
      </c>
      <c r="S120" s="28" t="e">
        <v>#NUM!</v>
      </c>
      <c r="T120" s="2" t="e">
        <v>#NUM!</v>
      </c>
      <c r="U120" s="2" t="e">
        <v>#NUM!</v>
      </c>
      <c r="V120" s="28" t="e">
        <v>#NUM!</v>
      </c>
      <c r="W120" s="2" t="e">
        <v>#NUM!</v>
      </c>
      <c r="X120" s="2" t="e">
        <v>#NUM!</v>
      </c>
      <c r="Y120" s="2" t="e">
        <v>#NUM!</v>
      </c>
      <c r="Z120" s="2" t="e">
        <v>#NUM!</v>
      </c>
    </row>
    <row r="121" spans="4:26" ht="15">
      <c r="E121" s="56">
        <f t="shared" ref="E121:E148" si="3">COUNTIF(F121,"*")</f>
        <v>0</v>
      </c>
      <c r="F121" s="2" t="e">
        <f t="array" ref="F121:Z121">INDEX(PRODUCTION,SMALL(IF((INDEX(PRODUCTION,,'CURRENT WIP'!$D$2,1)&lt;='CURRENT WIP'!$D$7)*(INDEX(PRODUCTION,,'CURRENT WIP'!$D$2,1)&gt;='CURRENT WIP'!$D$7),ROW(PRODUCTION)-MIN(ROW(PRODUCTION))+1,""),ROWS(N$21:$N22)),,1)</f>
        <v>#NUM!</v>
      </c>
      <c r="G121" s="2" t="e">
        <v>#NUM!</v>
      </c>
      <c r="H121" s="2" t="e">
        <v>#NUM!</v>
      </c>
      <c r="I121" s="2" t="e">
        <v>#NUM!</v>
      </c>
      <c r="J121" s="37" t="e">
        <v>#NUM!</v>
      </c>
      <c r="K121" s="37" t="e">
        <v>#NUM!</v>
      </c>
      <c r="L121" s="2" t="e">
        <v>#NUM!</v>
      </c>
      <c r="M121" s="37" t="e">
        <v>#NUM!</v>
      </c>
      <c r="N121" s="2" t="e">
        <v>#NUM!</v>
      </c>
      <c r="O121" s="2" t="e">
        <v>#NUM!</v>
      </c>
      <c r="P121" s="2" t="e">
        <v>#NUM!</v>
      </c>
      <c r="Q121" s="2" t="e">
        <v>#NUM!</v>
      </c>
      <c r="R121" s="2" t="e">
        <v>#NUM!</v>
      </c>
      <c r="S121" s="28" t="e">
        <v>#NUM!</v>
      </c>
      <c r="T121" s="2" t="e">
        <v>#NUM!</v>
      </c>
      <c r="U121" s="2" t="e">
        <v>#NUM!</v>
      </c>
      <c r="V121" s="28" t="e">
        <v>#NUM!</v>
      </c>
      <c r="W121" s="2" t="e">
        <v>#NUM!</v>
      </c>
      <c r="X121" s="2" t="e">
        <v>#NUM!</v>
      </c>
      <c r="Y121" s="2" t="e">
        <v>#NUM!</v>
      </c>
      <c r="Z121" s="2" t="e">
        <v>#NUM!</v>
      </c>
    </row>
    <row r="122" spans="4:26" ht="15">
      <c r="E122" s="56">
        <f t="shared" si="3"/>
        <v>0</v>
      </c>
      <c r="F122" s="2" t="e">
        <f t="array" ref="F122:Z122">INDEX(PRODUCTION,SMALL(IF((INDEX(PRODUCTION,,'CURRENT WIP'!$D$2,1)&lt;='CURRENT WIP'!$D$7)*(INDEX(PRODUCTION,,'CURRENT WIP'!$D$2,1)&gt;='CURRENT WIP'!$D$7),ROW(PRODUCTION)-MIN(ROW(PRODUCTION))+1,""),ROWS(N$21:$N23)),,1)</f>
        <v>#NUM!</v>
      </c>
      <c r="G122" s="2" t="e">
        <v>#NUM!</v>
      </c>
      <c r="H122" s="2" t="e">
        <v>#NUM!</v>
      </c>
      <c r="I122" s="2" t="e">
        <v>#NUM!</v>
      </c>
      <c r="J122" s="37" t="e">
        <v>#NUM!</v>
      </c>
      <c r="K122" s="37" t="e">
        <v>#NUM!</v>
      </c>
      <c r="L122" s="2" t="e">
        <v>#NUM!</v>
      </c>
      <c r="M122" s="37" t="e">
        <v>#NUM!</v>
      </c>
      <c r="N122" s="2" t="e">
        <v>#NUM!</v>
      </c>
      <c r="O122" s="2" t="e">
        <v>#NUM!</v>
      </c>
      <c r="P122" s="2" t="e">
        <v>#NUM!</v>
      </c>
      <c r="Q122" s="2" t="e">
        <v>#NUM!</v>
      </c>
      <c r="R122" s="2" t="e">
        <v>#NUM!</v>
      </c>
      <c r="S122" s="28" t="e">
        <v>#NUM!</v>
      </c>
      <c r="T122" s="2" t="e">
        <v>#NUM!</v>
      </c>
      <c r="U122" s="2" t="e">
        <v>#NUM!</v>
      </c>
      <c r="V122" s="28" t="e">
        <v>#NUM!</v>
      </c>
      <c r="W122" s="2" t="e">
        <v>#NUM!</v>
      </c>
      <c r="X122" s="2" t="e">
        <v>#NUM!</v>
      </c>
      <c r="Y122" s="2" t="e">
        <v>#NUM!</v>
      </c>
      <c r="Z122" s="2" t="e">
        <v>#NUM!</v>
      </c>
    </row>
    <row r="123" spans="4:26" ht="15">
      <c r="E123" s="56">
        <f t="shared" si="3"/>
        <v>0</v>
      </c>
      <c r="F123" s="2" t="e">
        <f t="array" ref="F123:Z123">INDEX(PRODUCTION,SMALL(IF((INDEX(PRODUCTION,,'CURRENT WIP'!$D$2,1)&lt;='CURRENT WIP'!$D$7)*(INDEX(PRODUCTION,,'CURRENT WIP'!$D$2,1)&gt;='CURRENT WIP'!$D$7),ROW(PRODUCTION)-MIN(ROW(PRODUCTION))+1,""),ROWS(N$21:$N24)),,1)</f>
        <v>#NUM!</v>
      </c>
      <c r="G123" s="2" t="e">
        <v>#NUM!</v>
      </c>
      <c r="H123" s="2" t="e">
        <v>#NUM!</v>
      </c>
      <c r="I123" s="2" t="e">
        <v>#NUM!</v>
      </c>
      <c r="J123" s="37" t="e">
        <v>#NUM!</v>
      </c>
      <c r="K123" s="37" t="e">
        <v>#NUM!</v>
      </c>
      <c r="L123" s="2" t="e">
        <v>#NUM!</v>
      </c>
      <c r="M123" s="37" t="e">
        <v>#NUM!</v>
      </c>
      <c r="N123" s="2" t="e">
        <v>#NUM!</v>
      </c>
      <c r="O123" s="2" t="e">
        <v>#NUM!</v>
      </c>
      <c r="P123" s="2" t="e">
        <v>#NUM!</v>
      </c>
      <c r="Q123" s="2" t="e">
        <v>#NUM!</v>
      </c>
      <c r="R123" s="2" t="e">
        <v>#NUM!</v>
      </c>
      <c r="S123" s="28" t="e">
        <v>#NUM!</v>
      </c>
      <c r="T123" s="2" t="e">
        <v>#NUM!</v>
      </c>
      <c r="U123" s="2" t="e">
        <v>#NUM!</v>
      </c>
      <c r="V123" s="28" t="e">
        <v>#NUM!</v>
      </c>
      <c r="W123" s="2" t="e">
        <v>#NUM!</v>
      </c>
      <c r="X123" s="2" t="e">
        <v>#NUM!</v>
      </c>
      <c r="Y123" s="2" t="e">
        <v>#NUM!</v>
      </c>
      <c r="Z123" s="2" t="e">
        <v>#NUM!</v>
      </c>
    </row>
    <row r="124" spans="4:26" ht="15">
      <c r="E124" s="56">
        <f t="shared" si="3"/>
        <v>0</v>
      </c>
      <c r="F124" s="2" t="e">
        <f t="array" ref="F124:Z124">INDEX(PRODUCTION,SMALL(IF((INDEX(PRODUCTION,,'CURRENT WIP'!$D$2,1)&lt;='CURRENT WIP'!$D$7)*(INDEX(PRODUCTION,,'CURRENT WIP'!$D$2,1)&gt;='CURRENT WIP'!$D$7),ROW(PRODUCTION)-MIN(ROW(PRODUCTION))+1,""),ROWS(N$21:$N25)),,1)</f>
        <v>#NUM!</v>
      </c>
      <c r="G124" s="2" t="e">
        <v>#NUM!</v>
      </c>
      <c r="H124" s="2" t="e">
        <v>#NUM!</v>
      </c>
      <c r="I124" s="2" t="e">
        <v>#NUM!</v>
      </c>
      <c r="J124" s="37" t="e">
        <v>#NUM!</v>
      </c>
      <c r="K124" s="37" t="e">
        <v>#NUM!</v>
      </c>
      <c r="L124" s="2" t="e">
        <v>#NUM!</v>
      </c>
      <c r="M124" s="37" t="e">
        <v>#NUM!</v>
      </c>
      <c r="N124" s="2" t="e">
        <v>#NUM!</v>
      </c>
      <c r="O124" s="2" t="e">
        <v>#NUM!</v>
      </c>
      <c r="P124" s="2" t="e">
        <v>#NUM!</v>
      </c>
      <c r="Q124" s="2" t="e">
        <v>#NUM!</v>
      </c>
      <c r="R124" s="2" t="e">
        <v>#NUM!</v>
      </c>
      <c r="S124" s="28" t="e">
        <v>#NUM!</v>
      </c>
      <c r="T124" s="2" t="e">
        <v>#NUM!</v>
      </c>
      <c r="U124" s="2" t="e">
        <v>#NUM!</v>
      </c>
      <c r="V124" s="28" t="e">
        <v>#NUM!</v>
      </c>
      <c r="W124" s="2" t="e">
        <v>#NUM!</v>
      </c>
      <c r="X124" s="2" t="e">
        <v>#NUM!</v>
      </c>
      <c r="Y124" s="2" t="e">
        <v>#NUM!</v>
      </c>
      <c r="Z124" s="2" t="e">
        <v>#NUM!</v>
      </c>
    </row>
    <row r="125" spans="4:26" ht="15">
      <c r="E125" s="56">
        <f t="shared" si="3"/>
        <v>0</v>
      </c>
      <c r="F125" s="2" t="e">
        <f t="array" ref="F125:Z125">INDEX(PRODUCTION,SMALL(IF((INDEX(PRODUCTION,,'CURRENT WIP'!$D$2,1)&lt;='CURRENT WIP'!$D$7)*(INDEX(PRODUCTION,,'CURRENT WIP'!$D$2,1)&gt;='CURRENT WIP'!$D$7),ROW(PRODUCTION)-MIN(ROW(PRODUCTION))+1,""),ROWS(N$21:$N26)),,1)</f>
        <v>#NUM!</v>
      </c>
      <c r="G125" s="2" t="e">
        <v>#NUM!</v>
      </c>
      <c r="H125" s="2" t="e">
        <v>#NUM!</v>
      </c>
      <c r="I125" s="2" t="e">
        <v>#NUM!</v>
      </c>
      <c r="J125" s="37" t="e">
        <v>#NUM!</v>
      </c>
      <c r="K125" s="37" t="e">
        <v>#NUM!</v>
      </c>
      <c r="L125" s="2" t="e">
        <v>#NUM!</v>
      </c>
      <c r="M125" s="37" t="e">
        <v>#NUM!</v>
      </c>
      <c r="N125" s="2" t="e">
        <v>#NUM!</v>
      </c>
      <c r="O125" s="2" t="e">
        <v>#NUM!</v>
      </c>
      <c r="P125" s="2" t="e">
        <v>#NUM!</v>
      </c>
      <c r="Q125" s="2" t="e">
        <v>#NUM!</v>
      </c>
      <c r="R125" s="2" t="e">
        <v>#NUM!</v>
      </c>
      <c r="S125" s="28" t="e">
        <v>#NUM!</v>
      </c>
      <c r="T125" s="2" t="e">
        <v>#NUM!</v>
      </c>
      <c r="U125" s="2" t="e">
        <v>#NUM!</v>
      </c>
      <c r="V125" s="28" t="e">
        <v>#NUM!</v>
      </c>
      <c r="W125" s="2" t="e">
        <v>#NUM!</v>
      </c>
      <c r="X125" s="2" t="e">
        <v>#NUM!</v>
      </c>
      <c r="Y125" s="2" t="e">
        <v>#NUM!</v>
      </c>
      <c r="Z125" s="2" t="e">
        <v>#NUM!</v>
      </c>
    </row>
    <row r="126" spans="4:26" ht="15">
      <c r="E126" s="56">
        <f t="shared" si="3"/>
        <v>0</v>
      </c>
      <c r="F126" s="2" t="e">
        <f t="array" ref="F126:Z126">INDEX(PRODUCTION,SMALL(IF((INDEX(PRODUCTION,,'CURRENT WIP'!$D$2,1)&lt;='CURRENT WIP'!$D$7)*(INDEX(PRODUCTION,,'CURRENT WIP'!$D$2,1)&gt;='CURRENT WIP'!$D$7),ROW(PRODUCTION)-MIN(ROW(PRODUCTION))+1,""),ROWS(N$21:$N27)),,1)</f>
        <v>#NUM!</v>
      </c>
      <c r="G126" s="2" t="e">
        <v>#NUM!</v>
      </c>
      <c r="H126" s="2" t="e">
        <v>#NUM!</v>
      </c>
      <c r="I126" s="2" t="e">
        <v>#NUM!</v>
      </c>
      <c r="J126" s="37" t="e">
        <v>#NUM!</v>
      </c>
      <c r="K126" s="37" t="e">
        <v>#NUM!</v>
      </c>
      <c r="L126" s="2" t="e">
        <v>#NUM!</v>
      </c>
      <c r="M126" s="37" t="e">
        <v>#NUM!</v>
      </c>
      <c r="N126" s="2" t="e">
        <v>#NUM!</v>
      </c>
      <c r="O126" s="2" t="e">
        <v>#NUM!</v>
      </c>
      <c r="P126" s="2" t="e">
        <v>#NUM!</v>
      </c>
      <c r="Q126" s="2" t="e">
        <v>#NUM!</v>
      </c>
      <c r="R126" s="2" t="e">
        <v>#NUM!</v>
      </c>
      <c r="S126" s="28" t="e">
        <v>#NUM!</v>
      </c>
      <c r="T126" s="2" t="e">
        <v>#NUM!</v>
      </c>
      <c r="U126" s="2" t="e">
        <v>#NUM!</v>
      </c>
      <c r="V126" s="28" t="e">
        <v>#NUM!</v>
      </c>
      <c r="W126" s="2" t="e">
        <v>#NUM!</v>
      </c>
      <c r="X126" s="2" t="e">
        <v>#NUM!</v>
      </c>
      <c r="Y126" s="2" t="e">
        <v>#NUM!</v>
      </c>
      <c r="Z126" s="2" t="e">
        <v>#NUM!</v>
      </c>
    </row>
    <row r="127" spans="4:26" ht="15">
      <c r="E127" s="56">
        <f t="shared" si="3"/>
        <v>0</v>
      </c>
      <c r="F127" s="2" t="e">
        <f t="array" ref="F127:Z127">INDEX(PRODUCTION,SMALL(IF((INDEX(PRODUCTION,,'CURRENT WIP'!$D$2,1)&lt;='CURRENT WIP'!$D$7)*(INDEX(PRODUCTION,,'CURRENT WIP'!$D$2,1)&gt;='CURRENT WIP'!$D$7),ROW(PRODUCTION)-MIN(ROW(PRODUCTION))+1,""),ROWS(N$21:$N28)),,1)</f>
        <v>#NUM!</v>
      </c>
      <c r="G127" s="2" t="e">
        <v>#NUM!</v>
      </c>
      <c r="H127" s="2" t="e">
        <v>#NUM!</v>
      </c>
      <c r="I127" s="2" t="e">
        <v>#NUM!</v>
      </c>
      <c r="J127" s="37" t="e">
        <v>#NUM!</v>
      </c>
      <c r="K127" s="37" t="e">
        <v>#NUM!</v>
      </c>
      <c r="L127" s="2" t="e">
        <v>#NUM!</v>
      </c>
      <c r="M127" s="37" t="e">
        <v>#NUM!</v>
      </c>
      <c r="N127" s="2" t="e">
        <v>#NUM!</v>
      </c>
      <c r="O127" s="2" t="e">
        <v>#NUM!</v>
      </c>
      <c r="P127" s="2" t="e">
        <v>#NUM!</v>
      </c>
      <c r="Q127" s="2" t="e">
        <v>#NUM!</v>
      </c>
      <c r="R127" s="2" t="e">
        <v>#NUM!</v>
      </c>
      <c r="S127" s="28" t="e">
        <v>#NUM!</v>
      </c>
      <c r="T127" s="2" t="e">
        <v>#NUM!</v>
      </c>
      <c r="U127" s="2" t="e">
        <v>#NUM!</v>
      </c>
      <c r="V127" s="28" t="e">
        <v>#NUM!</v>
      </c>
      <c r="W127" s="2" t="e">
        <v>#NUM!</v>
      </c>
      <c r="X127" s="2" t="e">
        <v>#NUM!</v>
      </c>
      <c r="Y127" s="2" t="e">
        <v>#NUM!</v>
      </c>
      <c r="Z127" s="2" t="e">
        <v>#NUM!</v>
      </c>
    </row>
    <row r="128" spans="4:26" ht="15">
      <c r="E128" s="56">
        <f t="shared" si="3"/>
        <v>0</v>
      </c>
      <c r="F128" s="2" t="e">
        <f t="array" ref="F128:Z128">INDEX(PRODUCTION,SMALL(IF((INDEX(PRODUCTION,,'CURRENT WIP'!$D$2,1)&lt;='CURRENT WIP'!$D$7)*(INDEX(PRODUCTION,,'CURRENT WIP'!$D$2,1)&gt;='CURRENT WIP'!$D$7),ROW(PRODUCTION)-MIN(ROW(PRODUCTION))+1,""),ROWS(N$21:$N29)),,1)</f>
        <v>#NUM!</v>
      </c>
      <c r="G128" s="2" t="e">
        <v>#NUM!</v>
      </c>
      <c r="H128" s="2" t="e">
        <v>#NUM!</v>
      </c>
      <c r="I128" s="2" t="e">
        <v>#NUM!</v>
      </c>
      <c r="J128" s="37" t="e">
        <v>#NUM!</v>
      </c>
      <c r="K128" s="37" t="e">
        <v>#NUM!</v>
      </c>
      <c r="L128" s="2" t="e">
        <v>#NUM!</v>
      </c>
      <c r="M128" s="37" t="e">
        <v>#NUM!</v>
      </c>
      <c r="N128" s="2" t="e">
        <v>#NUM!</v>
      </c>
      <c r="O128" s="2" t="e">
        <v>#NUM!</v>
      </c>
      <c r="P128" s="2" t="e">
        <v>#NUM!</v>
      </c>
      <c r="Q128" s="2" t="e">
        <v>#NUM!</v>
      </c>
      <c r="R128" s="2" t="e">
        <v>#NUM!</v>
      </c>
      <c r="S128" s="28" t="e">
        <v>#NUM!</v>
      </c>
      <c r="T128" s="2" t="e">
        <v>#NUM!</v>
      </c>
      <c r="U128" s="2" t="e">
        <v>#NUM!</v>
      </c>
      <c r="V128" s="28" t="e">
        <v>#NUM!</v>
      </c>
      <c r="W128" s="2" t="e">
        <v>#NUM!</v>
      </c>
      <c r="X128" s="2" t="e">
        <v>#NUM!</v>
      </c>
      <c r="Y128" s="2" t="e">
        <v>#NUM!</v>
      </c>
      <c r="Z128" s="2" t="e">
        <v>#NUM!</v>
      </c>
    </row>
    <row r="129" spans="5:26" ht="15">
      <c r="E129" s="56">
        <f t="shared" si="3"/>
        <v>0</v>
      </c>
      <c r="F129" s="2" t="e">
        <f t="array" ref="F129:Z129">INDEX(PRODUCTION,SMALL(IF((INDEX(PRODUCTION,,'CURRENT WIP'!$D$2,1)&lt;='CURRENT WIP'!$D$7)*(INDEX(PRODUCTION,,'CURRENT WIP'!$D$2,1)&gt;='CURRENT WIP'!$D$7),ROW(PRODUCTION)-MIN(ROW(PRODUCTION))+1,""),ROWS(N$21:$N30)),,1)</f>
        <v>#NUM!</v>
      </c>
      <c r="G129" s="2" t="e">
        <v>#NUM!</v>
      </c>
      <c r="H129" s="2" t="e">
        <v>#NUM!</v>
      </c>
      <c r="I129" s="2" t="e">
        <v>#NUM!</v>
      </c>
      <c r="J129" s="37" t="e">
        <v>#NUM!</v>
      </c>
      <c r="K129" s="37" t="e">
        <v>#NUM!</v>
      </c>
      <c r="L129" s="2" t="e">
        <v>#NUM!</v>
      </c>
      <c r="M129" s="37" t="e">
        <v>#NUM!</v>
      </c>
      <c r="N129" s="2" t="e">
        <v>#NUM!</v>
      </c>
      <c r="O129" s="2" t="e">
        <v>#NUM!</v>
      </c>
      <c r="P129" s="2" t="e">
        <v>#NUM!</v>
      </c>
      <c r="Q129" s="2" t="e">
        <v>#NUM!</v>
      </c>
      <c r="R129" s="2" t="e">
        <v>#NUM!</v>
      </c>
      <c r="S129" s="28" t="e">
        <v>#NUM!</v>
      </c>
      <c r="T129" s="2" t="e">
        <v>#NUM!</v>
      </c>
      <c r="U129" s="2" t="e">
        <v>#NUM!</v>
      </c>
      <c r="V129" s="28" t="e">
        <v>#NUM!</v>
      </c>
      <c r="W129" s="2" t="e">
        <v>#NUM!</v>
      </c>
      <c r="X129" s="2" t="e">
        <v>#NUM!</v>
      </c>
      <c r="Y129" s="2" t="e">
        <v>#NUM!</v>
      </c>
      <c r="Z129" s="2" t="e">
        <v>#NUM!</v>
      </c>
    </row>
    <row r="130" spans="5:26" ht="15">
      <c r="E130" s="56">
        <f t="shared" si="3"/>
        <v>0</v>
      </c>
      <c r="F130" s="2" t="e">
        <f t="array" ref="F130:Z130">INDEX(PRODUCTION,SMALL(IF((INDEX(PRODUCTION,,'CURRENT WIP'!$D$2,1)&lt;='CURRENT WIP'!$D$7)*(INDEX(PRODUCTION,,'CURRENT WIP'!$D$2,1)&gt;='CURRENT WIP'!$D$7),ROW(PRODUCTION)-MIN(ROW(PRODUCTION))+1,""),ROWS(N$21:$N31)),,1)</f>
        <v>#NUM!</v>
      </c>
      <c r="G130" s="2" t="e">
        <v>#NUM!</v>
      </c>
      <c r="H130" s="2" t="e">
        <v>#NUM!</v>
      </c>
      <c r="I130" s="2" t="e">
        <v>#NUM!</v>
      </c>
      <c r="J130" s="37" t="e">
        <v>#NUM!</v>
      </c>
      <c r="K130" s="37" t="e">
        <v>#NUM!</v>
      </c>
      <c r="L130" s="2" t="e">
        <v>#NUM!</v>
      </c>
      <c r="M130" s="37" t="e">
        <v>#NUM!</v>
      </c>
      <c r="N130" s="2" t="e">
        <v>#NUM!</v>
      </c>
      <c r="O130" s="2" t="e">
        <v>#NUM!</v>
      </c>
      <c r="P130" s="2" t="e">
        <v>#NUM!</v>
      </c>
      <c r="Q130" s="2" t="e">
        <v>#NUM!</v>
      </c>
      <c r="R130" s="2" t="e">
        <v>#NUM!</v>
      </c>
      <c r="S130" s="28" t="e">
        <v>#NUM!</v>
      </c>
      <c r="T130" s="2" t="e">
        <v>#NUM!</v>
      </c>
      <c r="U130" s="2" t="e">
        <v>#NUM!</v>
      </c>
      <c r="V130" s="28" t="e">
        <v>#NUM!</v>
      </c>
      <c r="W130" s="2" t="e">
        <v>#NUM!</v>
      </c>
      <c r="X130" s="2" t="e">
        <v>#NUM!</v>
      </c>
      <c r="Y130" s="2" t="e">
        <v>#NUM!</v>
      </c>
      <c r="Z130" s="2" t="e">
        <v>#NUM!</v>
      </c>
    </row>
    <row r="131" spans="5:26" ht="15">
      <c r="E131" s="56">
        <f t="shared" si="3"/>
        <v>0</v>
      </c>
      <c r="F131" s="2" t="e">
        <f t="array" ref="F131:Z131">INDEX(PRODUCTION,SMALL(IF((INDEX(PRODUCTION,,'CURRENT WIP'!$D$2,1)&lt;='CURRENT WIP'!$D$7)*(INDEX(PRODUCTION,,'CURRENT WIP'!$D$2,1)&gt;='CURRENT WIP'!$D$7),ROW(PRODUCTION)-MIN(ROW(PRODUCTION))+1,""),ROWS(N$21:$N32)),,1)</f>
        <v>#NUM!</v>
      </c>
      <c r="G131" s="2" t="e">
        <v>#NUM!</v>
      </c>
      <c r="H131" s="2" t="e">
        <v>#NUM!</v>
      </c>
      <c r="I131" s="2" t="e">
        <v>#NUM!</v>
      </c>
      <c r="J131" s="37" t="e">
        <v>#NUM!</v>
      </c>
      <c r="K131" s="37" t="e">
        <v>#NUM!</v>
      </c>
      <c r="L131" s="2" t="e">
        <v>#NUM!</v>
      </c>
      <c r="M131" s="37" t="e">
        <v>#NUM!</v>
      </c>
      <c r="N131" s="2" t="e">
        <v>#NUM!</v>
      </c>
      <c r="O131" s="2" t="e">
        <v>#NUM!</v>
      </c>
      <c r="P131" s="2" t="e">
        <v>#NUM!</v>
      </c>
      <c r="Q131" s="2" t="e">
        <v>#NUM!</v>
      </c>
      <c r="R131" s="2" t="e">
        <v>#NUM!</v>
      </c>
      <c r="S131" s="28" t="e">
        <v>#NUM!</v>
      </c>
      <c r="T131" s="2" t="e">
        <v>#NUM!</v>
      </c>
      <c r="U131" s="2" t="e">
        <v>#NUM!</v>
      </c>
      <c r="V131" s="28" t="e">
        <v>#NUM!</v>
      </c>
      <c r="W131" s="2" t="e">
        <v>#NUM!</v>
      </c>
      <c r="X131" s="2" t="e">
        <v>#NUM!</v>
      </c>
      <c r="Y131" s="2" t="e">
        <v>#NUM!</v>
      </c>
      <c r="Z131" s="2" t="e">
        <v>#NUM!</v>
      </c>
    </row>
    <row r="132" spans="5:26" ht="15">
      <c r="E132" s="56">
        <f t="shared" si="3"/>
        <v>0</v>
      </c>
      <c r="F132" s="2" t="e">
        <f t="array" ref="F132:Z132">INDEX(PRODUCTION,SMALL(IF((INDEX(PRODUCTION,,'CURRENT WIP'!$D$2,1)&lt;='CURRENT WIP'!$D$7)*(INDEX(PRODUCTION,,'CURRENT WIP'!$D$2,1)&gt;='CURRENT WIP'!$D$7),ROW(PRODUCTION)-MIN(ROW(PRODUCTION))+1,""),ROWS(N$21:$N33)),,1)</f>
        <v>#NUM!</v>
      </c>
      <c r="G132" s="2" t="e">
        <v>#NUM!</v>
      </c>
      <c r="H132" s="2" t="e">
        <v>#NUM!</v>
      </c>
      <c r="I132" s="2" t="e">
        <v>#NUM!</v>
      </c>
      <c r="J132" s="37" t="e">
        <v>#NUM!</v>
      </c>
      <c r="K132" s="37" t="e">
        <v>#NUM!</v>
      </c>
      <c r="L132" s="2" t="e">
        <v>#NUM!</v>
      </c>
      <c r="M132" s="37" t="e">
        <v>#NUM!</v>
      </c>
      <c r="N132" s="2" t="e">
        <v>#NUM!</v>
      </c>
      <c r="O132" s="2" t="e">
        <v>#NUM!</v>
      </c>
      <c r="P132" s="2" t="e">
        <v>#NUM!</v>
      </c>
      <c r="Q132" s="2" t="e">
        <v>#NUM!</v>
      </c>
      <c r="R132" s="2" t="e">
        <v>#NUM!</v>
      </c>
      <c r="S132" s="28" t="e">
        <v>#NUM!</v>
      </c>
      <c r="T132" s="2" t="e">
        <v>#NUM!</v>
      </c>
      <c r="U132" s="2" t="e">
        <v>#NUM!</v>
      </c>
      <c r="V132" s="28" t="e">
        <v>#NUM!</v>
      </c>
      <c r="W132" s="2" t="e">
        <v>#NUM!</v>
      </c>
      <c r="X132" s="2" t="e">
        <v>#NUM!</v>
      </c>
      <c r="Y132" s="2" t="e">
        <v>#NUM!</v>
      </c>
      <c r="Z132" s="2" t="e">
        <v>#NUM!</v>
      </c>
    </row>
    <row r="133" spans="5:26" ht="15">
      <c r="E133" s="56">
        <f t="shared" si="3"/>
        <v>0</v>
      </c>
      <c r="F133" s="2" t="e">
        <f t="array" ref="F133:Z133">INDEX(PRODUCTION,SMALL(IF((INDEX(PRODUCTION,,'CURRENT WIP'!$D$2,1)&lt;='CURRENT WIP'!$D$7)*(INDEX(PRODUCTION,,'CURRENT WIP'!$D$2,1)&gt;='CURRENT WIP'!$D$7),ROW(PRODUCTION)-MIN(ROW(PRODUCTION))+1,""),ROWS(N$21:$N34)),,1)</f>
        <v>#NUM!</v>
      </c>
      <c r="G133" s="2" t="e">
        <v>#NUM!</v>
      </c>
      <c r="H133" s="2" t="e">
        <v>#NUM!</v>
      </c>
      <c r="I133" s="2" t="e">
        <v>#NUM!</v>
      </c>
      <c r="J133" s="37" t="e">
        <v>#NUM!</v>
      </c>
      <c r="K133" s="37" t="e">
        <v>#NUM!</v>
      </c>
      <c r="L133" s="2" t="e">
        <v>#NUM!</v>
      </c>
      <c r="M133" s="37" t="e">
        <v>#NUM!</v>
      </c>
      <c r="N133" s="2" t="e">
        <v>#NUM!</v>
      </c>
      <c r="O133" s="2" t="e">
        <v>#NUM!</v>
      </c>
      <c r="P133" s="2" t="e">
        <v>#NUM!</v>
      </c>
      <c r="Q133" s="2" t="e">
        <v>#NUM!</v>
      </c>
      <c r="R133" s="2" t="e">
        <v>#NUM!</v>
      </c>
      <c r="S133" s="28" t="e">
        <v>#NUM!</v>
      </c>
      <c r="T133" s="2" t="e">
        <v>#NUM!</v>
      </c>
      <c r="U133" s="2" t="e">
        <v>#NUM!</v>
      </c>
      <c r="V133" s="28" t="e">
        <v>#NUM!</v>
      </c>
      <c r="W133" s="2" t="e">
        <v>#NUM!</v>
      </c>
      <c r="X133" s="2" t="e">
        <v>#NUM!</v>
      </c>
      <c r="Y133" s="2" t="e">
        <v>#NUM!</v>
      </c>
      <c r="Z133" s="2" t="e">
        <v>#NUM!</v>
      </c>
    </row>
    <row r="134" spans="5:26" ht="15">
      <c r="E134" s="56">
        <f t="shared" si="3"/>
        <v>0</v>
      </c>
      <c r="F134" s="2" t="e">
        <f t="array" ref="F134:Z134">INDEX(PRODUCTION,SMALL(IF((INDEX(PRODUCTION,,'CURRENT WIP'!$D$2,1)&lt;='CURRENT WIP'!$D$7)*(INDEX(PRODUCTION,,'CURRENT WIP'!$D$2,1)&gt;='CURRENT WIP'!$D$7),ROW(PRODUCTION)-MIN(ROW(PRODUCTION))+1,""),ROWS(N$21:$N35)),,1)</f>
        <v>#NUM!</v>
      </c>
      <c r="G134" s="2" t="e">
        <v>#NUM!</v>
      </c>
      <c r="H134" s="2" t="e">
        <v>#NUM!</v>
      </c>
      <c r="I134" s="2" t="e">
        <v>#NUM!</v>
      </c>
      <c r="J134" s="37" t="e">
        <v>#NUM!</v>
      </c>
      <c r="K134" s="37" t="e">
        <v>#NUM!</v>
      </c>
      <c r="L134" s="2" t="e">
        <v>#NUM!</v>
      </c>
      <c r="M134" s="37" t="e">
        <v>#NUM!</v>
      </c>
      <c r="N134" s="2" t="e">
        <v>#NUM!</v>
      </c>
      <c r="O134" s="2" t="e">
        <v>#NUM!</v>
      </c>
      <c r="P134" s="2" t="e">
        <v>#NUM!</v>
      </c>
      <c r="Q134" s="2" t="e">
        <v>#NUM!</v>
      </c>
      <c r="R134" s="2" t="e">
        <v>#NUM!</v>
      </c>
      <c r="S134" s="28" t="e">
        <v>#NUM!</v>
      </c>
      <c r="T134" s="2" t="e">
        <v>#NUM!</v>
      </c>
      <c r="U134" s="2" t="e">
        <v>#NUM!</v>
      </c>
      <c r="V134" s="28" t="e">
        <v>#NUM!</v>
      </c>
      <c r="W134" s="2" t="e">
        <v>#NUM!</v>
      </c>
      <c r="X134" s="2" t="e">
        <v>#NUM!</v>
      </c>
      <c r="Y134" s="2" t="e">
        <v>#NUM!</v>
      </c>
      <c r="Z134" s="2" t="e">
        <v>#NUM!</v>
      </c>
    </row>
    <row r="135" spans="5:26" ht="15">
      <c r="E135" s="56">
        <f t="shared" si="3"/>
        <v>0</v>
      </c>
      <c r="F135" s="2" t="e">
        <f t="array" ref="F135:Z135">INDEX(PRODUCTION,SMALL(IF((INDEX(PRODUCTION,,'CURRENT WIP'!$D$2,1)&lt;='CURRENT WIP'!$D$7)*(INDEX(PRODUCTION,,'CURRENT WIP'!$D$2,1)&gt;='CURRENT WIP'!$D$7),ROW(PRODUCTION)-MIN(ROW(PRODUCTION))+1,""),ROWS(N$21:$N36)),,1)</f>
        <v>#NUM!</v>
      </c>
      <c r="G135" s="2" t="e">
        <v>#NUM!</v>
      </c>
      <c r="H135" s="2" t="e">
        <v>#NUM!</v>
      </c>
      <c r="I135" s="2" t="e">
        <v>#NUM!</v>
      </c>
      <c r="J135" s="37" t="e">
        <v>#NUM!</v>
      </c>
      <c r="K135" s="37" t="e">
        <v>#NUM!</v>
      </c>
      <c r="L135" s="2" t="e">
        <v>#NUM!</v>
      </c>
      <c r="M135" s="37" t="e">
        <v>#NUM!</v>
      </c>
      <c r="N135" s="2" t="e">
        <v>#NUM!</v>
      </c>
      <c r="O135" s="2" t="e">
        <v>#NUM!</v>
      </c>
      <c r="P135" s="2" t="e">
        <v>#NUM!</v>
      </c>
      <c r="Q135" s="2" t="e">
        <v>#NUM!</v>
      </c>
      <c r="R135" s="2" t="e">
        <v>#NUM!</v>
      </c>
      <c r="S135" s="28" t="e">
        <v>#NUM!</v>
      </c>
      <c r="T135" s="2" t="e">
        <v>#NUM!</v>
      </c>
      <c r="U135" s="2" t="e">
        <v>#NUM!</v>
      </c>
      <c r="V135" s="28" t="e">
        <v>#NUM!</v>
      </c>
      <c r="W135" s="2" t="e">
        <v>#NUM!</v>
      </c>
      <c r="X135" s="2" t="e">
        <v>#NUM!</v>
      </c>
      <c r="Y135" s="2" t="e">
        <v>#NUM!</v>
      </c>
      <c r="Z135" s="2" t="e">
        <v>#NUM!</v>
      </c>
    </row>
    <row r="136" spans="5:26" ht="15">
      <c r="E136" s="56">
        <f t="shared" si="3"/>
        <v>0</v>
      </c>
      <c r="F136" s="2" t="e">
        <f t="array" ref="F136:Z136">INDEX(PRODUCTION,SMALL(IF((INDEX(PRODUCTION,,'CURRENT WIP'!$D$2,1)&lt;='CURRENT WIP'!$D$7)*(INDEX(PRODUCTION,,'CURRENT WIP'!$D$2,1)&gt;='CURRENT WIP'!$D$7),ROW(PRODUCTION)-MIN(ROW(PRODUCTION))+1,""),ROWS(N$21:$N37)),,1)</f>
        <v>#NUM!</v>
      </c>
      <c r="G136" s="2" t="e">
        <v>#NUM!</v>
      </c>
      <c r="H136" s="2" t="e">
        <v>#NUM!</v>
      </c>
      <c r="I136" s="2" t="e">
        <v>#NUM!</v>
      </c>
      <c r="J136" s="37" t="e">
        <v>#NUM!</v>
      </c>
      <c r="K136" s="37" t="e">
        <v>#NUM!</v>
      </c>
      <c r="L136" s="2" t="e">
        <v>#NUM!</v>
      </c>
      <c r="M136" s="37" t="e">
        <v>#NUM!</v>
      </c>
      <c r="N136" s="2" t="e">
        <v>#NUM!</v>
      </c>
      <c r="O136" s="2" t="e">
        <v>#NUM!</v>
      </c>
      <c r="P136" s="2" t="e">
        <v>#NUM!</v>
      </c>
      <c r="Q136" s="2" t="e">
        <v>#NUM!</v>
      </c>
      <c r="R136" s="2" t="e">
        <v>#NUM!</v>
      </c>
      <c r="S136" s="28" t="e">
        <v>#NUM!</v>
      </c>
      <c r="T136" s="2" t="e">
        <v>#NUM!</v>
      </c>
      <c r="U136" s="2" t="e">
        <v>#NUM!</v>
      </c>
      <c r="V136" s="28" t="e">
        <v>#NUM!</v>
      </c>
      <c r="W136" s="2" t="e">
        <v>#NUM!</v>
      </c>
      <c r="X136" s="2" t="e">
        <v>#NUM!</v>
      </c>
      <c r="Y136" s="2" t="e">
        <v>#NUM!</v>
      </c>
      <c r="Z136" s="2" t="e">
        <v>#NUM!</v>
      </c>
    </row>
    <row r="137" spans="5:26" ht="15">
      <c r="E137" s="56">
        <f t="shared" si="3"/>
        <v>0</v>
      </c>
      <c r="F137" s="2" t="e">
        <f t="array" ref="F137:Z137">INDEX(PRODUCTION,SMALL(IF((INDEX(PRODUCTION,,'CURRENT WIP'!$D$2,1)&lt;='CURRENT WIP'!$D$7)*(INDEX(PRODUCTION,,'CURRENT WIP'!$D$2,1)&gt;='CURRENT WIP'!$D$7),ROW(PRODUCTION)-MIN(ROW(PRODUCTION))+1,""),ROWS(N$21:$N38)),,1)</f>
        <v>#NUM!</v>
      </c>
      <c r="G137" s="2" t="e">
        <v>#NUM!</v>
      </c>
      <c r="H137" s="2" t="e">
        <v>#NUM!</v>
      </c>
      <c r="I137" s="2" t="e">
        <v>#NUM!</v>
      </c>
      <c r="J137" s="37" t="e">
        <v>#NUM!</v>
      </c>
      <c r="K137" s="37" t="e">
        <v>#NUM!</v>
      </c>
      <c r="L137" s="2" t="e">
        <v>#NUM!</v>
      </c>
      <c r="M137" s="37" t="e">
        <v>#NUM!</v>
      </c>
      <c r="N137" s="2" t="e">
        <v>#NUM!</v>
      </c>
      <c r="O137" s="2" t="e">
        <v>#NUM!</v>
      </c>
      <c r="P137" s="2" t="e">
        <v>#NUM!</v>
      </c>
      <c r="Q137" s="2" t="e">
        <v>#NUM!</v>
      </c>
      <c r="R137" s="2" t="e">
        <v>#NUM!</v>
      </c>
      <c r="S137" s="28" t="e">
        <v>#NUM!</v>
      </c>
      <c r="T137" s="2" t="e">
        <v>#NUM!</v>
      </c>
      <c r="U137" s="2" t="e">
        <v>#NUM!</v>
      </c>
      <c r="V137" s="28" t="e">
        <v>#NUM!</v>
      </c>
      <c r="W137" s="2" t="e">
        <v>#NUM!</v>
      </c>
      <c r="X137" s="2" t="e">
        <v>#NUM!</v>
      </c>
      <c r="Y137" s="2" t="e">
        <v>#NUM!</v>
      </c>
      <c r="Z137" s="2" t="e">
        <v>#NUM!</v>
      </c>
    </row>
    <row r="138" spans="5:26" ht="15">
      <c r="E138" s="56">
        <f t="shared" si="3"/>
        <v>0</v>
      </c>
      <c r="F138" s="2" t="e">
        <f t="array" ref="F138:Z138">INDEX(PRODUCTION,SMALL(IF((INDEX(PRODUCTION,,'CURRENT WIP'!$D$2,1)&lt;='CURRENT WIP'!$D$7)*(INDEX(PRODUCTION,,'CURRENT WIP'!$D$2,1)&gt;='CURRENT WIP'!$D$7),ROW(PRODUCTION)-MIN(ROW(PRODUCTION))+1,""),ROWS(N$21:$N39)),,1)</f>
        <v>#NUM!</v>
      </c>
      <c r="G138" s="2" t="e">
        <v>#NUM!</v>
      </c>
      <c r="H138" s="2" t="e">
        <v>#NUM!</v>
      </c>
      <c r="I138" s="2" t="e">
        <v>#NUM!</v>
      </c>
      <c r="J138" s="37" t="e">
        <v>#NUM!</v>
      </c>
      <c r="K138" s="37" t="e">
        <v>#NUM!</v>
      </c>
      <c r="L138" s="2" t="e">
        <v>#NUM!</v>
      </c>
      <c r="M138" s="37" t="e">
        <v>#NUM!</v>
      </c>
      <c r="N138" s="2" t="e">
        <v>#NUM!</v>
      </c>
      <c r="O138" s="2" t="e">
        <v>#NUM!</v>
      </c>
      <c r="P138" s="2" t="e">
        <v>#NUM!</v>
      </c>
      <c r="Q138" s="2" t="e">
        <v>#NUM!</v>
      </c>
      <c r="R138" s="2" t="e">
        <v>#NUM!</v>
      </c>
      <c r="S138" s="28" t="e">
        <v>#NUM!</v>
      </c>
      <c r="T138" s="2" t="e">
        <v>#NUM!</v>
      </c>
      <c r="U138" s="2" t="e">
        <v>#NUM!</v>
      </c>
      <c r="V138" s="28" t="e">
        <v>#NUM!</v>
      </c>
      <c r="W138" s="2" t="e">
        <v>#NUM!</v>
      </c>
      <c r="X138" s="2" t="e">
        <v>#NUM!</v>
      </c>
      <c r="Y138" s="2" t="e">
        <v>#NUM!</v>
      </c>
      <c r="Z138" s="2" t="e">
        <v>#NUM!</v>
      </c>
    </row>
    <row r="139" spans="5:26" ht="15">
      <c r="E139" s="56">
        <f t="shared" si="3"/>
        <v>0</v>
      </c>
      <c r="F139" s="2" t="e">
        <f t="array" ref="F139:Z139">INDEX(PRODUCTION,SMALL(IF((INDEX(PRODUCTION,,'CURRENT WIP'!$D$2,1)&lt;='CURRENT WIP'!$D$7)*(INDEX(PRODUCTION,,'CURRENT WIP'!$D$2,1)&gt;='CURRENT WIP'!$D$7),ROW(PRODUCTION)-MIN(ROW(PRODUCTION))+1,""),ROWS(N$21:$N40)),,1)</f>
        <v>#NUM!</v>
      </c>
      <c r="G139" s="2" t="e">
        <v>#NUM!</v>
      </c>
      <c r="H139" s="2" t="e">
        <v>#NUM!</v>
      </c>
      <c r="I139" s="2" t="e">
        <v>#NUM!</v>
      </c>
      <c r="J139" s="37" t="e">
        <v>#NUM!</v>
      </c>
      <c r="K139" s="37" t="e">
        <v>#NUM!</v>
      </c>
      <c r="L139" s="2" t="e">
        <v>#NUM!</v>
      </c>
      <c r="M139" s="37" t="e">
        <v>#NUM!</v>
      </c>
      <c r="N139" s="2" t="e">
        <v>#NUM!</v>
      </c>
      <c r="O139" s="2" t="e">
        <v>#NUM!</v>
      </c>
      <c r="P139" s="2" t="e">
        <v>#NUM!</v>
      </c>
      <c r="Q139" s="2" t="e">
        <v>#NUM!</v>
      </c>
      <c r="R139" s="2" t="e">
        <v>#NUM!</v>
      </c>
      <c r="S139" s="28" t="e">
        <v>#NUM!</v>
      </c>
      <c r="T139" s="2" t="e">
        <v>#NUM!</v>
      </c>
      <c r="U139" s="2" t="e">
        <v>#NUM!</v>
      </c>
      <c r="V139" s="28" t="e">
        <v>#NUM!</v>
      </c>
      <c r="W139" s="2" t="e">
        <v>#NUM!</v>
      </c>
      <c r="X139" s="2" t="e">
        <v>#NUM!</v>
      </c>
      <c r="Y139" s="2" t="e">
        <v>#NUM!</v>
      </c>
      <c r="Z139" s="2" t="e">
        <v>#NUM!</v>
      </c>
    </row>
    <row r="140" spans="5:26" ht="15">
      <c r="E140" s="56">
        <f t="shared" si="3"/>
        <v>0</v>
      </c>
      <c r="F140" s="2" t="e">
        <f t="array" ref="F140:Z140">INDEX(PRODUCTION,SMALL(IF((INDEX(PRODUCTION,,'CURRENT WIP'!$D$2,1)&lt;='CURRENT WIP'!$D$7)*(INDEX(PRODUCTION,,'CURRENT WIP'!$D$2,1)&gt;='CURRENT WIP'!$D$7),ROW(PRODUCTION)-MIN(ROW(PRODUCTION))+1,""),ROWS(N$21:$N41)),,1)</f>
        <v>#NUM!</v>
      </c>
      <c r="G140" s="2" t="e">
        <v>#NUM!</v>
      </c>
      <c r="H140" s="2" t="e">
        <v>#NUM!</v>
      </c>
      <c r="I140" s="2" t="e">
        <v>#NUM!</v>
      </c>
      <c r="J140" s="37" t="e">
        <v>#NUM!</v>
      </c>
      <c r="K140" s="37" t="e">
        <v>#NUM!</v>
      </c>
      <c r="L140" s="2" t="e">
        <v>#NUM!</v>
      </c>
      <c r="M140" s="37" t="e">
        <v>#NUM!</v>
      </c>
      <c r="N140" s="2" t="e">
        <v>#NUM!</v>
      </c>
      <c r="O140" s="2" t="e">
        <v>#NUM!</v>
      </c>
      <c r="P140" s="2" t="e">
        <v>#NUM!</v>
      </c>
      <c r="Q140" s="2" t="e">
        <v>#NUM!</v>
      </c>
      <c r="R140" s="2" t="e">
        <v>#NUM!</v>
      </c>
      <c r="S140" s="28" t="e">
        <v>#NUM!</v>
      </c>
      <c r="T140" s="2" t="e">
        <v>#NUM!</v>
      </c>
      <c r="U140" s="2" t="e">
        <v>#NUM!</v>
      </c>
      <c r="V140" s="28" t="e">
        <v>#NUM!</v>
      </c>
      <c r="W140" s="2" t="e">
        <v>#NUM!</v>
      </c>
      <c r="X140" s="2" t="e">
        <v>#NUM!</v>
      </c>
      <c r="Y140" s="2" t="e">
        <v>#NUM!</v>
      </c>
      <c r="Z140" s="2" t="e">
        <v>#NUM!</v>
      </c>
    </row>
    <row r="141" spans="5:26" ht="15">
      <c r="E141" s="56">
        <f t="shared" si="3"/>
        <v>0</v>
      </c>
      <c r="F141" s="2" t="e">
        <f t="array" ref="F141:Z141">INDEX(PRODUCTION,SMALL(IF((INDEX(PRODUCTION,,'CURRENT WIP'!$D$2,1)&lt;='CURRENT WIP'!$D$7)*(INDEX(PRODUCTION,,'CURRENT WIP'!$D$2,1)&gt;='CURRENT WIP'!$D$7),ROW(PRODUCTION)-MIN(ROW(PRODUCTION))+1,""),ROWS(N$21:$N42)),,1)</f>
        <v>#NUM!</v>
      </c>
      <c r="G141" s="2" t="e">
        <v>#NUM!</v>
      </c>
      <c r="H141" s="2" t="e">
        <v>#NUM!</v>
      </c>
      <c r="I141" s="2" t="e">
        <v>#NUM!</v>
      </c>
      <c r="J141" s="37" t="e">
        <v>#NUM!</v>
      </c>
      <c r="K141" s="37" t="e">
        <v>#NUM!</v>
      </c>
      <c r="L141" s="2" t="e">
        <v>#NUM!</v>
      </c>
      <c r="M141" s="37" t="e">
        <v>#NUM!</v>
      </c>
      <c r="N141" s="2" t="e">
        <v>#NUM!</v>
      </c>
      <c r="O141" s="2" t="e">
        <v>#NUM!</v>
      </c>
      <c r="P141" s="2" t="e">
        <v>#NUM!</v>
      </c>
      <c r="Q141" s="2" t="e">
        <v>#NUM!</v>
      </c>
      <c r="R141" s="2" t="e">
        <v>#NUM!</v>
      </c>
      <c r="S141" s="28" t="e">
        <v>#NUM!</v>
      </c>
      <c r="T141" s="2" t="e">
        <v>#NUM!</v>
      </c>
      <c r="U141" s="2" t="e">
        <v>#NUM!</v>
      </c>
      <c r="V141" s="28" t="e">
        <v>#NUM!</v>
      </c>
      <c r="W141" s="2" t="e">
        <v>#NUM!</v>
      </c>
      <c r="X141" s="2" t="e">
        <v>#NUM!</v>
      </c>
      <c r="Y141" s="2" t="e">
        <v>#NUM!</v>
      </c>
      <c r="Z141" s="2" t="e">
        <v>#NUM!</v>
      </c>
    </row>
    <row r="142" spans="5:26" ht="15">
      <c r="E142" s="56">
        <f t="shared" si="3"/>
        <v>0</v>
      </c>
      <c r="F142" s="2" t="e">
        <f t="array" ref="F142:Z142">INDEX(PRODUCTION,SMALL(IF((INDEX(PRODUCTION,,'CURRENT WIP'!$D$2,1)&lt;='CURRENT WIP'!$D$7)*(INDEX(PRODUCTION,,'CURRENT WIP'!$D$2,1)&gt;='CURRENT WIP'!$D$7),ROW(PRODUCTION)-MIN(ROW(PRODUCTION))+1,""),ROWS(N$21:$N43)),,1)</f>
        <v>#NUM!</v>
      </c>
      <c r="G142" s="2" t="e">
        <v>#NUM!</v>
      </c>
      <c r="H142" s="2" t="e">
        <v>#NUM!</v>
      </c>
      <c r="I142" s="2" t="e">
        <v>#NUM!</v>
      </c>
      <c r="J142" s="37" t="e">
        <v>#NUM!</v>
      </c>
      <c r="K142" s="37" t="e">
        <v>#NUM!</v>
      </c>
      <c r="L142" s="2" t="e">
        <v>#NUM!</v>
      </c>
      <c r="M142" s="37" t="e">
        <v>#NUM!</v>
      </c>
      <c r="N142" s="2" t="e">
        <v>#NUM!</v>
      </c>
      <c r="O142" s="2" t="e">
        <v>#NUM!</v>
      </c>
      <c r="P142" s="2" t="e">
        <v>#NUM!</v>
      </c>
      <c r="Q142" s="2" t="e">
        <v>#NUM!</v>
      </c>
      <c r="R142" s="2" t="e">
        <v>#NUM!</v>
      </c>
      <c r="S142" s="28" t="e">
        <v>#NUM!</v>
      </c>
      <c r="T142" s="2" t="e">
        <v>#NUM!</v>
      </c>
      <c r="U142" s="2" t="e">
        <v>#NUM!</v>
      </c>
      <c r="V142" s="28" t="e">
        <v>#NUM!</v>
      </c>
      <c r="W142" s="2" t="e">
        <v>#NUM!</v>
      </c>
      <c r="X142" s="2" t="e">
        <v>#NUM!</v>
      </c>
      <c r="Y142" s="2" t="e">
        <v>#NUM!</v>
      </c>
      <c r="Z142" s="2" t="e">
        <v>#NUM!</v>
      </c>
    </row>
    <row r="143" spans="5:26" ht="15">
      <c r="E143" s="56">
        <f t="shared" si="3"/>
        <v>0</v>
      </c>
      <c r="F143" s="2" t="e">
        <f t="array" ref="F143:Z143">INDEX(PRODUCTION,SMALL(IF((INDEX(PRODUCTION,,'CURRENT WIP'!$D$2,1)&lt;='CURRENT WIP'!$D$7)*(INDEX(PRODUCTION,,'CURRENT WIP'!$D$2,1)&gt;='CURRENT WIP'!$D$7),ROW(PRODUCTION)-MIN(ROW(PRODUCTION))+1,""),ROWS(N$21:$N44)),,1)</f>
        <v>#NUM!</v>
      </c>
      <c r="G143" s="2" t="e">
        <v>#NUM!</v>
      </c>
      <c r="H143" s="2" t="e">
        <v>#NUM!</v>
      </c>
      <c r="I143" s="2" t="e">
        <v>#NUM!</v>
      </c>
      <c r="J143" s="37" t="e">
        <v>#NUM!</v>
      </c>
      <c r="K143" s="37" t="e">
        <v>#NUM!</v>
      </c>
      <c r="L143" s="2" t="e">
        <v>#NUM!</v>
      </c>
      <c r="M143" s="37" t="e">
        <v>#NUM!</v>
      </c>
      <c r="N143" s="2" t="e">
        <v>#NUM!</v>
      </c>
      <c r="O143" s="2" t="e">
        <v>#NUM!</v>
      </c>
      <c r="P143" s="2" t="e">
        <v>#NUM!</v>
      </c>
      <c r="Q143" s="2" t="e">
        <v>#NUM!</v>
      </c>
      <c r="R143" s="2" t="e">
        <v>#NUM!</v>
      </c>
      <c r="S143" s="28" t="e">
        <v>#NUM!</v>
      </c>
      <c r="T143" s="2" t="e">
        <v>#NUM!</v>
      </c>
      <c r="U143" s="2" t="e">
        <v>#NUM!</v>
      </c>
      <c r="V143" s="28" t="e">
        <v>#NUM!</v>
      </c>
      <c r="W143" s="2" t="e">
        <v>#NUM!</v>
      </c>
      <c r="X143" s="2" t="e">
        <v>#NUM!</v>
      </c>
      <c r="Y143" s="2" t="e">
        <v>#NUM!</v>
      </c>
      <c r="Z143" s="2" t="e">
        <v>#NUM!</v>
      </c>
    </row>
    <row r="144" spans="5:26" ht="15">
      <c r="E144" s="56">
        <f t="shared" si="3"/>
        <v>0</v>
      </c>
      <c r="F144" s="2" t="e">
        <f t="array" ref="F144:Z144">INDEX(PRODUCTION,SMALL(IF((INDEX(PRODUCTION,,'CURRENT WIP'!$D$2,1)&lt;='CURRENT WIP'!$D$7)*(INDEX(PRODUCTION,,'CURRENT WIP'!$D$2,1)&gt;='CURRENT WIP'!$D$7),ROW(PRODUCTION)-MIN(ROW(PRODUCTION))+1,""),ROWS(N$21:$N45)),,1)</f>
        <v>#NUM!</v>
      </c>
      <c r="G144" s="2" t="e">
        <v>#NUM!</v>
      </c>
      <c r="H144" s="2" t="e">
        <v>#NUM!</v>
      </c>
      <c r="I144" s="2" t="e">
        <v>#NUM!</v>
      </c>
      <c r="J144" s="37" t="e">
        <v>#NUM!</v>
      </c>
      <c r="K144" s="37" t="e">
        <v>#NUM!</v>
      </c>
      <c r="L144" s="2" t="e">
        <v>#NUM!</v>
      </c>
      <c r="M144" s="37" t="e">
        <v>#NUM!</v>
      </c>
      <c r="N144" s="2" t="e">
        <v>#NUM!</v>
      </c>
      <c r="O144" s="2" t="e">
        <v>#NUM!</v>
      </c>
      <c r="P144" s="2" t="e">
        <v>#NUM!</v>
      </c>
      <c r="Q144" s="2" t="e">
        <v>#NUM!</v>
      </c>
      <c r="R144" s="2" t="e">
        <v>#NUM!</v>
      </c>
      <c r="S144" s="28" t="e">
        <v>#NUM!</v>
      </c>
      <c r="T144" s="2" t="e">
        <v>#NUM!</v>
      </c>
      <c r="U144" s="2" t="e">
        <v>#NUM!</v>
      </c>
      <c r="V144" s="28" t="e">
        <v>#NUM!</v>
      </c>
      <c r="W144" s="2" t="e">
        <v>#NUM!</v>
      </c>
      <c r="X144" s="2" t="e">
        <v>#NUM!</v>
      </c>
      <c r="Y144" s="2" t="e">
        <v>#NUM!</v>
      </c>
      <c r="Z144" s="2" t="e">
        <v>#NUM!</v>
      </c>
    </row>
    <row r="145" spans="5:26" ht="15">
      <c r="E145" s="56">
        <f t="shared" si="3"/>
        <v>0</v>
      </c>
      <c r="F145" s="2" t="e">
        <f t="array" ref="F145:Z145">INDEX(PRODUCTION,SMALL(IF((INDEX(PRODUCTION,,'CURRENT WIP'!$D$2,1)&lt;='CURRENT WIP'!$D$7)*(INDEX(PRODUCTION,,'CURRENT WIP'!$D$2,1)&gt;='CURRENT WIP'!$D$7),ROW(PRODUCTION)-MIN(ROW(PRODUCTION))+1,""),ROWS(N$21:$N46)),,1)</f>
        <v>#NUM!</v>
      </c>
      <c r="G145" s="2" t="e">
        <v>#NUM!</v>
      </c>
      <c r="H145" s="2" t="e">
        <v>#NUM!</v>
      </c>
      <c r="I145" s="2" t="e">
        <v>#NUM!</v>
      </c>
      <c r="J145" s="37" t="e">
        <v>#NUM!</v>
      </c>
      <c r="K145" s="37" t="e">
        <v>#NUM!</v>
      </c>
      <c r="L145" s="2" t="e">
        <v>#NUM!</v>
      </c>
      <c r="M145" s="37" t="e">
        <v>#NUM!</v>
      </c>
      <c r="N145" s="2" t="e">
        <v>#NUM!</v>
      </c>
      <c r="O145" s="2" t="e">
        <v>#NUM!</v>
      </c>
      <c r="P145" s="2" t="e">
        <v>#NUM!</v>
      </c>
      <c r="Q145" s="2" t="e">
        <v>#NUM!</v>
      </c>
      <c r="R145" s="2" t="e">
        <v>#NUM!</v>
      </c>
      <c r="S145" s="28" t="e">
        <v>#NUM!</v>
      </c>
      <c r="T145" s="2" t="e">
        <v>#NUM!</v>
      </c>
      <c r="U145" s="2" t="e">
        <v>#NUM!</v>
      </c>
      <c r="V145" s="28" t="e">
        <v>#NUM!</v>
      </c>
      <c r="W145" s="2" t="e">
        <v>#NUM!</v>
      </c>
      <c r="X145" s="2" t="e">
        <v>#NUM!</v>
      </c>
      <c r="Y145" s="2" t="e">
        <v>#NUM!</v>
      </c>
      <c r="Z145" s="2" t="e">
        <v>#NUM!</v>
      </c>
    </row>
    <row r="146" spans="5:26" ht="15">
      <c r="E146" s="56">
        <f t="shared" si="3"/>
        <v>0</v>
      </c>
      <c r="F146" s="2" t="e">
        <f t="array" ref="F146:Z146">INDEX(PRODUCTION,SMALL(IF((INDEX(PRODUCTION,,'CURRENT WIP'!$D$2,1)&lt;='CURRENT WIP'!$D$7)*(INDEX(PRODUCTION,,'CURRENT WIP'!$D$2,1)&gt;='CURRENT WIP'!$D$7),ROW(PRODUCTION)-MIN(ROW(PRODUCTION))+1,""),ROWS(N$21:$N47)),,1)</f>
        <v>#NUM!</v>
      </c>
      <c r="G146" s="2" t="e">
        <v>#NUM!</v>
      </c>
      <c r="H146" s="2" t="e">
        <v>#NUM!</v>
      </c>
      <c r="I146" s="2" t="e">
        <v>#NUM!</v>
      </c>
      <c r="J146" s="37" t="e">
        <v>#NUM!</v>
      </c>
      <c r="K146" s="37" t="e">
        <v>#NUM!</v>
      </c>
      <c r="L146" s="2" t="e">
        <v>#NUM!</v>
      </c>
      <c r="M146" s="37" t="e">
        <v>#NUM!</v>
      </c>
      <c r="N146" s="2" t="e">
        <v>#NUM!</v>
      </c>
      <c r="O146" s="2" t="e">
        <v>#NUM!</v>
      </c>
      <c r="P146" s="2" t="e">
        <v>#NUM!</v>
      </c>
      <c r="Q146" s="2" t="e">
        <v>#NUM!</v>
      </c>
      <c r="R146" s="2" t="e">
        <v>#NUM!</v>
      </c>
      <c r="S146" s="28" t="e">
        <v>#NUM!</v>
      </c>
      <c r="T146" s="2" t="e">
        <v>#NUM!</v>
      </c>
      <c r="U146" s="2" t="e">
        <v>#NUM!</v>
      </c>
      <c r="V146" s="28" t="e">
        <v>#NUM!</v>
      </c>
      <c r="W146" s="2" t="e">
        <v>#NUM!</v>
      </c>
      <c r="X146" s="2" t="e">
        <v>#NUM!</v>
      </c>
      <c r="Y146" s="2" t="e">
        <v>#NUM!</v>
      </c>
      <c r="Z146" s="2" t="e">
        <v>#NUM!</v>
      </c>
    </row>
    <row r="147" spans="5:26" ht="15">
      <c r="E147" s="56">
        <f t="shared" si="3"/>
        <v>0</v>
      </c>
      <c r="F147" s="2" t="e">
        <f t="array" ref="F147:Z147">INDEX(PRODUCTION,SMALL(IF((INDEX(PRODUCTION,,'CURRENT WIP'!$D$2,1)&lt;='CURRENT WIP'!$D$7)*(INDEX(PRODUCTION,,'CURRENT WIP'!$D$2,1)&gt;='CURRENT WIP'!$D$7),ROW(PRODUCTION)-MIN(ROW(PRODUCTION))+1,""),ROWS(N$21:$N48)),,1)</f>
        <v>#NUM!</v>
      </c>
      <c r="G147" s="2" t="e">
        <v>#NUM!</v>
      </c>
      <c r="H147" s="2" t="e">
        <v>#NUM!</v>
      </c>
      <c r="I147" s="2" t="e">
        <v>#NUM!</v>
      </c>
      <c r="J147" s="37" t="e">
        <v>#NUM!</v>
      </c>
      <c r="K147" s="37" t="e">
        <v>#NUM!</v>
      </c>
      <c r="L147" s="2" t="e">
        <v>#NUM!</v>
      </c>
      <c r="M147" s="37" t="e">
        <v>#NUM!</v>
      </c>
      <c r="N147" s="2" t="e">
        <v>#NUM!</v>
      </c>
      <c r="O147" s="2" t="e">
        <v>#NUM!</v>
      </c>
      <c r="P147" s="2" t="e">
        <v>#NUM!</v>
      </c>
      <c r="Q147" s="2" t="e">
        <v>#NUM!</v>
      </c>
      <c r="R147" s="2" t="e">
        <v>#NUM!</v>
      </c>
      <c r="S147" s="28" t="e">
        <v>#NUM!</v>
      </c>
      <c r="T147" s="2" t="e">
        <v>#NUM!</v>
      </c>
      <c r="U147" s="2" t="e">
        <v>#NUM!</v>
      </c>
      <c r="V147" s="28" t="e">
        <v>#NUM!</v>
      </c>
      <c r="W147" s="2" t="e">
        <v>#NUM!</v>
      </c>
      <c r="X147" s="2" t="e">
        <v>#NUM!</v>
      </c>
      <c r="Y147" s="2" t="e">
        <v>#NUM!</v>
      </c>
      <c r="Z147" s="2" t="e">
        <v>#NUM!</v>
      </c>
    </row>
    <row r="148" spans="5:26" ht="15">
      <c r="E148" s="56">
        <f t="shared" si="3"/>
        <v>0</v>
      </c>
      <c r="F148" s="2" t="e">
        <f t="array" ref="F148:Z148">INDEX(PRODUCTION,SMALL(IF((INDEX(PRODUCTION,,'CURRENT WIP'!$D$2,1)&lt;='CURRENT WIP'!$D$7)*(INDEX(PRODUCTION,,'CURRENT WIP'!$D$2,1)&gt;='CURRENT WIP'!$D$7),ROW(PRODUCTION)-MIN(ROW(PRODUCTION))+1,""),ROWS(N$21:$N49)),,1)</f>
        <v>#NUM!</v>
      </c>
      <c r="G148" s="2" t="e">
        <v>#NUM!</v>
      </c>
      <c r="H148" s="2" t="e">
        <v>#NUM!</v>
      </c>
      <c r="I148" s="2" t="e">
        <v>#NUM!</v>
      </c>
      <c r="J148" s="37" t="e">
        <v>#NUM!</v>
      </c>
      <c r="K148" s="37" t="e">
        <v>#NUM!</v>
      </c>
      <c r="L148" s="2" t="e">
        <v>#NUM!</v>
      </c>
      <c r="M148" s="37" t="e">
        <v>#NUM!</v>
      </c>
      <c r="N148" s="2" t="e">
        <v>#NUM!</v>
      </c>
      <c r="O148" s="2" t="e">
        <v>#NUM!</v>
      </c>
      <c r="P148" s="2" t="e">
        <v>#NUM!</v>
      </c>
      <c r="Q148" s="2" t="e">
        <v>#NUM!</v>
      </c>
      <c r="R148" s="2" t="e">
        <v>#NUM!</v>
      </c>
      <c r="S148" s="28" t="e">
        <v>#NUM!</v>
      </c>
      <c r="T148" s="2" t="e">
        <v>#NUM!</v>
      </c>
      <c r="U148" s="2" t="e">
        <v>#NUM!</v>
      </c>
      <c r="V148" s="28" t="e">
        <v>#NUM!</v>
      </c>
      <c r="W148" s="2" t="e">
        <v>#NUM!</v>
      </c>
      <c r="X148" s="2" t="e">
        <v>#NUM!</v>
      </c>
      <c r="Y148" s="2" t="e">
        <v>#NUM!</v>
      </c>
      <c r="Z148" s="2" t="e">
        <v>#NUM!</v>
      </c>
    </row>
    <row r="149" spans="5:26">
      <c r="F149" s="2"/>
      <c r="G149" s="2"/>
      <c r="H149" s="2"/>
      <c r="I149" s="2"/>
      <c r="L149" s="2"/>
      <c r="N149" s="2"/>
      <c r="O149" s="2"/>
      <c r="P149" s="2"/>
      <c r="Q149" s="2"/>
      <c r="R149" s="2"/>
      <c r="T149" s="2"/>
      <c r="U149" s="2"/>
    </row>
    <row r="150" spans="5:26">
      <c r="F150" s="2"/>
      <c r="G150" s="2"/>
      <c r="H150" s="2"/>
      <c r="I150" s="2"/>
      <c r="L150" s="2"/>
      <c r="N150" s="17" t="s">
        <v>20</v>
      </c>
      <c r="O150" s="16"/>
      <c r="P150" s="42">
        <f t="array" ref="P150">SUM(IF(ISERROR(P120:P149),0,P120:P149))</f>
        <v>0</v>
      </c>
      <c r="Q150" s="42">
        <f t="array" ref="Q150">SUM(IF(ISERROR(Q120:Q149),0,Q120:Q149))</f>
        <v>0</v>
      </c>
      <c r="R150" s="42">
        <f t="array" ref="R150">SUM(IF(ISERROR(R120:R149),0,R120:R149))</f>
        <v>0</v>
      </c>
      <c r="T150" s="2"/>
      <c r="U150" s="2"/>
    </row>
  </sheetData>
  <conditionalFormatting sqref="S2">
    <cfRule type="containsText" dxfId="382" priority="122" operator="containsText" text="TRUE">
      <formula>NOT(ISERROR(SEARCH("TRUE",S2)))</formula>
    </cfRule>
  </conditionalFormatting>
  <conditionalFormatting sqref="N52">
    <cfRule type="containsText" dxfId="381" priority="82" operator="containsText" text="SW">
      <formula>NOT(ISERROR(SEARCH("SW",N52)))</formula>
    </cfRule>
    <cfRule type="containsText" dxfId="380" priority="83" operator="containsText" text="SQ">
      <formula>NOT(ISERROR(SEARCH("SQ",N52)))</formula>
    </cfRule>
    <cfRule type="containsText" dxfId="379" priority="84" operator="containsText" text="SC">
      <formula>NOT(ISERROR(SEARCH("SC",N52)))</formula>
    </cfRule>
    <cfRule type="containsText" dxfId="378" priority="85" operator="containsText" text="AP">
      <formula>NOT(ISERROR(SEARCH("AP",N52)))</formula>
    </cfRule>
    <cfRule type="containsText" dxfId="377" priority="86" operator="containsText" text="SS">
      <formula>NOT(ISERROR(SEARCH("SS",N52)))</formula>
    </cfRule>
    <cfRule type="containsText" dxfId="376" priority="87" operator="containsText" text="PQ">
      <formula>NOT(ISERROR(SEARCH("PQ",N52)))</formula>
    </cfRule>
    <cfRule type="containsText" dxfId="375" priority="88" operator="containsText" text="PC">
      <formula>NOT(ISERROR(SEARCH("PC",N52)))</formula>
    </cfRule>
    <cfRule type="containsText" dxfId="374" priority="89" operator="containsText" text="PW">
      <formula>NOT(ISERROR(SEARCH("PW",N52)))</formula>
    </cfRule>
    <cfRule type="containsText" dxfId="373" priority="90" operator="containsText" text="RS">
      <formula>NOT(ISERROR(SEARCH("RS",N52)))</formula>
    </cfRule>
    <cfRule type="containsText" dxfId="372" priority="91" operator="containsText" text="PF">
      <formula>NOT(ISERROR(SEARCH("PF",N52)))</formula>
    </cfRule>
  </conditionalFormatting>
  <conditionalFormatting sqref="N52">
    <cfRule type="containsText" dxfId="371" priority="78" operator="containsText" text="rc">
      <formula>NOT(ISERROR(SEARCH("rc",N52)))</formula>
    </cfRule>
    <cfRule type="containsText" dxfId="370" priority="79" operator="containsText" text="sf">
      <formula>NOT(ISERROR(SEARCH("sf",N52)))</formula>
    </cfRule>
    <cfRule type="containsText" dxfId="369" priority="80" operator="containsText" text="rq">
      <formula>NOT(ISERROR(SEARCH("rq",N52)))</formula>
    </cfRule>
    <cfRule type="containsText" dxfId="368" priority="81" operator="containsText" text="rf">
      <formula>NOT(ISERROR(SEARCH("rf",N52)))</formula>
    </cfRule>
  </conditionalFormatting>
  <conditionalFormatting sqref="W52">
    <cfRule type="containsText" dxfId="367" priority="77" operator="containsText" text="FALSE">
      <formula>NOT(ISERROR(SEARCH("FALSE",W52)))</formula>
    </cfRule>
  </conditionalFormatting>
  <conditionalFormatting sqref="N87">
    <cfRule type="containsText" dxfId="366" priority="52" operator="containsText" text="SW">
      <formula>NOT(ISERROR(SEARCH("SW",N87)))</formula>
    </cfRule>
    <cfRule type="containsText" dxfId="365" priority="53" operator="containsText" text="SQ">
      <formula>NOT(ISERROR(SEARCH("SQ",N87)))</formula>
    </cfRule>
    <cfRule type="containsText" dxfId="364" priority="54" operator="containsText" text="SC">
      <formula>NOT(ISERROR(SEARCH("SC",N87)))</formula>
    </cfRule>
    <cfRule type="containsText" dxfId="363" priority="55" operator="containsText" text="AP">
      <formula>NOT(ISERROR(SEARCH("AP",N87)))</formula>
    </cfRule>
    <cfRule type="containsText" dxfId="362" priority="56" operator="containsText" text="SS">
      <formula>NOT(ISERROR(SEARCH("SS",N87)))</formula>
    </cfRule>
    <cfRule type="containsText" dxfId="361" priority="57" operator="containsText" text="PQ">
      <formula>NOT(ISERROR(SEARCH("PQ",N87)))</formula>
    </cfRule>
    <cfRule type="containsText" dxfId="360" priority="58" operator="containsText" text="PC">
      <formula>NOT(ISERROR(SEARCH("PC",N87)))</formula>
    </cfRule>
    <cfRule type="containsText" dxfId="359" priority="59" operator="containsText" text="PW">
      <formula>NOT(ISERROR(SEARCH("PW",N87)))</formula>
    </cfRule>
    <cfRule type="containsText" dxfId="358" priority="60" operator="containsText" text="RS">
      <formula>NOT(ISERROR(SEARCH("RS",N87)))</formula>
    </cfRule>
    <cfRule type="containsText" dxfId="357" priority="61" operator="containsText" text="PF">
      <formula>NOT(ISERROR(SEARCH("PF",N87)))</formula>
    </cfRule>
  </conditionalFormatting>
  <conditionalFormatting sqref="N87">
    <cfRule type="containsText" dxfId="356" priority="48" operator="containsText" text="rc">
      <formula>NOT(ISERROR(SEARCH("rc",N87)))</formula>
    </cfRule>
    <cfRule type="containsText" dxfId="355" priority="49" operator="containsText" text="sf">
      <formula>NOT(ISERROR(SEARCH("sf",N87)))</formula>
    </cfRule>
    <cfRule type="containsText" dxfId="354" priority="50" operator="containsText" text="rq">
      <formula>NOT(ISERROR(SEARCH("rq",N87)))</formula>
    </cfRule>
    <cfRule type="containsText" dxfId="353" priority="51" operator="containsText" text="rf">
      <formula>NOT(ISERROR(SEARCH("rf",N87)))</formula>
    </cfRule>
  </conditionalFormatting>
  <conditionalFormatting sqref="W87">
    <cfRule type="containsText" dxfId="352" priority="47" operator="containsText" text="FALSE">
      <formula>NOT(ISERROR(SEARCH("FALSE",W87)))</formula>
    </cfRule>
  </conditionalFormatting>
  <conditionalFormatting sqref="W118">
    <cfRule type="containsText" dxfId="351" priority="32" operator="containsText" text="FALSE">
      <formula>NOT(ISERROR(SEARCH("FALSE",W118)))</formula>
    </cfRule>
  </conditionalFormatting>
  <conditionalFormatting sqref="N118">
    <cfRule type="containsText" dxfId="350" priority="37" operator="containsText" text="SW">
      <formula>NOT(ISERROR(SEARCH("SW",N118)))</formula>
    </cfRule>
    <cfRule type="containsText" dxfId="349" priority="38" operator="containsText" text="SQ">
      <formula>NOT(ISERROR(SEARCH("SQ",N118)))</formula>
    </cfRule>
    <cfRule type="containsText" dxfId="348" priority="39" operator="containsText" text="SC">
      <formula>NOT(ISERROR(SEARCH("SC",N118)))</formula>
    </cfRule>
    <cfRule type="containsText" dxfId="347" priority="40" operator="containsText" text="AP">
      <formula>NOT(ISERROR(SEARCH("AP",N118)))</formula>
    </cfRule>
    <cfRule type="containsText" dxfId="346" priority="41" operator="containsText" text="SS">
      <formula>NOT(ISERROR(SEARCH("SS",N118)))</formula>
    </cfRule>
    <cfRule type="containsText" dxfId="345" priority="42" operator="containsText" text="PQ">
      <formula>NOT(ISERROR(SEARCH("PQ",N118)))</formula>
    </cfRule>
    <cfRule type="containsText" dxfId="344" priority="43" operator="containsText" text="PC">
      <formula>NOT(ISERROR(SEARCH("PC",N118)))</formula>
    </cfRule>
    <cfRule type="containsText" dxfId="343" priority="44" operator="containsText" text="PW">
      <formula>NOT(ISERROR(SEARCH("PW",N118)))</formula>
    </cfRule>
    <cfRule type="containsText" dxfId="342" priority="45" operator="containsText" text="RS">
      <formula>NOT(ISERROR(SEARCH("RS",N118)))</formula>
    </cfRule>
    <cfRule type="containsText" dxfId="341" priority="46" operator="containsText" text="PF">
      <formula>NOT(ISERROR(SEARCH("PF",N118)))</formula>
    </cfRule>
  </conditionalFormatting>
  <conditionalFormatting sqref="N118">
    <cfRule type="containsText" dxfId="340" priority="33" operator="containsText" text="rc">
      <formula>NOT(ISERROR(SEARCH("rc",N118)))</formula>
    </cfRule>
    <cfRule type="containsText" dxfId="339" priority="34" operator="containsText" text="sf">
      <formula>NOT(ISERROR(SEARCH("sf",N118)))</formula>
    </cfRule>
    <cfRule type="containsText" dxfId="338" priority="35" operator="containsText" text="rq">
      <formula>NOT(ISERROR(SEARCH("rq",N118)))</formula>
    </cfRule>
    <cfRule type="containsText" dxfId="337" priority="36" operator="containsText" text="rf">
      <formula>NOT(ISERROR(SEARCH("rf",N118)))</formula>
    </cfRule>
  </conditionalFormatting>
  <conditionalFormatting sqref="E22:E50">
    <cfRule type="containsText" dxfId="336" priority="28" operator="containsText" text="STANDARD?">
      <formula>NOT(ISERROR(SEARCH("STANDARD?",E22)))</formula>
    </cfRule>
    <cfRule type="containsText" dxfId="335" priority="29" operator="containsText" text="door">
      <formula>NOT(ISERROR(SEARCH("door",E22)))</formula>
    </cfRule>
    <cfRule type="containsText" dxfId="334" priority="30" operator="containsText" text="COMPLEX">
      <formula>NOT(ISERROR(SEARCH("COMPLEX",E22)))</formula>
    </cfRule>
    <cfRule type="containsText" dxfId="333" priority="31" operator="containsText" text="SPECIAL">
      <formula>NOT(ISERROR(SEARCH("SPECIAL",E22)))</formula>
    </cfRule>
  </conditionalFormatting>
  <conditionalFormatting sqref="E54:E83">
    <cfRule type="containsText" dxfId="332" priority="24" operator="containsText" text="STANDARD?">
      <formula>NOT(ISERROR(SEARCH("STANDARD?",E54)))</formula>
    </cfRule>
    <cfRule type="containsText" dxfId="331" priority="25" operator="containsText" text="door">
      <formula>NOT(ISERROR(SEARCH("door",E54)))</formula>
    </cfRule>
    <cfRule type="containsText" dxfId="330" priority="26" operator="containsText" text="COMPLEX">
      <formula>NOT(ISERROR(SEARCH("COMPLEX",E54)))</formula>
    </cfRule>
    <cfRule type="containsText" dxfId="329" priority="27" operator="containsText" text="SPECIAL">
      <formula>NOT(ISERROR(SEARCH("SPECIAL",E54)))</formula>
    </cfRule>
  </conditionalFormatting>
  <conditionalFormatting sqref="E88:E117">
    <cfRule type="containsText" dxfId="328" priority="20" operator="containsText" text="STANDARD?">
      <formula>NOT(ISERROR(SEARCH("STANDARD?",E88)))</formula>
    </cfRule>
    <cfRule type="containsText" dxfId="327" priority="21" operator="containsText" text="door">
      <formula>NOT(ISERROR(SEARCH("door",E88)))</formula>
    </cfRule>
    <cfRule type="containsText" dxfId="326" priority="22" operator="containsText" text="COMPLEX">
      <formula>NOT(ISERROR(SEARCH("COMPLEX",E88)))</formula>
    </cfRule>
    <cfRule type="containsText" dxfId="325" priority="23" operator="containsText" text="SPECIAL">
      <formula>NOT(ISERROR(SEARCH("SPECIAL",E88)))</formula>
    </cfRule>
  </conditionalFormatting>
  <conditionalFormatting sqref="E120:E148">
    <cfRule type="containsText" dxfId="324" priority="16" operator="containsText" text="STANDARD?">
      <formula>NOT(ISERROR(SEARCH("STANDARD?",E120)))</formula>
    </cfRule>
    <cfRule type="containsText" dxfId="323" priority="17" operator="containsText" text="door">
      <formula>NOT(ISERROR(SEARCH("door",E120)))</formula>
    </cfRule>
    <cfRule type="containsText" dxfId="322" priority="18" operator="containsText" text="COMPLEX">
      <formula>NOT(ISERROR(SEARCH("COMPLEX",E120)))</formula>
    </cfRule>
    <cfRule type="containsText" dxfId="321" priority="19" operator="containsText" text="SPECIAL">
      <formula>NOT(ISERROR(SEARCH("SPECIAL",E120)))</formula>
    </cfRule>
  </conditionalFormatting>
  <conditionalFormatting sqref="N21">
    <cfRule type="containsText" dxfId="320" priority="6" operator="containsText" text="SW">
      <formula>NOT(ISERROR(SEARCH("SW",N21)))</formula>
    </cfRule>
    <cfRule type="containsText" dxfId="319" priority="7" operator="containsText" text="SQ">
      <formula>NOT(ISERROR(SEARCH("SQ",N21)))</formula>
    </cfRule>
    <cfRule type="containsText" dxfId="318" priority="8" operator="containsText" text="SC">
      <formula>NOT(ISERROR(SEARCH("SC",N21)))</formula>
    </cfRule>
    <cfRule type="containsText" dxfId="317" priority="9" operator="containsText" text="AP">
      <formula>NOT(ISERROR(SEARCH("AP",N21)))</formula>
    </cfRule>
    <cfRule type="containsText" dxfId="316" priority="10" operator="containsText" text="SS">
      <formula>NOT(ISERROR(SEARCH("SS",N21)))</formula>
    </cfRule>
    <cfRule type="containsText" dxfId="315" priority="11" operator="containsText" text="PQ">
      <formula>NOT(ISERROR(SEARCH("PQ",N21)))</formula>
    </cfRule>
    <cfRule type="containsText" dxfId="314" priority="12" operator="containsText" text="PC">
      <formula>NOT(ISERROR(SEARCH("PC",N21)))</formula>
    </cfRule>
    <cfRule type="containsText" dxfId="313" priority="13" operator="containsText" text="PW">
      <formula>NOT(ISERROR(SEARCH("PW",N21)))</formula>
    </cfRule>
    <cfRule type="containsText" dxfId="312" priority="14" operator="containsText" text="RS">
      <formula>NOT(ISERROR(SEARCH("RS",N21)))</formula>
    </cfRule>
    <cfRule type="containsText" dxfId="311" priority="15" operator="containsText" text="PF">
      <formula>NOT(ISERROR(SEARCH("PF",N21)))</formula>
    </cfRule>
  </conditionalFormatting>
  <conditionalFormatting sqref="N21">
    <cfRule type="containsText" dxfId="310" priority="2" operator="containsText" text="rc">
      <formula>NOT(ISERROR(SEARCH("rc",N21)))</formula>
    </cfRule>
    <cfRule type="containsText" dxfId="309" priority="3" operator="containsText" text="sf">
      <formula>NOT(ISERROR(SEARCH("sf",N21)))</formula>
    </cfRule>
    <cfRule type="containsText" dxfId="308" priority="4" operator="containsText" text="rq">
      <formula>NOT(ISERROR(SEARCH("rq",N21)))</formula>
    </cfRule>
    <cfRule type="containsText" dxfId="307" priority="5" operator="containsText" text="rf">
      <formula>NOT(ISERROR(SEARCH("rf",N21)))</formula>
    </cfRule>
  </conditionalFormatting>
  <conditionalFormatting sqref="W21">
    <cfRule type="containsText" dxfId="306" priority="1" operator="containsText" text="FALSE">
      <formula>NOT(ISERROR(SEARCH("FALSE",W21)))</formula>
    </cfRule>
  </conditionalFormatting>
  <dataValidations disablePrompts="1" count="1">
    <dataValidation allowBlank="1" showInputMessage="1" showErrorMessage="1" promptTitle="DON'T EDIT" prompt="Tells excel which column to read from." sqref="D2" xr:uid="{00000000-0002-0000-0200-000000000000}"/>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2:AF61"/>
  <sheetViews>
    <sheetView zoomScaleNormal="100" workbookViewId="0">
      <selection activeCell="AF49" sqref="AF49"/>
    </sheetView>
  </sheetViews>
  <sheetFormatPr defaultRowHeight="12.75"/>
  <cols>
    <col min="3" max="3" width="0" hidden="1" customWidth="1"/>
    <col min="4" max="4" width="15.28515625" customWidth="1"/>
    <col min="5" max="5" width="30.5703125" customWidth="1"/>
    <col min="6" max="6" width="41" customWidth="1"/>
    <col min="7" max="7" width="22.5703125" customWidth="1"/>
    <col min="8" max="8" width="12.5703125" style="57" customWidth="1"/>
    <col min="9" max="9" width="13.85546875" style="57" customWidth="1"/>
    <col min="10" max="10" width="10.85546875" customWidth="1"/>
    <col min="11" max="11" width="11.85546875" style="57" customWidth="1"/>
    <col min="12" max="12" width="0" hidden="1" customWidth="1"/>
    <col min="13" max="13" width="7.5703125" style="6" customWidth="1"/>
    <col min="14" max="14" width="8.140625" hidden="1" customWidth="1"/>
    <col min="16" max="16" width="7.140625" customWidth="1"/>
    <col min="17" max="17" width="9.140625" style="28" hidden="1" customWidth="1"/>
    <col min="18" max="19" width="9.140625" hidden="1" customWidth="1"/>
    <col min="20" max="20" width="9.140625" style="28" hidden="1" customWidth="1"/>
    <col min="21" max="21" width="9.140625" hidden="1" customWidth="1"/>
    <col min="22" max="22" width="7.42578125" customWidth="1"/>
    <col min="23" max="23" width="9.140625" hidden="1" customWidth="1"/>
    <col min="24" max="24" width="5.28515625" customWidth="1"/>
    <col min="25" max="25" width="7.5703125" style="2" customWidth="1"/>
    <col min="26" max="26" width="5.28515625" style="2" customWidth="1"/>
    <col min="28" max="28" width="14.28515625" customWidth="1"/>
    <col min="29" max="29" width="29.42578125" customWidth="1"/>
  </cols>
  <sheetData>
    <row r="2" spans="3:32" ht="13.5" thickBot="1"/>
    <row r="3" spans="3:32" ht="16.5" thickBot="1">
      <c r="AB3" s="576" t="s">
        <v>170</v>
      </c>
      <c r="AC3" s="577"/>
      <c r="AD3" s="577"/>
      <c r="AE3" s="577"/>
      <c r="AF3" s="578"/>
    </row>
    <row r="4" spans="3:32" ht="31.5" customHeight="1">
      <c r="D4" s="58" t="s">
        <v>0</v>
      </c>
      <c r="E4" s="59" t="s">
        <v>1</v>
      </c>
      <c r="F4" s="59" t="s">
        <v>21</v>
      </c>
      <c r="G4" s="59" t="s">
        <v>22</v>
      </c>
      <c r="H4" s="60" t="s">
        <v>23</v>
      </c>
      <c r="I4" s="61" t="s">
        <v>52</v>
      </c>
      <c r="J4" s="59" t="s">
        <v>25</v>
      </c>
      <c r="K4" s="60" t="s">
        <v>2</v>
      </c>
      <c r="L4" s="62" t="s">
        <v>3</v>
      </c>
      <c r="M4" s="63" t="s">
        <v>10</v>
      </c>
      <c r="N4" s="63" t="s">
        <v>4</v>
      </c>
      <c r="O4" s="63" t="s">
        <v>5</v>
      </c>
      <c r="P4" s="63" t="s">
        <v>6</v>
      </c>
      <c r="Q4" s="64" t="s">
        <v>26</v>
      </c>
      <c r="R4" s="65" t="s">
        <v>27</v>
      </c>
      <c r="S4" s="65" t="s">
        <v>28</v>
      </c>
      <c r="T4" s="64" t="s">
        <v>29</v>
      </c>
      <c r="U4" s="65" t="s">
        <v>30</v>
      </c>
      <c r="V4" s="63" t="s">
        <v>31</v>
      </c>
      <c r="W4" s="65" t="s">
        <v>14</v>
      </c>
      <c r="X4" s="529" t="s">
        <v>32</v>
      </c>
      <c r="Y4" s="520" t="s">
        <v>169</v>
      </c>
      <c r="Z4" s="530"/>
      <c r="AB4" s="58" t="s">
        <v>0</v>
      </c>
      <c r="AC4" s="59" t="s">
        <v>1</v>
      </c>
      <c r="AD4" s="63" t="s">
        <v>4</v>
      </c>
      <c r="AE4" s="63" t="s">
        <v>5</v>
      </c>
      <c r="AF4" s="526" t="s">
        <v>6</v>
      </c>
    </row>
    <row r="5" spans="3:32">
      <c r="C5">
        <f>COUNTIF(M5,"M")</f>
        <v>0</v>
      </c>
      <c r="D5" s="47" t="str">
        <f t="array" ref="D5">IFERROR(INDEX(WIP,SMALL(IF(('CURRENT WIP'!$D$1='CURRENT WIP'!$E$22:E148),MATCH(ROW(WIP),ROW(WIP)),""),ROW('CURRENT WIP'!A1)),COLUMN('CURRENT WIP'!A1)),"")</f>
        <v/>
      </c>
      <c r="E5" s="48" t="str">
        <f t="array" ref="E5">IFERROR(INDEX(WIP,SMALL(IF(('CURRENT WIP'!$D$1='CURRENT WIP'!$E$22:$E$148),MATCH(ROW(WIP),ROW(WIP)),""),ROW('CURRENT WIP'!B1)),COLUMN('CURRENT WIP'!B1)),"")</f>
        <v/>
      </c>
      <c r="F5" s="48" t="str">
        <f t="array" ref="F5">IFERROR(INDEX(WIP,SMALL(IF(('CURRENT WIP'!$D$1='CURRENT WIP'!$E$22:$E$148),MATCH(ROW(WIP),ROW(WIP)),""),ROW('CURRENT WIP'!C1)),COLUMN('CURRENT WIP'!C1)),"")</f>
        <v/>
      </c>
      <c r="G5" s="48" t="str">
        <f t="array" ref="G5">IFERROR(INDEX(WIP,SMALL(IF(('CURRENT WIP'!$D$1='CURRENT WIP'!$E$22:$E$148),MATCH(ROW(WIP),ROW(WIP)),""),ROW('CURRENT WIP'!D1)),COLUMN('CURRENT WIP'!D1)),"")</f>
        <v/>
      </c>
      <c r="H5" s="66" t="str">
        <f t="array" ref="H5">IFERROR(INDEX(WIP,SMALL(IF(('CURRENT WIP'!$D$1='CURRENT WIP'!$E$22:$E$148),MATCH(ROW(WIP),ROW(WIP)),""),ROW('CURRENT WIP'!E1)),COLUMN('CURRENT WIP'!E1)),"")</f>
        <v/>
      </c>
      <c r="I5" s="66" t="str">
        <f t="array" ref="I5">IFERROR(INDEX(WIP,SMALL(IF(('CURRENT WIP'!$D$1='CURRENT WIP'!$E$22:$E$148),MATCH(ROW(WIP),ROW(WIP)),""),ROW('CURRENT WIP'!F1)),COLUMN('CURRENT WIP'!F1)),"")</f>
        <v/>
      </c>
      <c r="J5" s="48" t="str">
        <f t="array" ref="J5">IFERROR(INDEX(WIP,SMALL(IF(('CURRENT WIP'!$D$1='CURRENT WIP'!$E$22:$E$148),MATCH(ROW(WIP),ROW(WIP)),""),ROW('CURRENT WIP'!G1)),COLUMN('CURRENT WIP'!G1)),"")</f>
        <v/>
      </c>
      <c r="K5" s="66" t="str">
        <f t="array" ref="K5">IFERROR(INDEX(WIP,SMALL(IF(('CURRENT WIP'!$D$1='CURRENT WIP'!$E$22:$E$148),MATCH(ROW(WIP),ROW(WIP)),""),ROW('CURRENT WIP'!H1)),COLUMN('CURRENT WIP'!H1)),"")</f>
        <v/>
      </c>
      <c r="L5" s="48" t="str">
        <f t="array" ref="L5">IFERROR(INDEX(WIP,SMALL(IF(('CURRENT WIP'!$D$1='CURRENT WIP'!$E$22:$E$148),MATCH(ROW(WIP),ROW(WIP)),""),ROW('CURRENT WIP'!I1)),COLUMN('CURRENT WIP'!I1)),"")</f>
        <v/>
      </c>
      <c r="M5" s="67" t="str">
        <f t="array" ref="M5">IFERROR(INDEX(WIP,SMALL(IF(('CURRENT WIP'!$D$1='CURRENT WIP'!$E$22:$E$148),MATCH(ROW(WIP),ROW(WIP)),""),ROW('CURRENT WIP'!J1)),COLUMN('CURRENT WIP'!J1)),"")</f>
        <v/>
      </c>
      <c r="N5" s="48" t="str">
        <f t="array" ref="N5">IFERROR(INDEX(WIP,SMALL(IF(('CURRENT WIP'!$D$1='CURRENT WIP'!$E$22:$E$148),MATCH(ROW(WIP),ROW(WIP)),""),ROW('CURRENT WIP'!K1)),COLUMN('CURRENT WIP'!K1)),"")</f>
        <v/>
      </c>
      <c r="O5" s="48" t="str">
        <f t="array" ref="O5">IFERROR(INDEX(WIP,SMALL(IF(('CURRENT WIP'!$D$1='CURRENT WIP'!$E$22:$E$148),MATCH(ROW(WIP),ROW(WIP)),""),ROW('CURRENT WIP'!L1)),COLUMN('CURRENT WIP'!L1)),"")</f>
        <v/>
      </c>
      <c r="P5" s="48" t="str">
        <f t="array" ref="P5">IFERROR(INDEX(WIP,SMALL(IF(('CURRENT WIP'!$D$1='CURRENT WIP'!$E$22:$E$148),MATCH(ROW(WIP),ROW(WIP)),""),ROW('CURRENT WIP'!M1)),COLUMN('CURRENT WIP'!M1)),"")</f>
        <v/>
      </c>
      <c r="Q5" s="68" t="str">
        <f t="array" ref="Q5">IFERROR(INDEX(WIP,SMALL(IF(('CURRENT WIP'!$D$1='CURRENT WIP'!$E$22:$E$148),MATCH(ROW(WIP),ROW(WIP)),""),ROW('CURRENT WIP'!N1)),COLUMN('CURRENT WIP'!N1)),"")</f>
        <v/>
      </c>
      <c r="R5" s="48" t="str">
        <f t="array" ref="R5">IFERROR(INDEX(WIP,SMALL(IF(('CURRENT WIP'!$D$1='CURRENT WIP'!$E$22:$E$148),MATCH(ROW(WIP),ROW(WIP)),""),ROW('CURRENT WIP'!O1)),COLUMN('CURRENT WIP'!O1)),"")</f>
        <v/>
      </c>
      <c r="S5" s="48" t="str">
        <f t="array" ref="S5">IFERROR(INDEX(WIP,SMALL(IF(('CURRENT WIP'!$D$1='CURRENT WIP'!$E$22:$E$148),MATCH(ROW(WIP),ROW(WIP)),""),ROW('CURRENT WIP'!P1)),COLUMN('CURRENT WIP'!P1)),"")</f>
        <v/>
      </c>
      <c r="T5" s="68" t="str">
        <f t="array" ref="T5">IFERROR(INDEX(WIP,SMALL(IF(('CURRENT WIP'!$D$1='CURRENT WIP'!$E$22:$E$148),MATCH(ROW(WIP),ROW(WIP)),""),ROW('CURRENT WIP'!Q1)),COLUMN('CURRENT WIP'!Q1)),"")</f>
        <v/>
      </c>
      <c r="U5" s="48" t="str">
        <f t="array" ref="U5">IFERROR(INDEX(WIP,SMALL(IF(('CURRENT WIP'!$D$1='CURRENT WIP'!$E$22:$E$148),MATCH(ROW(WIP),ROW(WIP)),""),ROW('CURRENT WIP'!R1)),COLUMN('CURRENT WIP'!R1)),"")</f>
        <v/>
      </c>
      <c r="V5" s="48" t="str">
        <f t="array" ref="V5">IFERROR(INDEX(WIP,SMALL(IF(('CURRENT WIP'!$D$1='CURRENT WIP'!$E$22:$E$148),MATCH(ROW(WIP),ROW(WIP)),""),ROW('CURRENT WIP'!S1)),COLUMN('CURRENT WIP'!S1)),"")</f>
        <v/>
      </c>
      <c r="W5" s="48" t="str">
        <f t="array" ref="W5">IFERROR(INDEX(WIP,SMALL(IF(('CURRENT WIP'!$D$1='CURRENT WIP'!$E$22:$E$148),MATCH(ROW(WIP),ROW(WIP)),""),ROW('CURRENT WIP'!T1)),COLUMN('CURRENT WIP'!T1)),"")</f>
        <v/>
      </c>
      <c r="X5" s="48" t="str">
        <f t="array" ref="X5">IFERROR(INDEX(WIP,SMALL(IF(('CURRENT WIP'!$D$1='CURRENT WIP'!$E$22:$E$148),MATCH(ROW(WIP),ROW(WIP)),""),ROW('CURRENT WIP'!U1)),COLUMN('CURRENT WIP'!U1)),"")</f>
        <v/>
      </c>
      <c r="Y5" s="521" t="str">
        <f>IF(M5="A", N5-(N5*0.27), IF(M5="F", N5-(N5*0.47), IF(M5="D", N5-(N5*0.7), N5)))</f>
        <v/>
      </c>
      <c r="Z5" s="98"/>
      <c r="AB5" s="527">
        <f t="array" ref="AB5">INDEX(MOVEMENT!$AM$13:$AM$52, SMALL(IF(ISERROR(MATCH(MOVEMENT!$AM$13:$AM$52, MOVEMENT!$E$13:$E$52, 0)), (ROW(MOVEMENT!$AM$13:$AM$52)-MIN(ROW(MOVEMENT!$AM$13:$AM$52))+1), ""), ROW(MOVEMENT!1:1)))</f>
        <v>0</v>
      </c>
      <c r="AC5" s="48" t="e">
        <f>VLOOKUP(AB5,MOVEMENT!AM13:AY54,2,FALSE)</f>
        <v>#N/A</v>
      </c>
      <c r="AD5" s="48" t="e">
        <f>VLOOKUP(AB5,MOVEMENT!AM13:AY54,11,FALSE)</f>
        <v>#N/A</v>
      </c>
      <c r="AE5" s="48" t="e">
        <f>VLOOKUP(AB5,MOVEMENT!AM13:AY54,12,FALSE)</f>
        <v>#N/A</v>
      </c>
      <c r="AF5" s="46" t="e">
        <f>VLOOKUP(AB5,MOVEMENT!AM13:AY54,13,FALSE)</f>
        <v>#N/A</v>
      </c>
    </row>
    <row r="6" spans="3:32">
      <c r="D6" s="47" t="str">
        <f t="array" ref="D6">IFERROR(INDEX(WIP,SMALL(IF(('CURRENT WIP'!$D$1='CURRENT WIP'!$E$22:E149),MATCH(ROW(WIP),ROW(WIP)),""),ROW('CURRENT WIP'!A2)),COLUMN('CURRENT WIP'!A2)),"")</f>
        <v/>
      </c>
      <c r="E6" s="48" t="str">
        <f t="array" ref="E6">IFERROR(INDEX(WIP,SMALL(IF(('CURRENT WIP'!$D$1='CURRENT WIP'!$E$22:$E$148),MATCH(ROW(WIP),ROW(WIP)),""),ROW('CURRENT WIP'!B2)),COLUMN('CURRENT WIP'!B2)),"")</f>
        <v/>
      </c>
      <c r="F6" s="48" t="str">
        <f t="array" ref="F6">IFERROR(INDEX(WIP,SMALL(IF(('CURRENT WIP'!$D$1='CURRENT WIP'!$E$22:$E$148),MATCH(ROW(WIP),ROW(WIP)),""),ROW('CURRENT WIP'!C2)),COLUMN('CURRENT WIP'!C2)),"")</f>
        <v/>
      </c>
      <c r="G6" s="48" t="str">
        <f t="array" ref="G6">IFERROR(INDEX(WIP,SMALL(IF(('CURRENT WIP'!$D$1='CURRENT WIP'!$E$22:$E$148),MATCH(ROW(WIP),ROW(WIP)),""),ROW('CURRENT WIP'!D2)),COLUMN('CURRENT WIP'!D2)),"")</f>
        <v/>
      </c>
      <c r="H6" s="66" t="str">
        <f t="array" ref="H6">IFERROR(INDEX(WIP,SMALL(IF(('CURRENT WIP'!$D$1='CURRENT WIP'!$E$22:$E$148),MATCH(ROW(WIP),ROW(WIP)),""),ROW('CURRENT WIP'!E2)),COLUMN('CURRENT WIP'!E2)),"")</f>
        <v/>
      </c>
      <c r="I6" s="66" t="str">
        <f t="array" ref="I6">IFERROR(INDEX(WIP,SMALL(IF(('CURRENT WIP'!$D$1='CURRENT WIP'!$E$22:$E$148),MATCH(ROW(WIP),ROW(WIP)),""),ROW('CURRENT WIP'!F2)),COLUMN('CURRENT WIP'!F2)),"")</f>
        <v/>
      </c>
      <c r="J6" s="48" t="str">
        <f t="array" ref="J6">IFERROR(INDEX(WIP,SMALL(IF(('CURRENT WIP'!$D$1='CURRENT WIP'!$E$22:$E$148),MATCH(ROW(WIP),ROW(WIP)),""),ROW('CURRENT WIP'!G2)),COLUMN('CURRENT WIP'!G2)),"")</f>
        <v/>
      </c>
      <c r="K6" s="66" t="str">
        <f t="array" ref="K6">IFERROR(INDEX(WIP,SMALL(IF(('CURRENT WIP'!$D$1='CURRENT WIP'!$E$22:$E$148),MATCH(ROW(WIP),ROW(WIP)),""),ROW('CURRENT WIP'!H2)),COLUMN('CURRENT WIP'!H2)),"")</f>
        <v/>
      </c>
      <c r="L6" s="48" t="str">
        <f t="array" ref="L6">IFERROR(INDEX(WIP,SMALL(IF(('CURRENT WIP'!$D$1='CURRENT WIP'!$E$22:$E$148),MATCH(ROW(WIP),ROW(WIP)),""),ROW('CURRENT WIP'!I2)),COLUMN('CURRENT WIP'!I2)),"")</f>
        <v/>
      </c>
      <c r="M6" s="67" t="str">
        <f t="array" ref="M6">IFERROR(INDEX(WIP,SMALL(IF(('CURRENT WIP'!$D$1='CURRENT WIP'!$E$22:$E$148),MATCH(ROW(WIP),ROW(WIP)),""),ROW('CURRENT WIP'!J2)),COLUMN('CURRENT WIP'!J2)),"")</f>
        <v/>
      </c>
      <c r="N6" s="48" t="str">
        <f t="array" ref="N6">IFERROR(INDEX(WIP,SMALL(IF(('CURRENT WIP'!$D$1='CURRENT WIP'!$E$22:$E$148),MATCH(ROW(WIP),ROW(WIP)),""),ROW('CURRENT WIP'!K2)),COLUMN('CURRENT WIP'!K2)),"")</f>
        <v/>
      </c>
      <c r="O6" s="48" t="str">
        <f t="array" ref="O6">IFERROR(INDEX(WIP,SMALL(IF(('CURRENT WIP'!$D$1='CURRENT WIP'!$E$22:$E$148),MATCH(ROW(WIP),ROW(WIP)),""),ROW('CURRENT WIP'!L2)),COLUMN('CURRENT WIP'!L2)),"")</f>
        <v/>
      </c>
      <c r="P6" s="48" t="str">
        <f t="array" ref="P6">IFERROR(INDEX(WIP,SMALL(IF(('CURRENT WIP'!$D$1='CURRENT WIP'!$E$22:$E$148),MATCH(ROW(WIP),ROW(WIP)),""),ROW('CURRENT WIP'!M2)),COLUMN('CURRENT WIP'!M2)),"")</f>
        <v/>
      </c>
      <c r="Q6" s="68" t="str">
        <f t="array" ref="Q6">IFERROR(INDEX(WIP,SMALL(IF(('CURRENT WIP'!$D$1='CURRENT WIP'!$E$22:$E$148),MATCH(ROW(WIP),ROW(WIP)),""),ROW('CURRENT WIP'!N2)),COLUMN('CURRENT WIP'!N2)),"")</f>
        <v/>
      </c>
      <c r="R6" s="48" t="str">
        <f t="array" ref="R6">IFERROR(INDEX(WIP,SMALL(IF(('CURRENT WIP'!$D$1='CURRENT WIP'!$E$22:$E$148),MATCH(ROW(WIP),ROW(WIP)),""),ROW('CURRENT WIP'!O2)),COLUMN('CURRENT WIP'!O2)),"")</f>
        <v/>
      </c>
      <c r="S6" s="48" t="str">
        <f t="array" ref="S6">IFERROR(INDEX(WIP,SMALL(IF(('CURRENT WIP'!$D$1='CURRENT WIP'!$E$22:$E$148),MATCH(ROW(WIP),ROW(WIP)),""),ROW('CURRENT WIP'!P2)),COLUMN('CURRENT WIP'!P2)),"")</f>
        <v/>
      </c>
      <c r="T6" s="68" t="str">
        <f t="array" ref="T6">IFERROR(INDEX(WIP,SMALL(IF(('CURRENT WIP'!$D$1='CURRENT WIP'!$E$22:$E$148),MATCH(ROW(WIP),ROW(WIP)),""),ROW('CURRENT WIP'!Q2)),COLUMN('CURRENT WIP'!Q2)),"")</f>
        <v/>
      </c>
      <c r="U6" s="48" t="str">
        <f t="array" ref="U6">IFERROR(INDEX(WIP,SMALL(IF(('CURRENT WIP'!$D$1='CURRENT WIP'!$E$22:$E$148),MATCH(ROW(WIP),ROW(WIP)),""),ROW('CURRENT WIP'!R2)),COLUMN('CURRENT WIP'!R2)),"")</f>
        <v/>
      </c>
      <c r="V6" s="48" t="str">
        <f t="array" ref="V6">IFERROR(INDEX(WIP,SMALL(IF(('CURRENT WIP'!$D$1='CURRENT WIP'!$E$22:$E$148),MATCH(ROW(WIP),ROW(WIP)),""),ROW('CURRENT WIP'!S2)),COLUMN('CURRENT WIP'!S2)),"")</f>
        <v/>
      </c>
      <c r="W6" s="48" t="str">
        <f t="array" ref="W6">IFERROR(INDEX(WIP,SMALL(IF(('CURRENT WIP'!$D$1='CURRENT WIP'!$E$22:$E$148),MATCH(ROW(WIP),ROW(WIP)),""),ROW('CURRENT WIP'!T2)),COLUMN('CURRENT WIP'!T2)),"")</f>
        <v/>
      </c>
      <c r="X6" s="48" t="str">
        <f t="array" ref="X6">IFERROR(INDEX(WIP,SMALL(IF(('CURRENT WIP'!$D$1='CURRENT WIP'!$E$22:$E$148),MATCH(ROW(WIP),ROW(WIP)),""),ROW('CURRENT WIP'!U2)),COLUMN('CURRENT WIP'!U2)),"")</f>
        <v/>
      </c>
      <c r="Y6" s="521" t="str">
        <f t="shared" ref="Y6:Y34" si="0">IF(M6="A", N6-(N6*0.27), IF(M6="F", N6-(N6*0.47), IF(M6="D", N6-(N6*0.7), N6)))</f>
        <v/>
      </c>
      <c r="Z6" s="98"/>
      <c r="AB6" s="527">
        <f t="array" ref="AB6">INDEX(MOVEMENT!$AM$13:$AM$52, SMALL(IF(ISERROR(MATCH(MOVEMENT!$AM$13:$AM$52, MOVEMENT!$E$13:$E$52, 0)), (ROW(MOVEMENT!$AM$13:$AM$52)-MIN(ROW(MOVEMENT!$AM$13:$AM$52))+1), ""), ROW(MOVEMENT!2:2)))</f>
        <v>0</v>
      </c>
      <c r="AC6" s="48" t="e">
        <f>VLOOKUP(AB6,MOVEMENT!AM14:AY55,2,FALSE)</f>
        <v>#N/A</v>
      </c>
      <c r="AD6" s="48" t="e">
        <f>VLOOKUP(AB6,MOVEMENT!AM14:AY55,11,FALSE)</f>
        <v>#N/A</v>
      </c>
      <c r="AE6" s="48" t="e">
        <f>VLOOKUP(AB6,MOVEMENT!AM14:AY55,12,FALSE)</f>
        <v>#N/A</v>
      </c>
      <c r="AF6" s="46" t="e">
        <f>VLOOKUP(AB6,MOVEMENT!AM14:AY55,13,FALSE)</f>
        <v>#N/A</v>
      </c>
    </row>
    <row r="7" spans="3:32">
      <c r="D7" s="47" t="str">
        <f t="array" ref="D7">IFERROR(INDEX(WIP,SMALL(IF(('CURRENT WIP'!$D$1='CURRENT WIP'!$E$22:E150),MATCH(ROW(WIP),ROW(WIP)),""),ROW('CURRENT WIP'!A3)),COLUMN('CURRENT WIP'!A3)),"")</f>
        <v/>
      </c>
      <c r="E7" s="48" t="str">
        <f t="array" ref="E7">IFERROR(INDEX(WIP,SMALL(IF(('CURRENT WIP'!$D$1='CURRENT WIP'!$E$22:$E$148),MATCH(ROW(WIP),ROW(WIP)),""),ROW('CURRENT WIP'!B3)),COLUMN('CURRENT WIP'!B3)),"")</f>
        <v/>
      </c>
      <c r="F7" s="48" t="str">
        <f t="array" ref="F7">IFERROR(INDEX(WIP,SMALL(IF(('CURRENT WIP'!$D$1='CURRENT WIP'!$E$22:$E$148),MATCH(ROW(WIP),ROW(WIP)),""),ROW('CURRENT WIP'!C3)),COLUMN('CURRENT WIP'!C3)),"")</f>
        <v/>
      </c>
      <c r="G7" s="48" t="str">
        <f t="array" ref="G7">IFERROR(INDEX(WIP,SMALL(IF(('CURRENT WIP'!$D$1='CURRENT WIP'!$E$22:$E$148),MATCH(ROW(WIP),ROW(WIP)),""),ROW('CURRENT WIP'!D3)),COLUMN('CURRENT WIP'!D3)),"")</f>
        <v/>
      </c>
      <c r="H7" s="66" t="str">
        <f t="array" ref="H7">IFERROR(INDEX(WIP,SMALL(IF(('CURRENT WIP'!$D$1='CURRENT WIP'!$E$22:$E$148),MATCH(ROW(WIP),ROW(WIP)),""),ROW('CURRENT WIP'!E3)),COLUMN('CURRENT WIP'!E3)),"")</f>
        <v/>
      </c>
      <c r="I7" s="66" t="str">
        <f t="array" ref="I7">IFERROR(INDEX(WIP,SMALL(IF(('CURRENT WIP'!$D$1='CURRENT WIP'!$E$22:$E$148),MATCH(ROW(WIP),ROW(WIP)),""),ROW('CURRENT WIP'!F3)),COLUMN('CURRENT WIP'!F3)),"")</f>
        <v/>
      </c>
      <c r="J7" s="48" t="str">
        <f t="array" ref="J7">IFERROR(INDEX(WIP,SMALL(IF(('CURRENT WIP'!$D$1='CURRENT WIP'!$E$22:$E$148),MATCH(ROW(WIP),ROW(WIP)),""),ROW('CURRENT WIP'!G3)),COLUMN('CURRENT WIP'!G3)),"")</f>
        <v/>
      </c>
      <c r="K7" s="66" t="str">
        <f t="array" ref="K7">IFERROR(INDEX(WIP,SMALL(IF(('CURRENT WIP'!$D$1='CURRENT WIP'!$E$22:$E$148),MATCH(ROW(WIP),ROW(WIP)),""),ROW('CURRENT WIP'!H3)),COLUMN('CURRENT WIP'!H3)),"")</f>
        <v/>
      </c>
      <c r="L7" s="48" t="str">
        <f t="array" ref="L7">IFERROR(INDEX(WIP,SMALL(IF(('CURRENT WIP'!$D$1='CURRENT WIP'!$E$22:$E$148),MATCH(ROW(WIP),ROW(WIP)),""),ROW('CURRENT WIP'!I3)),COLUMN('CURRENT WIP'!I3)),"")</f>
        <v/>
      </c>
      <c r="M7" s="67" t="str">
        <f t="array" ref="M7">IFERROR(INDEX(WIP,SMALL(IF(('CURRENT WIP'!$D$1='CURRENT WIP'!$E$22:$E$148),MATCH(ROW(WIP),ROW(WIP)),""),ROW('CURRENT WIP'!J3)),COLUMN('CURRENT WIP'!J3)),"")</f>
        <v/>
      </c>
      <c r="N7" s="48" t="str">
        <f t="array" ref="N7">IFERROR(INDEX(WIP,SMALL(IF(('CURRENT WIP'!$D$1='CURRENT WIP'!$E$22:$E$148),MATCH(ROW(WIP),ROW(WIP)),""),ROW('CURRENT WIP'!K3)),COLUMN('CURRENT WIP'!K3)),"")</f>
        <v/>
      </c>
      <c r="O7" s="48" t="str">
        <f t="array" ref="O7">IFERROR(INDEX(WIP,SMALL(IF(('CURRENT WIP'!$D$1='CURRENT WIP'!$E$22:$E$148),MATCH(ROW(WIP),ROW(WIP)),""),ROW('CURRENT WIP'!L3)),COLUMN('CURRENT WIP'!L3)),"")</f>
        <v/>
      </c>
      <c r="P7" s="48" t="str">
        <f t="array" ref="P7">IFERROR(INDEX(WIP,SMALL(IF(('CURRENT WIP'!$D$1='CURRENT WIP'!$E$22:$E$148),MATCH(ROW(WIP),ROW(WIP)),""),ROW('CURRENT WIP'!M3)),COLUMN('CURRENT WIP'!M3)),"")</f>
        <v/>
      </c>
      <c r="Q7" s="68" t="str">
        <f t="array" ref="Q7">IFERROR(INDEX(WIP,SMALL(IF(('CURRENT WIP'!$D$1='CURRENT WIP'!$E$22:$E$148),MATCH(ROW(WIP),ROW(WIP)),""),ROW('CURRENT WIP'!N3)),COLUMN('CURRENT WIP'!N3)),"")</f>
        <v/>
      </c>
      <c r="R7" s="48" t="str">
        <f t="array" ref="R7">IFERROR(INDEX(WIP,SMALL(IF(('CURRENT WIP'!$D$1='CURRENT WIP'!$E$22:$E$148),MATCH(ROW(WIP),ROW(WIP)),""),ROW('CURRENT WIP'!O3)),COLUMN('CURRENT WIP'!O3)),"")</f>
        <v/>
      </c>
      <c r="S7" s="48" t="str">
        <f t="array" ref="S7">IFERROR(INDEX(WIP,SMALL(IF(('CURRENT WIP'!$D$1='CURRENT WIP'!$E$22:$E$148),MATCH(ROW(WIP),ROW(WIP)),""),ROW('CURRENT WIP'!P3)),COLUMN('CURRENT WIP'!P3)),"")</f>
        <v/>
      </c>
      <c r="T7" s="68" t="str">
        <f t="array" ref="T7">IFERROR(INDEX(WIP,SMALL(IF(('CURRENT WIP'!$D$1='CURRENT WIP'!$E$22:$E$148),MATCH(ROW(WIP),ROW(WIP)),""),ROW('CURRENT WIP'!Q3)),COLUMN('CURRENT WIP'!Q3)),"")</f>
        <v/>
      </c>
      <c r="U7" s="48" t="str">
        <f t="array" ref="U7">IFERROR(INDEX(WIP,SMALL(IF(('CURRENT WIP'!$D$1='CURRENT WIP'!$E$22:$E$148),MATCH(ROW(WIP),ROW(WIP)),""),ROW('CURRENT WIP'!R3)),COLUMN('CURRENT WIP'!R3)),"")</f>
        <v/>
      </c>
      <c r="V7" s="48" t="str">
        <f t="array" ref="V7">IFERROR(INDEX(WIP,SMALL(IF(('CURRENT WIP'!$D$1='CURRENT WIP'!$E$22:$E$148),MATCH(ROW(WIP),ROW(WIP)),""),ROW('CURRENT WIP'!S3)),COLUMN('CURRENT WIP'!S3)),"")</f>
        <v/>
      </c>
      <c r="W7" s="48" t="str">
        <f t="array" ref="W7">IFERROR(INDEX(WIP,SMALL(IF(('CURRENT WIP'!$D$1='CURRENT WIP'!$E$22:$E$148),MATCH(ROW(WIP),ROW(WIP)),""),ROW('CURRENT WIP'!T3)),COLUMN('CURRENT WIP'!T3)),"")</f>
        <v/>
      </c>
      <c r="X7" s="48" t="str">
        <f t="array" ref="X7">IFERROR(INDEX(WIP,SMALL(IF(('CURRENT WIP'!$D$1='CURRENT WIP'!$E$22:$E$148),MATCH(ROW(WIP),ROW(WIP)),""),ROW('CURRENT WIP'!U3)),COLUMN('CURRENT WIP'!U3)),"")</f>
        <v/>
      </c>
      <c r="Y7" s="521" t="str">
        <f t="shared" si="0"/>
        <v/>
      </c>
      <c r="Z7" s="98"/>
      <c r="AB7" s="527">
        <f t="array" ref="AB7">INDEX(MOVEMENT!$AM$13:$AM$52, SMALL(IF(ISERROR(MATCH(MOVEMENT!$AM$13:$AM$52, MOVEMENT!$E$13:$E$52, 0)), (ROW(MOVEMENT!$AM$13:$AM$52)-MIN(ROW(MOVEMENT!$AM$13:$AM$52))+1), ""), ROW(MOVEMENT!3:3)))</f>
        <v>0</v>
      </c>
      <c r="AC7" s="48" t="e">
        <f>VLOOKUP(AB7,MOVEMENT!AM15:AY56,2,FALSE)</f>
        <v>#N/A</v>
      </c>
      <c r="AD7" s="48" t="e">
        <f>VLOOKUP(AB7,MOVEMENT!AM15:AY56,11,FALSE)</f>
        <v>#N/A</v>
      </c>
      <c r="AE7" s="48" t="e">
        <f>VLOOKUP(AB7,MOVEMENT!AM15:AY56,12,FALSE)</f>
        <v>#N/A</v>
      </c>
      <c r="AF7" s="46" t="e">
        <f>VLOOKUP(AB7,MOVEMENT!AM15:AY56,13,FALSE)</f>
        <v>#N/A</v>
      </c>
    </row>
    <row r="8" spans="3:32">
      <c r="D8" s="47" t="str">
        <f t="array" ref="D8">IFERROR(INDEX(WIP,SMALL(IF(('CURRENT WIP'!$D$1='CURRENT WIP'!$E$22:E151),MATCH(ROW(WIP),ROW(WIP)),""),ROW('CURRENT WIP'!A4)),COLUMN('CURRENT WIP'!A4)),"")</f>
        <v/>
      </c>
      <c r="E8" s="48" t="str">
        <f t="array" ref="E8">IFERROR(INDEX(WIP,SMALL(IF(('CURRENT WIP'!$D$1='CURRENT WIP'!$E$22:$E$148),MATCH(ROW(WIP),ROW(WIP)),""),ROW('CURRENT WIP'!B4)),COLUMN('CURRENT WIP'!B4)),"")</f>
        <v/>
      </c>
      <c r="F8" s="48" t="str">
        <f t="array" ref="F8">IFERROR(INDEX(WIP,SMALL(IF(('CURRENT WIP'!$D$1='CURRENT WIP'!$E$22:$E$148),MATCH(ROW(WIP),ROW(WIP)),""),ROW('CURRENT WIP'!C4)),COLUMN('CURRENT WIP'!C4)),"")</f>
        <v/>
      </c>
      <c r="G8" s="48" t="str">
        <f t="array" ref="G8">IFERROR(INDEX(WIP,SMALL(IF(('CURRENT WIP'!$D$1='CURRENT WIP'!$E$22:$E$148),MATCH(ROW(WIP),ROW(WIP)),""),ROW('CURRENT WIP'!D4)),COLUMN('CURRENT WIP'!D4)),"")</f>
        <v/>
      </c>
      <c r="H8" s="66" t="str">
        <f t="array" ref="H8">IFERROR(INDEX(WIP,SMALL(IF(('CURRENT WIP'!$D$1='CURRENT WIP'!$E$22:$E$148),MATCH(ROW(WIP),ROW(WIP)),""),ROW('CURRENT WIP'!E4)),COLUMN('CURRENT WIP'!E4)),"")</f>
        <v/>
      </c>
      <c r="I8" s="66" t="str">
        <f t="array" ref="I8">IFERROR(INDEX(WIP,SMALL(IF(('CURRENT WIP'!$D$1='CURRENT WIP'!$E$22:$E$148),MATCH(ROW(WIP),ROW(WIP)),""),ROW('CURRENT WIP'!F4)),COLUMN('CURRENT WIP'!F4)),"")</f>
        <v/>
      </c>
      <c r="J8" s="48" t="str">
        <f t="array" ref="J8">IFERROR(INDEX(WIP,SMALL(IF(('CURRENT WIP'!$D$1='CURRENT WIP'!$E$22:$E$148),MATCH(ROW(WIP),ROW(WIP)),""),ROW('CURRENT WIP'!G4)),COLUMN('CURRENT WIP'!G4)),"")</f>
        <v/>
      </c>
      <c r="K8" s="66" t="str">
        <f t="array" ref="K8">IFERROR(INDEX(WIP,SMALL(IF(('CURRENT WIP'!$D$1='CURRENT WIP'!$E$22:$E$148),MATCH(ROW(WIP),ROW(WIP)),""),ROW('CURRENT WIP'!H4)),COLUMN('CURRENT WIP'!H4)),"")</f>
        <v/>
      </c>
      <c r="L8" s="48" t="str">
        <f t="array" ref="L8">IFERROR(INDEX(WIP,SMALL(IF(('CURRENT WIP'!$D$1='CURRENT WIP'!$E$22:$E$148),MATCH(ROW(WIP),ROW(WIP)),""),ROW('CURRENT WIP'!I4)),COLUMN('CURRENT WIP'!I4)),"")</f>
        <v/>
      </c>
      <c r="M8" s="67" t="str">
        <f t="array" ref="M8">IFERROR(INDEX(WIP,SMALL(IF(('CURRENT WIP'!$D$1='CURRENT WIP'!$E$22:$E$148),MATCH(ROW(WIP),ROW(WIP)),""),ROW('CURRENT WIP'!J4)),COLUMN('CURRENT WIP'!J4)),"")</f>
        <v/>
      </c>
      <c r="N8" s="48" t="str">
        <f t="array" ref="N8">IFERROR(INDEX(WIP,SMALL(IF(('CURRENT WIP'!$D$1='CURRENT WIP'!$E$22:$E$148),MATCH(ROW(WIP),ROW(WIP)),""),ROW('CURRENT WIP'!K4)),COLUMN('CURRENT WIP'!K4)),"")</f>
        <v/>
      </c>
      <c r="O8" s="48" t="str">
        <f t="array" ref="O8">IFERROR(INDEX(WIP,SMALL(IF(('CURRENT WIP'!$D$1='CURRENT WIP'!$E$22:$E$148),MATCH(ROW(WIP),ROW(WIP)),""),ROW('CURRENT WIP'!L4)),COLUMN('CURRENT WIP'!L4)),"")</f>
        <v/>
      </c>
      <c r="P8" s="48" t="str">
        <f t="array" ref="P8">IFERROR(INDEX(WIP,SMALL(IF(('CURRENT WIP'!$D$1='CURRENT WIP'!$E$22:$E$148),MATCH(ROW(WIP),ROW(WIP)),""),ROW('CURRENT WIP'!M4)),COLUMN('CURRENT WIP'!M4)),"")</f>
        <v/>
      </c>
      <c r="Q8" s="68" t="str">
        <f t="array" ref="Q8">IFERROR(INDEX(WIP,SMALL(IF(('CURRENT WIP'!$D$1='CURRENT WIP'!$E$22:$E$148),MATCH(ROW(WIP),ROW(WIP)),""),ROW('CURRENT WIP'!N4)),COLUMN('CURRENT WIP'!N4)),"")</f>
        <v/>
      </c>
      <c r="R8" s="48" t="str">
        <f t="array" ref="R8">IFERROR(INDEX(WIP,SMALL(IF(('CURRENT WIP'!$D$1='CURRENT WIP'!$E$22:$E$148),MATCH(ROW(WIP),ROW(WIP)),""),ROW('CURRENT WIP'!O4)),COLUMN('CURRENT WIP'!O4)),"")</f>
        <v/>
      </c>
      <c r="S8" s="48" t="str">
        <f t="array" ref="S8">IFERROR(INDEX(WIP,SMALL(IF(('CURRENT WIP'!$D$1='CURRENT WIP'!$E$22:$E$148),MATCH(ROW(WIP),ROW(WIP)),""),ROW('CURRENT WIP'!P4)),COLUMN('CURRENT WIP'!P4)),"")</f>
        <v/>
      </c>
      <c r="T8" s="68" t="str">
        <f t="array" ref="T8">IFERROR(INDEX(WIP,SMALL(IF(('CURRENT WIP'!$D$1='CURRENT WIP'!$E$22:$E$148),MATCH(ROW(WIP),ROW(WIP)),""),ROW('CURRENT WIP'!Q4)),COLUMN('CURRENT WIP'!Q4)),"")</f>
        <v/>
      </c>
      <c r="U8" s="48" t="str">
        <f t="array" ref="U8">IFERROR(INDEX(WIP,SMALL(IF(('CURRENT WIP'!$D$1='CURRENT WIP'!$E$22:$E$148),MATCH(ROW(WIP),ROW(WIP)),""),ROW('CURRENT WIP'!R4)),COLUMN('CURRENT WIP'!R4)),"")</f>
        <v/>
      </c>
      <c r="V8" s="48" t="str">
        <f t="array" ref="V8">IFERROR(INDEX(WIP,SMALL(IF(('CURRENT WIP'!$D$1='CURRENT WIP'!$E$22:$E$148),MATCH(ROW(WIP),ROW(WIP)),""),ROW('CURRENT WIP'!S4)),COLUMN('CURRENT WIP'!S4)),"")</f>
        <v/>
      </c>
      <c r="W8" s="48" t="str">
        <f t="array" ref="W8">IFERROR(INDEX(WIP,SMALL(IF(('CURRENT WIP'!$D$1='CURRENT WIP'!$E$22:$E$148),MATCH(ROW(WIP),ROW(WIP)),""),ROW('CURRENT WIP'!T4)),COLUMN('CURRENT WIP'!T4)),"")</f>
        <v/>
      </c>
      <c r="X8" s="48" t="str">
        <f t="array" ref="X8">IFERROR(INDEX(WIP,SMALL(IF(('CURRENT WIP'!$D$1='CURRENT WIP'!$E$22:$E$148),MATCH(ROW(WIP),ROW(WIP)),""),ROW('CURRENT WIP'!U4)),COLUMN('CURRENT WIP'!U4)),"")</f>
        <v/>
      </c>
      <c r="Y8" s="521" t="str">
        <f t="shared" si="0"/>
        <v/>
      </c>
      <c r="Z8" s="98"/>
      <c r="AB8" s="527">
        <f t="array" ref="AB8">INDEX(MOVEMENT!$AM$13:$AM$52, SMALL(IF(ISERROR(MATCH(MOVEMENT!$AM$13:$AM$52, MOVEMENT!$E$13:$E$52, 0)), (ROW(MOVEMENT!$AM$13:$AM$52)-MIN(ROW(MOVEMENT!$AM$13:$AM$52))+1), ""), ROW(MOVEMENT!4:4)))</f>
        <v>0</v>
      </c>
      <c r="AC8" s="48" t="e">
        <f>VLOOKUP(AB8,MOVEMENT!AM16:AY57,2,FALSE)</f>
        <v>#N/A</v>
      </c>
      <c r="AD8" s="48" t="e">
        <f>VLOOKUP(AB8,MOVEMENT!AM16:AY57,11,FALSE)</f>
        <v>#N/A</v>
      </c>
      <c r="AE8" s="48" t="e">
        <f>VLOOKUP(AB8,MOVEMENT!AM16:AY57,12,FALSE)</f>
        <v>#N/A</v>
      </c>
      <c r="AF8" s="46" t="e">
        <f>VLOOKUP(AB8,MOVEMENT!AM16:AY57,13,FALSE)</f>
        <v>#N/A</v>
      </c>
    </row>
    <row r="9" spans="3:32">
      <c r="D9" s="47" t="str">
        <f t="array" ref="D9">IFERROR(INDEX(WIP,SMALL(IF(('CURRENT WIP'!$D$1='CURRENT WIP'!$E$22:E152),MATCH(ROW(WIP),ROW(WIP)),""),ROW('CURRENT WIP'!A5)),COLUMN('CURRENT WIP'!A5)),"")</f>
        <v/>
      </c>
      <c r="E9" s="48" t="str">
        <f t="array" ref="E9">IFERROR(INDEX(WIP,SMALL(IF(('CURRENT WIP'!$D$1='CURRENT WIP'!$E$22:$E$148),MATCH(ROW(WIP),ROW(WIP)),""),ROW('CURRENT WIP'!B5)),COLUMN('CURRENT WIP'!B5)),"")</f>
        <v/>
      </c>
      <c r="F9" s="48" t="str">
        <f t="array" ref="F9">IFERROR(INDEX(WIP,SMALL(IF(('CURRENT WIP'!$D$1='CURRENT WIP'!$E$22:$E$148),MATCH(ROW(WIP),ROW(WIP)),""),ROW('CURRENT WIP'!C5)),COLUMN('CURRENT WIP'!C5)),"")</f>
        <v/>
      </c>
      <c r="G9" s="48" t="str">
        <f t="array" ref="G9">IFERROR(INDEX(WIP,SMALL(IF(('CURRENT WIP'!$D$1='CURRENT WIP'!$E$22:$E$148),MATCH(ROW(WIP),ROW(WIP)),""),ROW('CURRENT WIP'!D5)),COLUMN('CURRENT WIP'!D5)),"")</f>
        <v/>
      </c>
      <c r="H9" s="66" t="str">
        <f t="array" ref="H9">IFERROR(INDEX(WIP,SMALL(IF(('CURRENT WIP'!$D$1='CURRENT WIP'!$E$22:$E$148),MATCH(ROW(WIP),ROW(WIP)),""),ROW('CURRENT WIP'!E5)),COLUMN('CURRENT WIP'!E5)),"")</f>
        <v/>
      </c>
      <c r="I9" s="66" t="str">
        <f t="array" ref="I9">IFERROR(INDEX(WIP,SMALL(IF(('CURRENT WIP'!$D$1='CURRENT WIP'!$E$22:$E$148),MATCH(ROW(WIP),ROW(WIP)),""),ROW('CURRENT WIP'!F5)),COLUMN('CURRENT WIP'!F5)),"")</f>
        <v/>
      </c>
      <c r="J9" s="48" t="str">
        <f t="array" ref="J9">IFERROR(INDEX(WIP,SMALL(IF(('CURRENT WIP'!$D$1='CURRENT WIP'!$E$22:$E$148),MATCH(ROW(WIP),ROW(WIP)),""),ROW('CURRENT WIP'!G5)),COLUMN('CURRENT WIP'!G5)),"")</f>
        <v/>
      </c>
      <c r="K9" s="66" t="str">
        <f t="array" ref="K9">IFERROR(INDEX(WIP,SMALL(IF(('CURRENT WIP'!$D$1='CURRENT WIP'!$E$22:$E$148),MATCH(ROW(WIP),ROW(WIP)),""),ROW('CURRENT WIP'!H5)),COLUMN('CURRENT WIP'!H5)),"")</f>
        <v/>
      </c>
      <c r="L9" s="48" t="str">
        <f t="array" ref="L9">IFERROR(INDEX(WIP,SMALL(IF(('CURRENT WIP'!$D$1='CURRENT WIP'!$E$22:$E$148),MATCH(ROW(WIP),ROW(WIP)),""),ROW('CURRENT WIP'!I5)),COLUMN('CURRENT WIP'!I5)),"")</f>
        <v/>
      </c>
      <c r="M9" s="67" t="str">
        <f t="array" ref="M9">IFERROR(INDEX(WIP,SMALL(IF(('CURRENT WIP'!$D$1='CURRENT WIP'!$E$22:$E$148),MATCH(ROW(WIP),ROW(WIP)),""),ROW('CURRENT WIP'!J5)),COLUMN('CURRENT WIP'!J5)),"")</f>
        <v/>
      </c>
      <c r="N9" s="48" t="str">
        <f t="array" ref="N9">IFERROR(INDEX(WIP,SMALL(IF(('CURRENT WIP'!$D$1='CURRENT WIP'!$E$22:$E$148),MATCH(ROW(WIP),ROW(WIP)),""),ROW('CURRENT WIP'!K5)),COLUMN('CURRENT WIP'!K5)),"")</f>
        <v/>
      </c>
      <c r="O9" s="48" t="str">
        <f t="array" ref="O9">IFERROR(INDEX(WIP,SMALL(IF(('CURRENT WIP'!$D$1='CURRENT WIP'!$E$22:$E$148),MATCH(ROW(WIP),ROW(WIP)),""),ROW('CURRENT WIP'!L5)),COLUMN('CURRENT WIP'!L5)),"")</f>
        <v/>
      </c>
      <c r="P9" s="48" t="str">
        <f t="array" ref="P9">IFERROR(INDEX(WIP,SMALL(IF(('CURRENT WIP'!$D$1='CURRENT WIP'!$E$22:$E$148),MATCH(ROW(WIP),ROW(WIP)),""),ROW('CURRENT WIP'!M5)),COLUMN('CURRENT WIP'!M5)),"")</f>
        <v/>
      </c>
      <c r="Q9" s="68" t="str">
        <f t="array" ref="Q9">IFERROR(INDEX(WIP,SMALL(IF(('CURRENT WIP'!$D$1='CURRENT WIP'!$E$22:$E$148),MATCH(ROW(WIP),ROW(WIP)),""),ROW('CURRENT WIP'!N5)),COLUMN('CURRENT WIP'!N5)),"")</f>
        <v/>
      </c>
      <c r="R9" s="48" t="str">
        <f t="array" ref="R9">IFERROR(INDEX(WIP,SMALL(IF(('CURRENT WIP'!$D$1='CURRENT WIP'!$E$22:$E$148),MATCH(ROW(WIP),ROW(WIP)),""),ROW('CURRENT WIP'!O5)),COLUMN('CURRENT WIP'!O5)),"")</f>
        <v/>
      </c>
      <c r="S9" s="48" t="str">
        <f t="array" ref="S9">IFERROR(INDEX(WIP,SMALL(IF(('CURRENT WIP'!$D$1='CURRENT WIP'!$E$22:$E$148),MATCH(ROW(WIP),ROW(WIP)),""),ROW('CURRENT WIP'!P5)),COLUMN('CURRENT WIP'!P5)),"")</f>
        <v/>
      </c>
      <c r="T9" s="68" t="str">
        <f t="array" ref="T9">IFERROR(INDEX(WIP,SMALL(IF(('CURRENT WIP'!$D$1='CURRENT WIP'!$E$22:$E$148),MATCH(ROW(WIP),ROW(WIP)),""),ROW('CURRENT WIP'!Q5)),COLUMN('CURRENT WIP'!Q5)),"")</f>
        <v/>
      </c>
      <c r="U9" s="48" t="str">
        <f t="array" ref="U9">IFERROR(INDEX(WIP,SMALL(IF(('CURRENT WIP'!$D$1='CURRENT WIP'!$E$22:$E$148),MATCH(ROW(WIP),ROW(WIP)),""),ROW('CURRENT WIP'!R5)),COLUMN('CURRENT WIP'!R5)),"")</f>
        <v/>
      </c>
      <c r="V9" s="48" t="str">
        <f t="array" ref="V9">IFERROR(INDEX(WIP,SMALL(IF(('CURRENT WIP'!$D$1='CURRENT WIP'!$E$22:$E$148),MATCH(ROW(WIP),ROW(WIP)),""),ROW('CURRENT WIP'!S5)),COLUMN('CURRENT WIP'!S5)),"")</f>
        <v/>
      </c>
      <c r="W9" s="48" t="str">
        <f t="array" ref="W9">IFERROR(INDEX(WIP,SMALL(IF(('CURRENT WIP'!$D$1='CURRENT WIP'!$E$22:$E$148),MATCH(ROW(WIP),ROW(WIP)),""),ROW('CURRENT WIP'!T5)),COLUMN('CURRENT WIP'!T5)),"")</f>
        <v/>
      </c>
      <c r="X9" s="48" t="str">
        <f t="array" ref="X9">IFERROR(INDEX(WIP,SMALL(IF(('CURRENT WIP'!$D$1='CURRENT WIP'!$E$22:$E$148),MATCH(ROW(WIP),ROW(WIP)),""),ROW('CURRENT WIP'!U5)),COLUMN('CURRENT WIP'!U5)),"")</f>
        <v/>
      </c>
      <c r="Y9" s="521" t="str">
        <f>IF(M9="A", N9-(N9*0.27), IF(M9="F", N9-(N9*0.47), IF(M9="D", N9-(N9*0.7), N9)))</f>
        <v/>
      </c>
      <c r="Z9" s="98"/>
      <c r="AB9" s="527">
        <f t="array" ref="AB9">INDEX(MOVEMENT!$AM$13:$AM$52, SMALL(IF(ISERROR(MATCH(MOVEMENT!$AM$13:$AM$52, MOVEMENT!$E$13:$E$52, 0)), (ROW(MOVEMENT!$AM$13:$AM$52)-MIN(ROW(MOVEMENT!$AM$13:$AM$52))+1), ""), ROW(MOVEMENT!5:5)))</f>
        <v>0</v>
      </c>
      <c r="AC9" s="48" t="e">
        <f>VLOOKUP(AB9,MOVEMENT!AM17:AY58,2,FALSE)</f>
        <v>#N/A</v>
      </c>
      <c r="AD9" s="48" t="e">
        <f>VLOOKUP(AB9,MOVEMENT!AM17:AY58,11,FALSE)</f>
        <v>#N/A</v>
      </c>
      <c r="AE9" s="48" t="e">
        <f>VLOOKUP(AB9,MOVEMENT!AM17:AY58,12,FALSE)</f>
        <v>#N/A</v>
      </c>
      <c r="AF9" s="46" t="e">
        <f>VLOOKUP(AB9,MOVEMENT!AM17:AY58,13,FALSE)</f>
        <v>#N/A</v>
      </c>
    </row>
    <row r="10" spans="3:32">
      <c r="D10" s="47" t="str">
        <f t="array" ref="D10">IFERROR(INDEX(WIP,SMALL(IF(('CURRENT WIP'!$D$1='CURRENT WIP'!$E$22:E153),MATCH(ROW(WIP),ROW(WIP)),""),ROW('CURRENT WIP'!A6)),COLUMN('CURRENT WIP'!A6)),"")</f>
        <v/>
      </c>
      <c r="E10" s="48" t="str">
        <f t="array" ref="E10">IFERROR(INDEX(WIP,SMALL(IF(('CURRENT WIP'!$D$1='CURRENT WIP'!$E$22:$E$148),MATCH(ROW(WIP),ROW(WIP)),""),ROW('CURRENT WIP'!B6)),COLUMN('CURRENT WIP'!B6)),"")</f>
        <v/>
      </c>
      <c r="F10" s="48" t="str">
        <f t="array" ref="F10">IFERROR(INDEX(WIP,SMALL(IF(('CURRENT WIP'!$D$1='CURRENT WIP'!$E$22:$E$148),MATCH(ROW(WIP),ROW(WIP)),""),ROW('CURRENT WIP'!C6)),COLUMN('CURRENT WIP'!C6)),"")</f>
        <v/>
      </c>
      <c r="G10" s="48" t="str">
        <f t="array" ref="G10">IFERROR(INDEX(WIP,SMALL(IF(('CURRENT WIP'!$D$1='CURRENT WIP'!$E$22:$E$148),MATCH(ROW(WIP),ROW(WIP)),""),ROW('CURRENT WIP'!D6)),COLUMN('CURRENT WIP'!D6)),"")</f>
        <v/>
      </c>
      <c r="H10" s="66" t="str">
        <f t="array" ref="H10">IFERROR(INDEX(WIP,SMALL(IF(('CURRENT WIP'!$D$1='CURRENT WIP'!$E$22:$E$148),MATCH(ROW(WIP),ROW(WIP)),""),ROW('CURRENT WIP'!E6)),COLUMN('CURRENT WIP'!E6)),"")</f>
        <v/>
      </c>
      <c r="I10" s="66" t="str">
        <f t="array" ref="I10">IFERROR(INDEX(WIP,SMALL(IF(('CURRENT WIP'!$D$1='CURRENT WIP'!$E$22:$E$148),MATCH(ROW(WIP),ROW(WIP)),""),ROW('CURRENT WIP'!F6)),COLUMN('CURRENT WIP'!F6)),"")</f>
        <v/>
      </c>
      <c r="J10" s="48" t="str">
        <f t="array" ref="J10">IFERROR(INDEX(WIP,SMALL(IF(('CURRENT WIP'!$D$1='CURRENT WIP'!$E$22:$E$148),MATCH(ROW(WIP),ROW(WIP)),""),ROW('CURRENT WIP'!G6)),COLUMN('CURRENT WIP'!G6)),"")</f>
        <v/>
      </c>
      <c r="K10" s="66" t="str">
        <f t="array" ref="K10">IFERROR(INDEX(WIP,SMALL(IF(('CURRENT WIP'!$D$1='CURRENT WIP'!$E$22:$E$148),MATCH(ROW(WIP),ROW(WIP)),""),ROW('CURRENT WIP'!H6)),COLUMN('CURRENT WIP'!H6)),"")</f>
        <v/>
      </c>
      <c r="L10" s="48" t="str">
        <f t="array" ref="L10">IFERROR(INDEX(WIP,SMALL(IF(('CURRENT WIP'!$D$1='CURRENT WIP'!$E$22:$E$148),MATCH(ROW(WIP),ROW(WIP)),""),ROW('CURRENT WIP'!I6)),COLUMN('CURRENT WIP'!I6)),"")</f>
        <v/>
      </c>
      <c r="M10" s="67" t="str">
        <f t="array" ref="M10">IFERROR(INDEX(WIP,SMALL(IF(('CURRENT WIP'!$D$1='CURRENT WIP'!$E$22:$E$148),MATCH(ROW(WIP),ROW(WIP)),""),ROW('CURRENT WIP'!J6)),COLUMN('CURRENT WIP'!J6)),"")</f>
        <v/>
      </c>
      <c r="N10" s="48" t="str">
        <f t="array" ref="N10">IFERROR(INDEX(WIP,SMALL(IF(('CURRENT WIP'!$D$1='CURRENT WIP'!$E$22:$E$148),MATCH(ROW(WIP),ROW(WIP)),""),ROW('CURRENT WIP'!K6)),COLUMN('CURRENT WIP'!K6)),"")</f>
        <v/>
      </c>
      <c r="O10" s="48" t="str">
        <f t="array" ref="O10">IFERROR(INDEX(WIP,SMALL(IF(('CURRENT WIP'!$D$1='CURRENT WIP'!$E$22:$E$148),MATCH(ROW(WIP),ROW(WIP)),""),ROW('CURRENT WIP'!L6)),COLUMN('CURRENT WIP'!L6)),"")</f>
        <v/>
      </c>
      <c r="P10" s="48" t="str">
        <f t="array" ref="P10">IFERROR(INDEX(WIP,SMALL(IF(('CURRENT WIP'!$D$1='CURRENT WIP'!$E$22:$E$148),MATCH(ROW(WIP),ROW(WIP)),""),ROW('CURRENT WIP'!M6)),COLUMN('CURRENT WIP'!M6)),"")</f>
        <v/>
      </c>
      <c r="Q10" s="68" t="str">
        <f t="array" ref="Q10">IFERROR(INDEX(WIP,SMALL(IF(('CURRENT WIP'!$D$1='CURRENT WIP'!$E$22:$E$148),MATCH(ROW(WIP),ROW(WIP)),""),ROW('CURRENT WIP'!N6)),COLUMN('CURRENT WIP'!N6)),"")</f>
        <v/>
      </c>
      <c r="R10" s="48" t="str">
        <f t="array" ref="R10">IFERROR(INDEX(WIP,SMALL(IF(('CURRENT WIP'!$D$1='CURRENT WIP'!$E$22:$E$148),MATCH(ROW(WIP),ROW(WIP)),""),ROW('CURRENT WIP'!O6)),COLUMN('CURRENT WIP'!O6)),"")</f>
        <v/>
      </c>
      <c r="S10" s="48" t="str">
        <f t="array" ref="S10">IFERROR(INDEX(WIP,SMALL(IF(('CURRENT WIP'!$D$1='CURRENT WIP'!$E$22:$E$148),MATCH(ROW(WIP),ROW(WIP)),""),ROW('CURRENT WIP'!P6)),COLUMN('CURRENT WIP'!P6)),"")</f>
        <v/>
      </c>
      <c r="T10" s="68" t="str">
        <f t="array" ref="T10">IFERROR(INDEX(WIP,SMALL(IF(('CURRENT WIP'!$D$1='CURRENT WIP'!$E$22:$E$148),MATCH(ROW(WIP),ROW(WIP)),""),ROW('CURRENT WIP'!Q6)),COLUMN('CURRENT WIP'!Q6)),"")</f>
        <v/>
      </c>
      <c r="U10" s="48" t="str">
        <f t="array" ref="U10">IFERROR(INDEX(WIP,SMALL(IF(('CURRENT WIP'!$D$1='CURRENT WIP'!$E$22:$E$148),MATCH(ROW(WIP),ROW(WIP)),""),ROW('CURRENT WIP'!R6)),COLUMN('CURRENT WIP'!R6)),"")</f>
        <v/>
      </c>
      <c r="V10" s="48" t="str">
        <f t="array" ref="V10">IFERROR(INDEX(WIP,SMALL(IF(('CURRENT WIP'!$D$1='CURRENT WIP'!$E$22:$E$148),MATCH(ROW(WIP),ROW(WIP)),""),ROW('CURRENT WIP'!S6)),COLUMN('CURRENT WIP'!S6)),"")</f>
        <v/>
      </c>
      <c r="W10" s="48" t="str">
        <f t="array" ref="W10">IFERROR(INDEX(WIP,SMALL(IF(('CURRENT WIP'!$D$1='CURRENT WIP'!$E$22:$E$148),MATCH(ROW(WIP),ROW(WIP)),""),ROW('CURRENT WIP'!T6)),COLUMN('CURRENT WIP'!T6)),"")</f>
        <v/>
      </c>
      <c r="X10" s="48" t="str">
        <f t="array" ref="X10">IFERROR(INDEX(WIP,SMALL(IF(('CURRENT WIP'!$D$1='CURRENT WIP'!$E$22:$E$148),MATCH(ROW(WIP),ROW(WIP)),""),ROW('CURRENT WIP'!U6)),COLUMN('CURRENT WIP'!U6)),"")</f>
        <v/>
      </c>
      <c r="Y10" s="521" t="str">
        <f t="shared" si="0"/>
        <v/>
      </c>
      <c r="Z10" s="98"/>
      <c r="AB10" s="527">
        <f t="array" ref="AB10">INDEX(MOVEMENT!$AM$13:$AM$52, SMALL(IF(ISERROR(MATCH(MOVEMENT!$AM$13:$AM$52, MOVEMENT!$E$13:$E$52, 0)), (ROW(MOVEMENT!$AM$13:$AM$52)-MIN(ROW(MOVEMENT!$AM$13:$AM$52))+1), ""), ROW(MOVEMENT!6:6)))</f>
        <v>0</v>
      </c>
      <c r="AC10" s="48" t="e">
        <f>VLOOKUP(AB10,MOVEMENT!AM18:AY59,2,FALSE)</f>
        <v>#N/A</v>
      </c>
      <c r="AD10" s="48" t="e">
        <f>VLOOKUP(AB10,MOVEMENT!AM18:AY59,11,FALSE)</f>
        <v>#N/A</v>
      </c>
      <c r="AE10" s="48" t="e">
        <f>VLOOKUP(AB10,MOVEMENT!AM18:AY59,12,FALSE)</f>
        <v>#N/A</v>
      </c>
      <c r="AF10" s="46" t="e">
        <f>VLOOKUP(AB10,MOVEMENT!AM18:AY59,13,FALSE)</f>
        <v>#N/A</v>
      </c>
    </row>
    <row r="11" spans="3:32">
      <c r="D11" s="47" t="str">
        <f t="array" ref="D11">IFERROR(INDEX(WIP,SMALL(IF(('CURRENT WIP'!$D$1='CURRENT WIP'!$E$22:E154),MATCH(ROW(WIP),ROW(WIP)),""),ROW('CURRENT WIP'!A7)),COLUMN('CURRENT WIP'!A7)),"")</f>
        <v/>
      </c>
      <c r="E11" s="48" t="str">
        <f t="array" ref="E11">IFERROR(INDEX(WIP,SMALL(IF(('CURRENT WIP'!$D$1='CURRENT WIP'!$E$22:$E$148),MATCH(ROW(WIP),ROW(WIP)),""),ROW('CURRENT WIP'!B7)),COLUMN('CURRENT WIP'!B7)),"")</f>
        <v/>
      </c>
      <c r="F11" s="48" t="str">
        <f t="array" ref="F11">IFERROR(INDEX(WIP,SMALL(IF(('CURRENT WIP'!$D$1='CURRENT WIP'!$E$22:$E$148),MATCH(ROW(WIP),ROW(WIP)),""),ROW('CURRENT WIP'!C7)),COLUMN('CURRENT WIP'!C7)),"")</f>
        <v/>
      </c>
      <c r="G11" s="48" t="str">
        <f t="array" ref="G11">IFERROR(INDEX(WIP,SMALL(IF(('CURRENT WIP'!$D$1='CURRENT WIP'!$E$22:$E$148),MATCH(ROW(WIP),ROW(WIP)),""),ROW('CURRENT WIP'!D7)),COLUMN('CURRENT WIP'!D7)),"")</f>
        <v/>
      </c>
      <c r="H11" s="66" t="str">
        <f t="array" ref="H11">IFERROR(INDEX(WIP,SMALL(IF(('CURRENT WIP'!$D$1='CURRENT WIP'!$E$22:$E$148),MATCH(ROW(WIP),ROW(WIP)),""),ROW('CURRENT WIP'!E7)),COLUMN('CURRENT WIP'!E7)),"")</f>
        <v/>
      </c>
      <c r="I11" s="66" t="str">
        <f t="array" ref="I11">IFERROR(INDEX(WIP,SMALL(IF(('CURRENT WIP'!$D$1='CURRENT WIP'!$E$22:$E$148),MATCH(ROW(WIP),ROW(WIP)),""),ROW('CURRENT WIP'!F7)),COLUMN('CURRENT WIP'!F7)),"")</f>
        <v/>
      </c>
      <c r="J11" s="48" t="str">
        <f t="array" ref="J11">IFERROR(INDEX(WIP,SMALL(IF(('CURRENT WIP'!$D$1='CURRENT WIP'!$E$22:$E$148),MATCH(ROW(WIP),ROW(WIP)),""),ROW('CURRENT WIP'!G7)),COLUMN('CURRENT WIP'!G7)),"")</f>
        <v/>
      </c>
      <c r="K11" s="66" t="str">
        <f t="array" ref="K11">IFERROR(INDEX(WIP,SMALL(IF(('CURRENT WIP'!$D$1='CURRENT WIP'!$E$22:$E$148),MATCH(ROW(WIP),ROW(WIP)),""),ROW('CURRENT WIP'!H7)),COLUMN('CURRENT WIP'!H7)),"")</f>
        <v/>
      </c>
      <c r="L11" s="48" t="str">
        <f t="array" ref="L11">IFERROR(INDEX(WIP,SMALL(IF(('CURRENT WIP'!$D$1='CURRENT WIP'!$E$22:$E$148),MATCH(ROW(WIP),ROW(WIP)),""),ROW('CURRENT WIP'!I7)),COLUMN('CURRENT WIP'!I7)),"")</f>
        <v/>
      </c>
      <c r="M11" s="67" t="str">
        <f t="array" ref="M11">IFERROR(INDEX(WIP,SMALL(IF(('CURRENT WIP'!$D$1='CURRENT WIP'!$E$22:$E$148),MATCH(ROW(WIP),ROW(WIP)),""),ROW('CURRENT WIP'!J7)),COLUMN('CURRENT WIP'!J7)),"")</f>
        <v/>
      </c>
      <c r="N11" s="48" t="str">
        <f t="array" ref="N11">IFERROR(INDEX(WIP,SMALL(IF(('CURRENT WIP'!$D$1='CURRENT WIP'!$E$22:$E$148),MATCH(ROW(WIP),ROW(WIP)),""),ROW('CURRENT WIP'!K7)),COLUMN('CURRENT WIP'!K7)),"")</f>
        <v/>
      </c>
      <c r="O11" s="48" t="str">
        <f t="array" ref="O11">IFERROR(INDEX(WIP,SMALL(IF(('CURRENT WIP'!$D$1='CURRENT WIP'!$E$22:$E$148),MATCH(ROW(WIP),ROW(WIP)),""),ROW('CURRENT WIP'!L7)),COLUMN('CURRENT WIP'!L7)),"")</f>
        <v/>
      </c>
      <c r="P11" s="48" t="str">
        <f t="array" ref="P11">IFERROR(INDEX(WIP,SMALL(IF(('CURRENT WIP'!$D$1='CURRENT WIP'!$E$22:$E$148),MATCH(ROW(WIP),ROW(WIP)),""),ROW('CURRENT WIP'!M7)),COLUMN('CURRENT WIP'!M7)),"")</f>
        <v/>
      </c>
      <c r="Q11" s="68" t="str">
        <f t="array" ref="Q11">IFERROR(INDEX(WIP,SMALL(IF(('CURRENT WIP'!$D$1='CURRENT WIP'!$E$22:$E$148),MATCH(ROW(WIP),ROW(WIP)),""),ROW('CURRENT WIP'!N7)),COLUMN('CURRENT WIP'!N7)),"")</f>
        <v/>
      </c>
      <c r="R11" s="48" t="str">
        <f t="array" ref="R11">IFERROR(INDEX(WIP,SMALL(IF(('CURRENT WIP'!$D$1='CURRENT WIP'!$E$22:$E$148),MATCH(ROW(WIP),ROW(WIP)),""),ROW('CURRENT WIP'!O7)),COLUMN('CURRENT WIP'!O7)),"")</f>
        <v/>
      </c>
      <c r="S11" s="48" t="str">
        <f t="array" ref="S11">IFERROR(INDEX(WIP,SMALL(IF(('CURRENT WIP'!$D$1='CURRENT WIP'!$E$22:$E$148),MATCH(ROW(WIP),ROW(WIP)),""),ROW('CURRENT WIP'!P7)),COLUMN('CURRENT WIP'!P7)),"")</f>
        <v/>
      </c>
      <c r="T11" s="68" t="str">
        <f t="array" ref="T11">IFERROR(INDEX(WIP,SMALL(IF(('CURRENT WIP'!$D$1='CURRENT WIP'!$E$22:$E$148),MATCH(ROW(WIP),ROW(WIP)),""),ROW('CURRENT WIP'!Q7)),COLUMN('CURRENT WIP'!Q7)),"")</f>
        <v/>
      </c>
      <c r="U11" s="48" t="str">
        <f t="array" ref="U11">IFERROR(INDEX(WIP,SMALL(IF(('CURRENT WIP'!$D$1='CURRENT WIP'!$E$22:$E$148),MATCH(ROW(WIP),ROW(WIP)),""),ROW('CURRENT WIP'!R7)),COLUMN('CURRENT WIP'!R7)),"")</f>
        <v/>
      </c>
      <c r="V11" s="48" t="str">
        <f t="array" ref="V11">IFERROR(INDEX(WIP,SMALL(IF(('CURRENT WIP'!$D$1='CURRENT WIP'!$E$22:$E$148),MATCH(ROW(WIP),ROW(WIP)),""),ROW('CURRENT WIP'!S7)),COLUMN('CURRENT WIP'!S7)),"")</f>
        <v/>
      </c>
      <c r="W11" s="48" t="str">
        <f t="array" ref="W11">IFERROR(INDEX(WIP,SMALL(IF(('CURRENT WIP'!$D$1='CURRENT WIP'!$E$22:$E$148),MATCH(ROW(WIP),ROW(WIP)),""),ROW('CURRENT WIP'!T7)),COLUMN('CURRENT WIP'!T7)),"")</f>
        <v/>
      </c>
      <c r="X11" s="48" t="str">
        <f t="array" ref="X11">IFERROR(INDEX(WIP,SMALL(IF(('CURRENT WIP'!$D$1='CURRENT WIP'!$E$22:$E$148),MATCH(ROW(WIP),ROW(WIP)),""),ROW('CURRENT WIP'!U7)),COLUMN('CURRENT WIP'!U7)),"")</f>
        <v/>
      </c>
      <c r="Y11" s="521" t="str">
        <f t="shared" si="0"/>
        <v/>
      </c>
      <c r="Z11" s="98"/>
      <c r="AB11" s="527">
        <f t="array" ref="AB11">INDEX(MOVEMENT!$AM$13:$AM$52, SMALL(IF(ISERROR(MATCH(MOVEMENT!$AM$13:$AM$52, MOVEMENT!$E$13:$E$52, 0)), (ROW(MOVEMENT!$AM$13:$AM$52)-MIN(ROW(MOVEMENT!$AM$13:$AM$52))+1), ""), ROW(MOVEMENT!7:7)))</f>
        <v>0</v>
      </c>
      <c r="AC11" s="48" t="e">
        <f>VLOOKUP(AB11,MOVEMENT!AM19:AY60,2,FALSE)</f>
        <v>#N/A</v>
      </c>
      <c r="AD11" s="48" t="e">
        <f>VLOOKUP(AB11,MOVEMENT!AM19:AY60,11,FALSE)</f>
        <v>#N/A</v>
      </c>
      <c r="AE11" s="48" t="e">
        <f>VLOOKUP(AB11,MOVEMENT!AM19:AY60,12,FALSE)</f>
        <v>#N/A</v>
      </c>
      <c r="AF11" s="46" t="e">
        <f>VLOOKUP(AB11,MOVEMENT!AM19:AY60,13,FALSE)</f>
        <v>#N/A</v>
      </c>
    </row>
    <row r="12" spans="3:32">
      <c r="D12" s="47" t="str">
        <f t="array" ref="D12">IFERROR(INDEX(WIP,SMALL(IF(('CURRENT WIP'!$D$1='CURRENT WIP'!$E$22:E155),MATCH(ROW(WIP),ROW(WIP)),""),ROW('CURRENT WIP'!A8)),COLUMN('CURRENT WIP'!A8)),"")</f>
        <v/>
      </c>
      <c r="E12" s="48" t="str">
        <f t="array" ref="E12">IFERROR(INDEX(WIP,SMALL(IF(('CURRENT WIP'!$D$1='CURRENT WIP'!$E$22:$E$148),MATCH(ROW(WIP),ROW(WIP)),""),ROW('CURRENT WIP'!B8)),COLUMN('CURRENT WIP'!B8)),"")</f>
        <v/>
      </c>
      <c r="F12" s="48" t="str">
        <f t="array" ref="F12">IFERROR(INDEX(WIP,SMALL(IF(('CURRENT WIP'!$D$1='CURRENT WIP'!$E$22:$E$148),MATCH(ROW(WIP),ROW(WIP)),""),ROW('CURRENT WIP'!C8)),COLUMN('CURRENT WIP'!C8)),"")</f>
        <v/>
      </c>
      <c r="G12" s="48" t="str">
        <f t="array" ref="G12">IFERROR(INDEX(WIP,SMALL(IF(('CURRENT WIP'!$D$1='CURRENT WIP'!$E$22:$E$148),MATCH(ROW(WIP),ROW(WIP)),""),ROW('CURRENT WIP'!D8)),COLUMN('CURRENT WIP'!D8)),"")</f>
        <v/>
      </c>
      <c r="H12" s="66" t="str">
        <f t="array" ref="H12">IFERROR(INDEX(WIP,SMALL(IF(('CURRENT WIP'!$D$1='CURRENT WIP'!$E$22:$E$148),MATCH(ROW(WIP),ROW(WIP)),""),ROW('CURRENT WIP'!E8)),COLUMN('CURRENT WIP'!E8)),"")</f>
        <v/>
      </c>
      <c r="I12" s="66" t="str">
        <f t="array" ref="I12">IFERROR(INDEX(WIP,SMALL(IF(('CURRENT WIP'!$D$1='CURRENT WIP'!$E$22:$E$148),MATCH(ROW(WIP),ROW(WIP)),""),ROW('CURRENT WIP'!F8)),COLUMN('CURRENT WIP'!F8)),"")</f>
        <v/>
      </c>
      <c r="J12" s="48" t="str">
        <f t="array" ref="J12">IFERROR(INDEX(WIP,SMALL(IF(('CURRENT WIP'!$D$1='CURRENT WIP'!$E$22:$E$148),MATCH(ROW(WIP),ROW(WIP)),""),ROW('CURRENT WIP'!G8)),COLUMN('CURRENT WIP'!G8)),"")</f>
        <v/>
      </c>
      <c r="K12" s="66" t="str">
        <f t="array" ref="K12">IFERROR(INDEX(WIP,SMALL(IF(('CURRENT WIP'!$D$1='CURRENT WIP'!$E$22:$E$148),MATCH(ROW(WIP),ROW(WIP)),""),ROW('CURRENT WIP'!H8)),COLUMN('CURRENT WIP'!H8)),"")</f>
        <v/>
      </c>
      <c r="L12" s="48" t="str">
        <f t="array" ref="L12">IFERROR(INDEX(WIP,SMALL(IF(('CURRENT WIP'!$D$1='CURRENT WIP'!$E$22:$E$148),MATCH(ROW(WIP),ROW(WIP)),""),ROW('CURRENT WIP'!I8)),COLUMN('CURRENT WIP'!I8)),"")</f>
        <v/>
      </c>
      <c r="M12" s="67" t="str">
        <f t="array" ref="M12">IFERROR(INDEX(WIP,SMALL(IF(('CURRENT WIP'!$D$1='CURRENT WIP'!$E$22:$E$148),MATCH(ROW(WIP),ROW(WIP)),""),ROW('CURRENT WIP'!J8)),COLUMN('CURRENT WIP'!J8)),"")</f>
        <v/>
      </c>
      <c r="N12" s="48" t="str">
        <f t="array" ref="N12">IFERROR(INDEX(WIP,SMALL(IF(('CURRENT WIP'!$D$1='CURRENT WIP'!$E$22:$E$148),MATCH(ROW(WIP),ROW(WIP)),""),ROW('CURRENT WIP'!K8)),COLUMN('CURRENT WIP'!K8)),"")</f>
        <v/>
      </c>
      <c r="O12" s="48" t="str">
        <f t="array" ref="O12">IFERROR(INDEX(WIP,SMALL(IF(('CURRENT WIP'!$D$1='CURRENT WIP'!$E$22:$E$148),MATCH(ROW(WIP),ROW(WIP)),""),ROW('CURRENT WIP'!L8)),COLUMN('CURRENT WIP'!L8)),"")</f>
        <v/>
      </c>
      <c r="P12" s="48" t="str">
        <f t="array" ref="P12">IFERROR(INDEX(WIP,SMALL(IF(('CURRENT WIP'!$D$1='CURRENT WIP'!$E$22:$E$148),MATCH(ROW(WIP),ROW(WIP)),""),ROW('CURRENT WIP'!M8)),COLUMN('CURRENT WIP'!M8)),"")</f>
        <v/>
      </c>
      <c r="Q12" s="68" t="str">
        <f t="array" ref="Q12">IFERROR(INDEX(WIP,SMALL(IF(('CURRENT WIP'!$D$1='CURRENT WIP'!$E$22:$E$148),MATCH(ROW(WIP),ROW(WIP)),""),ROW('CURRENT WIP'!N8)),COLUMN('CURRENT WIP'!N8)),"")</f>
        <v/>
      </c>
      <c r="R12" s="48" t="str">
        <f t="array" ref="R12">IFERROR(INDEX(WIP,SMALL(IF(('CURRENT WIP'!$D$1='CURRENT WIP'!$E$22:$E$148),MATCH(ROW(WIP),ROW(WIP)),""),ROW('CURRENT WIP'!O8)),COLUMN('CURRENT WIP'!O8)),"")</f>
        <v/>
      </c>
      <c r="S12" s="48" t="str">
        <f t="array" ref="S12">IFERROR(INDEX(WIP,SMALL(IF(('CURRENT WIP'!$D$1='CURRENT WIP'!$E$22:$E$148),MATCH(ROW(WIP),ROW(WIP)),""),ROW('CURRENT WIP'!P8)),COLUMN('CURRENT WIP'!P8)),"")</f>
        <v/>
      </c>
      <c r="T12" s="68" t="str">
        <f t="array" ref="T12">IFERROR(INDEX(WIP,SMALL(IF(('CURRENT WIP'!$D$1='CURRENT WIP'!$E$22:$E$148),MATCH(ROW(WIP),ROW(WIP)),""),ROW('CURRENT WIP'!Q8)),COLUMN('CURRENT WIP'!Q8)),"")</f>
        <v/>
      </c>
      <c r="U12" s="48" t="str">
        <f t="array" ref="U12">IFERROR(INDEX(WIP,SMALL(IF(('CURRENT WIP'!$D$1='CURRENT WIP'!$E$22:$E$148),MATCH(ROW(WIP),ROW(WIP)),""),ROW('CURRENT WIP'!R8)),COLUMN('CURRENT WIP'!R8)),"")</f>
        <v/>
      </c>
      <c r="V12" s="48" t="str">
        <f t="array" ref="V12">IFERROR(INDEX(WIP,SMALL(IF(('CURRENT WIP'!$D$1='CURRENT WIP'!$E$22:$E$148),MATCH(ROW(WIP),ROW(WIP)),""),ROW('CURRENT WIP'!S8)),COLUMN('CURRENT WIP'!S8)),"")</f>
        <v/>
      </c>
      <c r="W12" s="48" t="str">
        <f t="array" ref="W12">IFERROR(INDEX(WIP,SMALL(IF(('CURRENT WIP'!$D$1='CURRENT WIP'!$E$22:$E$148),MATCH(ROW(WIP),ROW(WIP)),""),ROW('CURRENT WIP'!T8)),COLUMN('CURRENT WIP'!T8)),"")</f>
        <v/>
      </c>
      <c r="X12" s="48" t="str">
        <f t="array" ref="X12">IFERROR(INDEX(WIP,SMALL(IF(('CURRENT WIP'!$D$1='CURRENT WIP'!$E$22:$E$148),MATCH(ROW(WIP),ROW(WIP)),""),ROW('CURRENT WIP'!U8)),COLUMN('CURRENT WIP'!U8)),"")</f>
        <v/>
      </c>
      <c r="Y12" s="521" t="str">
        <f>IF(M12="A", N12-(N12*0.27), IF(M12="F", N12-(N12*0.47), IF(M12="D", N12-(N12*0.7), N12)))</f>
        <v/>
      </c>
      <c r="Z12" s="98"/>
      <c r="AB12" s="527">
        <f t="array" ref="AB12">INDEX(MOVEMENT!$AM$13:$AM$52, SMALL(IF(ISERROR(MATCH(MOVEMENT!$AM$13:$AM$52, MOVEMENT!$E$13:$E$52, 0)), (ROW(MOVEMENT!$AM$13:$AM$52)-MIN(ROW(MOVEMENT!$AM$13:$AM$52))+1), ""), ROW(MOVEMENT!8:8)))</f>
        <v>0</v>
      </c>
      <c r="AC12" s="48" t="e">
        <f>VLOOKUP(AB12,MOVEMENT!AM20:AY61,2,FALSE)</f>
        <v>#N/A</v>
      </c>
      <c r="AD12" s="48" t="e">
        <f>VLOOKUP(AB12,MOVEMENT!AM20:AY61,11,FALSE)</f>
        <v>#N/A</v>
      </c>
      <c r="AE12" s="48" t="e">
        <f>VLOOKUP(AB12,MOVEMENT!AM20:AY61,12,FALSE)</f>
        <v>#N/A</v>
      </c>
      <c r="AF12" s="46" t="e">
        <f>VLOOKUP(AB12,MOVEMENT!AM20:AY61,13,FALSE)</f>
        <v>#N/A</v>
      </c>
    </row>
    <row r="13" spans="3:32">
      <c r="D13" s="47" t="str">
        <f t="array" ref="D13">IFERROR(INDEX(WIP,SMALL(IF(('CURRENT WIP'!$D$1='CURRENT WIP'!$E$22:E156),MATCH(ROW(WIP),ROW(WIP)),""),ROW('CURRENT WIP'!A9)),COLUMN('CURRENT WIP'!A9)),"")</f>
        <v/>
      </c>
      <c r="E13" s="48" t="str">
        <f t="array" ref="E13">IFERROR(INDEX(WIP,SMALL(IF(('CURRENT WIP'!$D$1='CURRENT WIP'!$E$22:$E$148),MATCH(ROW(WIP),ROW(WIP)),""),ROW('CURRENT WIP'!B9)),COLUMN('CURRENT WIP'!B9)),"")</f>
        <v/>
      </c>
      <c r="F13" s="48" t="str">
        <f t="array" ref="F13">IFERROR(INDEX(WIP,SMALL(IF(('CURRENT WIP'!$D$1='CURRENT WIP'!$E$22:$E$148),MATCH(ROW(WIP),ROW(WIP)),""),ROW('CURRENT WIP'!C9)),COLUMN('CURRENT WIP'!C9)),"")</f>
        <v/>
      </c>
      <c r="G13" s="48" t="str">
        <f t="array" ref="G13">IFERROR(INDEX(WIP,SMALL(IF(('CURRENT WIP'!$D$1='CURRENT WIP'!$E$22:$E$148),MATCH(ROW(WIP),ROW(WIP)),""),ROW('CURRENT WIP'!D9)),COLUMN('CURRENT WIP'!D9)),"")</f>
        <v/>
      </c>
      <c r="H13" s="66" t="str">
        <f t="array" ref="H13">IFERROR(INDEX(WIP,SMALL(IF(('CURRENT WIP'!$D$1='CURRENT WIP'!$E$22:$E$148),MATCH(ROW(WIP),ROW(WIP)),""),ROW('CURRENT WIP'!E9)),COLUMN('CURRENT WIP'!E9)),"")</f>
        <v/>
      </c>
      <c r="I13" s="66" t="str">
        <f t="array" ref="I13">IFERROR(INDEX(WIP,SMALL(IF(('CURRENT WIP'!$D$1='CURRENT WIP'!$E$22:$E$148),MATCH(ROW(WIP),ROW(WIP)),""),ROW('CURRENT WIP'!F9)),COLUMN('CURRENT WIP'!F9)),"")</f>
        <v/>
      </c>
      <c r="J13" s="48" t="str">
        <f t="array" ref="J13">IFERROR(INDEX(WIP,SMALL(IF(('CURRENT WIP'!$D$1='CURRENT WIP'!$E$22:$E$148),MATCH(ROW(WIP),ROW(WIP)),""),ROW('CURRENT WIP'!G9)),COLUMN('CURRENT WIP'!G9)),"")</f>
        <v/>
      </c>
      <c r="K13" s="66" t="str">
        <f t="array" ref="K13">IFERROR(INDEX(WIP,SMALL(IF(('CURRENT WIP'!$D$1='CURRENT WIP'!$E$22:$E$148),MATCH(ROW(WIP),ROW(WIP)),""),ROW('CURRENT WIP'!H9)),COLUMN('CURRENT WIP'!H9)),"")</f>
        <v/>
      </c>
      <c r="L13" s="48" t="str">
        <f t="array" ref="L13">IFERROR(INDEX(WIP,SMALL(IF(('CURRENT WIP'!$D$1='CURRENT WIP'!$E$22:$E$148),MATCH(ROW(WIP),ROW(WIP)),""),ROW('CURRENT WIP'!I9)),COLUMN('CURRENT WIP'!I9)),"")</f>
        <v/>
      </c>
      <c r="M13" s="67" t="str">
        <f t="array" ref="M13">IFERROR(INDEX(WIP,SMALL(IF(('CURRENT WIP'!$D$1='CURRENT WIP'!$E$22:$E$148),MATCH(ROW(WIP),ROW(WIP)),""),ROW('CURRENT WIP'!J9)),COLUMN('CURRENT WIP'!J9)),"")</f>
        <v/>
      </c>
      <c r="N13" s="48" t="str">
        <f t="array" ref="N13">IFERROR(INDEX(WIP,SMALL(IF(('CURRENT WIP'!$D$1='CURRENT WIP'!$E$22:$E$148),MATCH(ROW(WIP),ROW(WIP)),""),ROW('CURRENT WIP'!K9)),COLUMN('CURRENT WIP'!K9)),"")</f>
        <v/>
      </c>
      <c r="O13" s="48" t="str">
        <f t="array" ref="O13">IFERROR(INDEX(WIP,SMALL(IF(('CURRENT WIP'!$D$1='CURRENT WIP'!$E$22:$E$148),MATCH(ROW(WIP),ROW(WIP)),""),ROW('CURRENT WIP'!L9)),COLUMN('CURRENT WIP'!L9)),"")</f>
        <v/>
      </c>
      <c r="P13" s="48" t="str">
        <f t="array" ref="P13">IFERROR(INDEX(WIP,SMALL(IF(('CURRENT WIP'!$D$1='CURRENT WIP'!$E$22:$E$148),MATCH(ROW(WIP),ROW(WIP)),""),ROW('CURRENT WIP'!M9)),COLUMN('CURRENT WIP'!M9)),"")</f>
        <v/>
      </c>
      <c r="Q13" s="68" t="str">
        <f t="array" ref="Q13">IFERROR(INDEX(WIP,SMALL(IF(('CURRENT WIP'!$D$1='CURRENT WIP'!$E$22:$E$148),MATCH(ROW(WIP),ROW(WIP)),""),ROW('CURRENT WIP'!N9)),COLUMN('CURRENT WIP'!N9)),"")</f>
        <v/>
      </c>
      <c r="R13" s="48" t="str">
        <f t="array" ref="R13">IFERROR(INDEX(WIP,SMALL(IF(('CURRENT WIP'!$D$1='CURRENT WIP'!$E$22:$E$148),MATCH(ROW(WIP),ROW(WIP)),""),ROW('CURRENT WIP'!O9)),COLUMN('CURRENT WIP'!O9)),"")</f>
        <v/>
      </c>
      <c r="S13" s="48" t="str">
        <f t="array" ref="S13">IFERROR(INDEX(WIP,SMALL(IF(('CURRENT WIP'!$D$1='CURRENT WIP'!$E$22:$E$148),MATCH(ROW(WIP),ROW(WIP)),""),ROW('CURRENT WIP'!P9)),COLUMN('CURRENT WIP'!P9)),"")</f>
        <v/>
      </c>
      <c r="T13" s="68" t="str">
        <f t="array" ref="T13">IFERROR(INDEX(WIP,SMALL(IF(('CURRENT WIP'!$D$1='CURRENT WIP'!$E$22:$E$148),MATCH(ROW(WIP),ROW(WIP)),""),ROW('CURRENT WIP'!Q9)),COLUMN('CURRENT WIP'!Q9)),"")</f>
        <v/>
      </c>
      <c r="U13" s="48" t="str">
        <f t="array" ref="U13">IFERROR(INDEX(WIP,SMALL(IF(('CURRENT WIP'!$D$1='CURRENT WIP'!$E$22:$E$148),MATCH(ROW(WIP),ROW(WIP)),""),ROW('CURRENT WIP'!R9)),COLUMN('CURRENT WIP'!R9)),"")</f>
        <v/>
      </c>
      <c r="V13" s="48" t="str">
        <f t="array" ref="V13">IFERROR(INDEX(WIP,SMALL(IF(('CURRENT WIP'!$D$1='CURRENT WIP'!$E$22:$E$148),MATCH(ROW(WIP),ROW(WIP)),""),ROW('CURRENT WIP'!S9)),COLUMN('CURRENT WIP'!S9)),"")</f>
        <v/>
      </c>
      <c r="W13" s="48" t="str">
        <f t="array" ref="W13">IFERROR(INDEX(WIP,SMALL(IF(('CURRENT WIP'!$D$1='CURRENT WIP'!$E$22:$E$148),MATCH(ROW(WIP),ROW(WIP)),""),ROW('CURRENT WIP'!T9)),COLUMN('CURRENT WIP'!T9)),"")</f>
        <v/>
      </c>
      <c r="X13" s="48" t="str">
        <f t="array" ref="X13">IFERROR(INDEX(WIP,SMALL(IF(('CURRENT WIP'!$D$1='CURRENT WIP'!$E$22:$E$148),MATCH(ROW(WIP),ROW(WIP)),""),ROW('CURRENT WIP'!U9)),COLUMN('CURRENT WIP'!U9)),"")</f>
        <v/>
      </c>
      <c r="Y13" s="521" t="str">
        <f t="shared" si="0"/>
        <v/>
      </c>
      <c r="Z13" s="98"/>
      <c r="AB13" s="527">
        <f t="array" ref="AB13">INDEX(MOVEMENT!$AM$13:$AM$52, SMALL(IF(ISERROR(MATCH(MOVEMENT!$AM$13:$AM$52, MOVEMENT!$E$13:$E$52, 0)), (ROW(MOVEMENT!$AM$13:$AM$52)-MIN(ROW(MOVEMENT!$AM$13:$AM$52))+1), ""), ROW(MOVEMENT!9:9)))</f>
        <v>0</v>
      </c>
      <c r="AC13" s="48" t="e">
        <f>VLOOKUP(AB13,MOVEMENT!AM21:AY62,2,FALSE)</f>
        <v>#N/A</v>
      </c>
      <c r="AD13" s="48" t="e">
        <f>VLOOKUP(AB13,MOVEMENT!AM21:AY62,11,FALSE)</f>
        <v>#N/A</v>
      </c>
      <c r="AE13" s="48" t="e">
        <f>VLOOKUP(AB13,MOVEMENT!AM21:AY62,12,FALSE)</f>
        <v>#N/A</v>
      </c>
      <c r="AF13" s="46" t="e">
        <f>VLOOKUP(AB13,MOVEMENT!AM21:AY62,13,FALSE)</f>
        <v>#N/A</v>
      </c>
    </row>
    <row r="14" spans="3:32">
      <c r="D14" s="47" t="str">
        <f t="array" ref="D14">IFERROR(INDEX(WIP,SMALL(IF(('CURRENT WIP'!$D$1='CURRENT WIP'!$E$22:E157),MATCH(ROW(WIP),ROW(WIP)),""),ROW('CURRENT WIP'!A10)),COLUMN('CURRENT WIP'!A10)),"")</f>
        <v/>
      </c>
      <c r="E14" s="48" t="str">
        <f t="array" ref="E14">IFERROR(INDEX(WIP,SMALL(IF(('CURRENT WIP'!$D$1='CURRENT WIP'!$E$22:$E$148),MATCH(ROW(WIP),ROW(WIP)),""),ROW('CURRENT WIP'!B10)),COLUMN('CURRENT WIP'!B10)),"")</f>
        <v/>
      </c>
      <c r="F14" s="48" t="str">
        <f t="array" ref="F14">IFERROR(INDEX(WIP,SMALL(IF(('CURRENT WIP'!$D$1='CURRENT WIP'!$E$22:$E$148),MATCH(ROW(WIP),ROW(WIP)),""),ROW('CURRENT WIP'!C10)),COLUMN('CURRENT WIP'!C10)),"")</f>
        <v/>
      </c>
      <c r="G14" s="48" t="str">
        <f t="array" ref="G14">IFERROR(INDEX(WIP,SMALL(IF(('CURRENT WIP'!$D$1='CURRENT WIP'!$E$22:$E$148),MATCH(ROW(WIP),ROW(WIP)),""),ROW('CURRENT WIP'!D10)),COLUMN('CURRENT WIP'!D10)),"")</f>
        <v/>
      </c>
      <c r="H14" s="66" t="str">
        <f t="array" ref="H14">IFERROR(INDEX(WIP,SMALL(IF(('CURRENT WIP'!$D$1='CURRENT WIP'!$E$22:$E$148),MATCH(ROW(WIP),ROW(WIP)),""),ROW('CURRENT WIP'!E10)),COLUMN('CURRENT WIP'!E10)),"")</f>
        <v/>
      </c>
      <c r="I14" s="66" t="str">
        <f t="array" ref="I14">IFERROR(INDEX(WIP,SMALL(IF(('CURRENT WIP'!$D$1='CURRENT WIP'!$E$22:$E$148),MATCH(ROW(WIP),ROW(WIP)),""),ROW('CURRENT WIP'!F10)),COLUMN('CURRENT WIP'!F10)),"")</f>
        <v/>
      </c>
      <c r="J14" s="48" t="str">
        <f t="array" ref="J14">IFERROR(INDEX(WIP,SMALL(IF(('CURRENT WIP'!$D$1='CURRENT WIP'!$E$22:$E$148),MATCH(ROW(WIP),ROW(WIP)),""),ROW('CURRENT WIP'!G10)),COLUMN('CURRENT WIP'!G10)),"")</f>
        <v/>
      </c>
      <c r="K14" s="66" t="str">
        <f t="array" ref="K14">IFERROR(INDEX(WIP,SMALL(IF(('CURRENT WIP'!$D$1='CURRENT WIP'!$E$22:$E$148),MATCH(ROW(WIP),ROW(WIP)),""),ROW('CURRENT WIP'!H10)),COLUMN('CURRENT WIP'!H10)),"")</f>
        <v/>
      </c>
      <c r="L14" s="48" t="str">
        <f t="array" ref="L14">IFERROR(INDEX(WIP,SMALL(IF(('CURRENT WIP'!$D$1='CURRENT WIP'!$E$22:$E$148),MATCH(ROW(WIP),ROW(WIP)),""),ROW('CURRENT WIP'!I10)),COLUMN('CURRENT WIP'!I10)),"")</f>
        <v/>
      </c>
      <c r="M14" s="67" t="str">
        <f t="array" ref="M14">IFERROR(INDEX(WIP,SMALL(IF(('CURRENT WIP'!$D$1='CURRENT WIP'!$E$22:$E$148),MATCH(ROW(WIP),ROW(WIP)),""),ROW('CURRENT WIP'!J10)),COLUMN('CURRENT WIP'!J10)),"")</f>
        <v/>
      </c>
      <c r="N14" s="48" t="str">
        <f t="array" ref="N14">IFERROR(INDEX(WIP,SMALL(IF(('CURRENT WIP'!$D$1='CURRENT WIP'!$E$22:$E$148),MATCH(ROW(WIP),ROW(WIP)),""),ROW('CURRENT WIP'!K10)),COLUMN('CURRENT WIP'!K10)),"")</f>
        <v/>
      </c>
      <c r="O14" s="48" t="str">
        <f t="array" ref="O14">IFERROR(INDEX(WIP,SMALL(IF(('CURRENT WIP'!$D$1='CURRENT WIP'!$E$22:$E$148),MATCH(ROW(WIP),ROW(WIP)),""),ROW('CURRENT WIP'!L10)),COLUMN('CURRENT WIP'!L10)),"")</f>
        <v/>
      </c>
      <c r="P14" s="48" t="str">
        <f t="array" ref="P14">IFERROR(INDEX(WIP,SMALL(IF(('CURRENT WIP'!$D$1='CURRENT WIP'!$E$22:$E$148),MATCH(ROW(WIP),ROW(WIP)),""),ROW('CURRENT WIP'!M10)),COLUMN('CURRENT WIP'!M10)),"")</f>
        <v/>
      </c>
      <c r="Q14" s="68" t="str">
        <f t="array" ref="Q14">IFERROR(INDEX(WIP,SMALL(IF(('CURRENT WIP'!$D$1='CURRENT WIP'!$E$22:$E$148),MATCH(ROW(WIP),ROW(WIP)),""),ROW('CURRENT WIP'!N10)),COLUMN('CURRENT WIP'!N10)),"")</f>
        <v/>
      </c>
      <c r="R14" s="48" t="str">
        <f t="array" ref="R14">IFERROR(INDEX(WIP,SMALL(IF(('CURRENT WIP'!$D$1='CURRENT WIP'!$E$22:$E$148),MATCH(ROW(WIP),ROW(WIP)),""),ROW('CURRENT WIP'!O10)),COLUMN('CURRENT WIP'!O10)),"")</f>
        <v/>
      </c>
      <c r="S14" s="48" t="str">
        <f t="array" ref="S14">IFERROR(INDEX(WIP,SMALL(IF(('CURRENT WIP'!$D$1='CURRENT WIP'!$E$22:$E$148),MATCH(ROW(WIP),ROW(WIP)),""),ROW('CURRENT WIP'!P10)),COLUMN('CURRENT WIP'!P10)),"")</f>
        <v/>
      </c>
      <c r="T14" s="68" t="str">
        <f t="array" ref="T14">IFERROR(INDEX(WIP,SMALL(IF(('CURRENT WIP'!$D$1='CURRENT WIP'!$E$22:$E$148),MATCH(ROW(WIP),ROW(WIP)),""),ROW('CURRENT WIP'!Q10)),COLUMN('CURRENT WIP'!Q10)),"")</f>
        <v/>
      </c>
      <c r="U14" s="48" t="str">
        <f t="array" ref="U14">IFERROR(INDEX(WIP,SMALL(IF(('CURRENT WIP'!$D$1='CURRENT WIP'!$E$22:$E$148),MATCH(ROW(WIP),ROW(WIP)),""),ROW('CURRENT WIP'!R10)),COLUMN('CURRENT WIP'!R10)),"")</f>
        <v/>
      </c>
      <c r="V14" s="48" t="str">
        <f t="array" ref="V14">IFERROR(INDEX(WIP,SMALL(IF(('CURRENT WIP'!$D$1='CURRENT WIP'!$E$22:$E$148),MATCH(ROW(WIP),ROW(WIP)),""),ROW('CURRENT WIP'!S10)),COLUMN('CURRENT WIP'!S10)),"")</f>
        <v/>
      </c>
      <c r="W14" s="48" t="str">
        <f t="array" ref="W14">IFERROR(INDEX(WIP,SMALL(IF(('CURRENT WIP'!$D$1='CURRENT WIP'!$E$22:$E$148),MATCH(ROW(WIP),ROW(WIP)),""),ROW('CURRENT WIP'!T10)),COLUMN('CURRENT WIP'!T10)),"")</f>
        <v/>
      </c>
      <c r="X14" s="48" t="str">
        <f t="array" ref="X14">IFERROR(INDEX(WIP,SMALL(IF(('CURRENT WIP'!$D$1='CURRENT WIP'!$E$22:$E$148),MATCH(ROW(WIP),ROW(WIP)),""),ROW('CURRENT WIP'!U10)),COLUMN('CURRENT WIP'!U10)),"")</f>
        <v/>
      </c>
      <c r="Y14" s="521" t="str">
        <f>IF(M14="A", N14-(N14*0.27), IF(M14="F", N14-(N14*0.47), IF(M14="D", N14-(N14*0.7), N14)))</f>
        <v/>
      </c>
      <c r="Z14" s="98"/>
      <c r="AB14" s="527">
        <f t="array" ref="AB14">INDEX(MOVEMENT!$AM$13:$AM$52, SMALL(IF(ISERROR(MATCH(MOVEMENT!$AM$13:$AM$52, MOVEMENT!$E$13:$E$52, 0)), (ROW(MOVEMENT!$AM$13:$AM$52)-MIN(ROW(MOVEMENT!$AM$13:$AM$52))+1), ""), ROW(MOVEMENT!10:10)))</f>
        <v>0</v>
      </c>
      <c r="AC14" s="48" t="e">
        <f>VLOOKUP(AB14,MOVEMENT!AM22:AY63,2,FALSE)</f>
        <v>#N/A</v>
      </c>
      <c r="AD14" s="48" t="e">
        <f>VLOOKUP(AB14,MOVEMENT!AM22:AY63,11,FALSE)</f>
        <v>#N/A</v>
      </c>
      <c r="AE14" s="48" t="e">
        <f>VLOOKUP(AB14,MOVEMENT!AM22:AY63,12,FALSE)</f>
        <v>#N/A</v>
      </c>
      <c r="AF14" s="46" t="e">
        <f>VLOOKUP(AB14,MOVEMENT!AM22:AY63,13,FALSE)</f>
        <v>#N/A</v>
      </c>
    </row>
    <row r="15" spans="3:32">
      <c r="D15" s="47" t="str">
        <f t="array" ref="D15">IFERROR(INDEX(WIP,SMALL(IF(('CURRENT WIP'!$D$1='CURRENT WIP'!$E$22:E158),MATCH(ROW(WIP),ROW(WIP)),""),ROW('CURRENT WIP'!A11)),COLUMN('CURRENT WIP'!A11)),"")</f>
        <v/>
      </c>
      <c r="E15" s="48" t="str">
        <f t="array" ref="E15">IFERROR(INDEX(WIP,SMALL(IF(('CURRENT WIP'!$D$1='CURRENT WIP'!$E$22:$E$148),MATCH(ROW(WIP),ROW(WIP)),""),ROW('CURRENT WIP'!B11)),COLUMN('CURRENT WIP'!B11)),"")</f>
        <v/>
      </c>
      <c r="F15" s="48" t="str">
        <f t="array" ref="F15">IFERROR(INDEX(WIP,SMALL(IF(('CURRENT WIP'!$D$1='CURRENT WIP'!$E$22:$E$148),MATCH(ROW(WIP),ROW(WIP)),""),ROW('CURRENT WIP'!C11)),COLUMN('CURRENT WIP'!C11)),"")</f>
        <v/>
      </c>
      <c r="G15" s="48" t="str">
        <f t="array" ref="G15">IFERROR(INDEX(WIP,SMALL(IF(('CURRENT WIP'!$D$1='CURRENT WIP'!$E$22:$E$148),MATCH(ROW(WIP),ROW(WIP)),""),ROW('CURRENT WIP'!D11)),COLUMN('CURRENT WIP'!D11)),"")</f>
        <v/>
      </c>
      <c r="H15" s="66" t="str">
        <f t="array" ref="H15">IFERROR(INDEX(WIP,SMALL(IF(('CURRENT WIP'!$D$1='CURRENT WIP'!$E$22:$E$148),MATCH(ROW(WIP),ROW(WIP)),""),ROW('CURRENT WIP'!E11)),COLUMN('CURRENT WIP'!E11)),"")</f>
        <v/>
      </c>
      <c r="I15" s="66" t="str">
        <f t="array" ref="I15">IFERROR(INDEX(WIP,SMALL(IF(('CURRENT WIP'!$D$1='CURRENT WIP'!$E$22:$E$148),MATCH(ROW(WIP),ROW(WIP)),""),ROW('CURRENT WIP'!F11)),COLUMN('CURRENT WIP'!F11)),"")</f>
        <v/>
      </c>
      <c r="J15" s="48" t="str">
        <f t="array" ref="J15">IFERROR(INDEX(WIP,SMALL(IF(('CURRENT WIP'!$D$1='CURRENT WIP'!$E$22:$E$148),MATCH(ROW(WIP),ROW(WIP)),""),ROW('CURRENT WIP'!G11)),COLUMN('CURRENT WIP'!G11)),"")</f>
        <v/>
      </c>
      <c r="K15" s="66" t="str">
        <f t="array" ref="K15">IFERROR(INDEX(WIP,SMALL(IF(('CURRENT WIP'!$D$1='CURRENT WIP'!$E$22:$E$148),MATCH(ROW(WIP),ROW(WIP)),""),ROW('CURRENT WIP'!H11)),COLUMN('CURRENT WIP'!H11)),"")</f>
        <v/>
      </c>
      <c r="L15" s="48" t="str">
        <f t="array" ref="L15">IFERROR(INDEX(WIP,SMALL(IF(('CURRENT WIP'!$D$1='CURRENT WIP'!$E$22:$E$148),MATCH(ROW(WIP),ROW(WIP)),""),ROW('CURRENT WIP'!I11)),COLUMN('CURRENT WIP'!I11)),"")</f>
        <v/>
      </c>
      <c r="M15" s="67" t="str">
        <f t="array" ref="M15">IFERROR(INDEX(WIP,SMALL(IF(('CURRENT WIP'!$D$1='CURRENT WIP'!$E$22:$E$148),MATCH(ROW(WIP),ROW(WIP)),""),ROW('CURRENT WIP'!J11)),COLUMN('CURRENT WIP'!J11)),"")</f>
        <v/>
      </c>
      <c r="N15" s="48" t="str">
        <f t="array" ref="N15">IFERROR(INDEX(WIP,SMALL(IF(('CURRENT WIP'!$D$1='CURRENT WIP'!$E$22:$E$148),MATCH(ROW(WIP),ROW(WIP)),""),ROW('CURRENT WIP'!K11)),COLUMN('CURRENT WIP'!K11)),"")</f>
        <v/>
      </c>
      <c r="O15" s="48" t="str">
        <f t="array" ref="O15">IFERROR(INDEX(WIP,SMALL(IF(('CURRENT WIP'!$D$1='CURRENT WIP'!$E$22:$E$148),MATCH(ROW(WIP),ROW(WIP)),""),ROW('CURRENT WIP'!L11)),COLUMN('CURRENT WIP'!L11)),"")</f>
        <v/>
      </c>
      <c r="P15" s="48" t="str">
        <f t="array" ref="P15">IFERROR(INDEX(WIP,SMALL(IF(('CURRENT WIP'!$D$1='CURRENT WIP'!$E$22:$E$148),MATCH(ROW(WIP),ROW(WIP)),""),ROW('CURRENT WIP'!M11)),COLUMN('CURRENT WIP'!M11)),"")</f>
        <v/>
      </c>
      <c r="Q15" s="68" t="str">
        <f t="array" ref="Q15">IFERROR(INDEX(WIP,SMALL(IF(('CURRENT WIP'!$D$1='CURRENT WIP'!$E$22:$E$148),MATCH(ROW(WIP),ROW(WIP)),""),ROW('CURRENT WIP'!N11)),COLUMN('CURRENT WIP'!N11)),"")</f>
        <v/>
      </c>
      <c r="R15" s="48" t="str">
        <f t="array" ref="R15">IFERROR(INDEX(WIP,SMALL(IF(('CURRENT WIP'!$D$1='CURRENT WIP'!$E$22:$E$148),MATCH(ROW(WIP),ROW(WIP)),""),ROW('CURRENT WIP'!O11)),COLUMN('CURRENT WIP'!O11)),"")</f>
        <v/>
      </c>
      <c r="S15" s="48" t="str">
        <f t="array" ref="S15">IFERROR(INDEX(WIP,SMALL(IF(('CURRENT WIP'!$D$1='CURRENT WIP'!$E$22:$E$148),MATCH(ROW(WIP),ROW(WIP)),""),ROW('CURRENT WIP'!P11)),COLUMN('CURRENT WIP'!P11)),"")</f>
        <v/>
      </c>
      <c r="T15" s="68" t="str">
        <f t="array" ref="T15">IFERROR(INDEX(WIP,SMALL(IF(('CURRENT WIP'!$D$1='CURRENT WIP'!$E$22:$E$148),MATCH(ROW(WIP),ROW(WIP)),""),ROW('CURRENT WIP'!Q11)),COLUMN('CURRENT WIP'!Q11)),"")</f>
        <v/>
      </c>
      <c r="U15" s="48" t="str">
        <f t="array" ref="U15">IFERROR(INDEX(WIP,SMALL(IF(('CURRENT WIP'!$D$1='CURRENT WIP'!$E$22:$E$148),MATCH(ROW(WIP),ROW(WIP)),""),ROW('CURRENT WIP'!R11)),COLUMN('CURRENT WIP'!R11)),"")</f>
        <v/>
      </c>
      <c r="V15" s="48" t="str">
        <f t="array" ref="V15">IFERROR(INDEX(WIP,SMALL(IF(('CURRENT WIP'!$D$1='CURRENT WIP'!$E$22:$E$148),MATCH(ROW(WIP),ROW(WIP)),""),ROW('CURRENT WIP'!S11)),COLUMN('CURRENT WIP'!S11)),"")</f>
        <v/>
      </c>
      <c r="W15" s="48" t="str">
        <f t="array" ref="W15">IFERROR(INDEX(WIP,SMALL(IF(('CURRENT WIP'!$D$1='CURRENT WIP'!$E$22:$E$148),MATCH(ROW(WIP),ROW(WIP)),""),ROW('CURRENT WIP'!T11)),COLUMN('CURRENT WIP'!T11)),"")</f>
        <v/>
      </c>
      <c r="X15" s="48" t="str">
        <f t="array" ref="X15">IFERROR(INDEX(WIP,SMALL(IF(('CURRENT WIP'!$D$1='CURRENT WIP'!$E$22:$E$148),MATCH(ROW(WIP),ROW(WIP)),""),ROW('CURRENT WIP'!U11)),COLUMN('CURRENT WIP'!U11)),"")</f>
        <v/>
      </c>
      <c r="Y15" s="521" t="str">
        <f t="shared" si="0"/>
        <v/>
      </c>
      <c r="Z15" s="98"/>
      <c r="AB15" s="527">
        <f t="array" ref="AB15">INDEX(MOVEMENT!$AM$13:$AM$52, SMALL(IF(ISERROR(MATCH(MOVEMENT!$AM$13:$AM$52, MOVEMENT!$E$13:$E$52, 0)), (ROW(MOVEMENT!$AM$13:$AM$52)-MIN(ROW(MOVEMENT!$AM$13:$AM$52))+1), ""), ROW(MOVEMENT!11:11)))</f>
        <v>0</v>
      </c>
      <c r="AC15" s="48" t="e">
        <f>VLOOKUP(AB15,MOVEMENT!AM23:AY64,2,FALSE)</f>
        <v>#N/A</v>
      </c>
      <c r="AD15" s="48" t="e">
        <f>VLOOKUP(AB15,MOVEMENT!AM23:AY64,11,FALSE)</f>
        <v>#N/A</v>
      </c>
      <c r="AE15" s="48" t="e">
        <f>VLOOKUP(AB15,MOVEMENT!AM23:AY64,12,FALSE)</f>
        <v>#N/A</v>
      </c>
      <c r="AF15" s="46" t="e">
        <f>VLOOKUP(AB15,MOVEMENT!AM23:AY64,13,FALSE)</f>
        <v>#N/A</v>
      </c>
    </row>
    <row r="16" spans="3:32">
      <c r="D16" s="47" t="str">
        <f t="array" ref="D16">IFERROR(INDEX(WIP,SMALL(IF(('CURRENT WIP'!$D$1='CURRENT WIP'!$E$22:E159),MATCH(ROW(WIP),ROW(WIP)),""),ROW('CURRENT WIP'!A12)),COLUMN('CURRENT WIP'!A12)),"")</f>
        <v/>
      </c>
      <c r="E16" s="48" t="str">
        <f t="array" ref="E16">IFERROR(INDEX(WIP,SMALL(IF(('CURRENT WIP'!$D$1='CURRENT WIP'!$E$22:$E$148),MATCH(ROW(WIP),ROW(WIP)),""),ROW('CURRENT WIP'!B12)),COLUMN('CURRENT WIP'!B12)),"")</f>
        <v/>
      </c>
      <c r="F16" s="48" t="str">
        <f t="array" ref="F16">IFERROR(INDEX(WIP,SMALL(IF(('CURRENT WIP'!$D$1='CURRENT WIP'!$E$22:$E$148),MATCH(ROW(WIP),ROW(WIP)),""),ROW('CURRENT WIP'!C12)),COLUMN('CURRENT WIP'!C12)),"")</f>
        <v/>
      </c>
      <c r="G16" s="48" t="str">
        <f t="array" ref="G16">IFERROR(INDEX(WIP,SMALL(IF(('CURRENT WIP'!$D$1='CURRENT WIP'!$E$22:$E$148),MATCH(ROW(WIP),ROW(WIP)),""),ROW('CURRENT WIP'!D12)),COLUMN('CURRENT WIP'!D12)),"")</f>
        <v/>
      </c>
      <c r="H16" s="66" t="str">
        <f t="array" ref="H16">IFERROR(INDEX(WIP,SMALL(IF(('CURRENT WIP'!$D$1='CURRENT WIP'!$E$22:$E$148),MATCH(ROW(WIP),ROW(WIP)),""),ROW('CURRENT WIP'!E12)),COLUMN('CURRENT WIP'!E12)),"")</f>
        <v/>
      </c>
      <c r="I16" s="66" t="str">
        <f t="array" ref="I16">IFERROR(INDEX(WIP,SMALL(IF(('CURRENT WIP'!$D$1='CURRENT WIP'!$E$22:$E$148),MATCH(ROW(WIP),ROW(WIP)),""),ROW('CURRENT WIP'!F12)),COLUMN('CURRENT WIP'!F12)),"")</f>
        <v/>
      </c>
      <c r="J16" s="48" t="str">
        <f t="array" ref="J16">IFERROR(INDEX(WIP,SMALL(IF(('CURRENT WIP'!$D$1='CURRENT WIP'!$E$22:$E$148),MATCH(ROW(WIP),ROW(WIP)),""),ROW('CURRENT WIP'!G12)),COLUMN('CURRENT WIP'!G12)),"")</f>
        <v/>
      </c>
      <c r="K16" s="66" t="str">
        <f t="array" ref="K16">IFERROR(INDEX(WIP,SMALL(IF(('CURRENT WIP'!$D$1='CURRENT WIP'!$E$22:$E$148),MATCH(ROW(WIP),ROW(WIP)),""),ROW('CURRENT WIP'!H12)),COLUMN('CURRENT WIP'!H12)),"")</f>
        <v/>
      </c>
      <c r="L16" s="48" t="str">
        <f t="array" ref="L16">IFERROR(INDEX(WIP,SMALL(IF(('CURRENT WIP'!$D$1='CURRENT WIP'!$E$22:$E$148),MATCH(ROW(WIP),ROW(WIP)),""),ROW('CURRENT WIP'!I12)),COLUMN('CURRENT WIP'!I12)),"")</f>
        <v/>
      </c>
      <c r="M16" s="67" t="str">
        <f t="array" ref="M16">IFERROR(INDEX(WIP,SMALL(IF(('CURRENT WIP'!$D$1='CURRENT WIP'!$E$22:$E$148),MATCH(ROW(WIP),ROW(WIP)),""),ROW('CURRENT WIP'!J12)),COLUMN('CURRENT WIP'!J12)),"")</f>
        <v/>
      </c>
      <c r="N16" s="48" t="str">
        <f t="array" ref="N16">IFERROR(INDEX(WIP,SMALL(IF(('CURRENT WIP'!$D$1='CURRENT WIP'!$E$22:$E$148),MATCH(ROW(WIP),ROW(WIP)),""),ROW('CURRENT WIP'!K12)),COLUMN('CURRENT WIP'!K12)),"")</f>
        <v/>
      </c>
      <c r="O16" s="48" t="str">
        <f t="array" ref="O16">IFERROR(INDEX(WIP,SMALL(IF(('CURRENT WIP'!$D$1='CURRENT WIP'!$E$22:$E$148),MATCH(ROW(WIP),ROW(WIP)),""),ROW('CURRENT WIP'!L12)),COLUMN('CURRENT WIP'!L12)),"")</f>
        <v/>
      </c>
      <c r="P16" s="48" t="str">
        <f t="array" ref="P16">IFERROR(INDEX(WIP,SMALL(IF(('CURRENT WIP'!$D$1='CURRENT WIP'!$E$22:$E$148),MATCH(ROW(WIP),ROW(WIP)),""),ROW('CURRENT WIP'!M12)),COLUMN('CURRENT WIP'!M12)),"")</f>
        <v/>
      </c>
      <c r="Q16" s="68" t="str">
        <f t="array" ref="Q16">IFERROR(INDEX(WIP,SMALL(IF(('CURRENT WIP'!$D$1='CURRENT WIP'!$E$22:$E$148),MATCH(ROW(WIP),ROW(WIP)),""),ROW('CURRENT WIP'!N12)),COLUMN('CURRENT WIP'!N12)),"")</f>
        <v/>
      </c>
      <c r="R16" s="48" t="str">
        <f t="array" ref="R16">IFERROR(INDEX(WIP,SMALL(IF(('CURRENT WIP'!$D$1='CURRENT WIP'!$E$22:$E$148),MATCH(ROW(WIP),ROW(WIP)),""),ROW('CURRENT WIP'!O12)),COLUMN('CURRENT WIP'!O12)),"")</f>
        <v/>
      </c>
      <c r="S16" s="48" t="str">
        <f t="array" ref="S16">IFERROR(INDEX(WIP,SMALL(IF(('CURRENT WIP'!$D$1='CURRENT WIP'!$E$22:$E$148),MATCH(ROW(WIP),ROW(WIP)),""),ROW('CURRENT WIP'!P12)),COLUMN('CURRENT WIP'!P12)),"")</f>
        <v/>
      </c>
      <c r="T16" s="68" t="str">
        <f t="array" ref="T16">IFERROR(INDEX(WIP,SMALL(IF(('CURRENT WIP'!$D$1='CURRENT WIP'!$E$22:$E$148),MATCH(ROW(WIP),ROW(WIP)),""),ROW('CURRENT WIP'!Q12)),COLUMN('CURRENT WIP'!Q12)),"")</f>
        <v/>
      </c>
      <c r="U16" s="48" t="str">
        <f t="array" ref="U16">IFERROR(INDEX(WIP,SMALL(IF(('CURRENT WIP'!$D$1='CURRENT WIP'!$E$22:$E$148),MATCH(ROW(WIP),ROW(WIP)),""),ROW('CURRENT WIP'!R12)),COLUMN('CURRENT WIP'!R12)),"")</f>
        <v/>
      </c>
      <c r="V16" s="48" t="str">
        <f t="array" ref="V16">IFERROR(INDEX(WIP,SMALL(IF(('CURRENT WIP'!$D$1='CURRENT WIP'!$E$22:$E$148),MATCH(ROW(WIP),ROW(WIP)),""),ROW('CURRENT WIP'!S12)),COLUMN('CURRENT WIP'!S12)),"")</f>
        <v/>
      </c>
      <c r="W16" s="48" t="str">
        <f t="array" ref="W16">IFERROR(INDEX(WIP,SMALL(IF(('CURRENT WIP'!$D$1='CURRENT WIP'!$E$22:$E$148),MATCH(ROW(WIP),ROW(WIP)),""),ROW('CURRENT WIP'!T12)),COLUMN('CURRENT WIP'!T12)),"")</f>
        <v/>
      </c>
      <c r="X16" s="48" t="str">
        <f t="array" ref="X16">IFERROR(INDEX(WIP,SMALL(IF(('CURRENT WIP'!$D$1='CURRENT WIP'!$E$22:$E$148),MATCH(ROW(WIP),ROW(WIP)),""),ROW('CURRENT WIP'!U12)),COLUMN('CURRENT WIP'!U12)),"")</f>
        <v/>
      </c>
      <c r="Y16" s="521" t="str">
        <f t="shared" si="0"/>
        <v/>
      </c>
      <c r="Z16" s="98"/>
      <c r="AB16" s="527">
        <f t="array" ref="AB16">INDEX(MOVEMENT!$AM$13:$AM$52, SMALL(IF(ISERROR(MATCH(MOVEMENT!$AM$13:$AM$52, MOVEMENT!$E$13:$E$52, 0)), (ROW(MOVEMENT!$AM$13:$AM$52)-MIN(ROW(MOVEMENT!$AM$13:$AM$52))+1), ""), ROW(MOVEMENT!12:12)))</f>
        <v>0</v>
      </c>
      <c r="AC16" s="48" t="e">
        <f>VLOOKUP(AB16,MOVEMENT!AM24:AY65,2,FALSE)</f>
        <v>#N/A</v>
      </c>
      <c r="AD16" s="48" t="e">
        <f>VLOOKUP(AB16,MOVEMENT!AM24:AY65,11,FALSE)</f>
        <v>#N/A</v>
      </c>
      <c r="AE16" s="48" t="e">
        <f>VLOOKUP(AB16,MOVEMENT!AM24:AY65,12,FALSE)</f>
        <v>#N/A</v>
      </c>
      <c r="AF16" s="46" t="e">
        <f>VLOOKUP(AB16,MOVEMENT!AM24:AY65,13,FALSE)</f>
        <v>#N/A</v>
      </c>
    </row>
    <row r="17" spans="4:32">
      <c r="D17" s="47" t="str">
        <f t="array" ref="D17">IFERROR(INDEX(WIP,SMALL(IF(('CURRENT WIP'!$D$1='CURRENT WIP'!$E$22:E160),MATCH(ROW(WIP),ROW(WIP)),""),ROW('CURRENT WIP'!A13)),COLUMN('CURRENT WIP'!A13)),"")</f>
        <v/>
      </c>
      <c r="E17" s="48" t="str">
        <f t="array" ref="E17">IFERROR(INDEX(WIP,SMALL(IF(('CURRENT WIP'!$D$1='CURRENT WIP'!$E$22:$E$148),MATCH(ROW(WIP),ROW(WIP)),""),ROW('CURRENT WIP'!B13)),COLUMN('CURRENT WIP'!B13)),"")</f>
        <v/>
      </c>
      <c r="F17" s="48" t="str">
        <f t="array" ref="F17">IFERROR(INDEX(WIP,SMALL(IF(('CURRENT WIP'!$D$1='CURRENT WIP'!$E$22:$E$148),MATCH(ROW(WIP),ROW(WIP)),""),ROW('CURRENT WIP'!C13)),COLUMN('CURRENT WIP'!C13)),"")</f>
        <v/>
      </c>
      <c r="G17" s="48" t="str">
        <f t="array" ref="G17">IFERROR(INDEX(WIP,SMALL(IF(('CURRENT WIP'!$D$1='CURRENT WIP'!$E$22:$E$148),MATCH(ROW(WIP),ROW(WIP)),""),ROW('CURRENT WIP'!D13)),COLUMN('CURRENT WIP'!D13)),"")</f>
        <v/>
      </c>
      <c r="H17" s="66" t="str">
        <f t="array" ref="H17">IFERROR(INDEX(WIP,SMALL(IF(('CURRENT WIP'!$D$1='CURRENT WIP'!$E$22:$E$148),MATCH(ROW(WIP),ROW(WIP)),""),ROW('CURRENT WIP'!E13)),COLUMN('CURRENT WIP'!E13)),"")</f>
        <v/>
      </c>
      <c r="I17" s="66" t="str">
        <f t="array" ref="I17">IFERROR(INDEX(WIP,SMALL(IF(('CURRENT WIP'!$D$1='CURRENT WIP'!$E$22:$E$148),MATCH(ROW(WIP),ROW(WIP)),""),ROW('CURRENT WIP'!F13)),COLUMN('CURRENT WIP'!F13)),"")</f>
        <v/>
      </c>
      <c r="J17" s="48" t="str">
        <f t="array" ref="J17">IFERROR(INDEX(WIP,SMALL(IF(('CURRENT WIP'!$D$1='CURRENT WIP'!$E$22:$E$148),MATCH(ROW(WIP),ROW(WIP)),""),ROW('CURRENT WIP'!G13)),COLUMN('CURRENT WIP'!G13)),"")</f>
        <v/>
      </c>
      <c r="K17" s="66" t="str">
        <f t="array" ref="K17">IFERROR(INDEX(WIP,SMALL(IF(('CURRENT WIP'!$D$1='CURRENT WIP'!$E$22:$E$148),MATCH(ROW(WIP),ROW(WIP)),""),ROW('CURRENT WIP'!H13)),COLUMN('CURRENT WIP'!H13)),"")</f>
        <v/>
      </c>
      <c r="L17" s="48" t="str">
        <f t="array" ref="L17">IFERROR(INDEX(WIP,SMALL(IF(('CURRENT WIP'!$D$1='CURRENT WIP'!$E$22:$E$148),MATCH(ROW(WIP),ROW(WIP)),""),ROW('CURRENT WIP'!I13)),COLUMN('CURRENT WIP'!I13)),"")</f>
        <v/>
      </c>
      <c r="M17" s="67" t="str">
        <f t="array" ref="M17">IFERROR(INDEX(WIP,SMALL(IF(('CURRENT WIP'!$D$1='CURRENT WIP'!$E$22:$E$148),MATCH(ROW(WIP),ROW(WIP)),""),ROW('CURRENT WIP'!J13)),COLUMN('CURRENT WIP'!J13)),"")</f>
        <v/>
      </c>
      <c r="N17" s="48" t="str">
        <f t="array" ref="N17">IFERROR(INDEX(WIP,SMALL(IF(('CURRENT WIP'!$D$1='CURRENT WIP'!$E$22:$E$148),MATCH(ROW(WIP),ROW(WIP)),""),ROW('CURRENT WIP'!K13)),COLUMN('CURRENT WIP'!K13)),"")</f>
        <v/>
      </c>
      <c r="O17" s="48" t="str">
        <f t="array" ref="O17">IFERROR(INDEX(WIP,SMALL(IF(('CURRENT WIP'!$D$1='CURRENT WIP'!$E$22:$E$148),MATCH(ROW(WIP),ROW(WIP)),""),ROW('CURRENT WIP'!L13)),COLUMN('CURRENT WIP'!L13)),"")</f>
        <v/>
      </c>
      <c r="P17" s="48" t="str">
        <f t="array" ref="P17">IFERROR(INDEX(WIP,SMALL(IF(('CURRENT WIP'!$D$1='CURRENT WIP'!$E$22:$E$148),MATCH(ROW(WIP),ROW(WIP)),""),ROW('CURRENT WIP'!M13)),COLUMN('CURRENT WIP'!M13)),"")</f>
        <v/>
      </c>
      <c r="Q17" s="68" t="str">
        <f t="array" ref="Q17">IFERROR(INDEX(WIP,SMALL(IF(('CURRENT WIP'!$D$1='CURRENT WIP'!$E$22:$E$148),MATCH(ROW(WIP),ROW(WIP)),""),ROW('CURRENT WIP'!N13)),COLUMN('CURRENT WIP'!N13)),"")</f>
        <v/>
      </c>
      <c r="R17" s="48" t="str">
        <f t="array" ref="R17">IFERROR(INDEX(WIP,SMALL(IF(('CURRENT WIP'!$D$1='CURRENT WIP'!$E$22:$E$148),MATCH(ROW(WIP),ROW(WIP)),""),ROW('CURRENT WIP'!O13)),COLUMN('CURRENT WIP'!O13)),"")</f>
        <v/>
      </c>
      <c r="S17" s="48" t="str">
        <f t="array" ref="S17">IFERROR(INDEX(WIP,SMALL(IF(('CURRENT WIP'!$D$1='CURRENT WIP'!$E$22:$E$148),MATCH(ROW(WIP),ROW(WIP)),""),ROW('CURRENT WIP'!P13)),COLUMN('CURRENT WIP'!P13)),"")</f>
        <v/>
      </c>
      <c r="T17" s="68" t="str">
        <f t="array" ref="T17">IFERROR(INDEX(WIP,SMALL(IF(('CURRENT WIP'!$D$1='CURRENT WIP'!$E$22:$E$148),MATCH(ROW(WIP),ROW(WIP)),""),ROW('CURRENT WIP'!Q13)),COLUMN('CURRENT WIP'!Q13)),"")</f>
        <v/>
      </c>
      <c r="U17" s="48" t="str">
        <f t="array" ref="U17">IFERROR(INDEX(WIP,SMALL(IF(('CURRENT WIP'!$D$1='CURRENT WIP'!$E$22:$E$148),MATCH(ROW(WIP),ROW(WIP)),""),ROW('CURRENT WIP'!R13)),COLUMN('CURRENT WIP'!R13)),"")</f>
        <v/>
      </c>
      <c r="V17" s="48" t="str">
        <f t="array" ref="V17">IFERROR(INDEX(WIP,SMALL(IF(('CURRENT WIP'!$D$1='CURRENT WIP'!$E$22:$E$148),MATCH(ROW(WIP),ROW(WIP)),""),ROW('CURRENT WIP'!S13)),COLUMN('CURRENT WIP'!S13)),"")</f>
        <v/>
      </c>
      <c r="W17" s="48" t="str">
        <f t="array" ref="W17">IFERROR(INDEX(WIP,SMALL(IF(('CURRENT WIP'!$D$1='CURRENT WIP'!$E$22:$E$148),MATCH(ROW(WIP),ROW(WIP)),""),ROW('CURRENT WIP'!T13)),COLUMN('CURRENT WIP'!T13)),"")</f>
        <v/>
      </c>
      <c r="X17" s="48" t="str">
        <f t="array" ref="X17">IFERROR(INDEX(WIP,SMALL(IF(('CURRENT WIP'!$D$1='CURRENT WIP'!$E$22:$E$148),MATCH(ROW(WIP),ROW(WIP)),""),ROW('CURRENT WIP'!U13)),COLUMN('CURRENT WIP'!U13)),"")</f>
        <v/>
      </c>
      <c r="Y17" s="521" t="str">
        <f>IF(M17="A", N17-(N17*0.27), IF(M17="F", N17-(N17*0.47), IF(M17="D", N17-(N17*0.7), N17)))</f>
        <v/>
      </c>
      <c r="Z17" s="98"/>
      <c r="AB17" s="527">
        <f t="array" ref="AB17">INDEX(MOVEMENT!$AM$13:$AM$52, SMALL(IF(ISERROR(MATCH(MOVEMENT!$AM$13:$AM$52, MOVEMENT!$E$13:$E$52, 0)), (ROW(MOVEMENT!$AM$13:$AM$52)-MIN(ROW(MOVEMENT!$AM$13:$AM$52))+1), ""), ROW(MOVEMENT!13:13)))</f>
        <v>0</v>
      </c>
      <c r="AC17" s="48" t="e">
        <f>VLOOKUP(AB17,MOVEMENT!AM25:AY66,2,FALSE)</f>
        <v>#N/A</v>
      </c>
      <c r="AD17" s="48" t="e">
        <f>VLOOKUP(AB17,MOVEMENT!AM25:AY66,11,FALSE)</f>
        <v>#N/A</v>
      </c>
      <c r="AE17" s="48" t="e">
        <f>VLOOKUP(AB17,MOVEMENT!AM25:AY66,12,FALSE)</f>
        <v>#N/A</v>
      </c>
      <c r="AF17" s="46" t="e">
        <f>VLOOKUP(AB17,MOVEMENT!AM25:AY66,13,FALSE)</f>
        <v>#N/A</v>
      </c>
    </row>
    <row r="18" spans="4:32">
      <c r="D18" s="47" t="str">
        <f t="array" ref="D18">IFERROR(INDEX(WIP,SMALL(IF(('CURRENT WIP'!$D$1='CURRENT WIP'!$E$22:E161),MATCH(ROW(WIP),ROW(WIP)),""),ROW('CURRENT WIP'!A14)),COLUMN('CURRENT WIP'!A14)),"")</f>
        <v/>
      </c>
      <c r="E18" s="48" t="str">
        <f t="array" ref="E18">IFERROR(INDEX(WIP,SMALL(IF(('CURRENT WIP'!$D$1='CURRENT WIP'!$E$22:$E$148),MATCH(ROW(WIP),ROW(WIP)),""),ROW('CURRENT WIP'!B14)),COLUMN('CURRENT WIP'!B14)),"")</f>
        <v/>
      </c>
      <c r="F18" s="48" t="str">
        <f t="array" ref="F18">IFERROR(INDEX(WIP,SMALL(IF(('CURRENT WIP'!$D$1='CURRENT WIP'!$E$22:$E$148),MATCH(ROW(WIP),ROW(WIP)),""),ROW('CURRENT WIP'!C14)),COLUMN('CURRENT WIP'!C14)),"")</f>
        <v/>
      </c>
      <c r="G18" s="48" t="str">
        <f t="array" ref="G18">IFERROR(INDEX(WIP,SMALL(IF(('CURRENT WIP'!$D$1='CURRENT WIP'!$E$22:$E$148),MATCH(ROW(WIP),ROW(WIP)),""),ROW('CURRENT WIP'!D14)),COLUMN('CURRENT WIP'!D14)),"")</f>
        <v/>
      </c>
      <c r="H18" s="66" t="str">
        <f t="array" ref="H18">IFERROR(INDEX(WIP,SMALL(IF(('CURRENT WIP'!$D$1='CURRENT WIP'!$E$22:$E$148),MATCH(ROW(WIP),ROW(WIP)),""),ROW('CURRENT WIP'!E14)),COLUMN('CURRENT WIP'!E14)),"")</f>
        <v/>
      </c>
      <c r="I18" s="66" t="str">
        <f t="array" ref="I18">IFERROR(INDEX(WIP,SMALL(IF(('CURRENT WIP'!$D$1='CURRENT WIP'!$E$22:$E$148),MATCH(ROW(WIP),ROW(WIP)),""),ROW('CURRENT WIP'!F14)),COLUMN('CURRENT WIP'!F14)),"")</f>
        <v/>
      </c>
      <c r="J18" s="48" t="str">
        <f t="array" ref="J18">IFERROR(INDEX(WIP,SMALL(IF(('CURRENT WIP'!$D$1='CURRENT WIP'!$E$22:$E$148),MATCH(ROW(WIP),ROW(WIP)),""),ROW('CURRENT WIP'!G14)),COLUMN('CURRENT WIP'!G14)),"")</f>
        <v/>
      </c>
      <c r="K18" s="66" t="str">
        <f t="array" ref="K18">IFERROR(INDEX(WIP,SMALL(IF(('CURRENT WIP'!$D$1='CURRENT WIP'!$E$22:$E$148),MATCH(ROW(WIP),ROW(WIP)),""),ROW('CURRENT WIP'!H14)),COLUMN('CURRENT WIP'!H14)),"")</f>
        <v/>
      </c>
      <c r="L18" s="48" t="str">
        <f t="array" ref="L18">IFERROR(INDEX(WIP,SMALL(IF(('CURRENT WIP'!$D$1='CURRENT WIP'!$E$22:$E$148),MATCH(ROW(WIP),ROW(WIP)),""),ROW('CURRENT WIP'!I14)),COLUMN('CURRENT WIP'!I14)),"")</f>
        <v/>
      </c>
      <c r="M18" s="67" t="str">
        <f t="array" ref="M18">IFERROR(INDEX(WIP,SMALL(IF(('CURRENT WIP'!$D$1='CURRENT WIP'!$E$22:$E$148),MATCH(ROW(WIP),ROW(WIP)),""),ROW('CURRENT WIP'!J14)),COLUMN('CURRENT WIP'!J14)),"")</f>
        <v/>
      </c>
      <c r="N18" s="48" t="str">
        <f t="array" ref="N18">IFERROR(INDEX(WIP,SMALL(IF(('CURRENT WIP'!$D$1='CURRENT WIP'!$E$22:$E$148),MATCH(ROW(WIP),ROW(WIP)),""),ROW('CURRENT WIP'!K14)),COLUMN('CURRENT WIP'!K14)),"")</f>
        <v/>
      </c>
      <c r="O18" s="48" t="str">
        <f t="array" ref="O18">IFERROR(INDEX(WIP,SMALL(IF(('CURRENT WIP'!$D$1='CURRENT WIP'!$E$22:$E$148),MATCH(ROW(WIP),ROW(WIP)),""),ROW('CURRENT WIP'!L14)),COLUMN('CURRENT WIP'!L14)),"")</f>
        <v/>
      </c>
      <c r="P18" s="48" t="str">
        <f t="array" ref="P18">IFERROR(INDEX(WIP,SMALL(IF(('CURRENT WIP'!$D$1='CURRENT WIP'!$E$22:$E$148),MATCH(ROW(WIP),ROW(WIP)),""),ROW('CURRENT WIP'!M14)),COLUMN('CURRENT WIP'!M14)),"")</f>
        <v/>
      </c>
      <c r="Q18" s="68" t="str">
        <f t="array" ref="Q18">IFERROR(INDEX(WIP,SMALL(IF(('CURRENT WIP'!$D$1='CURRENT WIP'!$E$22:$E$148),MATCH(ROW(WIP),ROW(WIP)),""),ROW('CURRENT WIP'!N14)),COLUMN('CURRENT WIP'!N14)),"")</f>
        <v/>
      </c>
      <c r="R18" s="48" t="str">
        <f t="array" ref="R18">IFERROR(INDEX(WIP,SMALL(IF(('CURRENT WIP'!$D$1='CURRENT WIP'!$E$22:$E$148),MATCH(ROW(WIP),ROW(WIP)),""),ROW('CURRENT WIP'!O14)),COLUMN('CURRENT WIP'!O14)),"")</f>
        <v/>
      </c>
      <c r="S18" s="48" t="str">
        <f t="array" ref="S18">IFERROR(INDEX(WIP,SMALL(IF(('CURRENT WIP'!$D$1='CURRENT WIP'!$E$22:$E$148),MATCH(ROW(WIP),ROW(WIP)),""),ROW('CURRENT WIP'!P14)),COLUMN('CURRENT WIP'!P14)),"")</f>
        <v/>
      </c>
      <c r="T18" s="68" t="str">
        <f t="array" ref="T18">IFERROR(INDEX(WIP,SMALL(IF(('CURRENT WIP'!$D$1='CURRENT WIP'!$E$22:$E$148),MATCH(ROW(WIP),ROW(WIP)),""),ROW('CURRENT WIP'!Q14)),COLUMN('CURRENT WIP'!Q14)),"")</f>
        <v/>
      </c>
      <c r="U18" s="48" t="str">
        <f t="array" ref="U18">IFERROR(INDEX(WIP,SMALL(IF(('CURRENT WIP'!$D$1='CURRENT WIP'!$E$22:$E$148),MATCH(ROW(WIP),ROW(WIP)),""),ROW('CURRENT WIP'!R14)),COLUMN('CURRENT WIP'!R14)),"")</f>
        <v/>
      </c>
      <c r="V18" s="48" t="str">
        <f t="array" ref="V18">IFERROR(INDEX(WIP,SMALL(IF(('CURRENT WIP'!$D$1='CURRENT WIP'!$E$22:$E$148),MATCH(ROW(WIP),ROW(WIP)),""),ROW('CURRENT WIP'!S14)),COLUMN('CURRENT WIP'!S14)),"")</f>
        <v/>
      </c>
      <c r="W18" s="48" t="str">
        <f t="array" ref="W18">IFERROR(INDEX(WIP,SMALL(IF(('CURRENT WIP'!$D$1='CURRENT WIP'!$E$22:$E$148),MATCH(ROW(WIP),ROW(WIP)),""),ROW('CURRENT WIP'!T14)),COLUMN('CURRENT WIP'!T14)),"")</f>
        <v/>
      </c>
      <c r="X18" s="48" t="str">
        <f t="array" ref="X18">IFERROR(INDEX(WIP,SMALL(IF(('CURRENT WIP'!$D$1='CURRENT WIP'!$E$22:$E$148),MATCH(ROW(WIP),ROW(WIP)),""),ROW('CURRENT WIP'!U14)),COLUMN('CURRENT WIP'!U14)),"")</f>
        <v/>
      </c>
      <c r="Y18" s="521" t="str">
        <f t="shared" si="0"/>
        <v/>
      </c>
      <c r="Z18" s="98"/>
      <c r="AB18" s="527">
        <f t="array" ref="AB18">INDEX(MOVEMENT!$AM$13:$AM$52, SMALL(IF(ISERROR(MATCH(MOVEMENT!$AM$13:$AM$52, MOVEMENT!$E$13:$E$52, 0)), (ROW(MOVEMENT!$AM$13:$AM$52)-MIN(ROW(MOVEMENT!$AM$13:$AM$52))+1), ""), ROW(MOVEMENT!14:14)))</f>
        <v>0</v>
      </c>
      <c r="AC18" s="48" t="e">
        <f>VLOOKUP(AB18,MOVEMENT!AM26:AY67,2,FALSE)</f>
        <v>#N/A</v>
      </c>
      <c r="AD18" s="48" t="e">
        <f>VLOOKUP(AB18,MOVEMENT!AM26:AY67,11,FALSE)</f>
        <v>#N/A</v>
      </c>
      <c r="AE18" s="48" t="e">
        <f>VLOOKUP(AB18,MOVEMENT!AM26:AY67,12,FALSE)</f>
        <v>#N/A</v>
      </c>
      <c r="AF18" s="46" t="e">
        <f>VLOOKUP(AB18,MOVEMENT!AM26:AY67,13,FALSE)</f>
        <v>#N/A</v>
      </c>
    </row>
    <row r="19" spans="4:32">
      <c r="D19" s="47" t="str">
        <f t="array" ref="D19">IFERROR(INDEX(WIP,SMALL(IF(('CURRENT WIP'!$D$1='CURRENT WIP'!$E$22:E162),MATCH(ROW(WIP),ROW(WIP)),""),ROW('CURRENT WIP'!A15)),COLUMN('CURRENT WIP'!A15)),"")</f>
        <v/>
      </c>
      <c r="E19" s="48" t="str">
        <f t="array" ref="E19">IFERROR(INDEX(WIP,SMALL(IF(('CURRENT WIP'!$D$1='CURRENT WIP'!$E$22:$E$148),MATCH(ROW(WIP),ROW(WIP)),""),ROW('CURRENT WIP'!B15)),COLUMN('CURRENT WIP'!B15)),"")</f>
        <v/>
      </c>
      <c r="F19" s="48" t="str">
        <f t="array" ref="F19">IFERROR(INDEX(WIP,SMALL(IF(('CURRENT WIP'!$D$1='CURRENT WIP'!$E$22:$E$148),MATCH(ROW(WIP),ROW(WIP)),""),ROW('CURRENT WIP'!C15)),COLUMN('CURRENT WIP'!C15)),"")</f>
        <v/>
      </c>
      <c r="G19" s="48" t="str">
        <f t="array" ref="G19">IFERROR(INDEX(WIP,SMALL(IF(('CURRENT WIP'!$D$1='CURRENT WIP'!$E$22:$E$148),MATCH(ROW(WIP),ROW(WIP)),""),ROW('CURRENT WIP'!D15)),COLUMN('CURRENT WIP'!D15)),"")</f>
        <v/>
      </c>
      <c r="H19" s="66" t="str">
        <f t="array" ref="H19">IFERROR(INDEX(WIP,SMALL(IF(('CURRENT WIP'!$D$1='CURRENT WIP'!$E$22:$E$148),MATCH(ROW(WIP),ROW(WIP)),""),ROW('CURRENT WIP'!E15)),COLUMN('CURRENT WIP'!E15)),"")</f>
        <v/>
      </c>
      <c r="I19" s="66" t="str">
        <f t="array" ref="I19">IFERROR(INDEX(WIP,SMALL(IF(('CURRENT WIP'!$D$1='CURRENT WIP'!$E$22:$E$148),MATCH(ROW(WIP),ROW(WIP)),""),ROW('CURRENT WIP'!F15)),COLUMN('CURRENT WIP'!F15)),"")</f>
        <v/>
      </c>
      <c r="J19" s="48" t="str">
        <f t="array" ref="J19">IFERROR(INDEX(WIP,SMALL(IF(('CURRENT WIP'!$D$1='CURRENT WIP'!$E$22:$E$148),MATCH(ROW(WIP),ROW(WIP)),""),ROW('CURRENT WIP'!G15)),COLUMN('CURRENT WIP'!G15)),"")</f>
        <v/>
      </c>
      <c r="K19" s="66" t="str">
        <f t="array" ref="K19">IFERROR(INDEX(WIP,SMALL(IF(('CURRENT WIP'!$D$1='CURRENT WIP'!$E$22:$E$148),MATCH(ROW(WIP),ROW(WIP)),""),ROW('CURRENT WIP'!H15)),COLUMN('CURRENT WIP'!H15)),"")</f>
        <v/>
      </c>
      <c r="L19" s="48" t="str">
        <f t="array" ref="L19">IFERROR(INDEX(WIP,SMALL(IF(('CURRENT WIP'!$D$1='CURRENT WIP'!$E$22:$E$148),MATCH(ROW(WIP),ROW(WIP)),""),ROW('CURRENT WIP'!I15)),COLUMN('CURRENT WIP'!I15)),"")</f>
        <v/>
      </c>
      <c r="M19" s="67" t="str">
        <f t="array" ref="M19">IFERROR(INDEX(WIP,SMALL(IF(('CURRENT WIP'!$D$1='CURRENT WIP'!$E$22:$E$148),MATCH(ROW(WIP),ROW(WIP)),""),ROW('CURRENT WIP'!J15)),COLUMN('CURRENT WIP'!J15)),"")</f>
        <v/>
      </c>
      <c r="N19" s="48" t="str">
        <f t="array" ref="N19">IFERROR(INDEX(WIP,SMALL(IF(('CURRENT WIP'!$D$1='CURRENT WIP'!$E$22:$E$148),MATCH(ROW(WIP),ROW(WIP)),""),ROW('CURRENT WIP'!K15)),COLUMN('CURRENT WIP'!K15)),"")</f>
        <v/>
      </c>
      <c r="O19" s="48" t="str">
        <f t="array" ref="O19">IFERROR(INDEX(WIP,SMALL(IF(('CURRENT WIP'!$D$1='CURRENT WIP'!$E$22:$E$148),MATCH(ROW(WIP),ROW(WIP)),""),ROW('CURRENT WIP'!L15)),COLUMN('CURRENT WIP'!L15)),"")</f>
        <v/>
      </c>
      <c r="P19" s="48" t="str">
        <f t="array" ref="P19">IFERROR(INDEX(WIP,SMALL(IF(('CURRENT WIP'!$D$1='CURRENT WIP'!$E$22:$E$148),MATCH(ROW(WIP),ROW(WIP)),""),ROW('CURRENT WIP'!M15)),COLUMN('CURRENT WIP'!M15)),"")</f>
        <v/>
      </c>
      <c r="Q19" s="68" t="str">
        <f t="array" ref="Q19">IFERROR(INDEX(WIP,SMALL(IF(('CURRENT WIP'!$D$1='CURRENT WIP'!$E$22:$E$148),MATCH(ROW(WIP),ROW(WIP)),""),ROW('CURRENT WIP'!N15)),COLUMN('CURRENT WIP'!N15)),"")</f>
        <v/>
      </c>
      <c r="R19" s="48" t="str">
        <f t="array" ref="R19">IFERROR(INDEX(WIP,SMALL(IF(('CURRENT WIP'!$D$1='CURRENT WIP'!$E$22:$E$148),MATCH(ROW(WIP),ROW(WIP)),""),ROW('CURRENT WIP'!O15)),COLUMN('CURRENT WIP'!O15)),"")</f>
        <v/>
      </c>
      <c r="S19" s="48" t="str">
        <f t="array" ref="S19">IFERROR(INDEX(WIP,SMALL(IF(('CURRENT WIP'!$D$1='CURRENT WIP'!$E$22:$E$148),MATCH(ROW(WIP),ROW(WIP)),""),ROW('CURRENT WIP'!P15)),COLUMN('CURRENT WIP'!P15)),"")</f>
        <v/>
      </c>
      <c r="T19" s="68" t="str">
        <f t="array" ref="T19">IFERROR(INDEX(WIP,SMALL(IF(('CURRENT WIP'!$D$1='CURRENT WIP'!$E$22:$E$148),MATCH(ROW(WIP),ROW(WIP)),""),ROW('CURRENT WIP'!Q15)),COLUMN('CURRENT WIP'!Q15)),"")</f>
        <v/>
      </c>
      <c r="U19" s="48" t="str">
        <f t="array" ref="U19">IFERROR(INDEX(WIP,SMALL(IF(('CURRENT WIP'!$D$1='CURRENT WIP'!$E$22:$E$148),MATCH(ROW(WIP),ROW(WIP)),""),ROW('CURRENT WIP'!R15)),COLUMN('CURRENT WIP'!R15)),"")</f>
        <v/>
      </c>
      <c r="V19" s="48" t="str">
        <f t="array" ref="V19">IFERROR(INDEX(WIP,SMALL(IF(('CURRENT WIP'!$D$1='CURRENT WIP'!$E$22:$E$148),MATCH(ROW(WIP),ROW(WIP)),""),ROW('CURRENT WIP'!S15)),COLUMN('CURRENT WIP'!S15)),"")</f>
        <v/>
      </c>
      <c r="W19" s="48" t="str">
        <f t="array" ref="W19">IFERROR(INDEX(WIP,SMALL(IF(('CURRENT WIP'!$D$1='CURRENT WIP'!$E$22:$E$148),MATCH(ROW(WIP),ROW(WIP)),""),ROW('CURRENT WIP'!T15)),COLUMN('CURRENT WIP'!T15)),"")</f>
        <v/>
      </c>
      <c r="X19" s="48" t="str">
        <f t="array" ref="X19">IFERROR(INDEX(WIP,SMALL(IF(('CURRENT WIP'!$D$1='CURRENT WIP'!$E$22:$E$148),MATCH(ROW(WIP),ROW(WIP)),""),ROW('CURRENT WIP'!U15)),COLUMN('CURRENT WIP'!U15)),"")</f>
        <v/>
      </c>
      <c r="Y19" s="521" t="str">
        <f>IF(M19="A", N19-(N19*0.27), IF(M19="F", N19-(N19*0.47), IF(M19="D", N19-(N19*0.7), N19)))</f>
        <v/>
      </c>
      <c r="Z19" s="98"/>
      <c r="AB19" s="527">
        <f t="array" ref="AB19">INDEX(MOVEMENT!$AM$13:$AM$52, SMALL(IF(ISERROR(MATCH(MOVEMENT!$AM$13:$AM$52, MOVEMENT!$E$13:$E$52, 0)), (ROW(MOVEMENT!$AM$13:$AM$52)-MIN(ROW(MOVEMENT!$AM$13:$AM$52))+1), ""), ROW(MOVEMENT!15:15)))</f>
        <v>0</v>
      </c>
      <c r="AC19" s="48" t="e">
        <f>VLOOKUP(AB19,MOVEMENT!AM27:AY68,2,FALSE)</f>
        <v>#N/A</v>
      </c>
      <c r="AD19" s="48" t="e">
        <f>VLOOKUP(AB19,MOVEMENT!AM27:AY68,11,FALSE)</f>
        <v>#N/A</v>
      </c>
      <c r="AE19" s="48" t="e">
        <f>VLOOKUP(AB19,MOVEMENT!AM27:AY68,12,FALSE)</f>
        <v>#N/A</v>
      </c>
      <c r="AF19" s="46" t="e">
        <f>VLOOKUP(AB19,MOVEMENT!AM27:AY68,13,FALSE)</f>
        <v>#N/A</v>
      </c>
    </row>
    <row r="20" spans="4:32">
      <c r="D20" s="47" t="str">
        <f t="array" ref="D20">IFERROR(INDEX(WIP,SMALL(IF(('CURRENT WIP'!$D$1='CURRENT WIP'!$E$22:E163),MATCH(ROW(WIP),ROW(WIP)),""),ROW('CURRENT WIP'!A16)),COLUMN('CURRENT WIP'!A16)),"")</f>
        <v/>
      </c>
      <c r="E20" s="48" t="str">
        <f t="array" ref="E20">IFERROR(INDEX(WIP,SMALL(IF(('CURRENT WIP'!$D$1='CURRENT WIP'!$E$22:$E$148),MATCH(ROW(WIP),ROW(WIP)),""),ROW('CURRENT WIP'!B16)),COLUMN('CURRENT WIP'!B16)),"")</f>
        <v/>
      </c>
      <c r="F20" s="48" t="str">
        <f t="array" ref="F20">IFERROR(INDEX(WIP,SMALL(IF(('CURRENT WIP'!$D$1='CURRENT WIP'!$E$22:$E$148),MATCH(ROW(WIP),ROW(WIP)),""),ROW('CURRENT WIP'!C16)),COLUMN('CURRENT WIP'!C16)),"")</f>
        <v/>
      </c>
      <c r="G20" s="48" t="str">
        <f t="array" ref="G20">IFERROR(INDEX(WIP,SMALL(IF(('CURRENT WIP'!$D$1='CURRENT WIP'!$E$22:$E$148),MATCH(ROW(WIP),ROW(WIP)),""),ROW('CURRENT WIP'!D16)),COLUMN('CURRENT WIP'!D16)),"")</f>
        <v/>
      </c>
      <c r="H20" s="66" t="str">
        <f t="array" ref="H20">IFERROR(INDEX(WIP,SMALL(IF(('CURRENT WIP'!$D$1='CURRENT WIP'!$E$22:$E$148),MATCH(ROW(WIP),ROW(WIP)),""),ROW('CURRENT WIP'!E16)),COLUMN('CURRENT WIP'!E16)),"")</f>
        <v/>
      </c>
      <c r="I20" s="66" t="str">
        <f t="array" ref="I20">IFERROR(INDEX(WIP,SMALL(IF(('CURRENT WIP'!$D$1='CURRENT WIP'!$E$22:$E$148),MATCH(ROW(WIP),ROW(WIP)),""),ROW('CURRENT WIP'!F16)),COLUMN('CURRENT WIP'!F16)),"")</f>
        <v/>
      </c>
      <c r="J20" s="48" t="str">
        <f t="array" ref="J20">IFERROR(INDEX(WIP,SMALL(IF(('CURRENT WIP'!$D$1='CURRENT WIP'!$E$22:$E$148),MATCH(ROW(WIP),ROW(WIP)),""),ROW('CURRENT WIP'!G16)),COLUMN('CURRENT WIP'!G16)),"")</f>
        <v/>
      </c>
      <c r="K20" s="66" t="str">
        <f t="array" ref="K20">IFERROR(INDEX(WIP,SMALL(IF(('CURRENT WIP'!$D$1='CURRENT WIP'!$E$22:$E$148),MATCH(ROW(WIP),ROW(WIP)),""),ROW('CURRENT WIP'!H16)),COLUMN('CURRENT WIP'!H16)),"")</f>
        <v/>
      </c>
      <c r="L20" s="48" t="str">
        <f t="array" ref="L20">IFERROR(INDEX(WIP,SMALL(IF(('CURRENT WIP'!$D$1='CURRENT WIP'!$E$22:$E$148),MATCH(ROW(WIP),ROW(WIP)),""),ROW('CURRENT WIP'!I16)),COLUMN('CURRENT WIP'!I16)),"")</f>
        <v/>
      </c>
      <c r="M20" s="67" t="str">
        <f t="array" ref="M20">IFERROR(INDEX(WIP,SMALL(IF(('CURRENT WIP'!$D$1='CURRENT WIP'!$E$22:$E$148),MATCH(ROW(WIP),ROW(WIP)),""),ROW('CURRENT WIP'!J16)),COLUMN('CURRENT WIP'!J16)),"")</f>
        <v/>
      </c>
      <c r="N20" s="48" t="str">
        <f t="array" ref="N20">IFERROR(INDEX(WIP,SMALL(IF(('CURRENT WIP'!$D$1='CURRENT WIP'!$E$22:$E$148),MATCH(ROW(WIP),ROW(WIP)),""),ROW('CURRENT WIP'!K16)),COLUMN('CURRENT WIP'!K16)),"")</f>
        <v/>
      </c>
      <c r="O20" s="48" t="str">
        <f t="array" ref="O20">IFERROR(INDEX(WIP,SMALL(IF(('CURRENT WIP'!$D$1='CURRENT WIP'!$E$22:$E$148),MATCH(ROW(WIP),ROW(WIP)),""),ROW('CURRENT WIP'!L16)),COLUMN('CURRENT WIP'!L16)),"")</f>
        <v/>
      </c>
      <c r="P20" s="48" t="str">
        <f t="array" ref="P20">IFERROR(INDEX(WIP,SMALL(IF(('CURRENT WIP'!$D$1='CURRENT WIP'!$E$22:$E$148),MATCH(ROW(WIP),ROW(WIP)),""),ROW('CURRENT WIP'!M16)),COLUMN('CURRENT WIP'!M16)),"")</f>
        <v/>
      </c>
      <c r="Q20" s="68" t="str">
        <f t="array" ref="Q20">IFERROR(INDEX(WIP,SMALL(IF(('CURRENT WIP'!$D$1='CURRENT WIP'!$E$22:$E$148),MATCH(ROW(WIP),ROW(WIP)),""),ROW('CURRENT WIP'!N16)),COLUMN('CURRENT WIP'!N16)),"")</f>
        <v/>
      </c>
      <c r="R20" s="48" t="str">
        <f t="array" ref="R20">IFERROR(INDEX(WIP,SMALL(IF(('CURRENT WIP'!$D$1='CURRENT WIP'!$E$22:$E$148),MATCH(ROW(WIP),ROW(WIP)),""),ROW('CURRENT WIP'!O16)),COLUMN('CURRENT WIP'!O16)),"")</f>
        <v/>
      </c>
      <c r="S20" s="48" t="str">
        <f t="array" ref="S20">IFERROR(INDEX(WIP,SMALL(IF(('CURRENT WIP'!$D$1='CURRENT WIP'!$E$22:$E$148),MATCH(ROW(WIP),ROW(WIP)),""),ROW('CURRENT WIP'!P16)),COLUMN('CURRENT WIP'!P16)),"")</f>
        <v/>
      </c>
      <c r="T20" s="68" t="str">
        <f t="array" ref="T20">IFERROR(INDEX(WIP,SMALL(IF(('CURRENT WIP'!$D$1='CURRENT WIP'!$E$22:$E$148),MATCH(ROW(WIP),ROW(WIP)),""),ROW('CURRENT WIP'!Q16)),COLUMN('CURRENT WIP'!Q16)),"")</f>
        <v/>
      </c>
      <c r="U20" s="48" t="str">
        <f t="array" ref="U20">IFERROR(INDEX(WIP,SMALL(IF(('CURRENT WIP'!$D$1='CURRENT WIP'!$E$22:$E$148),MATCH(ROW(WIP),ROW(WIP)),""),ROW('CURRENT WIP'!R16)),COLUMN('CURRENT WIP'!R16)),"")</f>
        <v/>
      </c>
      <c r="V20" s="48" t="str">
        <f t="array" ref="V20">IFERROR(INDEX(WIP,SMALL(IF(('CURRENT WIP'!$D$1='CURRENT WIP'!$E$22:$E$148),MATCH(ROW(WIP),ROW(WIP)),""),ROW('CURRENT WIP'!S16)),COLUMN('CURRENT WIP'!S16)),"")</f>
        <v/>
      </c>
      <c r="W20" s="48" t="str">
        <f t="array" ref="W20">IFERROR(INDEX(WIP,SMALL(IF(('CURRENT WIP'!$D$1='CURRENT WIP'!$E$22:$E$148),MATCH(ROW(WIP),ROW(WIP)),""),ROW('CURRENT WIP'!T16)),COLUMN('CURRENT WIP'!T16)),"")</f>
        <v/>
      </c>
      <c r="X20" s="48" t="str">
        <f t="array" ref="X20">IFERROR(INDEX(WIP,SMALL(IF(('CURRENT WIP'!$D$1='CURRENT WIP'!$E$22:$E$148),MATCH(ROW(WIP),ROW(WIP)),""),ROW('CURRENT WIP'!U16)),COLUMN('CURRENT WIP'!U16)),"")</f>
        <v/>
      </c>
      <c r="Y20" s="521" t="str">
        <f t="shared" si="0"/>
        <v/>
      </c>
      <c r="Z20" s="98"/>
      <c r="AB20" s="527">
        <f t="array" ref="AB20">INDEX(MOVEMENT!$AM$13:$AM$52, SMALL(IF(ISERROR(MATCH(MOVEMENT!$AM$13:$AM$52, MOVEMENT!$E$13:$E$52, 0)), (ROW(MOVEMENT!$AM$13:$AM$52)-MIN(ROW(MOVEMENT!$AM$13:$AM$52))+1), ""), ROW(MOVEMENT!16:16)))</f>
        <v>0</v>
      </c>
      <c r="AC20" s="48" t="e">
        <f>VLOOKUP(AB20,MOVEMENT!AM28:AY69,2,FALSE)</f>
        <v>#N/A</v>
      </c>
      <c r="AD20" s="48" t="e">
        <f>VLOOKUP(AB20,MOVEMENT!AM28:AY69,11,FALSE)</f>
        <v>#N/A</v>
      </c>
      <c r="AE20" s="48" t="e">
        <f>VLOOKUP(AB20,MOVEMENT!AM28:AY69,12,FALSE)</f>
        <v>#N/A</v>
      </c>
      <c r="AF20" s="46" t="e">
        <f>VLOOKUP(AB20,MOVEMENT!AM28:AY69,13,FALSE)</f>
        <v>#N/A</v>
      </c>
    </row>
    <row r="21" spans="4:32">
      <c r="D21" s="47" t="str">
        <f t="array" ref="D21">IFERROR(INDEX(WIP,SMALL(IF(('CURRENT WIP'!$D$1='CURRENT WIP'!$E$22:E164),MATCH(ROW(WIP),ROW(WIP)),""),ROW('CURRENT WIP'!A17)),COLUMN('CURRENT WIP'!A17)),"")</f>
        <v/>
      </c>
      <c r="E21" s="48" t="str">
        <f t="array" ref="E21">IFERROR(INDEX(WIP,SMALL(IF(('CURRENT WIP'!$D$1='CURRENT WIP'!$E$22:$E$148),MATCH(ROW(WIP),ROW(WIP)),""),ROW('CURRENT WIP'!B17)),COLUMN('CURRENT WIP'!B17)),"")</f>
        <v/>
      </c>
      <c r="F21" s="48" t="str">
        <f t="array" ref="F21">IFERROR(INDEX(WIP,SMALL(IF(('CURRENT WIP'!$D$1='CURRENT WIP'!$E$22:$E$148),MATCH(ROW(WIP),ROW(WIP)),""),ROW('CURRENT WIP'!C17)),COLUMN('CURRENT WIP'!C17)),"")</f>
        <v/>
      </c>
      <c r="G21" s="48" t="str">
        <f t="array" ref="G21">IFERROR(INDEX(WIP,SMALL(IF(('CURRENT WIP'!$D$1='CURRENT WIP'!$E$22:$E$148),MATCH(ROW(WIP),ROW(WIP)),""),ROW('CURRENT WIP'!D17)),COLUMN('CURRENT WIP'!D17)),"")</f>
        <v/>
      </c>
      <c r="H21" s="66" t="str">
        <f t="array" ref="H21">IFERROR(INDEX(WIP,SMALL(IF(('CURRENT WIP'!$D$1='CURRENT WIP'!$E$22:$E$148),MATCH(ROW(WIP),ROW(WIP)),""),ROW('CURRENT WIP'!E17)),COLUMN('CURRENT WIP'!E17)),"")</f>
        <v/>
      </c>
      <c r="I21" s="66" t="str">
        <f t="array" ref="I21">IFERROR(INDEX(WIP,SMALL(IF(('CURRENT WIP'!$D$1='CURRENT WIP'!$E$22:$E$148),MATCH(ROW(WIP),ROW(WIP)),""),ROW('CURRENT WIP'!F17)),COLUMN('CURRENT WIP'!F17)),"")</f>
        <v/>
      </c>
      <c r="J21" s="48" t="str">
        <f t="array" ref="J21">IFERROR(INDEX(WIP,SMALL(IF(('CURRENT WIP'!$D$1='CURRENT WIP'!$E$22:$E$148),MATCH(ROW(WIP),ROW(WIP)),""),ROW('CURRENT WIP'!G17)),COLUMN('CURRENT WIP'!G17)),"")</f>
        <v/>
      </c>
      <c r="K21" s="66" t="str">
        <f t="array" ref="K21">IFERROR(INDEX(WIP,SMALL(IF(('CURRENT WIP'!$D$1='CURRENT WIP'!$E$22:$E$148),MATCH(ROW(WIP),ROW(WIP)),""),ROW('CURRENT WIP'!H17)),COLUMN('CURRENT WIP'!H17)),"")</f>
        <v/>
      </c>
      <c r="L21" s="48" t="str">
        <f t="array" ref="L21">IFERROR(INDEX(WIP,SMALL(IF(('CURRENT WIP'!$D$1='CURRENT WIP'!$E$22:$E$148),MATCH(ROW(WIP),ROW(WIP)),""),ROW('CURRENT WIP'!I17)),COLUMN('CURRENT WIP'!I17)),"")</f>
        <v/>
      </c>
      <c r="M21" s="67" t="str">
        <f t="array" ref="M21">IFERROR(INDEX(WIP,SMALL(IF(('CURRENT WIP'!$D$1='CURRENT WIP'!$E$22:$E$148),MATCH(ROW(WIP),ROW(WIP)),""),ROW('CURRENT WIP'!J17)),COLUMN('CURRENT WIP'!J17)),"")</f>
        <v/>
      </c>
      <c r="N21" s="48" t="str">
        <f t="array" ref="N21">IFERROR(INDEX(WIP,SMALL(IF(('CURRENT WIP'!$D$1='CURRENT WIP'!$E$22:$E$148),MATCH(ROW(WIP),ROW(WIP)),""),ROW('CURRENT WIP'!K17)),COLUMN('CURRENT WIP'!K17)),"")</f>
        <v/>
      </c>
      <c r="O21" s="48" t="str">
        <f t="array" ref="O21">IFERROR(INDEX(WIP,SMALL(IF(('CURRENT WIP'!$D$1='CURRENT WIP'!$E$22:$E$148),MATCH(ROW(WIP),ROW(WIP)),""),ROW('CURRENT WIP'!L17)),COLUMN('CURRENT WIP'!L17)),"")</f>
        <v/>
      </c>
      <c r="P21" s="48" t="str">
        <f t="array" ref="P21">IFERROR(INDEX(WIP,SMALL(IF(('CURRENT WIP'!$D$1='CURRENT WIP'!$E$22:$E$148),MATCH(ROW(WIP),ROW(WIP)),""),ROW('CURRENT WIP'!M17)),COLUMN('CURRENT WIP'!M17)),"")</f>
        <v/>
      </c>
      <c r="Q21" s="68" t="str">
        <f t="array" ref="Q21">IFERROR(INDEX(WIP,SMALL(IF(('CURRENT WIP'!$D$1='CURRENT WIP'!$E$22:$E$148),MATCH(ROW(WIP),ROW(WIP)),""),ROW('CURRENT WIP'!N17)),COLUMN('CURRENT WIP'!N17)),"")</f>
        <v/>
      </c>
      <c r="R21" s="48" t="str">
        <f t="array" ref="R21">IFERROR(INDEX(WIP,SMALL(IF(('CURRENT WIP'!$D$1='CURRENT WIP'!$E$22:$E$148),MATCH(ROW(WIP),ROW(WIP)),""),ROW('CURRENT WIP'!O17)),COLUMN('CURRENT WIP'!O17)),"")</f>
        <v/>
      </c>
      <c r="S21" s="48" t="str">
        <f t="array" ref="S21">IFERROR(INDEX(WIP,SMALL(IF(('CURRENT WIP'!$D$1='CURRENT WIP'!$E$22:$E$148),MATCH(ROW(WIP),ROW(WIP)),""),ROW('CURRENT WIP'!P17)),COLUMN('CURRENT WIP'!P17)),"")</f>
        <v/>
      </c>
      <c r="T21" s="68" t="str">
        <f t="array" ref="T21">IFERROR(INDEX(WIP,SMALL(IF(('CURRENT WIP'!$D$1='CURRENT WIP'!$E$22:$E$148),MATCH(ROW(WIP),ROW(WIP)),""),ROW('CURRENT WIP'!Q17)),COLUMN('CURRENT WIP'!Q17)),"")</f>
        <v/>
      </c>
      <c r="U21" s="48" t="str">
        <f t="array" ref="U21">IFERROR(INDEX(WIP,SMALL(IF(('CURRENT WIP'!$D$1='CURRENT WIP'!$E$22:$E$148),MATCH(ROW(WIP),ROW(WIP)),""),ROW('CURRENT WIP'!R17)),COLUMN('CURRENT WIP'!R17)),"")</f>
        <v/>
      </c>
      <c r="V21" s="48" t="str">
        <f t="array" ref="V21">IFERROR(INDEX(WIP,SMALL(IF(('CURRENT WIP'!$D$1='CURRENT WIP'!$E$22:$E$148),MATCH(ROW(WIP),ROW(WIP)),""),ROW('CURRENT WIP'!S17)),COLUMN('CURRENT WIP'!S17)),"")</f>
        <v/>
      </c>
      <c r="W21" s="48" t="str">
        <f t="array" ref="W21">IFERROR(INDEX(WIP,SMALL(IF(('CURRENT WIP'!$D$1='CURRENT WIP'!$E$22:$E$148),MATCH(ROW(WIP),ROW(WIP)),""),ROW('CURRENT WIP'!T17)),COLUMN('CURRENT WIP'!T17)),"")</f>
        <v/>
      </c>
      <c r="X21" s="48" t="str">
        <f t="array" ref="X21">IFERROR(INDEX(WIP,SMALL(IF(('CURRENT WIP'!$D$1='CURRENT WIP'!$E$22:$E$148),MATCH(ROW(WIP),ROW(WIP)),""),ROW('CURRENT WIP'!U17)),COLUMN('CURRENT WIP'!U17)),"")</f>
        <v/>
      </c>
      <c r="Y21" s="521" t="str">
        <f>IF(M21="A", N21-(N21*0.27), IF(M21="F", N21-(N21*0.47), IF(M21="D", N21-(N21*0.7), N21)))</f>
        <v/>
      </c>
      <c r="Z21" s="98"/>
      <c r="AB21" s="527">
        <f t="array" ref="AB21">INDEX(MOVEMENT!$AM$13:$AM$52, SMALL(IF(ISERROR(MATCH(MOVEMENT!$AM$13:$AM$52, MOVEMENT!$E$13:$E$52, 0)), (ROW(MOVEMENT!$AM$13:$AM$52)-MIN(ROW(MOVEMENT!$AM$13:$AM$52))+1), ""), ROW(MOVEMENT!17:17)))</f>
        <v>0</v>
      </c>
      <c r="AC21" s="48" t="e">
        <f>VLOOKUP(AB21,MOVEMENT!AM29:AY70,2,FALSE)</f>
        <v>#N/A</v>
      </c>
      <c r="AD21" s="48" t="e">
        <f>VLOOKUP(AB21,MOVEMENT!AM29:AY70,11,FALSE)</f>
        <v>#N/A</v>
      </c>
      <c r="AE21" s="48" t="e">
        <f>VLOOKUP(AB21,MOVEMENT!AM29:AY70,12,FALSE)</f>
        <v>#N/A</v>
      </c>
      <c r="AF21" s="46" t="e">
        <f>VLOOKUP(AB21,MOVEMENT!AM29:AY70,13,FALSE)</f>
        <v>#N/A</v>
      </c>
    </row>
    <row r="22" spans="4:32">
      <c r="D22" s="47" t="str">
        <f t="array" ref="D22">IFERROR(INDEX(WIP,SMALL(IF(('CURRENT WIP'!$D$1='CURRENT WIP'!$E$22:E165),MATCH(ROW(WIP),ROW(WIP)),""),ROW('CURRENT WIP'!A18)),COLUMN('CURRENT WIP'!A18)),"")</f>
        <v/>
      </c>
      <c r="E22" s="48" t="str">
        <f t="array" ref="E22">IFERROR(INDEX(WIP,SMALL(IF(('CURRENT WIP'!$D$1='CURRENT WIP'!$E$22:$E$148),MATCH(ROW(WIP),ROW(WIP)),""),ROW('CURRENT WIP'!B18)),COLUMN('CURRENT WIP'!B18)),"")</f>
        <v/>
      </c>
      <c r="F22" s="48" t="str">
        <f t="array" ref="F22">IFERROR(INDEX(WIP,SMALL(IF(('CURRENT WIP'!$D$1='CURRENT WIP'!$E$22:$E$148),MATCH(ROW(WIP),ROW(WIP)),""),ROW('CURRENT WIP'!C18)),COLUMN('CURRENT WIP'!C18)),"")</f>
        <v/>
      </c>
      <c r="G22" s="48" t="str">
        <f t="array" ref="G22">IFERROR(INDEX(WIP,SMALL(IF(('CURRENT WIP'!$D$1='CURRENT WIP'!$E$22:$E$148),MATCH(ROW(WIP),ROW(WIP)),""),ROW('CURRENT WIP'!D18)),COLUMN('CURRENT WIP'!D18)),"")</f>
        <v/>
      </c>
      <c r="H22" s="66" t="str">
        <f t="array" ref="H22">IFERROR(INDEX(WIP,SMALL(IF(('CURRENT WIP'!$D$1='CURRENT WIP'!$E$22:$E$148),MATCH(ROW(WIP),ROW(WIP)),""),ROW('CURRENT WIP'!E18)),COLUMN('CURRENT WIP'!E18)),"")</f>
        <v/>
      </c>
      <c r="I22" s="66" t="str">
        <f t="array" ref="I22">IFERROR(INDEX(WIP,SMALL(IF(('CURRENT WIP'!$D$1='CURRENT WIP'!$E$22:$E$148),MATCH(ROW(WIP),ROW(WIP)),""),ROW('CURRENT WIP'!F18)),COLUMN('CURRENT WIP'!F18)),"")</f>
        <v/>
      </c>
      <c r="J22" s="48" t="str">
        <f t="array" ref="J22">IFERROR(INDEX(WIP,SMALL(IF(('CURRENT WIP'!$D$1='CURRENT WIP'!$E$22:$E$148),MATCH(ROW(WIP),ROW(WIP)),""),ROW('CURRENT WIP'!G18)),COLUMN('CURRENT WIP'!G18)),"")</f>
        <v/>
      </c>
      <c r="K22" s="66" t="str">
        <f t="array" ref="K22">IFERROR(INDEX(WIP,SMALL(IF(('CURRENT WIP'!$D$1='CURRENT WIP'!$E$22:$E$148),MATCH(ROW(WIP),ROW(WIP)),""),ROW('CURRENT WIP'!H18)),COLUMN('CURRENT WIP'!H18)),"")</f>
        <v/>
      </c>
      <c r="L22" s="48" t="str">
        <f t="array" ref="L22">IFERROR(INDEX(WIP,SMALL(IF(('CURRENT WIP'!$D$1='CURRENT WIP'!$E$22:$E$148),MATCH(ROW(WIP),ROW(WIP)),""),ROW('CURRENT WIP'!I18)),COLUMN('CURRENT WIP'!I18)),"")</f>
        <v/>
      </c>
      <c r="M22" s="67" t="str">
        <f t="array" ref="M22">IFERROR(INDEX(WIP,SMALL(IF(('CURRENT WIP'!$D$1='CURRENT WIP'!$E$22:$E$148),MATCH(ROW(WIP),ROW(WIP)),""),ROW('CURRENT WIP'!J18)),COLUMN('CURRENT WIP'!J18)),"")</f>
        <v/>
      </c>
      <c r="N22" s="48" t="str">
        <f t="array" ref="N22">IFERROR(INDEX(WIP,SMALL(IF(('CURRENT WIP'!$D$1='CURRENT WIP'!$E$22:$E$148),MATCH(ROW(WIP),ROW(WIP)),""),ROW('CURRENT WIP'!K18)),COLUMN('CURRENT WIP'!K18)),"")</f>
        <v/>
      </c>
      <c r="O22" s="48" t="str">
        <f t="array" ref="O22">IFERROR(INDEX(WIP,SMALL(IF(('CURRENT WIP'!$D$1='CURRENT WIP'!$E$22:$E$148),MATCH(ROW(WIP),ROW(WIP)),""),ROW('CURRENT WIP'!L18)),COLUMN('CURRENT WIP'!L18)),"")</f>
        <v/>
      </c>
      <c r="P22" s="48" t="str">
        <f t="array" ref="P22">IFERROR(INDEX(WIP,SMALL(IF(('CURRENT WIP'!$D$1='CURRENT WIP'!$E$22:$E$148),MATCH(ROW(WIP),ROW(WIP)),""),ROW('CURRENT WIP'!M18)),COLUMN('CURRENT WIP'!M18)),"")</f>
        <v/>
      </c>
      <c r="Q22" s="68" t="str">
        <f t="array" ref="Q22">IFERROR(INDEX(WIP,SMALL(IF(('CURRENT WIP'!$D$1='CURRENT WIP'!$E$22:$E$148),MATCH(ROW(WIP),ROW(WIP)),""),ROW('CURRENT WIP'!N18)),COLUMN('CURRENT WIP'!N18)),"")</f>
        <v/>
      </c>
      <c r="R22" s="48" t="str">
        <f t="array" ref="R22">IFERROR(INDEX(WIP,SMALL(IF(('CURRENT WIP'!$D$1='CURRENT WIP'!$E$22:$E$148),MATCH(ROW(WIP),ROW(WIP)),""),ROW('CURRENT WIP'!O18)),COLUMN('CURRENT WIP'!O18)),"")</f>
        <v/>
      </c>
      <c r="S22" s="48" t="str">
        <f t="array" ref="S22">IFERROR(INDEX(WIP,SMALL(IF(('CURRENT WIP'!$D$1='CURRENT WIP'!$E$22:$E$148),MATCH(ROW(WIP),ROW(WIP)),""),ROW('CURRENT WIP'!P18)),COLUMN('CURRENT WIP'!P18)),"")</f>
        <v/>
      </c>
      <c r="T22" s="68" t="str">
        <f t="array" ref="T22">IFERROR(INDEX(WIP,SMALL(IF(('CURRENT WIP'!$D$1='CURRENT WIP'!$E$22:$E$148),MATCH(ROW(WIP),ROW(WIP)),""),ROW('CURRENT WIP'!Q18)),COLUMN('CURRENT WIP'!Q18)),"")</f>
        <v/>
      </c>
      <c r="U22" s="48" t="str">
        <f t="array" ref="U22">IFERROR(INDEX(WIP,SMALL(IF(('CURRENT WIP'!$D$1='CURRENT WIP'!$E$22:$E$148),MATCH(ROW(WIP),ROW(WIP)),""),ROW('CURRENT WIP'!R18)),COLUMN('CURRENT WIP'!R18)),"")</f>
        <v/>
      </c>
      <c r="V22" s="48" t="str">
        <f t="array" ref="V22">IFERROR(INDEX(WIP,SMALL(IF(('CURRENT WIP'!$D$1='CURRENT WIP'!$E$22:$E$148),MATCH(ROW(WIP),ROW(WIP)),""),ROW('CURRENT WIP'!S18)),COLUMN('CURRENT WIP'!S18)),"")</f>
        <v/>
      </c>
      <c r="W22" s="48" t="str">
        <f t="array" ref="W22">IFERROR(INDEX(WIP,SMALL(IF(('CURRENT WIP'!$D$1='CURRENT WIP'!$E$22:$E$148),MATCH(ROW(WIP),ROW(WIP)),""),ROW('CURRENT WIP'!T18)),COLUMN('CURRENT WIP'!T18)),"")</f>
        <v/>
      </c>
      <c r="X22" s="48" t="str">
        <f t="array" ref="X22">IFERROR(INDEX(WIP,SMALL(IF(('CURRENT WIP'!$D$1='CURRENT WIP'!$E$22:$E$148),MATCH(ROW(WIP),ROW(WIP)),""),ROW('CURRENT WIP'!U18)),COLUMN('CURRENT WIP'!U18)),"")</f>
        <v/>
      </c>
      <c r="Y22" s="521" t="str">
        <f t="shared" si="0"/>
        <v/>
      </c>
      <c r="Z22" s="98"/>
      <c r="AB22" s="527">
        <f t="array" ref="AB22">INDEX(MOVEMENT!$AM$13:$AM$52, SMALL(IF(ISERROR(MATCH(MOVEMENT!$AM$13:$AM$52, MOVEMENT!$E$13:$E$52, 0)), (ROW(MOVEMENT!$AM$13:$AM$52)-MIN(ROW(MOVEMENT!$AM$13:$AM$52))+1), ""), ROW(MOVEMENT!18:18)))</f>
        <v>0</v>
      </c>
      <c r="AC22" s="48" t="e">
        <f>VLOOKUP(AB22,MOVEMENT!AM30:AY71,2,FALSE)</f>
        <v>#N/A</v>
      </c>
      <c r="AD22" s="48" t="e">
        <f>VLOOKUP(AB22,MOVEMENT!AM30:AY71,11,FALSE)</f>
        <v>#N/A</v>
      </c>
      <c r="AE22" s="48" t="e">
        <f>VLOOKUP(AB22,MOVEMENT!AM30:AY71,12,FALSE)</f>
        <v>#N/A</v>
      </c>
      <c r="AF22" s="46" t="e">
        <f>VLOOKUP(AB22,MOVEMENT!AM30:AY71,13,FALSE)</f>
        <v>#N/A</v>
      </c>
    </row>
    <row r="23" spans="4:32">
      <c r="D23" s="47" t="str">
        <f t="array" ref="D23">IFERROR(INDEX(WIP,SMALL(IF(('CURRENT WIP'!$D$1='CURRENT WIP'!$E$22:E166),MATCH(ROW(WIP),ROW(WIP)),""),ROW('CURRENT WIP'!A19)),COLUMN('CURRENT WIP'!A19)),"")</f>
        <v/>
      </c>
      <c r="E23" s="48" t="str">
        <f t="array" ref="E23">IFERROR(INDEX(WIP,SMALL(IF(('CURRENT WIP'!$D$1='CURRENT WIP'!$E$22:$E$148),MATCH(ROW(WIP),ROW(WIP)),""),ROW('CURRENT WIP'!B19)),COLUMN('CURRENT WIP'!B19)),"")</f>
        <v/>
      </c>
      <c r="F23" s="48" t="str">
        <f t="array" ref="F23">IFERROR(INDEX(WIP,SMALL(IF(('CURRENT WIP'!$D$1='CURRENT WIP'!$E$22:$E$148),MATCH(ROW(WIP),ROW(WIP)),""),ROW('CURRENT WIP'!C19)),COLUMN('CURRENT WIP'!C19)),"")</f>
        <v/>
      </c>
      <c r="G23" s="48" t="str">
        <f t="array" ref="G23">IFERROR(INDEX(WIP,SMALL(IF(('CURRENT WIP'!$D$1='CURRENT WIP'!$E$22:$E$148),MATCH(ROW(WIP),ROW(WIP)),""),ROW('CURRENT WIP'!D19)),COLUMN('CURRENT WIP'!D19)),"")</f>
        <v/>
      </c>
      <c r="H23" s="66" t="str">
        <f t="array" ref="H23">IFERROR(INDEX(WIP,SMALL(IF(('CURRENT WIP'!$D$1='CURRENT WIP'!$E$22:$E$148),MATCH(ROW(WIP),ROW(WIP)),""),ROW('CURRENT WIP'!E19)),COLUMN('CURRENT WIP'!E19)),"")</f>
        <v/>
      </c>
      <c r="I23" s="66" t="str">
        <f t="array" ref="I23">IFERROR(INDEX(WIP,SMALL(IF(('CURRENT WIP'!$D$1='CURRENT WIP'!$E$22:$E$148),MATCH(ROW(WIP),ROW(WIP)),""),ROW('CURRENT WIP'!F19)),COLUMN('CURRENT WIP'!F19)),"")</f>
        <v/>
      </c>
      <c r="J23" s="48" t="str">
        <f t="array" ref="J23">IFERROR(INDEX(WIP,SMALL(IF(('CURRENT WIP'!$D$1='CURRENT WIP'!$E$22:$E$148),MATCH(ROW(WIP),ROW(WIP)),""),ROW('CURRENT WIP'!G19)),COLUMN('CURRENT WIP'!G19)),"")</f>
        <v/>
      </c>
      <c r="K23" s="66" t="str">
        <f t="array" ref="K23">IFERROR(INDEX(WIP,SMALL(IF(('CURRENT WIP'!$D$1='CURRENT WIP'!$E$22:$E$148),MATCH(ROW(WIP),ROW(WIP)),""),ROW('CURRENT WIP'!H19)),COLUMN('CURRENT WIP'!H19)),"")</f>
        <v/>
      </c>
      <c r="L23" s="48" t="str">
        <f t="array" ref="L23">IFERROR(INDEX(WIP,SMALL(IF(('CURRENT WIP'!$D$1='CURRENT WIP'!$E$22:$E$148),MATCH(ROW(WIP),ROW(WIP)),""),ROW('CURRENT WIP'!I19)),COLUMN('CURRENT WIP'!I19)),"")</f>
        <v/>
      </c>
      <c r="M23" s="67" t="str">
        <f t="array" ref="M23">IFERROR(INDEX(WIP,SMALL(IF(('CURRENT WIP'!$D$1='CURRENT WIP'!$E$22:$E$148),MATCH(ROW(WIP),ROW(WIP)),""),ROW('CURRENT WIP'!J19)),COLUMN('CURRENT WIP'!J19)),"")</f>
        <v/>
      </c>
      <c r="N23" s="48" t="str">
        <f t="array" ref="N23">IFERROR(INDEX(WIP,SMALL(IF(('CURRENT WIP'!$D$1='CURRENT WIP'!$E$22:$E$148),MATCH(ROW(WIP),ROW(WIP)),""),ROW('CURRENT WIP'!K19)),COLUMN('CURRENT WIP'!K19)),"")</f>
        <v/>
      </c>
      <c r="O23" s="48" t="str">
        <f t="array" ref="O23">IFERROR(INDEX(WIP,SMALL(IF(('CURRENT WIP'!$D$1='CURRENT WIP'!$E$22:$E$148),MATCH(ROW(WIP),ROW(WIP)),""),ROW('CURRENT WIP'!L19)),COLUMN('CURRENT WIP'!L19)),"")</f>
        <v/>
      </c>
      <c r="P23" s="48" t="str">
        <f t="array" ref="P23">IFERROR(INDEX(WIP,SMALL(IF(('CURRENT WIP'!$D$1='CURRENT WIP'!$E$22:$E$148),MATCH(ROW(WIP),ROW(WIP)),""),ROW('CURRENT WIP'!M19)),COLUMN('CURRENT WIP'!M19)),"")</f>
        <v/>
      </c>
      <c r="Q23" s="68" t="str">
        <f t="array" ref="Q23">IFERROR(INDEX(WIP,SMALL(IF(('CURRENT WIP'!$D$1='CURRENT WIP'!$E$22:$E$148),MATCH(ROW(WIP),ROW(WIP)),""),ROW('CURRENT WIP'!N19)),COLUMN('CURRENT WIP'!N19)),"")</f>
        <v/>
      </c>
      <c r="R23" s="48" t="str">
        <f t="array" ref="R23">IFERROR(INDEX(WIP,SMALL(IF(('CURRENT WIP'!$D$1='CURRENT WIP'!$E$22:$E$148),MATCH(ROW(WIP),ROW(WIP)),""),ROW('CURRENT WIP'!O19)),COLUMN('CURRENT WIP'!O19)),"")</f>
        <v/>
      </c>
      <c r="S23" s="48" t="str">
        <f t="array" ref="S23">IFERROR(INDEX(WIP,SMALL(IF(('CURRENT WIP'!$D$1='CURRENT WIP'!$E$22:$E$148),MATCH(ROW(WIP),ROW(WIP)),""),ROW('CURRENT WIP'!P19)),COLUMN('CURRENT WIP'!P19)),"")</f>
        <v/>
      </c>
      <c r="T23" s="68" t="str">
        <f t="array" ref="T23">IFERROR(INDEX(WIP,SMALL(IF(('CURRENT WIP'!$D$1='CURRENT WIP'!$E$22:$E$148),MATCH(ROW(WIP),ROW(WIP)),""),ROW('CURRENT WIP'!Q19)),COLUMN('CURRENT WIP'!Q19)),"")</f>
        <v/>
      </c>
      <c r="U23" s="48" t="str">
        <f t="array" ref="U23">IFERROR(INDEX(WIP,SMALL(IF(('CURRENT WIP'!$D$1='CURRENT WIP'!$E$22:$E$148),MATCH(ROW(WIP),ROW(WIP)),""),ROW('CURRENT WIP'!R19)),COLUMN('CURRENT WIP'!R19)),"")</f>
        <v/>
      </c>
      <c r="V23" s="48" t="str">
        <f t="array" ref="V23">IFERROR(INDEX(WIP,SMALL(IF(('CURRENT WIP'!$D$1='CURRENT WIP'!$E$22:$E$148),MATCH(ROW(WIP),ROW(WIP)),""),ROW('CURRENT WIP'!S19)),COLUMN('CURRENT WIP'!S19)),"")</f>
        <v/>
      </c>
      <c r="W23" s="48" t="str">
        <f t="array" ref="W23">IFERROR(INDEX(WIP,SMALL(IF(('CURRENT WIP'!$D$1='CURRENT WIP'!$E$22:$E$148),MATCH(ROW(WIP),ROW(WIP)),""),ROW('CURRENT WIP'!T19)),COLUMN('CURRENT WIP'!T19)),"")</f>
        <v/>
      </c>
      <c r="X23" s="48" t="str">
        <f t="array" ref="X23">IFERROR(INDEX(WIP,SMALL(IF(('CURRENT WIP'!$D$1='CURRENT WIP'!$E$22:$E$148),MATCH(ROW(WIP),ROW(WIP)),""),ROW('CURRENT WIP'!U19)),COLUMN('CURRENT WIP'!U19)),"")</f>
        <v/>
      </c>
      <c r="Y23" s="521" t="str">
        <f t="shared" si="0"/>
        <v/>
      </c>
      <c r="Z23" s="98"/>
      <c r="AB23" s="527">
        <f t="array" ref="AB23">INDEX(MOVEMENT!$AM$13:$AM$52, SMALL(IF(ISERROR(MATCH(MOVEMENT!$AM$13:$AM$52, MOVEMENT!$E$13:$E$52, 0)), (ROW(MOVEMENT!$AM$13:$AM$52)-MIN(ROW(MOVEMENT!$AM$13:$AM$52))+1), ""), ROW(MOVEMENT!19:19)))</f>
        <v>0</v>
      </c>
      <c r="AC23" s="48" t="e">
        <f>VLOOKUP(AB23,MOVEMENT!AM31:AY72,2,FALSE)</f>
        <v>#N/A</v>
      </c>
      <c r="AD23" s="48" t="e">
        <f>VLOOKUP(AB23,MOVEMENT!AM31:AY72,11,FALSE)</f>
        <v>#N/A</v>
      </c>
      <c r="AE23" s="48" t="e">
        <f>VLOOKUP(AB23,MOVEMENT!AM31:AY72,12,FALSE)</f>
        <v>#N/A</v>
      </c>
      <c r="AF23" s="46" t="e">
        <f>VLOOKUP(AB23,MOVEMENT!AM31:AY72,13,FALSE)</f>
        <v>#N/A</v>
      </c>
    </row>
    <row r="24" spans="4:32">
      <c r="D24" s="47" t="str">
        <f t="array" ref="D24">IFERROR(INDEX(WIP,SMALL(IF(('CURRENT WIP'!$D$1='CURRENT WIP'!$E$22:E167),MATCH(ROW(WIP),ROW(WIP)),""),ROW('CURRENT WIP'!A20)),COLUMN('CURRENT WIP'!A20)),"")</f>
        <v/>
      </c>
      <c r="E24" s="48" t="str">
        <f t="array" ref="E24">IFERROR(INDEX(WIP,SMALL(IF(('CURRENT WIP'!$D$1='CURRENT WIP'!$E$22:$E$148),MATCH(ROW(WIP),ROW(WIP)),""),ROW('CURRENT WIP'!B20)),COLUMN('CURRENT WIP'!B20)),"")</f>
        <v/>
      </c>
      <c r="F24" s="48" t="str">
        <f t="array" ref="F24">IFERROR(INDEX(WIP,SMALL(IF(('CURRENT WIP'!$D$1='CURRENT WIP'!$E$22:$E$148),MATCH(ROW(WIP),ROW(WIP)),""),ROW('CURRENT WIP'!C20)),COLUMN('CURRENT WIP'!C20)),"")</f>
        <v/>
      </c>
      <c r="G24" s="48" t="str">
        <f t="array" ref="G24">IFERROR(INDEX(WIP,SMALL(IF(('CURRENT WIP'!$D$1='CURRENT WIP'!$E$22:$E$148),MATCH(ROW(WIP),ROW(WIP)),""),ROW('CURRENT WIP'!D20)),COLUMN('CURRENT WIP'!D20)),"")</f>
        <v/>
      </c>
      <c r="H24" s="66" t="str">
        <f t="array" ref="H24">IFERROR(INDEX(WIP,SMALL(IF(('CURRENT WIP'!$D$1='CURRENT WIP'!$E$22:$E$148),MATCH(ROW(WIP),ROW(WIP)),""),ROW('CURRENT WIP'!E20)),COLUMN('CURRENT WIP'!E20)),"")</f>
        <v/>
      </c>
      <c r="I24" s="66" t="str">
        <f t="array" ref="I24">IFERROR(INDEX(WIP,SMALL(IF(('CURRENT WIP'!$D$1='CURRENT WIP'!$E$22:$E$148),MATCH(ROW(WIP),ROW(WIP)),""),ROW('CURRENT WIP'!F20)),COLUMN('CURRENT WIP'!F20)),"")</f>
        <v/>
      </c>
      <c r="J24" s="48" t="str">
        <f t="array" ref="J24">IFERROR(INDEX(WIP,SMALL(IF(('CURRENT WIP'!$D$1='CURRENT WIP'!$E$22:$E$148),MATCH(ROW(WIP),ROW(WIP)),""),ROW('CURRENT WIP'!G20)),COLUMN('CURRENT WIP'!G20)),"")</f>
        <v/>
      </c>
      <c r="K24" s="66" t="str">
        <f t="array" ref="K24">IFERROR(INDEX(WIP,SMALL(IF(('CURRENT WIP'!$D$1='CURRENT WIP'!$E$22:$E$148),MATCH(ROW(WIP),ROW(WIP)),""),ROW('CURRENT WIP'!H20)),COLUMN('CURRENT WIP'!H20)),"")</f>
        <v/>
      </c>
      <c r="L24" s="48" t="str">
        <f t="array" ref="L24">IFERROR(INDEX(WIP,SMALL(IF(('CURRENT WIP'!$D$1='CURRENT WIP'!$E$22:$E$148),MATCH(ROW(WIP),ROW(WIP)),""),ROW('CURRENT WIP'!I20)),COLUMN('CURRENT WIP'!I20)),"")</f>
        <v/>
      </c>
      <c r="M24" s="67" t="str">
        <f t="array" ref="M24">IFERROR(INDEX(WIP,SMALL(IF(('CURRENT WIP'!$D$1='CURRENT WIP'!$E$22:$E$148),MATCH(ROW(WIP),ROW(WIP)),""),ROW('CURRENT WIP'!J20)),COLUMN('CURRENT WIP'!J20)),"")</f>
        <v/>
      </c>
      <c r="N24" s="48" t="str">
        <f t="array" ref="N24">IFERROR(INDEX(WIP,SMALL(IF(('CURRENT WIP'!$D$1='CURRENT WIP'!$E$22:$E$148),MATCH(ROW(WIP),ROW(WIP)),""),ROW('CURRENT WIP'!K20)),COLUMN('CURRENT WIP'!K20)),"")</f>
        <v/>
      </c>
      <c r="O24" s="48" t="str">
        <f t="array" ref="O24">IFERROR(INDEX(WIP,SMALL(IF(('CURRENT WIP'!$D$1='CURRENT WIP'!$E$22:$E$148),MATCH(ROW(WIP),ROW(WIP)),""),ROW('CURRENT WIP'!L20)),COLUMN('CURRENT WIP'!L20)),"")</f>
        <v/>
      </c>
      <c r="P24" s="48" t="str">
        <f t="array" ref="P24">IFERROR(INDEX(WIP,SMALL(IF(('CURRENT WIP'!$D$1='CURRENT WIP'!$E$22:$E$148),MATCH(ROW(WIP),ROW(WIP)),""),ROW('CURRENT WIP'!M20)),COLUMN('CURRENT WIP'!M20)),"")</f>
        <v/>
      </c>
      <c r="Q24" s="68" t="str">
        <f t="array" ref="Q24">IFERROR(INDEX(WIP,SMALL(IF(('CURRENT WIP'!$D$1='CURRENT WIP'!$E$22:$E$148),MATCH(ROW(WIP),ROW(WIP)),""),ROW('CURRENT WIP'!N20)),COLUMN('CURRENT WIP'!N20)),"")</f>
        <v/>
      </c>
      <c r="R24" s="48" t="str">
        <f t="array" ref="R24">IFERROR(INDEX(WIP,SMALL(IF(('CURRENT WIP'!$D$1='CURRENT WIP'!$E$22:$E$148),MATCH(ROW(WIP),ROW(WIP)),""),ROW('CURRENT WIP'!O20)),COLUMN('CURRENT WIP'!O20)),"")</f>
        <v/>
      </c>
      <c r="S24" s="48" t="str">
        <f t="array" ref="S24">IFERROR(INDEX(WIP,SMALL(IF(('CURRENT WIP'!$D$1='CURRENT WIP'!$E$22:$E$148),MATCH(ROW(WIP),ROW(WIP)),""),ROW('CURRENT WIP'!P20)),COLUMN('CURRENT WIP'!P20)),"")</f>
        <v/>
      </c>
      <c r="T24" s="68" t="str">
        <f t="array" ref="T24">IFERROR(INDEX(WIP,SMALL(IF(('CURRENT WIP'!$D$1='CURRENT WIP'!$E$22:$E$148),MATCH(ROW(WIP),ROW(WIP)),""),ROW('CURRENT WIP'!Q20)),COLUMN('CURRENT WIP'!Q20)),"")</f>
        <v/>
      </c>
      <c r="U24" s="48" t="str">
        <f t="array" ref="U24">IFERROR(INDEX(WIP,SMALL(IF(('CURRENT WIP'!$D$1='CURRENT WIP'!$E$22:$E$148),MATCH(ROW(WIP),ROW(WIP)),""),ROW('CURRENT WIP'!R20)),COLUMN('CURRENT WIP'!R20)),"")</f>
        <v/>
      </c>
      <c r="V24" s="48" t="str">
        <f t="array" ref="V24">IFERROR(INDEX(WIP,SMALL(IF(('CURRENT WIP'!$D$1='CURRENT WIP'!$E$22:$E$148),MATCH(ROW(WIP),ROW(WIP)),""),ROW('CURRENT WIP'!S20)),COLUMN('CURRENT WIP'!S20)),"")</f>
        <v/>
      </c>
      <c r="W24" s="48" t="str">
        <f t="array" ref="W24">IFERROR(INDEX(WIP,SMALL(IF(('CURRENT WIP'!$D$1='CURRENT WIP'!$E$22:$E$148),MATCH(ROW(WIP),ROW(WIP)),""),ROW('CURRENT WIP'!T20)),COLUMN('CURRENT WIP'!T20)),"")</f>
        <v/>
      </c>
      <c r="X24" s="48" t="str">
        <f t="array" ref="X24">IFERROR(INDEX(WIP,SMALL(IF(('CURRENT WIP'!$D$1='CURRENT WIP'!$E$22:$E$148),MATCH(ROW(WIP),ROW(WIP)),""),ROW('CURRENT WIP'!U20)),COLUMN('CURRENT WIP'!U20)),"")</f>
        <v/>
      </c>
      <c r="Y24" s="521" t="str">
        <f t="shared" si="0"/>
        <v/>
      </c>
      <c r="Z24" s="98"/>
      <c r="AB24" s="527">
        <f t="array" ref="AB24">INDEX(MOVEMENT!$AM$13:$AM$52, SMALL(IF(ISERROR(MATCH(MOVEMENT!$AM$13:$AM$52, MOVEMENT!$E$13:$E$52, 0)), (ROW(MOVEMENT!$AM$13:$AM$52)-MIN(ROW(MOVEMENT!$AM$13:$AM$52))+1), ""), ROW(MOVEMENT!20:20)))</f>
        <v>0</v>
      </c>
      <c r="AC24" s="48" t="e">
        <f>VLOOKUP(AB24,MOVEMENT!AM32:AY73,2,FALSE)</f>
        <v>#N/A</v>
      </c>
      <c r="AD24" s="48" t="e">
        <f>VLOOKUP(AB24,MOVEMENT!AM32:AY73,11,FALSE)</f>
        <v>#N/A</v>
      </c>
      <c r="AE24" s="48" t="e">
        <f>VLOOKUP(AB24,MOVEMENT!AM32:AY73,12,FALSE)</f>
        <v>#N/A</v>
      </c>
      <c r="AF24" s="46" t="e">
        <f>VLOOKUP(AB24,MOVEMENT!AM32:AY73,13,FALSE)</f>
        <v>#N/A</v>
      </c>
    </row>
    <row r="25" spans="4:32">
      <c r="D25" s="47" t="str">
        <f t="array" ref="D25">IFERROR(INDEX(WIP,SMALL(IF(('CURRENT WIP'!$D$1='CURRENT WIP'!$E$22:E168),MATCH(ROW(WIP),ROW(WIP)),""),ROW('CURRENT WIP'!A21)),COLUMN('CURRENT WIP'!A21)),"")</f>
        <v/>
      </c>
      <c r="E25" s="48" t="str">
        <f t="array" ref="E25">IFERROR(INDEX(WIP,SMALL(IF(('CURRENT WIP'!$D$1='CURRENT WIP'!$E$22:$E$148),MATCH(ROW(WIP),ROW(WIP)),""),ROW('CURRENT WIP'!B21)),COLUMN('CURRENT WIP'!B21)),"")</f>
        <v/>
      </c>
      <c r="F25" s="48" t="str">
        <f t="array" ref="F25">IFERROR(INDEX(WIP,SMALL(IF(('CURRENT WIP'!$D$1='CURRENT WIP'!$E$22:$E$148),MATCH(ROW(WIP),ROW(WIP)),""),ROW('CURRENT WIP'!C21)),COLUMN('CURRENT WIP'!C21)),"")</f>
        <v/>
      </c>
      <c r="G25" s="48" t="str">
        <f t="array" ref="G25">IFERROR(INDEX(WIP,SMALL(IF(('CURRENT WIP'!$D$1='CURRENT WIP'!$E$22:$E$148),MATCH(ROW(WIP),ROW(WIP)),""),ROW('CURRENT WIP'!D21)),COLUMN('CURRENT WIP'!D21)),"")</f>
        <v/>
      </c>
      <c r="H25" s="66" t="str">
        <f t="array" ref="H25">IFERROR(INDEX(WIP,SMALL(IF(('CURRENT WIP'!$D$1='CURRENT WIP'!$E$22:$E$148),MATCH(ROW(WIP),ROW(WIP)),""),ROW('CURRENT WIP'!E21)),COLUMN('CURRENT WIP'!E21)),"")</f>
        <v/>
      </c>
      <c r="I25" s="66" t="str">
        <f t="array" ref="I25">IFERROR(INDEX(WIP,SMALL(IF(('CURRENT WIP'!$D$1='CURRENT WIP'!$E$22:$E$148),MATCH(ROW(WIP),ROW(WIP)),""),ROW('CURRENT WIP'!F21)),COLUMN('CURRENT WIP'!F21)),"")</f>
        <v/>
      </c>
      <c r="J25" s="48" t="str">
        <f t="array" ref="J25">IFERROR(INDEX(WIP,SMALL(IF(('CURRENT WIP'!$D$1='CURRENT WIP'!$E$22:$E$148),MATCH(ROW(WIP),ROW(WIP)),""),ROW('CURRENT WIP'!G21)),COLUMN('CURRENT WIP'!G21)),"")</f>
        <v/>
      </c>
      <c r="K25" s="66" t="str">
        <f t="array" ref="K25">IFERROR(INDEX(WIP,SMALL(IF(('CURRENT WIP'!$D$1='CURRENT WIP'!$E$22:$E$148),MATCH(ROW(WIP),ROW(WIP)),""),ROW('CURRENT WIP'!H21)),COLUMN('CURRENT WIP'!H21)),"")</f>
        <v/>
      </c>
      <c r="L25" s="48" t="str">
        <f t="array" ref="L25">IFERROR(INDEX(WIP,SMALL(IF(('CURRENT WIP'!$D$1='CURRENT WIP'!$E$22:$E$148),MATCH(ROW(WIP),ROW(WIP)),""),ROW('CURRENT WIP'!I21)),COLUMN('CURRENT WIP'!I21)),"")</f>
        <v/>
      </c>
      <c r="M25" s="67" t="str">
        <f t="array" ref="M25">IFERROR(INDEX(WIP,SMALL(IF(('CURRENT WIP'!$D$1='CURRENT WIP'!$E$22:$E$148),MATCH(ROW(WIP),ROW(WIP)),""),ROW('CURRENT WIP'!J21)),COLUMN('CURRENT WIP'!J21)),"")</f>
        <v/>
      </c>
      <c r="N25" s="48" t="str">
        <f t="array" ref="N25">IFERROR(INDEX(WIP,SMALL(IF(('CURRENT WIP'!$D$1='CURRENT WIP'!$E$22:$E$148),MATCH(ROW(WIP),ROW(WIP)),""),ROW('CURRENT WIP'!K21)),COLUMN('CURRENT WIP'!K21)),"")</f>
        <v/>
      </c>
      <c r="O25" s="48" t="str">
        <f t="array" ref="O25">IFERROR(INDEX(WIP,SMALL(IF(('CURRENT WIP'!$D$1='CURRENT WIP'!$E$22:$E$148),MATCH(ROW(WIP),ROW(WIP)),""),ROW('CURRENT WIP'!L21)),COLUMN('CURRENT WIP'!L21)),"")</f>
        <v/>
      </c>
      <c r="P25" s="48" t="str">
        <f t="array" ref="P25">IFERROR(INDEX(WIP,SMALL(IF(('CURRENT WIP'!$D$1='CURRENT WIP'!$E$22:$E$148),MATCH(ROW(WIP),ROW(WIP)),""),ROW('CURRENT WIP'!M21)),COLUMN('CURRENT WIP'!M21)),"")</f>
        <v/>
      </c>
      <c r="Q25" s="68" t="str">
        <f t="array" ref="Q25">IFERROR(INDEX(WIP,SMALL(IF(('CURRENT WIP'!$D$1='CURRENT WIP'!$E$22:$E$148),MATCH(ROW(WIP),ROW(WIP)),""),ROW('CURRENT WIP'!N21)),COLUMN('CURRENT WIP'!N21)),"")</f>
        <v/>
      </c>
      <c r="R25" s="48" t="str">
        <f t="array" ref="R25">IFERROR(INDEX(WIP,SMALL(IF(('CURRENT WIP'!$D$1='CURRENT WIP'!$E$22:$E$148),MATCH(ROW(WIP),ROW(WIP)),""),ROW('CURRENT WIP'!O21)),COLUMN('CURRENT WIP'!O21)),"")</f>
        <v/>
      </c>
      <c r="S25" s="48" t="str">
        <f t="array" ref="S25">IFERROR(INDEX(WIP,SMALL(IF(('CURRENT WIP'!$D$1='CURRENT WIP'!$E$22:$E$148),MATCH(ROW(WIP),ROW(WIP)),""),ROW('CURRENT WIP'!P21)),COLUMN('CURRENT WIP'!P21)),"")</f>
        <v/>
      </c>
      <c r="T25" s="68" t="str">
        <f t="array" ref="T25">IFERROR(INDEX(WIP,SMALL(IF(('CURRENT WIP'!$D$1='CURRENT WIP'!$E$22:$E$148),MATCH(ROW(WIP),ROW(WIP)),""),ROW('CURRENT WIP'!Q21)),COLUMN('CURRENT WIP'!Q21)),"")</f>
        <v/>
      </c>
      <c r="U25" s="48" t="str">
        <f t="array" ref="U25">IFERROR(INDEX(WIP,SMALL(IF(('CURRENT WIP'!$D$1='CURRENT WIP'!$E$22:$E$148),MATCH(ROW(WIP),ROW(WIP)),""),ROW('CURRENT WIP'!R21)),COLUMN('CURRENT WIP'!R21)),"")</f>
        <v/>
      </c>
      <c r="V25" s="48" t="str">
        <f t="array" ref="V25">IFERROR(INDEX(WIP,SMALL(IF(('CURRENT WIP'!$D$1='CURRENT WIP'!$E$22:$E$148),MATCH(ROW(WIP),ROW(WIP)),""),ROW('CURRENT WIP'!S21)),COLUMN('CURRENT WIP'!S21)),"")</f>
        <v/>
      </c>
      <c r="W25" s="48" t="str">
        <f t="array" ref="W25">IFERROR(INDEX(WIP,SMALL(IF(('CURRENT WIP'!$D$1='CURRENT WIP'!$E$22:$E$148),MATCH(ROW(WIP),ROW(WIP)),""),ROW('CURRENT WIP'!T21)),COLUMN('CURRENT WIP'!T21)),"")</f>
        <v/>
      </c>
      <c r="X25" s="48" t="str">
        <f t="array" ref="X25">IFERROR(INDEX(WIP,SMALL(IF(('CURRENT WIP'!$D$1='CURRENT WIP'!$E$22:$E$148),MATCH(ROW(WIP),ROW(WIP)),""),ROW('CURRENT WIP'!U21)),COLUMN('CURRENT WIP'!U21)),"")</f>
        <v/>
      </c>
      <c r="Y25" s="521" t="str">
        <f>IF(M25="A", N25-(N25*0.27), IF(M25="F", N25-(N25*0.47), IF(M25="D", N25-(N25*0.7), N25)))</f>
        <v/>
      </c>
      <c r="Z25" s="98"/>
      <c r="AB25" s="527">
        <f t="array" ref="AB25">INDEX(MOVEMENT!$AM$13:$AM$52, SMALL(IF(ISERROR(MATCH(MOVEMENT!$AM$13:$AM$52, MOVEMENT!$E$13:$E$52, 0)), (ROW(MOVEMENT!$AM$13:$AM$52)-MIN(ROW(MOVEMENT!$AM$13:$AM$52))+1), ""), ROW(MOVEMENT!21:21)))</f>
        <v>0</v>
      </c>
      <c r="AC25" s="48" t="e">
        <f>VLOOKUP(AB25,MOVEMENT!AM33:AY74,2,FALSE)</f>
        <v>#N/A</v>
      </c>
      <c r="AD25" s="48" t="e">
        <f>VLOOKUP(AB25,MOVEMENT!AM33:AY74,11,FALSE)</f>
        <v>#N/A</v>
      </c>
      <c r="AE25" s="48" t="e">
        <f>VLOOKUP(AB25,MOVEMENT!AM33:AY74,12,FALSE)</f>
        <v>#N/A</v>
      </c>
      <c r="AF25" s="46" t="e">
        <f>VLOOKUP(AB25,MOVEMENT!AM33:AY74,13,FALSE)</f>
        <v>#N/A</v>
      </c>
    </row>
    <row r="26" spans="4:32">
      <c r="D26" s="47" t="str">
        <f t="array" ref="D26">IFERROR(INDEX(WIP,SMALL(IF(('CURRENT WIP'!$D$1='CURRENT WIP'!$E$22:E169),MATCH(ROW(WIP),ROW(WIP)),""),ROW('CURRENT WIP'!A22)),COLUMN('CURRENT WIP'!A22)),"")</f>
        <v/>
      </c>
      <c r="E26" s="48" t="str">
        <f t="array" ref="E26">IFERROR(INDEX(WIP,SMALL(IF(('CURRENT WIP'!$D$1='CURRENT WIP'!$E$22:$E$148),MATCH(ROW(WIP),ROW(WIP)),""),ROW('CURRENT WIP'!B22)),COLUMN('CURRENT WIP'!B22)),"")</f>
        <v/>
      </c>
      <c r="F26" s="48" t="str">
        <f t="array" ref="F26">IFERROR(INDEX(WIP,SMALL(IF(('CURRENT WIP'!$D$1='CURRENT WIP'!$E$22:$E$148),MATCH(ROW(WIP),ROW(WIP)),""),ROW('CURRENT WIP'!C22)),COLUMN('CURRENT WIP'!C22)),"")</f>
        <v/>
      </c>
      <c r="G26" s="48" t="str">
        <f t="array" ref="G26">IFERROR(INDEX(WIP,SMALL(IF(('CURRENT WIP'!$D$1='CURRENT WIP'!$E$22:$E$148),MATCH(ROW(WIP),ROW(WIP)),""),ROW('CURRENT WIP'!D22)),COLUMN('CURRENT WIP'!D22)),"")</f>
        <v/>
      </c>
      <c r="H26" s="66" t="str">
        <f t="array" ref="H26">IFERROR(INDEX(WIP,SMALL(IF(('CURRENT WIP'!$D$1='CURRENT WIP'!$E$22:$E$148),MATCH(ROW(WIP),ROW(WIP)),""),ROW('CURRENT WIP'!E22)),COLUMN('CURRENT WIP'!E22)),"")</f>
        <v/>
      </c>
      <c r="I26" s="66" t="str">
        <f t="array" ref="I26">IFERROR(INDEX(WIP,SMALL(IF(('CURRENT WIP'!$D$1='CURRENT WIP'!$E$22:$E$148),MATCH(ROW(WIP),ROW(WIP)),""),ROW('CURRENT WIP'!F22)),COLUMN('CURRENT WIP'!F22)),"")</f>
        <v/>
      </c>
      <c r="J26" s="48" t="str">
        <f t="array" ref="J26">IFERROR(INDEX(WIP,SMALL(IF(('CURRENT WIP'!$D$1='CURRENT WIP'!$E$22:$E$148),MATCH(ROW(WIP),ROW(WIP)),""),ROW('CURRENT WIP'!G22)),COLUMN('CURRENT WIP'!G22)),"")</f>
        <v/>
      </c>
      <c r="K26" s="66" t="str">
        <f t="array" ref="K26">IFERROR(INDEX(WIP,SMALL(IF(('CURRENT WIP'!$D$1='CURRENT WIP'!$E$22:$E$148),MATCH(ROW(WIP),ROW(WIP)),""),ROW('CURRENT WIP'!H22)),COLUMN('CURRENT WIP'!H22)),"")</f>
        <v/>
      </c>
      <c r="L26" s="48" t="str">
        <f t="array" ref="L26">IFERROR(INDEX(WIP,SMALL(IF(('CURRENT WIP'!$D$1='CURRENT WIP'!$E$22:$E$148),MATCH(ROW(WIP),ROW(WIP)),""),ROW('CURRENT WIP'!I22)),COLUMN('CURRENT WIP'!I22)),"")</f>
        <v/>
      </c>
      <c r="M26" s="67" t="str">
        <f t="array" ref="M26">IFERROR(INDEX(WIP,SMALL(IF(('CURRENT WIP'!$D$1='CURRENT WIP'!$E$22:$E$148),MATCH(ROW(WIP),ROW(WIP)),""),ROW('CURRENT WIP'!J22)),COLUMN('CURRENT WIP'!J22)),"")</f>
        <v/>
      </c>
      <c r="N26" s="48" t="str">
        <f t="array" ref="N26">IFERROR(INDEX(WIP,SMALL(IF(('CURRENT WIP'!$D$1='CURRENT WIP'!$E$22:$E$148),MATCH(ROW(WIP),ROW(WIP)),""),ROW('CURRENT WIP'!K22)),COLUMN('CURRENT WIP'!K22)),"")</f>
        <v/>
      </c>
      <c r="O26" s="48" t="str">
        <f t="array" ref="O26">IFERROR(INDEX(WIP,SMALL(IF(('CURRENT WIP'!$D$1='CURRENT WIP'!$E$22:$E$148),MATCH(ROW(WIP),ROW(WIP)),""),ROW('CURRENT WIP'!L22)),COLUMN('CURRENT WIP'!L22)),"")</f>
        <v/>
      </c>
      <c r="P26" s="48" t="str">
        <f t="array" ref="P26">IFERROR(INDEX(WIP,SMALL(IF(('CURRENT WIP'!$D$1='CURRENT WIP'!$E$22:$E$148),MATCH(ROW(WIP),ROW(WIP)),""),ROW('CURRENT WIP'!M22)),COLUMN('CURRENT WIP'!M22)),"")</f>
        <v/>
      </c>
      <c r="Q26" s="68" t="str">
        <f t="array" ref="Q26">IFERROR(INDEX(WIP,SMALL(IF(('CURRENT WIP'!$D$1='CURRENT WIP'!$E$22:$E$148),MATCH(ROW(WIP),ROW(WIP)),""),ROW('CURRENT WIP'!N22)),COLUMN('CURRENT WIP'!N22)),"")</f>
        <v/>
      </c>
      <c r="R26" s="48" t="str">
        <f t="array" ref="R26">IFERROR(INDEX(WIP,SMALL(IF(('CURRENT WIP'!$D$1='CURRENT WIP'!$E$22:$E$148),MATCH(ROW(WIP),ROW(WIP)),""),ROW('CURRENT WIP'!O22)),COLUMN('CURRENT WIP'!O22)),"")</f>
        <v/>
      </c>
      <c r="S26" s="48" t="str">
        <f t="array" ref="S26">IFERROR(INDEX(WIP,SMALL(IF(('CURRENT WIP'!$D$1='CURRENT WIP'!$E$22:$E$148),MATCH(ROW(WIP),ROW(WIP)),""),ROW('CURRENT WIP'!P22)),COLUMN('CURRENT WIP'!P22)),"")</f>
        <v/>
      </c>
      <c r="T26" s="68" t="str">
        <f t="array" ref="T26">IFERROR(INDEX(WIP,SMALL(IF(('CURRENT WIP'!$D$1='CURRENT WIP'!$E$22:$E$148),MATCH(ROW(WIP),ROW(WIP)),""),ROW('CURRENT WIP'!Q22)),COLUMN('CURRENT WIP'!Q22)),"")</f>
        <v/>
      </c>
      <c r="U26" s="48" t="str">
        <f t="array" ref="U26">IFERROR(INDEX(WIP,SMALL(IF(('CURRENT WIP'!$D$1='CURRENT WIP'!$E$22:$E$148),MATCH(ROW(WIP),ROW(WIP)),""),ROW('CURRENT WIP'!R22)),COLUMN('CURRENT WIP'!R22)),"")</f>
        <v/>
      </c>
      <c r="V26" s="48" t="str">
        <f t="array" ref="V26">IFERROR(INDEX(WIP,SMALL(IF(('CURRENT WIP'!$D$1='CURRENT WIP'!$E$22:$E$148),MATCH(ROW(WIP),ROW(WIP)),""),ROW('CURRENT WIP'!S22)),COLUMN('CURRENT WIP'!S22)),"")</f>
        <v/>
      </c>
      <c r="W26" s="48" t="str">
        <f t="array" ref="W26">IFERROR(INDEX(WIP,SMALL(IF(('CURRENT WIP'!$D$1='CURRENT WIP'!$E$22:$E$148),MATCH(ROW(WIP),ROW(WIP)),""),ROW('CURRENT WIP'!T22)),COLUMN('CURRENT WIP'!T22)),"")</f>
        <v/>
      </c>
      <c r="X26" s="48" t="str">
        <f t="array" ref="X26">IFERROR(INDEX(WIP,SMALL(IF(('CURRENT WIP'!$D$1='CURRENT WIP'!$E$22:$E$148),MATCH(ROW(WIP),ROW(WIP)),""),ROW('CURRENT WIP'!U22)),COLUMN('CURRENT WIP'!U22)),"")</f>
        <v/>
      </c>
      <c r="Y26" s="521" t="str">
        <f t="shared" si="0"/>
        <v/>
      </c>
      <c r="Z26" s="98"/>
      <c r="AB26" s="527">
        <f t="array" ref="AB26">INDEX(MOVEMENT!$AM$13:$AM$52, SMALL(IF(ISERROR(MATCH(MOVEMENT!$AM$13:$AM$52, MOVEMENT!$E$13:$E$52, 0)), (ROW(MOVEMENT!$AM$13:$AM$52)-MIN(ROW(MOVEMENT!$AM$13:$AM$52))+1), ""), ROW(MOVEMENT!22:22)))</f>
        <v>0</v>
      </c>
      <c r="AC26" s="48" t="e">
        <f>VLOOKUP(AB26,MOVEMENT!AM34:AY75,2,FALSE)</f>
        <v>#N/A</v>
      </c>
      <c r="AD26" s="48" t="e">
        <f>VLOOKUP(AB26,MOVEMENT!AM34:AY75,11,FALSE)</f>
        <v>#N/A</v>
      </c>
      <c r="AE26" s="48" t="e">
        <f>VLOOKUP(AB26,MOVEMENT!AM34:AY75,12,FALSE)</f>
        <v>#N/A</v>
      </c>
      <c r="AF26" s="46" t="e">
        <f>VLOOKUP(AB26,MOVEMENT!AM34:AY75,13,FALSE)</f>
        <v>#N/A</v>
      </c>
    </row>
    <row r="27" spans="4:32">
      <c r="D27" s="47" t="str">
        <f t="array" ref="D27">IFERROR(INDEX(WIP,SMALL(IF(('CURRENT WIP'!$D$1='CURRENT WIP'!$E$22:E170),MATCH(ROW(WIP),ROW(WIP)),""),ROW('CURRENT WIP'!A23)),COLUMN('CURRENT WIP'!A23)),"")</f>
        <v/>
      </c>
      <c r="E27" s="48" t="str">
        <f t="array" ref="E27">IFERROR(INDEX(WIP,SMALL(IF(('CURRENT WIP'!$D$1='CURRENT WIP'!$E$22:$E$148),MATCH(ROW(WIP),ROW(WIP)),""),ROW('CURRENT WIP'!B23)),COLUMN('CURRENT WIP'!B23)),"")</f>
        <v/>
      </c>
      <c r="F27" s="48" t="str">
        <f t="array" ref="F27">IFERROR(INDEX(WIP,SMALL(IF(('CURRENT WIP'!$D$1='CURRENT WIP'!$E$22:$E$148),MATCH(ROW(WIP),ROW(WIP)),""),ROW('CURRENT WIP'!C23)),COLUMN('CURRENT WIP'!C23)),"")</f>
        <v/>
      </c>
      <c r="G27" s="48" t="str">
        <f t="array" ref="G27">IFERROR(INDEX(WIP,SMALL(IF(('CURRENT WIP'!$D$1='CURRENT WIP'!$E$22:$E$148),MATCH(ROW(WIP),ROW(WIP)),""),ROW('CURRENT WIP'!D23)),COLUMN('CURRENT WIP'!D23)),"")</f>
        <v/>
      </c>
      <c r="H27" s="66" t="str">
        <f t="array" ref="H27">IFERROR(INDEX(WIP,SMALL(IF(('CURRENT WIP'!$D$1='CURRENT WIP'!$E$22:$E$148),MATCH(ROW(WIP),ROW(WIP)),""),ROW('CURRENT WIP'!E23)),COLUMN('CURRENT WIP'!E23)),"")</f>
        <v/>
      </c>
      <c r="I27" s="66" t="str">
        <f t="array" ref="I27">IFERROR(INDEX(WIP,SMALL(IF(('CURRENT WIP'!$D$1='CURRENT WIP'!$E$22:$E$148),MATCH(ROW(WIP),ROW(WIP)),""),ROW('CURRENT WIP'!F23)),COLUMN('CURRENT WIP'!F23)),"")</f>
        <v/>
      </c>
      <c r="J27" s="48" t="str">
        <f t="array" ref="J27">IFERROR(INDEX(WIP,SMALL(IF(('CURRENT WIP'!$D$1='CURRENT WIP'!$E$22:$E$148),MATCH(ROW(WIP),ROW(WIP)),""),ROW('CURRENT WIP'!G23)),COLUMN('CURRENT WIP'!G23)),"")</f>
        <v/>
      </c>
      <c r="K27" s="66" t="str">
        <f t="array" ref="K27">IFERROR(INDEX(WIP,SMALL(IF(('CURRENT WIP'!$D$1='CURRENT WIP'!$E$22:$E$148),MATCH(ROW(WIP),ROW(WIP)),""),ROW('CURRENT WIP'!H23)),COLUMN('CURRENT WIP'!H23)),"")</f>
        <v/>
      </c>
      <c r="L27" s="48" t="str">
        <f t="array" ref="L27">IFERROR(INDEX(WIP,SMALL(IF(('CURRENT WIP'!$D$1='CURRENT WIP'!$E$22:$E$148),MATCH(ROW(WIP),ROW(WIP)),""),ROW('CURRENT WIP'!I23)),COLUMN('CURRENT WIP'!I23)),"")</f>
        <v/>
      </c>
      <c r="M27" s="67" t="str">
        <f t="array" ref="M27">IFERROR(INDEX(WIP,SMALL(IF(('CURRENT WIP'!$D$1='CURRENT WIP'!$E$22:$E$148),MATCH(ROW(WIP),ROW(WIP)),""),ROW('CURRENT WIP'!J23)),COLUMN('CURRENT WIP'!J23)),"")</f>
        <v/>
      </c>
      <c r="N27" s="48" t="str">
        <f t="array" ref="N27">IFERROR(INDEX(WIP,SMALL(IF(('CURRENT WIP'!$D$1='CURRENT WIP'!$E$22:$E$148),MATCH(ROW(WIP),ROW(WIP)),""),ROW('CURRENT WIP'!K23)),COLUMN('CURRENT WIP'!K23)),"")</f>
        <v/>
      </c>
      <c r="O27" s="48" t="str">
        <f t="array" ref="O27">IFERROR(INDEX(WIP,SMALL(IF(('CURRENT WIP'!$D$1='CURRENT WIP'!$E$22:$E$148),MATCH(ROW(WIP),ROW(WIP)),""),ROW('CURRENT WIP'!L23)),COLUMN('CURRENT WIP'!L23)),"")</f>
        <v/>
      </c>
      <c r="P27" s="48" t="str">
        <f t="array" ref="P27">IFERROR(INDEX(WIP,SMALL(IF(('CURRENT WIP'!$D$1='CURRENT WIP'!$E$22:$E$148),MATCH(ROW(WIP),ROW(WIP)),""),ROW('CURRENT WIP'!M23)),COLUMN('CURRENT WIP'!M23)),"")</f>
        <v/>
      </c>
      <c r="Q27" s="68" t="str">
        <f t="array" ref="Q27">IFERROR(INDEX(WIP,SMALL(IF(('CURRENT WIP'!$D$1='CURRENT WIP'!$E$22:$E$148),MATCH(ROW(WIP),ROW(WIP)),""),ROW('CURRENT WIP'!N23)),COLUMN('CURRENT WIP'!N23)),"")</f>
        <v/>
      </c>
      <c r="R27" s="48" t="str">
        <f t="array" ref="R27">IFERROR(INDEX(WIP,SMALL(IF(('CURRENT WIP'!$D$1='CURRENT WIP'!$E$22:$E$148),MATCH(ROW(WIP),ROW(WIP)),""),ROW('CURRENT WIP'!O23)),COLUMN('CURRENT WIP'!O23)),"")</f>
        <v/>
      </c>
      <c r="S27" s="48" t="str">
        <f t="array" ref="S27">IFERROR(INDEX(WIP,SMALL(IF(('CURRENT WIP'!$D$1='CURRENT WIP'!$E$22:$E$148),MATCH(ROW(WIP),ROW(WIP)),""),ROW('CURRENT WIP'!P23)),COLUMN('CURRENT WIP'!P23)),"")</f>
        <v/>
      </c>
      <c r="T27" s="68" t="str">
        <f t="array" ref="T27">IFERROR(INDEX(WIP,SMALL(IF(('CURRENT WIP'!$D$1='CURRENT WIP'!$E$22:$E$148),MATCH(ROW(WIP),ROW(WIP)),""),ROW('CURRENT WIP'!Q23)),COLUMN('CURRENT WIP'!Q23)),"")</f>
        <v/>
      </c>
      <c r="U27" s="48" t="str">
        <f t="array" ref="U27">IFERROR(INDEX(WIP,SMALL(IF(('CURRENT WIP'!$D$1='CURRENT WIP'!$E$22:$E$148),MATCH(ROW(WIP),ROW(WIP)),""),ROW('CURRENT WIP'!R23)),COLUMN('CURRENT WIP'!R23)),"")</f>
        <v/>
      </c>
      <c r="V27" s="48" t="str">
        <f t="array" ref="V27">IFERROR(INDEX(WIP,SMALL(IF(('CURRENT WIP'!$D$1='CURRENT WIP'!$E$22:$E$148),MATCH(ROW(WIP),ROW(WIP)),""),ROW('CURRENT WIP'!S23)),COLUMN('CURRENT WIP'!S23)),"")</f>
        <v/>
      </c>
      <c r="W27" s="48" t="str">
        <f t="array" ref="W27">IFERROR(INDEX(WIP,SMALL(IF(('CURRENT WIP'!$D$1='CURRENT WIP'!$E$22:$E$148),MATCH(ROW(WIP),ROW(WIP)),""),ROW('CURRENT WIP'!T23)),COLUMN('CURRENT WIP'!T23)),"")</f>
        <v/>
      </c>
      <c r="X27" s="48" t="str">
        <f t="array" ref="X27">IFERROR(INDEX(WIP,SMALL(IF(('CURRENT WIP'!$D$1='CURRENT WIP'!$E$22:$E$148),MATCH(ROW(WIP),ROW(WIP)),""),ROW('CURRENT WIP'!U23)),COLUMN('CURRENT WIP'!U23)),"")</f>
        <v/>
      </c>
      <c r="Y27" s="521" t="str">
        <f t="shared" si="0"/>
        <v/>
      </c>
      <c r="Z27" s="98"/>
      <c r="AB27" s="527">
        <f t="array" ref="AB27">INDEX(MOVEMENT!$AM$13:$AM$52, SMALL(IF(ISERROR(MATCH(MOVEMENT!$AM$13:$AM$52, MOVEMENT!$E$13:$E$52, 0)), (ROW(MOVEMENT!$AM$13:$AM$52)-MIN(ROW(MOVEMENT!$AM$13:$AM$52))+1), ""), ROW(MOVEMENT!23:23)))</f>
        <v>0</v>
      </c>
      <c r="AC27" s="48" t="e">
        <f>VLOOKUP(AB27,MOVEMENT!AM35:AY76,2,FALSE)</f>
        <v>#N/A</v>
      </c>
      <c r="AD27" s="48" t="e">
        <f>VLOOKUP(AB27,MOVEMENT!AM35:AY76,11,FALSE)</f>
        <v>#N/A</v>
      </c>
      <c r="AE27" s="48" t="e">
        <f>VLOOKUP(AB27,MOVEMENT!AM35:AY76,12,FALSE)</f>
        <v>#N/A</v>
      </c>
      <c r="AF27" s="46" t="e">
        <f>VLOOKUP(AB27,MOVEMENT!AM35:AY76,13,FALSE)</f>
        <v>#N/A</v>
      </c>
    </row>
    <row r="28" spans="4:32">
      <c r="D28" s="47" t="str">
        <f t="array" ref="D28">IFERROR(INDEX(WIP,SMALL(IF(('CURRENT WIP'!$D$1='CURRENT WIP'!$E$22:E171),MATCH(ROW(WIP),ROW(WIP)),""),ROW('CURRENT WIP'!A24)),COLUMN('CURRENT WIP'!A24)),"")</f>
        <v/>
      </c>
      <c r="E28" s="48" t="str">
        <f t="array" ref="E28">IFERROR(INDEX(WIP,SMALL(IF(('CURRENT WIP'!$D$1='CURRENT WIP'!$E$22:$E$148),MATCH(ROW(WIP),ROW(WIP)),""),ROW('CURRENT WIP'!B24)),COLUMN('CURRENT WIP'!B24)),"")</f>
        <v/>
      </c>
      <c r="F28" s="48" t="str">
        <f t="array" ref="F28">IFERROR(INDEX(WIP,SMALL(IF(('CURRENT WIP'!$D$1='CURRENT WIP'!$E$22:$E$148),MATCH(ROW(WIP),ROW(WIP)),""),ROW('CURRENT WIP'!C24)),COLUMN('CURRENT WIP'!C24)),"")</f>
        <v/>
      </c>
      <c r="G28" s="48" t="str">
        <f t="array" ref="G28">IFERROR(INDEX(WIP,SMALL(IF(('CURRENT WIP'!$D$1='CURRENT WIP'!$E$22:$E$148),MATCH(ROW(WIP),ROW(WIP)),""),ROW('CURRENT WIP'!D24)),COLUMN('CURRENT WIP'!D24)),"")</f>
        <v/>
      </c>
      <c r="H28" s="66" t="str">
        <f t="array" ref="H28">IFERROR(INDEX(WIP,SMALL(IF(('CURRENT WIP'!$D$1='CURRENT WIP'!$E$22:$E$148),MATCH(ROW(WIP),ROW(WIP)),""),ROW('CURRENT WIP'!E24)),COLUMN('CURRENT WIP'!E24)),"")</f>
        <v/>
      </c>
      <c r="I28" s="66" t="str">
        <f t="array" ref="I28">IFERROR(INDEX(WIP,SMALL(IF(('CURRENT WIP'!$D$1='CURRENT WIP'!$E$22:$E$148),MATCH(ROW(WIP),ROW(WIP)),""),ROW('CURRENT WIP'!F24)),COLUMN('CURRENT WIP'!F24)),"")</f>
        <v/>
      </c>
      <c r="J28" s="48" t="str">
        <f t="array" ref="J28">IFERROR(INDEX(WIP,SMALL(IF(('CURRENT WIP'!$D$1='CURRENT WIP'!$E$22:$E$148),MATCH(ROW(WIP),ROW(WIP)),""),ROW('CURRENT WIP'!G24)),COLUMN('CURRENT WIP'!G24)),"")</f>
        <v/>
      </c>
      <c r="K28" s="66" t="str">
        <f t="array" ref="K28">IFERROR(INDEX(WIP,SMALL(IF(('CURRENT WIP'!$D$1='CURRENT WIP'!$E$22:$E$148),MATCH(ROW(WIP),ROW(WIP)),""),ROW('CURRENT WIP'!H24)),COLUMN('CURRENT WIP'!H24)),"")</f>
        <v/>
      </c>
      <c r="L28" s="48" t="str">
        <f t="array" ref="L28">IFERROR(INDEX(WIP,SMALL(IF(('CURRENT WIP'!$D$1='CURRENT WIP'!$E$22:$E$148),MATCH(ROW(WIP),ROW(WIP)),""),ROW('CURRENT WIP'!I24)),COLUMN('CURRENT WIP'!I24)),"")</f>
        <v/>
      </c>
      <c r="M28" s="67" t="str">
        <f t="array" ref="M28">IFERROR(INDEX(WIP,SMALL(IF(('CURRENT WIP'!$D$1='CURRENT WIP'!$E$22:$E$148),MATCH(ROW(WIP),ROW(WIP)),""),ROW('CURRENT WIP'!J24)),COLUMN('CURRENT WIP'!J24)),"")</f>
        <v/>
      </c>
      <c r="N28" s="48" t="str">
        <f t="array" ref="N28">IFERROR(INDEX(WIP,SMALL(IF(('CURRENT WIP'!$D$1='CURRENT WIP'!$E$22:$E$148),MATCH(ROW(WIP),ROW(WIP)),""),ROW('CURRENT WIP'!K24)),COLUMN('CURRENT WIP'!K24)),"")</f>
        <v/>
      </c>
      <c r="O28" s="48" t="str">
        <f t="array" ref="O28">IFERROR(INDEX(WIP,SMALL(IF(('CURRENT WIP'!$D$1='CURRENT WIP'!$E$22:$E$148),MATCH(ROW(WIP),ROW(WIP)),""),ROW('CURRENT WIP'!L24)),COLUMN('CURRENT WIP'!L24)),"")</f>
        <v/>
      </c>
      <c r="P28" s="48" t="str">
        <f t="array" ref="P28">IFERROR(INDEX(WIP,SMALL(IF(('CURRENT WIP'!$D$1='CURRENT WIP'!$E$22:$E$148),MATCH(ROW(WIP),ROW(WIP)),""),ROW('CURRENT WIP'!M24)),COLUMN('CURRENT WIP'!M24)),"")</f>
        <v/>
      </c>
      <c r="Q28" s="68" t="str">
        <f t="array" ref="Q28">IFERROR(INDEX(WIP,SMALL(IF(('CURRENT WIP'!$D$1='CURRENT WIP'!$E$22:$E$148),MATCH(ROW(WIP),ROW(WIP)),""),ROW('CURRENT WIP'!N24)),COLUMN('CURRENT WIP'!N24)),"")</f>
        <v/>
      </c>
      <c r="R28" s="48" t="str">
        <f t="array" ref="R28">IFERROR(INDEX(WIP,SMALL(IF(('CURRENT WIP'!$D$1='CURRENT WIP'!$E$22:$E$148),MATCH(ROW(WIP),ROW(WIP)),""),ROW('CURRENT WIP'!O24)),COLUMN('CURRENT WIP'!O24)),"")</f>
        <v/>
      </c>
      <c r="S28" s="48" t="str">
        <f t="array" ref="S28">IFERROR(INDEX(WIP,SMALL(IF(('CURRENT WIP'!$D$1='CURRENT WIP'!$E$22:$E$148),MATCH(ROW(WIP),ROW(WIP)),""),ROW('CURRENT WIP'!P24)),COLUMN('CURRENT WIP'!P24)),"")</f>
        <v/>
      </c>
      <c r="T28" s="68" t="str">
        <f t="array" ref="T28">IFERROR(INDEX(WIP,SMALL(IF(('CURRENT WIP'!$D$1='CURRENT WIP'!$E$22:$E$148),MATCH(ROW(WIP),ROW(WIP)),""),ROW('CURRENT WIP'!Q24)),COLUMN('CURRENT WIP'!Q24)),"")</f>
        <v/>
      </c>
      <c r="U28" s="48" t="str">
        <f t="array" ref="U28">IFERROR(INDEX(WIP,SMALL(IF(('CURRENT WIP'!$D$1='CURRENT WIP'!$E$22:$E$148),MATCH(ROW(WIP),ROW(WIP)),""),ROW('CURRENT WIP'!R24)),COLUMN('CURRENT WIP'!R24)),"")</f>
        <v/>
      </c>
      <c r="V28" s="48" t="str">
        <f t="array" ref="V28">IFERROR(INDEX(WIP,SMALL(IF(('CURRENT WIP'!$D$1='CURRENT WIP'!$E$22:$E$148),MATCH(ROW(WIP),ROW(WIP)),""),ROW('CURRENT WIP'!S24)),COLUMN('CURRENT WIP'!S24)),"")</f>
        <v/>
      </c>
      <c r="W28" s="48" t="str">
        <f t="array" ref="W28">IFERROR(INDEX(WIP,SMALL(IF(('CURRENT WIP'!$D$1='CURRENT WIP'!$E$22:$E$148),MATCH(ROW(WIP),ROW(WIP)),""),ROW('CURRENT WIP'!T24)),COLUMN('CURRENT WIP'!T24)),"")</f>
        <v/>
      </c>
      <c r="X28" s="48" t="str">
        <f t="array" ref="X28">IFERROR(INDEX(WIP,SMALL(IF(('CURRENT WIP'!$D$1='CURRENT WIP'!$E$22:$E$148),MATCH(ROW(WIP),ROW(WIP)),""),ROW('CURRENT WIP'!U24)),COLUMN('CURRENT WIP'!U24)),"")</f>
        <v/>
      </c>
      <c r="Y28" s="521" t="str">
        <f>IF(M28="A", N28-(N28*0.27), IF(M28="F", N28-(N28*0.47), IF(M28="D", N28-(N28*0.7), N28)))</f>
        <v/>
      </c>
      <c r="Z28" s="98"/>
      <c r="AB28" s="527">
        <f t="array" ref="AB28">INDEX(MOVEMENT!$AM$13:$AM$52, SMALL(IF(ISERROR(MATCH(MOVEMENT!$AM$13:$AM$52, MOVEMENT!$E$13:$E$52, 0)), (ROW(MOVEMENT!$AM$13:$AM$52)-MIN(ROW(MOVEMENT!$AM$13:$AM$52))+1), ""), ROW(MOVEMENT!24:24)))</f>
        <v>0</v>
      </c>
      <c r="AC28" s="48" t="e">
        <f>VLOOKUP(AB28,MOVEMENT!AM36:AY77,2,FALSE)</f>
        <v>#N/A</v>
      </c>
      <c r="AD28" s="48" t="e">
        <f>VLOOKUP(AB28,MOVEMENT!AM36:AY77,11,FALSE)</f>
        <v>#N/A</v>
      </c>
      <c r="AE28" s="48" t="e">
        <f>VLOOKUP(AB28,MOVEMENT!AM36:AY77,12,FALSE)</f>
        <v>#N/A</v>
      </c>
      <c r="AF28" s="46" t="e">
        <f>VLOOKUP(AB28,MOVEMENT!AM36:AY77,13,FALSE)</f>
        <v>#N/A</v>
      </c>
    </row>
    <row r="29" spans="4:32">
      <c r="D29" s="47" t="str">
        <f t="array" ref="D29">IFERROR(INDEX(WIP,SMALL(IF(('CURRENT WIP'!$D$1='CURRENT WIP'!$E$22:E172),MATCH(ROW(WIP),ROW(WIP)),""),ROW('CURRENT WIP'!A25)),COLUMN('CURRENT WIP'!A25)),"")</f>
        <v/>
      </c>
      <c r="E29" s="48" t="str">
        <f t="array" ref="E29">IFERROR(INDEX(WIP,SMALL(IF(('CURRENT WIP'!$D$1='CURRENT WIP'!$E$22:$E$148),MATCH(ROW(WIP),ROW(WIP)),""),ROW('CURRENT WIP'!B25)),COLUMN('CURRENT WIP'!B25)),"")</f>
        <v/>
      </c>
      <c r="F29" s="48" t="str">
        <f t="array" ref="F29">IFERROR(INDEX(WIP,SMALL(IF(('CURRENT WIP'!$D$1='CURRENT WIP'!$E$22:$E$148),MATCH(ROW(WIP),ROW(WIP)),""),ROW('CURRENT WIP'!C25)),COLUMN('CURRENT WIP'!C25)),"")</f>
        <v/>
      </c>
      <c r="G29" s="48" t="str">
        <f t="array" ref="G29">IFERROR(INDEX(WIP,SMALL(IF(('CURRENT WIP'!$D$1='CURRENT WIP'!$E$22:$E$148),MATCH(ROW(WIP),ROW(WIP)),""),ROW('CURRENT WIP'!D25)),COLUMN('CURRENT WIP'!D25)),"")</f>
        <v/>
      </c>
      <c r="H29" s="66" t="str">
        <f t="array" ref="H29">IFERROR(INDEX(WIP,SMALL(IF(('CURRENT WIP'!$D$1='CURRENT WIP'!$E$22:$E$148),MATCH(ROW(WIP),ROW(WIP)),""),ROW('CURRENT WIP'!E25)),COLUMN('CURRENT WIP'!E25)),"")</f>
        <v/>
      </c>
      <c r="I29" s="66" t="str">
        <f t="array" ref="I29">IFERROR(INDEX(WIP,SMALL(IF(('CURRENT WIP'!$D$1='CURRENT WIP'!$E$22:$E$148),MATCH(ROW(WIP),ROW(WIP)),""),ROW('CURRENT WIP'!F25)),COLUMN('CURRENT WIP'!F25)),"")</f>
        <v/>
      </c>
      <c r="J29" s="48" t="str">
        <f t="array" ref="J29">IFERROR(INDEX(WIP,SMALL(IF(('CURRENT WIP'!$D$1='CURRENT WIP'!$E$22:$E$148),MATCH(ROW(WIP),ROW(WIP)),""),ROW('CURRENT WIP'!G25)),COLUMN('CURRENT WIP'!G25)),"")</f>
        <v/>
      </c>
      <c r="K29" s="66" t="str">
        <f t="array" ref="K29">IFERROR(INDEX(WIP,SMALL(IF(('CURRENT WIP'!$D$1='CURRENT WIP'!$E$22:$E$148),MATCH(ROW(WIP),ROW(WIP)),""),ROW('CURRENT WIP'!H25)),COLUMN('CURRENT WIP'!H25)),"")</f>
        <v/>
      </c>
      <c r="L29" s="48" t="str">
        <f t="array" ref="L29">IFERROR(INDEX(WIP,SMALL(IF(('CURRENT WIP'!$D$1='CURRENT WIP'!$E$22:$E$148),MATCH(ROW(WIP),ROW(WIP)),""),ROW('CURRENT WIP'!I25)),COLUMN('CURRENT WIP'!I25)),"")</f>
        <v/>
      </c>
      <c r="M29" s="67" t="str">
        <f t="array" ref="M29">IFERROR(INDEX(WIP,SMALL(IF(('CURRENT WIP'!$D$1='CURRENT WIP'!$E$22:$E$148),MATCH(ROW(WIP),ROW(WIP)),""),ROW('CURRENT WIP'!J25)),COLUMN('CURRENT WIP'!J25)),"")</f>
        <v/>
      </c>
      <c r="N29" s="48" t="str">
        <f t="array" ref="N29">IFERROR(INDEX(WIP,SMALL(IF(('CURRENT WIP'!$D$1='CURRENT WIP'!$E$22:$E$148),MATCH(ROW(WIP),ROW(WIP)),""),ROW('CURRENT WIP'!K25)),COLUMN('CURRENT WIP'!K25)),"")</f>
        <v/>
      </c>
      <c r="O29" s="48" t="str">
        <f t="array" ref="O29">IFERROR(INDEX(WIP,SMALL(IF(('CURRENT WIP'!$D$1='CURRENT WIP'!$E$22:$E$148),MATCH(ROW(WIP),ROW(WIP)),""),ROW('CURRENT WIP'!L25)),COLUMN('CURRENT WIP'!L25)),"")</f>
        <v/>
      </c>
      <c r="P29" s="48" t="str">
        <f t="array" ref="P29">IFERROR(INDEX(WIP,SMALL(IF(('CURRENT WIP'!$D$1='CURRENT WIP'!$E$22:$E$148),MATCH(ROW(WIP),ROW(WIP)),""),ROW('CURRENT WIP'!M25)),COLUMN('CURRENT WIP'!M25)),"")</f>
        <v/>
      </c>
      <c r="Q29" s="68" t="str">
        <f t="array" ref="Q29">IFERROR(INDEX(WIP,SMALL(IF(('CURRENT WIP'!$D$1='CURRENT WIP'!$E$22:$E$148),MATCH(ROW(WIP),ROW(WIP)),""),ROW('CURRENT WIP'!N25)),COLUMN('CURRENT WIP'!N25)),"")</f>
        <v/>
      </c>
      <c r="R29" s="48" t="str">
        <f t="array" ref="R29">IFERROR(INDEX(WIP,SMALL(IF(('CURRENT WIP'!$D$1='CURRENT WIP'!$E$22:$E$148),MATCH(ROW(WIP),ROW(WIP)),""),ROW('CURRENT WIP'!O25)),COLUMN('CURRENT WIP'!O25)),"")</f>
        <v/>
      </c>
      <c r="S29" s="48" t="str">
        <f t="array" ref="S29">IFERROR(INDEX(WIP,SMALL(IF(('CURRENT WIP'!$D$1='CURRENT WIP'!$E$22:$E$148),MATCH(ROW(WIP),ROW(WIP)),""),ROW('CURRENT WIP'!P25)),COLUMN('CURRENT WIP'!P25)),"")</f>
        <v/>
      </c>
      <c r="T29" s="68" t="str">
        <f t="array" ref="T29">IFERROR(INDEX(WIP,SMALL(IF(('CURRENT WIP'!$D$1='CURRENT WIP'!$E$22:$E$148),MATCH(ROW(WIP),ROW(WIP)),""),ROW('CURRENT WIP'!Q25)),COLUMN('CURRENT WIP'!Q25)),"")</f>
        <v/>
      </c>
      <c r="U29" s="48" t="str">
        <f t="array" ref="U29">IFERROR(INDEX(WIP,SMALL(IF(('CURRENT WIP'!$D$1='CURRENT WIP'!$E$22:$E$148),MATCH(ROW(WIP),ROW(WIP)),""),ROW('CURRENT WIP'!R25)),COLUMN('CURRENT WIP'!R25)),"")</f>
        <v/>
      </c>
      <c r="V29" s="48" t="str">
        <f t="array" ref="V29">IFERROR(INDEX(WIP,SMALL(IF(('CURRENT WIP'!$D$1='CURRENT WIP'!$E$22:$E$148),MATCH(ROW(WIP),ROW(WIP)),""),ROW('CURRENT WIP'!S25)),COLUMN('CURRENT WIP'!S25)),"")</f>
        <v/>
      </c>
      <c r="W29" s="48" t="str">
        <f t="array" ref="W29">IFERROR(INDEX(WIP,SMALL(IF(('CURRENT WIP'!$D$1='CURRENT WIP'!$E$22:$E$148),MATCH(ROW(WIP),ROW(WIP)),""),ROW('CURRENT WIP'!T25)),COLUMN('CURRENT WIP'!T25)),"")</f>
        <v/>
      </c>
      <c r="X29" s="48" t="str">
        <f t="array" ref="X29">IFERROR(INDEX(WIP,SMALL(IF(('CURRENT WIP'!$D$1='CURRENT WIP'!$E$22:$E$148),MATCH(ROW(WIP),ROW(WIP)),""),ROW('CURRENT WIP'!U25)),COLUMN('CURRENT WIP'!U25)),"")</f>
        <v/>
      </c>
      <c r="Y29" s="521" t="str">
        <f t="shared" si="0"/>
        <v/>
      </c>
      <c r="Z29" s="98"/>
      <c r="AB29" s="527">
        <f t="array" ref="AB29">INDEX(MOVEMENT!$AM$13:$AM$52, SMALL(IF(ISERROR(MATCH(MOVEMENT!$AM$13:$AM$52, MOVEMENT!$E$13:$E$52, 0)), (ROW(MOVEMENT!$AM$13:$AM$52)-MIN(ROW(MOVEMENT!$AM$13:$AM$52))+1), ""), ROW(MOVEMENT!25:25)))</f>
        <v>0</v>
      </c>
      <c r="AC29" s="48" t="e">
        <f>VLOOKUP(AB29,MOVEMENT!AM37:AY78,2,FALSE)</f>
        <v>#N/A</v>
      </c>
      <c r="AD29" s="48" t="e">
        <f>VLOOKUP(AB29,MOVEMENT!AM37:AY78,11,FALSE)</f>
        <v>#N/A</v>
      </c>
      <c r="AE29" s="48" t="e">
        <f>VLOOKUP(AB29,MOVEMENT!AM37:AY78,12,FALSE)</f>
        <v>#N/A</v>
      </c>
      <c r="AF29" s="46" t="e">
        <f>VLOOKUP(AB29,MOVEMENT!AM37:AY78,13,FALSE)</f>
        <v>#N/A</v>
      </c>
    </row>
    <row r="30" spans="4:32">
      <c r="D30" s="47" t="str">
        <f t="array" ref="D30">IFERROR(INDEX(WIP,SMALL(IF(('CURRENT WIP'!$D$1='CURRENT WIP'!$E$22:E173),MATCH(ROW(WIP),ROW(WIP)),""),ROW('CURRENT WIP'!A26)),COLUMN('CURRENT WIP'!A26)),"")</f>
        <v/>
      </c>
      <c r="E30" s="48" t="str">
        <f t="array" ref="E30">IFERROR(INDEX(WIP,SMALL(IF(('CURRENT WIP'!$D$1='CURRENT WIP'!$E$22:$E$148),MATCH(ROW(WIP),ROW(WIP)),""),ROW('CURRENT WIP'!B26)),COLUMN('CURRENT WIP'!B26)),"")</f>
        <v/>
      </c>
      <c r="F30" s="48" t="str">
        <f t="array" ref="F30">IFERROR(INDEX(WIP,SMALL(IF(('CURRENT WIP'!$D$1='CURRENT WIP'!$E$22:$E$148),MATCH(ROW(WIP),ROW(WIP)),""),ROW('CURRENT WIP'!C26)),COLUMN('CURRENT WIP'!C26)),"")</f>
        <v/>
      </c>
      <c r="G30" s="48" t="str">
        <f t="array" ref="G30">IFERROR(INDEX(WIP,SMALL(IF(('CURRENT WIP'!$D$1='CURRENT WIP'!$E$22:$E$148),MATCH(ROW(WIP),ROW(WIP)),""),ROW('CURRENT WIP'!D26)),COLUMN('CURRENT WIP'!D26)),"")</f>
        <v/>
      </c>
      <c r="H30" s="66" t="str">
        <f t="array" ref="H30">IFERROR(INDEX(WIP,SMALL(IF(('CURRENT WIP'!$D$1='CURRENT WIP'!$E$22:$E$148),MATCH(ROW(WIP),ROW(WIP)),""),ROW('CURRENT WIP'!E26)),COLUMN('CURRENT WIP'!E26)),"")</f>
        <v/>
      </c>
      <c r="I30" s="66" t="str">
        <f t="array" ref="I30">IFERROR(INDEX(WIP,SMALL(IF(('CURRENT WIP'!$D$1='CURRENT WIP'!$E$22:$E$148),MATCH(ROW(WIP),ROW(WIP)),""),ROW('CURRENT WIP'!F26)),COLUMN('CURRENT WIP'!F26)),"")</f>
        <v/>
      </c>
      <c r="J30" s="48" t="str">
        <f t="array" ref="J30">IFERROR(INDEX(WIP,SMALL(IF(('CURRENT WIP'!$D$1='CURRENT WIP'!$E$22:$E$148),MATCH(ROW(WIP),ROW(WIP)),""),ROW('CURRENT WIP'!G26)),COLUMN('CURRENT WIP'!G26)),"")</f>
        <v/>
      </c>
      <c r="K30" s="66" t="str">
        <f t="array" ref="K30">IFERROR(INDEX(WIP,SMALL(IF(('CURRENT WIP'!$D$1='CURRENT WIP'!$E$22:$E$148),MATCH(ROW(WIP),ROW(WIP)),""),ROW('CURRENT WIP'!H26)),COLUMN('CURRENT WIP'!H26)),"")</f>
        <v/>
      </c>
      <c r="L30" s="48" t="str">
        <f t="array" ref="L30">IFERROR(INDEX(WIP,SMALL(IF(('CURRENT WIP'!$D$1='CURRENT WIP'!$E$22:$E$148),MATCH(ROW(WIP),ROW(WIP)),""),ROW('CURRENT WIP'!I26)),COLUMN('CURRENT WIP'!I26)),"")</f>
        <v/>
      </c>
      <c r="M30" s="67" t="str">
        <f t="array" ref="M30">IFERROR(INDEX(WIP,SMALL(IF(('CURRENT WIP'!$D$1='CURRENT WIP'!$E$22:$E$148),MATCH(ROW(WIP),ROW(WIP)),""),ROW('CURRENT WIP'!J26)),COLUMN('CURRENT WIP'!J26)),"")</f>
        <v/>
      </c>
      <c r="N30" s="48" t="str">
        <f t="array" ref="N30">IFERROR(INDEX(WIP,SMALL(IF(('CURRENT WIP'!$D$1='CURRENT WIP'!$E$22:$E$148),MATCH(ROW(WIP),ROW(WIP)),""),ROW('CURRENT WIP'!K26)),COLUMN('CURRENT WIP'!K26)),"")</f>
        <v/>
      </c>
      <c r="O30" s="48" t="str">
        <f t="array" ref="O30">IFERROR(INDEX(WIP,SMALL(IF(('CURRENT WIP'!$D$1='CURRENT WIP'!$E$22:$E$148),MATCH(ROW(WIP),ROW(WIP)),""),ROW('CURRENT WIP'!L26)),COLUMN('CURRENT WIP'!L26)),"")</f>
        <v/>
      </c>
      <c r="P30" s="48" t="str">
        <f t="array" ref="P30">IFERROR(INDEX(WIP,SMALL(IF(('CURRENT WIP'!$D$1='CURRENT WIP'!$E$22:$E$148),MATCH(ROW(WIP),ROW(WIP)),""),ROW('CURRENT WIP'!M26)),COLUMN('CURRENT WIP'!M26)),"")</f>
        <v/>
      </c>
      <c r="Q30" s="68" t="str">
        <f t="array" ref="Q30">IFERROR(INDEX(WIP,SMALL(IF(('CURRENT WIP'!$D$1='CURRENT WIP'!$E$22:$E$148),MATCH(ROW(WIP),ROW(WIP)),""),ROW('CURRENT WIP'!N26)),COLUMN('CURRENT WIP'!N26)),"")</f>
        <v/>
      </c>
      <c r="R30" s="48" t="str">
        <f t="array" ref="R30">IFERROR(INDEX(WIP,SMALL(IF(('CURRENT WIP'!$D$1='CURRENT WIP'!$E$22:$E$148),MATCH(ROW(WIP),ROW(WIP)),""),ROW('CURRENT WIP'!O26)),COLUMN('CURRENT WIP'!O26)),"")</f>
        <v/>
      </c>
      <c r="S30" s="48" t="str">
        <f t="array" ref="S30">IFERROR(INDEX(WIP,SMALL(IF(('CURRENT WIP'!$D$1='CURRENT WIP'!$E$22:$E$148),MATCH(ROW(WIP),ROW(WIP)),""),ROW('CURRENT WIP'!P26)),COLUMN('CURRENT WIP'!P26)),"")</f>
        <v/>
      </c>
      <c r="T30" s="68" t="str">
        <f t="array" ref="T30">IFERROR(INDEX(WIP,SMALL(IF(('CURRENT WIP'!$D$1='CURRENT WIP'!$E$22:$E$148),MATCH(ROW(WIP),ROW(WIP)),""),ROW('CURRENT WIP'!Q26)),COLUMN('CURRENT WIP'!Q26)),"")</f>
        <v/>
      </c>
      <c r="U30" s="48" t="str">
        <f t="array" ref="U30">IFERROR(INDEX(WIP,SMALL(IF(('CURRENT WIP'!$D$1='CURRENT WIP'!$E$22:$E$148),MATCH(ROW(WIP),ROW(WIP)),""),ROW('CURRENT WIP'!R26)),COLUMN('CURRENT WIP'!R26)),"")</f>
        <v/>
      </c>
      <c r="V30" s="48" t="str">
        <f t="array" ref="V30">IFERROR(INDEX(WIP,SMALL(IF(('CURRENT WIP'!$D$1='CURRENT WIP'!$E$22:$E$148),MATCH(ROW(WIP),ROW(WIP)),""),ROW('CURRENT WIP'!S26)),COLUMN('CURRENT WIP'!S26)),"")</f>
        <v/>
      </c>
      <c r="W30" s="48" t="str">
        <f t="array" ref="W30">IFERROR(INDEX(WIP,SMALL(IF(('CURRENT WIP'!$D$1='CURRENT WIP'!$E$22:$E$148),MATCH(ROW(WIP),ROW(WIP)),""),ROW('CURRENT WIP'!T26)),COLUMN('CURRENT WIP'!T26)),"")</f>
        <v/>
      </c>
      <c r="X30" s="48" t="str">
        <f t="array" ref="X30">IFERROR(INDEX(WIP,SMALL(IF(('CURRENT WIP'!$D$1='CURRENT WIP'!$E$22:$E$148),MATCH(ROW(WIP),ROW(WIP)),""),ROW('CURRENT WIP'!U26)),COLUMN('CURRENT WIP'!U26)),"")</f>
        <v/>
      </c>
      <c r="Y30" s="521" t="str">
        <f>IF(M30="A", N30-(N30*0.27), IF(M30="F", N30-(N30*0.47), IF(M30="D", N30-(N30*0.7), N30)))</f>
        <v/>
      </c>
      <c r="Z30" s="98"/>
      <c r="AB30" s="527">
        <f t="array" ref="AB30">INDEX(MOVEMENT!$AM$13:$AM$52, SMALL(IF(ISERROR(MATCH(MOVEMENT!$AM$13:$AM$52, MOVEMENT!$E$13:$E$52, 0)), (ROW(MOVEMENT!$AM$13:$AM$52)-MIN(ROW(MOVEMENT!$AM$13:$AM$52))+1), ""), ROW(MOVEMENT!26:26)))</f>
        <v>0</v>
      </c>
      <c r="AC30" s="48" t="e">
        <f>VLOOKUP(AB30,MOVEMENT!AM38:AY79,2,FALSE)</f>
        <v>#N/A</v>
      </c>
      <c r="AD30" s="48" t="e">
        <f>VLOOKUP(AB30,MOVEMENT!AM38:AY79,11,FALSE)</f>
        <v>#N/A</v>
      </c>
      <c r="AE30" s="48" t="e">
        <f>VLOOKUP(AB30,MOVEMENT!AM38:AY79,12,FALSE)</f>
        <v>#N/A</v>
      </c>
      <c r="AF30" s="46" t="e">
        <f>VLOOKUP(AB30,MOVEMENT!AM38:AY79,13,FALSE)</f>
        <v>#N/A</v>
      </c>
    </row>
    <row r="31" spans="4:32">
      <c r="D31" s="47" t="str">
        <f t="array" ref="D31">IFERROR(INDEX(WIP,SMALL(IF(('CURRENT WIP'!$D$1='CURRENT WIP'!$E$22:E174),MATCH(ROW(WIP),ROW(WIP)),""),ROW('CURRENT WIP'!A27)),COLUMN('CURRENT WIP'!A27)),"")</f>
        <v/>
      </c>
      <c r="E31" s="48" t="str">
        <f t="array" ref="E31">IFERROR(INDEX(WIP,SMALL(IF(('CURRENT WIP'!$D$1='CURRENT WIP'!$E$22:$E$148),MATCH(ROW(WIP),ROW(WIP)),""),ROW('CURRENT WIP'!B27)),COLUMN('CURRENT WIP'!B27)),"")</f>
        <v/>
      </c>
      <c r="F31" s="48" t="str">
        <f t="array" ref="F31">IFERROR(INDEX(WIP,SMALL(IF(('CURRENT WIP'!$D$1='CURRENT WIP'!$E$22:$E$148),MATCH(ROW(WIP),ROW(WIP)),""),ROW('CURRENT WIP'!C27)),COLUMN('CURRENT WIP'!C27)),"")</f>
        <v/>
      </c>
      <c r="G31" s="48" t="str">
        <f t="array" ref="G31">IFERROR(INDEX(WIP,SMALL(IF(('CURRENT WIP'!$D$1='CURRENT WIP'!$E$22:$E$148),MATCH(ROW(WIP),ROW(WIP)),""),ROW('CURRENT WIP'!D27)),COLUMN('CURRENT WIP'!D27)),"")</f>
        <v/>
      </c>
      <c r="H31" s="66" t="str">
        <f t="array" ref="H31">IFERROR(INDEX(WIP,SMALL(IF(('CURRENT WIP'!$D$1='CURRENT WIP'!$E$22:$E$148),MATCH(ROW(WIP),ROW(WIP)),""),ROW('CURRENT WIP'!E27)),COLUMN('CURRENT WIP'!E27)),"")</f>
        <v/>
      </c>
      <c r="I31" s="66" t="str">
        <f t="array" ref="I31">IFERROR(INDEX(WIP,SMALL(IF(('CURRENT WIP'!$D$1='CURRENT WIP'!$E$22:$E$148),MATCH(ROW(WIP),ROW(WIP)),""),ROW('CURRENT WIP'!F27)),COLUMN('CURRENT WIP'!F27)),"")</f>
        <v/>
      </c>
      <c r="J31" s="48" t="str">
        <f t="array" ref="J31">IFERROR(INDEX(WIP,SMALL(IF(('CURRENT WIP'!$D$1='CURRENT WIP'!$E$22:$E$148),MATCH(ROW(WIP),ROW(WIP)),""),ROW('CURRENT WIP'!G27)),COLUMN('CURRENT WIP'!G27)),"")</f>
        <v/>
      </c>
      <c r="K31" s="66" t="str">
        <f t="array" ref="K31">IFERROR(INDEX(WIP,SMALL(IF(('CURRENT WIP'!$D$1='CURRENT WIP'!$E$22:$E$148),MATCH(ROW(WIP),ROW(WIP)),""),ROW('CURRENT WIP'!H27)),COLUMN('CURRENT WIP'!H27)),"")</f>
        <v/>
      </c>
      <c r="L31" s="48" t="str">
        <f t="array" ref="L31">IFERROR(INDEX(WIP,SMALL(IF(('CURRENT WIP'!$D$1='CURRENT WIP'!$E$22:$E$148),MATCH(ROW(WIP),ROW(WIP)),""),ROW('CURRENT WIP'!I27)),COLUMN('CURRENT WIP'!I27)),"")</f>
        <v/>
      </c>
      <c r="M31" s="67" t="str">
        <f t="array" ref="M31">IFERROR(INDEX(WIP,SMALL(IF(('CURRENT WIP'!$D$1='CURRENT WIP'!$E$22:$E$148),MATCH(ROW(WIP),ROW(WIP)),""),ROW('CURRENT WIP'!J27)),COLUMN('CURRENT WIP'!J27)),"")</f>
        <v/>
      </c>
      <c r="N31" s="48" t="str">
        <f t="array" ref="N31">IFERROR(INDEX(WIP,SMALL(IF(('CURRENT WIP'!$D$1='CURRENT WIP'!$E$22:$E$148),MATCH(ROW(WIP),ROW(WIP)),""),ROW('CURRENT WIP'!K27)),COLUMN('CURRENT WIP'!K27)),"")</f>
        <v/>
      </c>
      <c r="O31" s="48" t="str">
        <f t="array" ref="O31">IFERROR(INDEX(WIP,SMALL(IF(('CURRENT WIP'!$D$1='CURRENT WIP'!$E$22:$E$148),MATCH(ROW(WIP),ROW(WIP)),""),ROW('CURRENT WIP'!L27)),COLUMN('CURRENT WIP'!L27)),"")</f>
        <v/>
      </c>
      <c r="P31" s="48" t="str">
        <f t="array" ref="P31">IFERROR(INDEX(WIP,SMALL(IF(('CURRENT WIP'!$D$1='CURRENT WIP'!$E$22:$E$148),MATCH(ROW(WIP),ROW(WIP)),""),ROW('CURRENT WIP'!M27)),COLUMN('CURRENT WIP'!M27)),"")</f>
        <v/>
      </c>
      <c r="Q31" s="68" t="str">
        <f t="array" ref="Q31">IFERROR(INDEX(WIP,SMALL(IF(('CURRENT WIP'!$D$1='CURRENT WIP'!$E$22:$E$148),MATCH(ROW(WIP),ROW(WIP)),""),ROW('CURRENT WIP'!N27)),COLUMN('CURRENT WIP'!N27)),"")</f>
        <v/>
      </c>
      <c r="R31" s="48" t="str">
        <f t="array" ref="R31">IFERROR(INDEX(WIP,SMALL(IF(('CURRENT WIP'!$D$1='CURRENT WIP'!$E$22:$E$148),MATCH(ROW(WIP),ROW(WIP)),""),ROW('CURRENT WIP'!O27)),COLUMN('CURRENT WIP'!O27)),"")</f>
        <v/>
      </c>
      <c r="S31" s="48" t="str">
        <f t="array" ref="S31">IFERROR(INDEX(WIP,SMALL(IF(('CURRENT WIP'!$D$1='CURRENT WIP'!$E$22:$E$148),MATCH(ROW(WIP),ROW(WIP)),""),ROW('CURRENT WIP'!P27)),COLUMN('CURRENT WIP'!P27)),"")</f>
        <v/>
      </c>
      <c r="T31" s="68" t="str">
        <f t="array" ref="T31">IFERROR(INDEX(WIP,SMALL(IF(('CURRENT WIP'!$D$1='CURRENT WIP'!$E$22:$E$148),MATCH(ROW(WIP),ROW(WIP)),""),ROW('CURRENT WIP'!Q27)),COLUMN('CURRENT WIP'!Q27)),"")</f>
        <v/>
      </c>
      <c r="U31" s="48" t="str">
        <f t="array" ref="U31">IFERROR(INDEX(WIP,SMALL(IF(('CURRENT WIP'!$D$1='CURRENT WIP'!$E$22:$E$148),MATCH(ROW(WIP),ROW(WIP)),""),ROW('CURRENT WIP'!R27)),COLUMN('CURRENT WIP'!R27)),"")</f>
        <v/>
      </c>
      <c r="V31" s="48" t="str">
        <f t="array" ref="V31">IFERROR(INDEX(WIP,SMALL(IF(('CURRENT WIP'!$D$1='CURRENT WIP'!$E$22:$E$148),MATCH(ROW(WIP),ROW(WIP)),""),ROW('CURRENT WIP'!S27)),COLUMN('CURRENT WIP'!S27)),"")</f>
        <v/>
      </c>
      <c r="W31" s="48" t="str">
        <f t="array" ref="W31">IFERROR(INDEX(WIP,SMALL(IF(('CURRENT WIP'!$D$1='CURRENT WIP'!$E$22:$E$148),MATCH(ROW(WIP),ROW(WIP)),""),ROW('CURRENT WIP'!T27)),COLUMN('CURRENT WIP'!T27)),"")</f>
        <v/>
      </c>
      <c r="X31" s="48" t="str">
        <f t="array" ref="X31">IFERROR(INDEX(WIP,SMALL(IF(('CURRENT WIP'!$D$1='CURRENT WIP'!$E$22:$E$148),MATCH(ROW(WIP),ROW(WIP)),""),ROW('CURRENT WIP'!U27)),COLUMN('CURRENT WIP'!U27)),"")</f>
        <v/>
      </c>
      <c r="Y31" s="521" t="str">
        <f t="shared" si="0"/>
        <v/>
      </c>
      <c r="Z31" s="98"/>
      <c r="AB31" s="527">
        <f t="array" ref="AB31">INDEX(MOVEMENT!$AM$13:$AM$52, SMALL(IF(ISERROR(MATCH(MOVEMENT!$AM$13:$AM$52, MOVEMENT!$E$13:$E$52, 0)), (ROW(MOVEMENT!$AM$13:$AM$52)-MIN(ROW(MOVEMENT!$AM$13:$AM$52))+1), ""), ROW(MOVEMENT!27:27)))</f>
        <v>0</v>
      </c>
      <c r="AC31" s="48" t="e">
        <f>VLOOKUP(AB31,MOVEMENT!AM39:AY80,2,FALSE)</f>
        <v>#N/A</v>
      </c>
      <c r="AD31" s="48" t="e">
        <f>VLOOKUP(AB31,MOVEMENT!AM39:AY80,11,FALSE)</f>
        <v>#N/A</v>
      </c>
      <c r="AE31" s="48" t="e">
        <f>VLOOKUP(AB31,MOVEMENT!AM39:AY80,12,FALSE)</f>
        <v>#N/A</v>
      </c>
      <c r="AF31" s="46" t="e">
        <f>VLOOKUP(AB31,MOVEMENT!AM39:AY80,13,FALSE)</f>
        <v>#N/A</v>
      </c>
    </row>
    <row r="32" spans="4:32">
      <c r="D32" s="47" t="str">
        <f t="array" ref="D32">IFERROR(INDEX(WIP,SMALL(IF(('CURRENT WIP'!$D$1='CURRENT WIP'!$E$22:E175),MATCH(ROW(WIP),ROW(WIP)),""),ROW('CURRENT WIP'!A28)),COLUMN('CURRENT WIP'!A28)),"")</f>
        <v/>
      </c>
      <c r="E32" s="48" t="str">
        <f t="array" ref="E32">IFERROR(INDEX(WIP,SMALL(IF(('CURRENT WIP'!$D$1='CURRENT WIP'!$E$22:$E$148),MATCH(ROW(WIP),ROW(WIP)),""),ROW('CURRENT WIP'!B28)),COLUMN('CURRENT WIP'!B28)),"")</f>
        <v/>
      </c>
      <c r="F32" s="48" t="str">
        <f t="array" ref="F32">IFERROR(INDEX(WIP,SMALL(IF(('CURRENT WIP'!$D$1='CURRENT WIP'!$E$22:$E$148),MATCH(ROW(WIP),ROW(WIP)),""),ROW('CURRENT WIP'!C28)),COLUMN('CURRENT WIP'!C28)),"")</f>
        <v/>
      </c>
      <c r="G32" s="48" t="str">
        <f t="array" ref="G32">IFERROR(INDEX(WIP,SMALL(IF(('CURRENT WIP'!$D$1='CURRENT WIP'!$E$22:$E$148),MATCH(ROW(WIP),ROW(WIP)),""),ROW('CURRENT WIP'!D28)),COLUMN('CURRENT WIP'!D28)),"")</f>
        <v/>
      </c>
      <c r="H32" s="66" t="str">
        <f t="array" ref="H32">IFERROR(INDEX(WIP,SMALL(IF(('CURRENT WIP'!$D$1='CURRENT WIP'!$E$22:$E$148),MATCH(ROW(WIP),ROW(WIP)),""),ROW('CURRENT WIP'!E28)),COLUMN('CURRENT WIP'!E28)),"")</f>
        <v/>
      </c>
      <c r="I32" s="66" t="str">
        <f t="array" ref="I32">IFERROR(INDEX(WIP,SMALL(IF(('CURRENT WIP'!$D$1='CURRENT WIP'!$E$22:$E$148),MATCH(ROW(WIP),ROW(WIP)),""),ROW('CURRENT WIP'!F28)),COLUMN('CURRENT WIP'!F28)),"")</f>
        <v/>
      </c>
      <c r="J32" s="48" t="str">
        <f t="array" ref="J32">IFERROR(INDEX(WIP,SMALL(IF(('CURRENT WIP'!$D$1='CURRENT WIP'!$E$22:$E$148),MATCH(ROW(WIP),ROW(WIP)),""),ROW('CURRENT WIP'!G28)),COLUMN('CURRENT WIP'!G28)),"")</f>
        <v/>
      </c>
      <c r="K32" s="66" t="str">
        <f t="array" ref="K32">IFERROR(INDEX(WIP,SMALL(IF(('CURRENT WIP'!$D$1='CURRENT WIP'!$E$22:$E$148),MATCH(ROW(WIP),ROW(WIP)),""),ROW('CURRENT WIP'!H28)),COLUMN('CURRENT WIP'!H28)),"")</f>
        <v/>
      </c>
      <c r="L32" s="48" t="str">
        <f t="array" ref="L32">IFERROR(INDEX(WIP,SMALL(IF(('CURRENT WIP'!$D$1='CURRENT WIP'!$E$22:$E$148),MATCH(ROW(WIP),ROW(WIP)),""),ROW('CURRENT WIP'!I28)),COLUMN('CURRENT WIP'!I28)),"")</f>
        <v/>
      </c>
      <c r="M32" s="67" t="str">
        <f t="array" ref="M32">IFERROR(INDEX(WIP,SMALL(IF(('CURRENT WIP'!$D$1='CURRENT WIP'!$E$22:$E$148),MATCH(ROW(WIP),ROW(WIP)),""),ROW('CURRENT WIP'!J28)),COLUMN('CURRENT WIP'!J28)),"")</f>
        <v/>
      </c>
      <c r="N32" s="48" t="str">
        <f t="array" ref="N32">IFERROR(INDEX(WIP,SMALL(IF(('CURRENT WIP'!$D$1='CURRENT WIP'!$E$22:$E$148),MATCH(ROW(WIP),ROW(WIP)),""),ROW('CURRENT WIP'!K28)),COLUMN('CURRENT WIP'!K28)),"")</f>
        <v/>
      </c>
      <c r="O32" s="48" t="str">
        <f t="array" ref="O32">IFERROR(INDEX(WIP,SMALL(IF(('CURRENT WIP'!$D$1='CURRENT WIP'!$E$22:$E$148),MATCH(ROW(WIP),ROW(WIP)),""),ROW('CURRENT WIP'!L28)),COLUMN('CURRENT WIP'!L28)),"")</f>
        <v/>
      </c>
      <c r="P32" s="48" t="str">
        <f t="array" ref="P32">IFERROR(INDEX(WIP,SMALL(IF(('CURRENT WIP'!$D$1='CURRENT WIP'!$E$22:$E$148),MATCH(ROW(WIP),ROW(WIP)),""),ROW('CURRENT WIP'!M28)),COLUMN('CURRENT WIP'!M28)),"")</f>
        <v/>
      </c>
      <c r="Q32" s="68" t="str">
        <f t="array" ref="Q32">IFERROR(INDEX(WIP,SMALL(IF(('CURRENT WIP'!$D$1='CURRENT WIP'!$E$22:$E$148),MATCH(ROW(WIP),ROW(WIP)),""),ROW('CURRENT WIP'!N28)),COLUMN('CURRENT WIP'!N28)),"")</f>
        <v/>
      </c>
      <c r="R32" s="48" t="str">
        <f t="array" ref="R32">IFERROR(INDEX(WIP,SMALL(IF(('CURRENT WIP'!$D$1='CURRENT WIP'!$E$22:$E$148),MATCH(ROW(WIP),ROW(WIP)),""),ROW('CURRENT WIP'!O28)),COLUMN('CURRENT WIP'!O28)),"")</f>
        <v/>
      </c>
      <c r="S32" s="48" t="str">
        <f t="array" ref="S32">IFERROR(INDEX(WIP,SMALL(IF(('CURRENT WIP'!$D$1='CURRENT WIP'!$E$22:$E$148),MATCH(ROW(WIP),ROW(WIP)),""),ROW('CURRENT WIP'!P28)),COLUMN('CURRENT WIP'!P28)),"")</f>
        <v/>
      </c>
      <c r="T32" s="68" t="str">
        <f t="array" ref="T32">IFERROR(INDEX(WIP,SMALL(IF(('CURRENT WIP'!$D$1='CURRENT WIP'!$E$22:$E$148),MATCH(ROW(WIP),ROW(WIP)),""),ROW('CURRENT WIP'!Q28)),COLUMN('CURRENT WIP'!Q28)),"")</f>
        <v/>
      </c>
      <c r="U32" s="48" t="str">
        <f t="array" ref="U32">IFERROR(INDEX(WIP,SMALL(IF(('CURRENT WIP'!$D$1='CURRENT WIP'!$E$22:$E$148),MATCH(ROW(WIP),ROW(WIP)),""),ROW('CURRENT WIP'!R28)),COLUMN('CURRENT WIP'!R28)),"")</f>
        <v/>
      </c>
      <c r="V32" s="48" t="str">
        <f t="array" ref="V32">IFERROR(INDEX(WIP,SMALL(IF(('CURRENT WIP'!$D$1='CURRENT WIP'!$E$22:$E$148),MATCH(ROW(WIP),ROW(WIP)),""),ROW('CURRENT WIP'!S28)),COLUMN('CURRENT WIP'!S28)),"")</f>
        <v/>
      </c>
      <c r="W32" s="48" t="str">
        <f t="array" ref="W32">IFERROR(INDEX(WIP,SMALL(IF(('CURRENT WIP'!$D$1='CURRENT WIP'!$E$22:$E$148),MATCH(ROW(WIP),ROW(WIP)),""),ROW('CURRENT WIP'!T28)),COLUMN('CURRENT WIP'!T28)),"")</f>
        <v/>
      </c>
      <c r="X32" s="48" t="str">
        <f t="array" ref="X32">IFERROR(INDEX(WIP,SMALL(IF(('CURRENT WIP'!$D$1='CURRENT WIP'!$E$22:$E$148),MATCH(ROW(WIP),ROW(WIP)),""),ROW('CURRENT WIP'!U28)),COLUMN('CURRENT WIP'!U28)),"")</f>
        <v/>
      </c>
      <c r="Y32" s="521" t="str">
        <f t="shared" si="0"/>
        <v/>
      </c>
      <c r="Z32" s="98"/>
      <c r="AB32" s="527">
        <f t="array" ref="AB32">INDEX(MOVEMENT!$AM$13:$AM$52, SMALL(IF(ISERROR(MATCH(MOVEMENT!$AM$13:$AM$52, MOVEMENT!$E$13:$E$52, 0)), (ROW(MOVEMENT!$AM$13:$AM$52)-MIN(ROW(MOVEMENT!$AM$13:$AM$52))+1), ""), ROW(MOVEMENT!28:28)))</f>
        <v>0</v>
      </c>
      <c r="AC32" s="48" t="e">
        <f>VLOOKUP(AB32,MOVEMENT!AM40:AY81,2,FALSE)</f>
        <v>#N/A</v>
      </c>
      <c r="AD32" s="48" t="e">
        <f>VLOOKUP(AB32,MOVEMENT!AM40:AY81,11,FALSE)</f>
        <v>#N/A</v>
      </c>
      <c r="AE32" s="48" t="e">
        <f>VLOOKUP(AB32,MOVEMENT!AM40:AY81,12,FALSE)</f>
        <v>#N/A</v>
      </c>
      <c r="AF32" s="46" t="e">
        <f>VLOOKUP(AB32,MOVEMENT!AM40:AY81,13,FALSE)</f>
        <v>#N/A</v>
      </c>
    </row>
    <row r="33" spans="2:32">
      <c r="D33" s="47" t="str">
        <f t="array" ref="D33">IFERROR(INDEX(WIP,SMALL(IF(('CURRENT WIP'!$D$1='CURRENT WIP'!$E$22:E176),MATCH(ROW(WIP),ROW(WIP)),""),ROW('CURRENT WIP'!A29)),COLUMN('CURRENT WIP'!A29)),"")</f>
        <v/>
      </c>
      <c r="E33" s="48" t="str">
        <f t="array" ref="E33">IFERROR(INDEX(WIP,SMALL(IF(('CURRENT WIP'!$D$1='CURRENT WIP'!$E$22:$E$148),MATCH(ROW(WIP),ROW(WIP)),""),ROW('CURRENT WIP'!B29)),COLUMN('CURRENT WIP'!B29)),"")</f>
        <v/>
      </c>
      <c r="F33" s="48" t="str">
        <f t="array" ref="F33">IFERROR(INDEX(WIP,SMALL(IF(('CURRENT WIP'!$D$1='CURRENT WIP'!$E$22:$E$148),MATCH(ROW(WIP),ROW(WIP)),""),ROW('CURRENT WIP'!C29)),COLUMN('CURRENT WIP'!C29)),"")</f>
        <v/>
      </c>
      <c r="G33" s="48" t="str">
        <f t="array" ref="G33">IFERROR(INDEX(WIP,SMALL(IF(('CURRENT WIP'!$D$1='CURRENT WIP'!$E$22:$E$148),MATCH(ROW(WIP),ROW(WIP)),""),ROW('CURRENT WIP'!D29)),COLUMN('CURRENT WIP'!D29)),"")</f>
        <v/>
      </c>
      <c r="H33" s="66" t="str">
        <f t="array" ref="H33">IFERROR(INDEX(WIP,SMALL(IF(('CURRENT WIP'!$D$1='CURRENT WIP'!$E$22:$E$148),MATCH(ROW(WIP),ROW(WIP)),""),ROW('CURRENT WIP'!E29)),COLUMN('CURRENT WIP'!E29)),"")</f>
        <v/>
      </c>
      <c r="I33" s="66" t="str">
        <f t="array" ref="I33">IFERROR(INDEX(WIP,SMALL(IF(('CURRENT WIP'!$D$1='CURRENT WIP'!$E$22:$E$148),MATCH(ROW(WIP),ROW(WIP)),""),ROW('CURRENT WIP'!F29)),COLUMN('CURRENT WIP'!F29)),"")</f>
        <v/>
      </c>
      <c r="J33" s="48" t="str">
        <f t="array" ref="J33">IFERROR(INDEX(WIP,SMALL(IF(('CURRENT WIP'!$D$1='CURRENT WIP'!$E$22:$E$148),MATCH(ROW(WIP),ROW(WIP)),""),ROW('CURRENT WIP'!G29)),COLUMN('CURRENT WIP'!G29)),"")</f>
        <v/>
      </c>
      <c r="K33" s="66" t="str">
        <f t="array" ref="K33">IFERROR(INDEX(WIP,SMALL(IF(('CURRENT WIP'!$D$1='CURRENT WIP'!$E$22:$E$148),MATCH(ROW(WIP),ROW(WIP)),""),ROW('CURRENT WIP'!H29)),COLUMN('CURRENT WIP'!H29)),"")</f>
        <v/>
      </c>
      <c r="L33" s="48" t="str">
        <f t="array" ref="L33">IFERROR(INDEX(WIP,SMALL(IF(('CURRENT WIP'!$D$1='CURRENT WIP'!$E$22:$E$148),MATCH(ROW(WIP),ROW(WIP)),""),ROW('CURRENT WIP'!I29)),COLUMN('CURRENT WIP'!I29)),"")</f>
        <v/>
      </c>
      <c r="M33" s="67" t="str">
        <f t="array" ref="M33">IFERROR(INDEX(WIP,SMALL(IF(('CURRENT WIP'!$D$1='CURRENT WIP'!$E$22:$E$148),MATCH(ROW(WIP),ROW(WIP)),""),ROW('CURRENT WIP'!J29)),COLUMN('CURRENT WIP'!J29)),"")</f>
        <v/>
      </c>
      <c r="N33" s="48" t="str">
        <f t="array" ref="N33">IFERROR(INDEX(WIP,SMALL(IF(('CURRENT WIP'!$D$1='CURRENT WIP'!$E$22:$E$148),MATCH(ROW(WIP),ROW(WIP)),""),ROW('CURRENT WIP'!K29)),COLUMN('CURRENT WIP'!K29)),"")</f>
        <v/>
      </c>
      <c r="O33" s="48" t="str">
        <f t="array" ref="O33">IFERROR(INDEX(WIP,SMALL(IF(('CURRENT WIP'!$D$1='CURRENT WIP'!$E$22:$E$148),MATCH(ROW(WIP),ROW(WIP)),""),ROW('CURRENT WIP'!L29)),COLUMN('CURRENT WIP'!L29)),"")</f>
        <v/>
      </c>
      <c r="P33" s="48" t="str">
        <f t="array" ref="P33">IFERROR(INDEX(WIP,SMALL(IF(('CURRENT WIP'!$D$1='CURRENT WIP'!$E$22:$E$148),MATCH(ROW(WIP),ROW(WIP)),""),ROW('CURRENT WIP'!M29)),COLUMN('CURRENT WIP'!M29)),"")</f>
        <v/>
      </c>
      <c r="Q33" s="68" t="str">
        <f t="array" ref="Q33">IFERROR(INDEX(WIP,SMALL(IF(('CURRENT WIP'!$D$1='CURRENT WIP'!$E$22:$E$148),MATCH(ROW(WIP),ROW(WIP)),""),ROW('CURRENT WIP'!N29)),COLUMN('CURRENT WIP'!N29)),"")</f>
        <v/>
      </c>
      <c r="R33" s="48" t="str">
        <f t="array" ref="R33">IFERROR(INDEX(WIP,SMALL(IF(('CURRENT WIP'!$D$1='CURRENT WIP'!$E$22:$E$148),MATCH(ROW(WIP),ROW(WIP)),""),ROW('CURRENT WIP'!O29)),COLUMN('CURRENT WIP'!O29)),"")</f>
        <v/>
      </c>
      <c r="S33" s="48" t="str">
        <f t="array" ref="S33">IFERROR(INDEX(WIP,SMALL(IF(('CURRENT WIP'!$D$1='CURRENT WIP'!$E$22:$E$148),MATCH(ROW(WIP),ROW(WIP)),""),ROW('CURRENT WIP'!P29)),COLUMN('CURRENT WIP'!P29)),"")</f>
        <v/>
      </c>
      <c r="T33" s="68" t="str">
        <f t="array" ref="T33">IFERROR(INDEX(WIP,SMALL(IF(('CURRENT WIP'!$D$1='CURRENT WIP'!$E$22:$E$148),MATCH(ROW(WIP),ROW(WIP)),""),ROW('CURRENT WIP'!Q29)),COLUMN('CURRENT WIP'!Q29)),"")</f>
        <v/>
      </c>
      <c r="U33" s="48" t="str">
        <f t="array" ref="U33">IFERROR(INDEX(WIP,SMALL(IF(('CURRENT WIP'!$D$1='CURRENT WIP'!$E$22:$E$148),MATCH(ROW(WIP),ROW(WIP)),""),ROW('CURRENT WIP'!R29)),COLUMN('CURRENT WIP'!R29)),"")</f>
        <v/>
      </c>
      <c r="V33" s="48" t="str">
        <f t="array" ref="V33">IFERROR(INDEX(WIP,SMALL(IF(('CURRENT WIP'!$D$1='CURRENT WIP'!$E$22:$E$148),MATCH(ROW(WIP),ROW(WIP)),""),ROW('CURRENT WIP'!S29)),COLUMN('CURRENT WIP'!S29)),"")</f>
        <v/>
      </c>
      <c r="W33" s="48" t="str">
        <f t="array" ref="W33">IFERROR(INDEX(WIP,SMALL(IF(('CURRENT WIP'!$D$1='CURRENT WIP'!$E$22:$E$148),MATCH(ROW(WIP),ROW(WIP)),""),ROW('CURRENT WIP'!T29)),COLUMN('CURRENT WIP'!T29)),"")</f>
        <v/>
      </c>
      <c r="X33" s="48" t="str">
        <f t="array" ref="X33">IFERROR(INDEX(WIP,SMALL(IF(('CURRENT WIP'!$D$1='CURRENT WIP'!$E$22:$E$148),MATCH(ROW(WIP),ROW(WIP)),""),ROW('CURRENT WIP'!U29)),COLUMN('CURRENT WIP'!U29)),"")</f>
        <v/>
      </c>
      <c r="Y33" s="521" t="str">
        <f>IF(M33="A", N33-(N33*0.27), IF(M33="F", N33-(N33*0.47), IF(M33="D", N33-(N33*0.7), N33)))</f>
        <v/>
      </c>
      <c r="Z33" s="98"/>
      <c r="AB33" s="527">
        <f t="array" ref="AB33">INDEX(MOVEMENT!$AM$13:$AM$52, SMALL(IF(ISERROR(MATCH(MOVEMENT!$AM$13:$AM$52, MOVEMENT!$E$13:$E$52, 0)), (ROW(MOVEMENT!$AM$13:$AM$52)-MIN(ROW(MOVEMENT!$AM$13:$AM$52))+1), ""), ROW(MOVEMENT!29:29)))</f>
        <v>0</v>
      </c>
      <c r="AC33" s="48" t="e">
        <f>VLOOKUP(AB33,MOVEMENT!AM41:AY82,2,FALSE)</f>
        <v>#N/A</v>
      </c>
      <c r="AD33" s="48" t="e">
        <f>VLOOKUP(AB33,MOVEMENT!AM41:AY82,11,FALSE)</f>
        <v>#N/A</v>
      </c>
      <c r="AE33" s="48" t="e">
        <f>VLOOKUP(AB33,MOVEMENT!AM41:AY82,12,FALSE)</f>
        <v>#N/A</v>
      </c>
      <c r="AF33" s="46" t="e">
        <f>VLOOKUP(AB33,MOVEMENT!AM41:AY82,13,FALSE)</f>
        <v>#N/A</v>
      </c>
    </row>
    <row r="34" spans="2:32">
      <c r="D34" s="47" t="str">
        <f t="array" ref="D34">IFERROR(INDEX(WIP,SMALL(IF(('CURRENT WIP'!$D$1='CURRENT WIP'!$E$22:E177),MATCH(ROW(WIP),ROW(WIP)),""),ROW('CURRENT WIP'!A30)),COLUMN('CURRENT WIP'!A30)),"")</f>
        <v/>
      </c>
      <c r="E34" s="48" t="str">
        <f t="array" ref="E34">IFERROR(INDEX(WIP,SMALL(IF(('CURRENT WIP'!$D$1='CURRENT WIP'!$E$22:$E$148),MATCH(ROW(WIP),ROW(WIP)),""),ROW('CURRENT WIP'!B30)),COLUMN('CURRENT WIP'!B30)),"")</f>
        <v/>
      </c>
      <c r="F34" s="48" t="str">
        <f t="array" ref="F34">IFERROR(INDEX(WIP,SMALL(IF(('CURRENT WIP'!$D$1='CURRENT WIP'!$E$22:$E$148),MATCH(ROW(WIP),ROW(WIP)),""),ROW('CURRENT WIP'!C30)),COLUMN('CURRENT WIP'!C30)),"")</f>
        <v/>
      </c>
      <c r="G34" s="48" t="str">
        <f t="array" ref="G34">IFERROR(INDEX(WIP,SMALL(IF(('CURRENT WIP'!$D$1='CURRENT WIP'!$E$22:$E$148),MATCH(ROW(WIP),ROW(WIP)),""),ROW('CURRENT WIP'!D30)),COLUMN('CURRENT WIP'!D30)),"")</f>
        <v/>
      </c>
      <c r="H34" s="66" t="str">
        <f t="array" ref="H34">IFERROR(INDEX(WIP,SMALL(IF(('CURRENT WIP'!$D$1='CURRENT WIP'!$E$22:$E$148),MATCH(ROW(WIP),ROW(WIP)),""),ROW('CURRENT WIP'!E30)),COLUMN('CURRENT WIP'!E30)),"")</f>
        <v/>
      </c>
      <c r="I34" s="66" t="str">
        <f t="array" ref="I34">IFERROR(INDEX(WIP,SMALL(IF(('CURRENT WIP'!$D$1='CURRENT WIP'!$E$22:$E$148),MATCH(ROW(WIP),ROW(WIP)),""),ROW('CURRENT WIP'!F30)),COLUMN('CURRENT WIP'!F30)),"")</f>
        <v/>
      </c>
      <c r="J34" s="48" t="str">
        <f t="array" ref="J34">IFERROR(INDEX(WIP,SMALL(IF(('CURRENT WIP'!$D$1='CURRENT WIP'!$E$22:$E$148),MATCH(ROW(WIP),ROW(WIP)),""),ROW('CURRENT WIP'!G30)),COLUMN('CURRENT WIP'!G30)),"")</f>
        <v/>
      </c>
      <c r="K34" s="66" t="str">
        <f t="array" ref="K34">IFERROR(INDEX(WIP,SMALL(IF(('CURRENT WIP'!$D$1='CURRENT WIP'!$E$22:$E$148),MATCH(ROW(WIP),ROW(WIP)),""),ROW('CURRENT WIP'!H30)),COLUMN('CURRENT WIP'!H30)),"")</f>
        <v/>
      </c>
      <c r="L34" s="48" t="str">
        <f t="array" ref="L34">IFERROR(INDEX(WIP,SMALL(IF(('CURRENT WIP'!$D$1='CURRENT WIP'!$E$22:$E$148),MATCH(ROW(WIP),ROW(WIP)),""),ROW('CURRENT WIP'!I30)),COLUMN('CURRENT WIP'!I30)),"")</f>
        <v/>
      </c>
      <c r="M34" s="67" t="str">
        <f t="array" ref="M34">IFERROR(INDEX(WIP,SMALL(IF(('CURRENT WIP'!$D$1='CURRENT WIP'!$E$22:$E$148),MATCH(ROW(WIP),ROW(WIP)),""),ROW('CURRENT WIP'!J30)),COLUMN('CURRENT WIP'!J30)),"")</f>
        <v/>
      </c>
      <c r="N34" s="48" t="str">
        <f t="array" ref="N34">IFERROR(INDEX(WIP,SMALL(IF(('CURRENT WIP'!$D$1='CURRENT WIP'!$E$22:$E$148),MATCH(ROW(WIP),ROW(WIP)),""),ROW('CURRENT WIP'!K30)),COLUMN('CURRENT WIP'!K30)),"")</f>
        <v/>
      </c>
      <c r="O34" s="48" t="str">
        <f t="array" ref="O34">IFERROR(INDEX(WIP,SMALL(IF(('CURRENT WIP'!$D$1='CURRENT WIP'!$E$22:$E$148),MATCH(ROW(WIP),ROW(WIP)),""),ROW('CURRENT WIP'!L30)),COLUMN('CURRENT WIP'!L30)),"")</f>
        <v/>
      </c>
      <c r="P34" s="48" t="str">
        <f t="array" ref="P34">IFERROR(INDEX(WIP,SMALL(IF(('CURRENT WIP'!$D$1='CURRENT WIP'!$E$22:$E$148),MATCH(ROW(WIP),ROW(WIP)),""),ROW('CURRENT WIP'!M30)),COLUMN('CURRENT WIP'!M30)),"")</f>
        <v/>
      </c>
      <c r="Q34" s="68" t="str">
        <f t="array" ref="Q34">IFERROR(INDEX(WIP,SMALL(IF(('CURRENT WIP'!$D$1='CURRENT WIP'!$E$22:$E$148),MATCH(ROW(WIP),ROW(WIP)),""),ROW('CURRENT WIP'!N30)),COLUMN('CURRENT WIP'!N30)),"")</f>
        <v/>
      </c>
      <c r="R34" s="48" t="str">
        <f t="array" ref="R34">IFERROR(INDEX(WIP,SMALL(IF(('CURRENT WIP'!$D$1='CURRENT WIP'!$E$22:$E$148),MATCH(ROW(WIP),ROW(WIP)),""),ROW('CURRENT WIP'!O30)),COLUMN('CURRENT WIP'!O30)),"")</f>
        <v/>
      </c>
      <c r="S34" s="48" t="str">
        <f t="array" ref="S34">IFERROR(INDEX(WIP,SMALL(IF(('CURRENT WIP'!$D$1='CURRENT WIP'!$E$22:$E$148),MATCH(ROW(WIP),ROW(WIP)),""),ROW('CURRENT WIP'!P30)),COLUMN('CURRENT WIP'!P30)),"")</f>
        <v/>
      </c>
      <c r="T34" s="68" t="str">
        <f t="array" ref="T34">IFERROR(INDEX(WIP,SMALL(IF(('CURRENT WIP'!$D$1='CURRENT WIP'!$E$22:$E$148),MATCH(ROW(WIP),ROW(WIP)),""),ROW('CURRENT WIP'!Q30)),COLUMN('CURRENT WIP'!Q30)),"")</f>
        <v/>
      </c>
      <c r="U34" s="48" t="str">
        <f t="array" ref="U34">IFERROR(INDEX(WIP,SMALL(IF(('CURRENT WIP'!$D$1='CURRENT WIP'!$E$22:$E$148),MATCH(ROW(WIP),ROW(WIP)),""),ROW('CURRENT WIP'!R30)),COLUMN('CURRENT WIP'!R30)),"")</f>
        <v/>
      </c>
      <c r="V34" s="48" t="str">
        <f t="array" ref="V34">IFERROR(INDEX(WIP,SMALL(IF(('CURRENT WIP'!$D$1='CURRENT WIP'!$E$22:$E$148),MATCH(ROW(WIP),ROW(WIP)),""),ROW('CURRENT WIP'!S30)),COLUMN('CURRENT WIP'!S30)),"")</f>
        <v/>
      </c>
      <c r="W34" s="48" t="str">
        <f t="array" ref="W34">IFERROR(INDEX(WIP,SMALL(IF(('CURRENT WIP'!$D$1='CURRENT WIP'!$E$22:$E$148),MATCH(ROW(WIP),ROW(WIP)),""),ROW('CURRENT WIP'!T30)),COLUMN('CURRENT WIP'!T30)),"")</f>
        <v/>
      </c>
      <c r="X34" s="48" t="str">
        <f t="array" ref="X34">IFERROR(INDEX(WIP,SMALL(IF(('CURRENT WIP'!$D$1='CURRENT WIP'!$E$22:$E$148),MATCH(ROW(WIP),ROW(WIP)),""),ROW('CURRENT WIP'!U30)),COLUMN('CURRENT WIP'!U30)),"")</f>
        <v/>
      </c>
      <c r="Y34" s="521" t="str">
        <f t="shared" si="0"/>
        <v/>
      </c>
      <c r="Z34" s="98"/>
      <c r="AB34" s="527">
        <f t="array" ref="AB34">INDEX(MOVEMENT!$AM$13:$AM$52, SMALL(IF(ISERROR(MATCH(MOVEMENT!$AM$13:$AM$52, MOVEMENT!$E$13:$E$52, 0)), (ROW(MOVEMENT!$AM$13:$AM$52)-MIN(ROW(MOVEMENT!$AM$13:$AM$52))+1), ""), ROW(MOVEMENT!30:30)))</f>
        <v>0</v>
      </c>
      <c r="AC34" s="48" t="e">
        <f>VLOOKUP(AB34,MOVEMENT!AM42:AY83,2,FALSE)</f>
        <v>#N/A</v>
      </c>
      <c r="AD34" s="48" t="e">
        <f>VLOOKUP(AB34,MOVEMENT!AM42:AY83,11,FALSE)</f>
        <v>#N/A</v>
      </c>
      <c r="AE34" s="48" t="e">
        <f>VLOOKUP(AB34,MOVEMENT!AM42:AY83,12,FALSE)</f>
        <v>#N/A</v>
      </c>
      <c r="AF34" s="46" t="e">
        <f>VLOOKUP(AB34,MOVEMENT!AM42:AY83,13,FALSE)</f>
        <v>#N/A</v>
      </c>
    </row>
    <row r="35" spans="2:32" s="2" customFormat="1">
      <c r="D35" s="47" t="str">
        <f t="array" ref="D35">IFERROR(INDEX(WIP,SMALL(IF(('CURRENT WIP'!$D$1='CURRENT WIP'!$E$22:E178),MATCH(ROW(WIP),ROW(WIP)),""),ROW('CURRENT WIP'!A31)),COLUMN('CURRENT WIP'!A31)),"")</f>
        <v/>
      </c>
      <c r="E35" s="48" t="str">
        <f t="array" ref="E35">IFERROR(INDEX(WIP,SMALL(IF(('CURRENT WIP'!$D$1='CURRENT WIP'!$E$22:$E$148),MATCH(ROW(WIP),ROW(WIP)),""),ROW('CURRENT WIP'!B31)),COLUMN('CURRENT WIP'!B31)),"")</f>
        <v/>
      </c>
      <c r="F35" s="48" t="str">
        <f t="array" ref="F35">IFERROR(INDEX(WIP,SMALL(IF(('CURRENT WIP'!$D$1='CURRENT WIP'!$E$22:$E$148),MATCH(ROW(WIP),ROW(WIP)),""),ROW('CURRENT WIP'!C31)),COLUMN('CURRENT WIP'!C31)),"")</f>
        <v/>
      </c>
      <c r="G35" s="48" t="str">
        <f t="array" ref="G35">IFERROR(INDEX(WIP,SMALL(IF(('CURRENT WIP'!$D$1='CURRENT WIP'!$E$22:$E$148),MATCH(ROW(WIP),ROW(WIP)),""),ROW('CURRENT WIP'!D31)),COLUMN('CURRENT WIP'!D31)),"")</f>
        <v/>
      </c>
      <c r="H35" s="66" t="str">
        <f t="array" ref="H35">IFERROR(INDEX(WIP,SMALL(IF(('CURRENT WIP'!$D$1='CURRENT WIP'!$E$22:$E$148),MATCH(ROW(WIP),ROW(WIP)),""),ROW('CURRENT WIP'!E31)),COLUMN('CURRENT WIP'!E31)),"")</f>
        <v/>
      </c>
      <c r="I35" s="66" t="str">
        <f t="array" ref="I35">IFERROR(INDEX(WIP,SMALL(IF(('CURRENT WIP'!$D$1='CURRENT WIP'!$E$22:$E$148),MATCH(ROW(WIP),ROW(WIP)),""),ROW('CURRENT WIP'!F31)),COLUMN('CURRENT WIP'!F31)),"")</f>
        <v/>
      </c>
      <c r="J35" s="48" t="str">
        <f t="array" ref="J35">IFERROR(INDEX(WIP,SMALL(IF(('CURRENT WIP'!$D$1='CURRENT WIP'!$E$22:$E$148),MATCH(ROW(WIP),ROW(WIP)),""),ROW('CURRENT WIP'!G31)),COLUMN('CURRENT WIP'!G31)),"")</f>
        <v/>
      </c>
      <c r="K35" s="66" t="str">
        <f t="array" ref="K35">IFERROR(INDEX(WIP,SMALL(IF(('CURRENT WIP'!$D$1='CURRENT WIP'!$E$22:$E$148),MATCH(ROW(WIP),ROW(WIP)),""),ROW('CURRENT WIP'!H31)),COLUMN('CURRENT WIP'!H31)),"")</f>
        <v/>
      </c>
      <c r="L35" s="48" t="str">
        <f t="array" ref="L35">IFERROR(INDEX(WIP,SMALL(IF(('CURRENT WIP'!$D$1='CURRENT WIP'!$E$22:$E$148),MATCH(ROW(WIP),ROW(WIP)),""),ROW('CURRENT WIP'!I31)),COLUMN('CURRENT WIP'!I31)),"")</f>
        <v/>
      </c>
      <c r="M35" s="67" t="str">
        <f t="array" ref="M35">IFERROR(INDEX(WIP,SMALL(IF(('CURRENT WIP'!$D$1='CURRENT WIP'!$E$22:$E$148),MATCH(ROW(WIP),ROW(WIP)),""),ROW('CURRENT WIP'!J31)),COLUMN('CURRENT WIP'!J31)),"")</f>
        <v/>
      </c>
      <c r="N35" s="48" t="str">
        <f t="array" ref="N35">IFERROR(INDEX(WIP,SMALL(IF(('CURRENT WIP'!$D$1='CURRENT WIP'!$E$22:$E$148),MATCH(ROW(WIP),ROW(WIP)),""),ROW('CURRENT WIP'!K31)),COLUMN('CURRENT WIP'!K31)),"")</f>
        <v/>
      </c>
      <c r="O35" s="48" t="str">
        <f t="array" ref="O35">IFERROR(INDEX(WIP,SMALL(IF(('CURRENT WIP'!$D$1='CURRENT WIP'!$E$22:$E$148),MATCH(ROW(WIP),ROW(WIP)),""),ROW('CURRENT WIP'!L31)),COLUMN('CURRENT WIP'!L31)),"")</f>
        <v/>
      </c>
      <c r="P35" s="48" t="str">
        <f t="array" ref="P35">IFERROR(INDEX(WIP,SMALL(IF(('CURRENT WIP'!$D$1='CURRENT WIP'!$E$22:$E$148),MATCH(ROW(WIP),ROW(WIP)),""),ROW('CURRENT WIP'!M31)),COLUMN('CURRENT WIP'!M31)),"")</f>
        <v/>
      </c>
      <c r="Q35" s="68" t="str">
        <f t="array" ref="Q35">IFERROR(INDEX(WIP,SMALL(IF(('CURRENT WIP'!$D$1='CURRENT WIP'!$E$22:$E$148),MATCH(ROW(WIP),ROW(WIP)),""),ROW('CURRENT WIP'!N31)),COLUMN('CURRENT WIP'!N31)),"")</f>
        <v/>
      </c>
      <c r="R35" s="48" t="str">
        <f t="array" ref="R35">IFERROR(INDEX(WIP,SMALL(IF(('CURRENT WIP'!$D$1='CURRENT WIP'!$E$22:$E$148),MATCH(ROW(WIP),ROW(WIP)),""),ROW('CURRENT WIP'!O31)),COLUMN('CURRENT WIP'!O31)),"")</f>
        <v/>
      </c>
      <c r="S35" s="48" t="str">
        <f t="array" ref="S35">IFERROR(INDEX(WIP,SMALL(IF(('CURRENT WIP'!$D$1='CURRENT WIP'!$E$22:$E$148),MATCH(ROW(WIP),ROW(WIP)),""),ROW('CURRENT WIP'!P31)),COLUMN('CURRENT WIP'!P31)),"")</f>
        <v/>
      </c>
      <c r="T35" s="68" t="str">
        <f t="array" ref="T35">IFERROR(INDEX(WIP,SMALL(IF(('CURRENT WIP'!$D$1='CURRENT WIP'!$E$22:$E$148),MATCH(ROW(WIP),ROW(WIP)),""),ROW('CURRENT WIP'!Q31)),COLUMN('CURRENT WIP'!Q31)),"")</f>
        <v/>
      </c>
      <c r="U35" s="48" t="str">
        <f t="array" ref="U35">IFERROR(INDEX(WIP,SMALL(IF(('CURRENT WIP'!$D$1='CURRENT WIP'!$E$22:$E$148),MATCH(ROW(WIP),ROW(WIP)),""),ROW('CURRENT WIP'!R31)),COLUMN('CURRENT WIP'!R31)),"")</f>
        <v/>
      </c>
      <c r="V35" s="48" t="str">
        <f t="array" ref="V35">IFERROR(INDEX(WIP,SMALL(IF(('CURRENT WIP'!$D$1='CURRENT WIP'!$E$22:$E$148),MATCH(ROW(WIP),ROW(WIP)),""),ROW('CURRENT WIP'!S31)),COLUMN('CURRENT WIP'!S31)),"")</f>
        <v/>
      </c>
      <c r="W35" s="48" t="str">
        <f t="array" ref="W35">IFERROR(INDEX(WIP,SMALL(IF(('CURRENT WIP'!$D$1='CURRENT WIP'!$E$22:$E$148),MATCH(ROW(WIP),ROW(WIP)),""),ROW('CURRENT WIP'!T31)),COLUMN('CURRENT WIP'!T31)),"")</f>
        <v/>
      </c>
      <c r="X35" s="48" t="str">
        <f t="array" ref="X35">IFERROR(INDEX(WIP,SMALL(IF(('CURRENT WIP'!$D$1='CURRENT WIP'!$E$22:$E$148),MATCH(ROW(WIP),ROW(WIP)),""),ROW('CURRENT WIP'!U31)),COLUMN('CURRENT WIP'!U31)),"")</f>
        <v/>
      </c>
      <c r="Y35" s="521" t="str">
        <f t="shared" ref="Y35:Y44" si="1">IF(M35="A", N35-(N35*0.27), IF(M35="F", N35-(N35*0.47), IF(M35="D", N35-(N35*0.7), N35)))</f>
        <v/>
      </c>
      <c r="Z35" s="98"/>
      <c r="AB35" s="527">
        <f t="array" ref="AB35">INDEX(MOVEMENT!$AM$13:$AM$52, SMALL(IF(ISERROR(MATCH(MOVEMENT!$AM$13:$AM$52, MOVEMENT!$E$13:$E$52, 0)), (ROW(MOVEMENT!$AM$13:$AM$52)-MIN(ROW(MOVEMENT!$AM$13:$AM$52))+1), ""), ROW(MOVEMENT!31:31)))</f>
        <v>0</v>
      </c>
      <c r="AC35" s="48" t="e">
        <f>VLOOKUP(AB35,MOVEMENT!AM54:AY84,2,FALSE)</f>
        <v>#N/A</v>
      </c>
      <c r="AD35" s="48" t="e">
        <f>VLOOKUP(AB35,MOVEMENT!AM54:AY84,11,FALSE)</f>
        <v>#N/A</v>
      </c>
      <c r="AE35" s="48" t="e">
        <f>VLOOKUP(AB35,MOVEMENT!AM54:AY84,12,FALSE)</f>
        <v>#N/A</v>
      </c>
      <c r="AF35" s="46" t="e">
        <f>VLOOKUP(AB35,MOVEMENT!AM54:AY84,13,FALSE)</f>
        <v>#N/A</v>
      </c>
    </row>
    <row r="36" spans="2:32" s="2" customFormat="1">
      <c r="D36" s="47" t="str">
        <f t="array" ref="D36">IFERROR(INDEX(WIP,SMALL(IF(('CURRENT WIP'!$D$1='CURRENT WIP'!$E$22:E179),MATCH(ROW(WIP),ROW(WIP)),""),ROW('CURRENT WIP'!A32)),COLUMN('CURRENT WIP'!A32)),"")</f>
        <v/>
      </c>
      <c r="E36" s="48" t="str">
        <f t="array" ref="E36">IFERROR(INDEX(WIP,SMALL(IF(('CURRENT WIP'!$D$1='CURRENT WIP'!$E$22:$E$148),MATCH(ROW(WIP),ROW(WIP)),""),ROW('CURRENT WIP'!B32)),COLUMN('CURRENT WIP'!B32)),"")</f>
        <v/>
      </c>
      <c r="F36" s="48" t="str">
        <f t="array" ref="F36">IFERROR(INDEX(WIP,SMALL(IF(('CURRENT WIP'!$D$1='CURRENT WIP'!$E$22:$E$148),MATCH(ROW(WIP),ROW(WIP)),""),ROW('CURRENT WIP'!C32)),COLUMN('CURRENT WIP'!C32)),"")</f>
        <v/>
      </c>
      <c r="G36" s="48" t="str">
        <f t="array" ref="G36">IFERROR(INDEX(WIP,SMALL(IF(('CURRENT WIP'!$D$1='CURRENT WIP'!$E$22:$E$148),MATCH(ROW(WIP),ROW(WIP)),""),ROW('CURRENT WIP'!D32)),COLUMN('CURRENT WIP'!D32)),"")</f>
        <v/>
      </c>
      <c r="H36" s="66" t="str">
        <f t="array" ref="H36">IFERROR(INDEX(WIP,SMALL(IF(('CURRENT WIP'!$D$1='CURRENT WIP'!$E$22:$E$148),MATCH(ROW(WIP),ROW(WIP)),""),ROW('CURRENT WIP'!E32)),COLUMN('CURRENT WIP'!E32)),"")</f>
        <v/>
      </c>
      <c r="I36" s="66" t="str">
        <f t="array" ref="I36">IFERROR(INDEX(WIP,SMALL(IF(('CURRENT WIP'!$D$1='CURRENT WIP'!$E$22:$E$148),MATCH(ROW(WIP),ROW(WIP)),""),ROW('CURRENT WIP'!F32)),COLUMN('CURRENT WIP'!F32)),"")</f>
        <v/>
      </c>
      <c r="J36" s="48" t="str">
        <f t="array" ref="J36">IFERROR(INDEX(WIP,SMALL(IF(('CURRENT WIP'!$D$1='CURRENT WIP'!$E$22:$E$148),MATCH(ROW(WIP),ROW(WIP)),""),ROW('CURRENT WIP'!G32)),COLUMN('CURRENT WIP'!G32)),"")</f>
        <v/>
      </c>
      <c r="K36" s="66" t="str">
        <f t="array" ref="K36">IFERROR(INDEX(WIP,SMALL(IF(('CURRENT WIP'!$D$1='CURRENT WIP'!$E$22:$E$148),MATCH(ROW(WIP),ROW(WIP)),""),ROW('CURRENT WIP'!H32)),COLUMN('CURRENT WIP'!H32)),"")</f>
        <v/>
      </c>
      <c r="L36" s="48" t="str">
        <f t="array" ref="L36">IFERROR(INDEX(WIP,SMALL(IF(('CURRENT WIP'!$D$1='CURRENT WIP'!$E$22:$E$148),MATCH(ROW(WIP),ROW(WIP)),""),ROW('CURRENT WIP'!I32)),COLUMN('CURRENT WIP'!I32)),"")</f>
        <v/>
      </c>
      <c r="M36" s="67" t="str">
        <f t="array" ref="M36">IFERROR(INDEX(WIP,SMALL(IF(('CURRENT WIP'!$D$1='CURRENT WIP'!$E$22:$E$148),MATCH(ROW(WIP),ROW(WIP)),""),ROW('CURRENT WIP'!J32)),COLUMN('CURRENT WIP'!J32)),"")</f>
        <v/>
      </c>
      <c r="N36" s="48" t="str">
        <f t="array" ref="N36">IFERROR(INDEX(WIP,SMALL(IF(('CURRENT WIP'!$D$1='CURRENT WIP'!$E$22:$E$148),MATCH(ROW(WIP),ROW(WIP)),""),ROW('CURRENT WIP'!K32)),COLUMN('CURRENT WIP'!K32)),"")</f>
        <v/>
      </c>
      <c r="O36" s="48" t="str">
        <f t="array" ref="O36">IFERROR(INDEX(WIP,SMALL(IF(('CURRENT WIP'!$D$1='CURRENT WIP'!$E$22:$E$148),MATCH(ROW(WIP),ROW(WIP)),""),ROW('CURRENT WIP'!L32)),COLUMN('CURRENT WIP'!L32)),"")</f>
        <v/>
      </c>
      <c r="P36" s="48" t="str">
        <f t="array" ref="P36">IFERROR(INDEX(WIP,SMALL(IF(('CURRENT WIP'!$D$1='CURRENT WIP'!$E$22:$E$148),MATCH(ROW(WIP),ROW(WIP)),""),ROW('CURRENT WIP'!M32)),COLUMN('CURRENT WIP'!M32)),"")</f>
        <v/>
      </c>
      <c r="Q36" s="68" t="str">
        <f t="array" ref="Q36">IFERROR(INDEX(WIP,SMALL(IF(('CURRENT WIP'!$D$1='CURRENT WIP'!$E$22:$E$148),MATCH(ROW(WIP),ROW(WIP)),""),ROW('CURRENT WIP'!N32)),COLUMN('CURRENT WIP'!N32)),"")</f>
        <v/>
      </c>
      <c r="R36" s="48" t="str">
        <f t="array" ref="R36">IFERROR(INDEX(WIP,SMALL(IF(('CURRENT WIP'!$D$1='CURRENT WIP'!$E$22:$E$148),MATCH(ROW(WIP),ROW(WIP)),""),ROW('CURRENT WIP'!O32)),COLUMN('CURRENT WIP'!O32)),"")</f>
        <v/>
      </c>
      <c r="S36" s="48" t="str">
        <f t="array" ref="S36">IFERROR(INDEX(WIP,SMALL(IF(('CURRENT WIP'!$D$1='CURRENT WIP'!$E$22:$E$148),MATCH(ROW(WIP),ROW(WIP)),""),ROW('CURRENT WIP'!P32)),COLUMN('CURRENT WIP'!P32)),"")</f>
        <v/>
      </c>
      <c r="T36" s="68" t="str">
        <f t="array" ref="T36">IFERROR(INDEX(WIP,SMALL(IF(('CURRENT WIP'!$D$1='CURRENT WIP'!$E$22:$E$148),MATCH(ROW(WIP),ROW(WIP)),""),ROW('CURRENT WIP'!Q32)),COLUMN('CURRENT WIP'!Q32)),"")</f>
        <v/>
      </c>
      <c r="U36" s="48" t="str">
        <f t="array" ref="U36">IFERROR(INDEX(WIP,SMALL(IF(('CURRENT WIP'!$D$1='CURRENT WIP'!$E$22:$E$148),MATCH(ROW(WIP),ROW(WIP)),""),ROW('CURRENT WIP'!R32)),COLUMN('CURRENT WIP'!R32)),"")</f>
        <v/>
      </c>
      <c r="V36" s="48" t="str">
        <f t="array" ref="V36">IFERROR(INDEX(WIP,SMALL(IF(('CURRENT WIP'!$D$1='CURRENT WIP'!$E$22:$E$148),MATCH(ROW(WIP),ROW(WIP)),""),ROW('CURRENT WIP'!S32)),COLUMN('CURRENT WIP'!S32)),"")</f>
        <v/>
      </c>
      <c r="W36" s="48" t="str">
        <f t="array" ref="W36">IFERROR(INDEX(WIP,SMALL(IF(('CURRENT WIP'!$D$1='CURRENT WIP'!$E$22:$E$148),MATCH(ROW(WIP),ROW(WIP)),""),ROW('CURRENT WIP'!T32)),COLUMN('CURRENT WIP'!T32)),"")</f>
        <v/>
      </c>
      <c r="X36" s="48" t="str">
        <f t="array" ref="X36">IFERROR(INDEX(WIP,SMALL(IF(('CURRENT WIP'!$D$1='CURRENT WIP'!$E$22:$E$148),MATCH(ROW(WIP),ROW(WIP)),""),ROW('CURRENT WIP'!U32)),COLUMN('CURRENT WIP'!U32)),"")</f>
        <v/>
      </c>
      <c r="Y36" s="521" t="str">
        <f t="shared" si="1"/>
        <v/>
      </c>
      <c r="Z36" s="98"/>
      <c r="AB36" s="527">
        <f t="array" ref="AB36">INDEX(MOVEMENT!$AM$13:$AM$52, SMALL(IF(ISERROR(MATCH(MOVEMENT!$AM$13:$AM$52, MOVEMENT!$E$13:$E$52, 0)), (ROW(MOVEMENT!$AM$13:$AM$52)-MIN(ROW(MOVEMENT!$AM$13:$AM$52))+1), ""), ROW(MOVEMENT!32:32)))</f>
        <v>0</v>
      </c>
      <c r="AC36" s="48" t="e">
        <f>VLOOKUP(AB36,MOVEMENT!AM55:AY85,2,FALSE)</f>
        <v>#N/A</v>
      </c>
      <c r="AD36" s="48" t="e">
        <f>VLOOKUP(AB36,MOVEMENT!AM55:AY85,11,FALSE)</f>
        <v>#N/A</v>
      </c>
      <c r="AE36" s="48" t="e">
        <f>VLOOKUP(AB36,MOVEMENT!AM55:AY85,12,FALSE)</f>
        <v>#N/A</v>
      </c>
      <c r="AF36" s="46" t="e">
        <f>VLOOKUP(AB36,MOVEMENT!AM55:AY85,13,FALSE)</f>
        <v>#N/A</v>
      </c>
    </row>
    <row r="37" spans="2:32" s="2" customFormat="1">
      <c r="D37" s="47" t="str">
        <f t="array" ref="D37">IFERROR(INDEX(WIP,SMALL(IF(('CURRENT WIP'!$D$1='CURRENT WIP'!$E$22:E180),MATCH(ROW(WIP),ROW(WIP)),""),ROW('CURRENT WIP'!A33)),COLUMN('CURRENT WIP'!A33)),"")</f>
        <v/>
      </c>
      <c r="E37" s="48" t="str">
        <f t="array" ref="E37">IFERROR(INDEX(WIP,SMALL(IF(('CURRENT WIP'!$D$1='CURRENT WIP'!$E$22:$E$148),MATCH(ROW(WIP),ROW(WIP)),""),ROW('CURRENT WIP'!B33)),COLUMN('CURRENT WIP'!B33)),"")</f>
        <v/>
      </c>
      <c r="F37" s="48" t="str">
        <f t="array" ref="F37">IFERROR(INDEX(WIP,SMALL(IF(('CURRENT WIP'!$D$1='CURRENT WIP'!$E$22:$E$148),MATCH(ROW(WIP),ROW(WIP)),""),ROW('CURRENT WIP'!C33)),COLUMN('CURRENT WIP'!C33)),"")</f>
        <v/>
      </c>
      <c r="G37" s="48" t="str">
        <f t="array" ref="G37">IFERROR(INDEX(WIP,SMALL(IF(('CURRENT WIP'!$D$1='CURRENT WIP'!$E$22:$E$148),MATCH(ROW(WIP),ROW(WIP)),""),ROW('CURRENT WIP'!D33)),COLUMN('CURRENT WIP'!D33)),"")</f>
        <v/>
      </c>
      <c r="H37" s="66" t="str">
        <f t="array" ref="H37">IFERROR(INDEX(WIP,SMALL(IF(('CURRENT WIP'!$D$1='CURRENT WIP'!$E$22:$E$148),MATCH(ROW(WIP),ROW(WIP)),""),ROW('CURRENT WIP'!E33)),COLUMN('CURRENT WIP'!E33)),"")</f>
        <v/>
      </c>
      <c r="I37" s="66" t="str">
        <f t="array" ref="I37">IFERROR(INDEX(WIP,SMALL(IF(('CURRENT WIP'!$D$1='CURRENT WIP'!$E$22:$E$148),MATCH(ROW(WIP),ROW(WIP)),""),ROW('CURRENT WIP'!F33)),COLUMN('CURRENT WIP'!F33)),"")</f>
        <v/>
      </c>
      <c r="J37" s="48" t="str">
        <f t="array" ref="J37">IFERROR(INDEX(WIP,SMALL(IF(('CURRENT WIP'!$D$1='CURRENT WIP'!$E$22:$E$148),MATCH(ROW(WIP),ROW(WIP)),""),ROW('CURRENT WIP'!G33)),COLUMN('CURRENT WIP'!G33)),"")</f>
        <v/>
      </c>
      <c r="K37" s="66" t="str">
        <f t="array" ref="K37">IFERROR(INDEX(WIP,SMALL(IF(('CURRENT WIP'!$D$1='CURRENT WIP'!$E$22:$E$148),MATCH(ROW(WIP),ROW(WIP)),""),ROW('CURRENT WIP'!H33)),COLUMN('CURRENT WIP'!H33)),"")</f>
        <v/>
      </c>
      <c r="L37" s="48" t="str">
        <f t="array" ref="L37">IFERROR(INDEX(WIP,SMALL(IF(('CURRENT WIP'!$D$1='CURRENT WIP'!$E$22:$E$148),MATCH(ROW(WIP),ROW(WIP)),""),ROW('CURRENT WIP'!I33)),COLUMN('CURRENT WIP'!I33)),"")</f>
        <v/>
      </c>
      <c r="M37" s="67" t="str">
        <f t="array" ref="M37">IFERROR(INDEX(WIP,SMALL(IF(('CURRENT WIP'!$D$1='CURRENT WIP'!$E$22:$E$148),MATCH(ROW(WIP),ROW(WIP)),""),ROW('CURRENT WIP'!J33)),COLUMN('CURRENT WIP'!J33)),"")</f>
        <v/>
      </c>
      <c r="N37" s="48" t="str">
        <f t="array" ref="N37">IFERROR(INDEX(WIP,SMALL(IF(('CURRENT WIP'!$D$1='CURRENT WIP'!$E$22:$E$148),MATCH(ROW(WIP),ROW(WIP)),""),ROW('CURRENT WIP'!K33)),COLUMN('CURRENT WIP'!K33)),"")</f>
        <v/>
      </c>
      <c r="O37" s="48" t="str">
        <f t="array" ref="O37">IFERROR(INDEX(WIP,SMALL(IF(('CURRENT WIP'!$D$1='CURRENT WIP'!$E$22:$E$148),MATCH(ROW(WIP),ROW(WIP)),""),ROW('CURRENT WIP'!L33)),COLUMN('CURRENT WIP'!L33)),"")</f>
        <v/>
      </c>
      <c r="P37" s="48" t="str">
        <f t="array" ref="P37">IFERROR(INDEX(WIP,SMALL(IF(('CURRENT WIP'!$D$1='CURRENT WIP'!$E$22:$E$148),MATCH(ROW(WIP),ROW(WIP)),""),ROW('CURRENT WIP'!M33)),COLUMN('CURRENT WIP'!M33)),"")</f>
        <v/>
      </c>
      <c r="Q37" s="68" t="str">
        <f t="array" ref="Q37">IFERROR(INDEX(WIP,SMALL(IF(('CURRENT WIP'!$D$1='CURRENT WIP'!$E$22:$E$148),MATCH(ROW(WIP),ROW(WIP)),""),ROW('CURRENT WIP'!N33)),COLUMN('CURRENT WIP'!N33)),"")</f>
        <v/>
      </c>
      <c r="R37" s="48" t="str">
        <f t="array" ref="R37">IFERROR(INDEX(WIP,SMALL(IF(('CURRENT WIP'!$D$1='CURRENT WIP'!$E$22:$E$148),MATCH(ROW(WIP),ROW(WIP)),""),ROW('CURRENT WIP'!O33)),COLUMN('CURRENT WIP'!O33)),"")</f>
        <v/>
      </c>
      <c r="S37" s="48" t="str">
        <f t="array" ref="S37">IFERROR(INDEX(WIP,SMALL(IF(('CURRENT WIP'!$D$1='CURRENT WIP'!$E$22:$E$148),MATCH(ROW(WIP),ROW(WIP)),""),ROW('CURRENT WIP'!P33)),COLUMN('CURRENT WIP'!P33)),"")</f>
        <v/>
      </c>
      <c r="T37" s="68" t="str">
        <f t="array" ref="T37">IFERROR(INDEX(WIP,SMALL(IF(('CURRENT WIP'!$D$1='CURRENT WIP'!$E$22:$E$148),MATCH(ROW(WIP),ROW(WIP)),""),ROW('CURRENT WIP'!Q33)),COLUMN('CURRENT WIP'!Q33)),"")</f>
        <v/>
      </c>
      <c r="U37" s="48" t="str">
        <f t="array" ref="U37">IFERROR(INDEX(WIP,SMALL(IF(('CURRENT WIP'!$D$1='CURRENT WIP'!$E$22:$E$148),MATCH(ROW(WIP),ROW(WIP)),""),ROW('CURRENT WIP'!R33)),COLUMN('CURRENT WIP'!R33)),"")</f>
        <v/>
      </c>
      <c r="V37" s="48" t="str">
        <f t="array" ref="V37">IFERROR(INDEX(WIP,SMALL(IF(('CURRENT WIP'!$D$1='CURRENT WIP'!$E$22:$E$148),MATCH(ROW(WIP),ROW(WIP)),""),ROW('CURRENT WIP'!S33)),COLUMN('CURRENT WIP'!S33)),"")</f>
        <v/>
      </c>
      <c r="W37" s="48" t="str">
        <f t="array" ref="W37">IFERROR(INDEX(WIP,SMALL(IF(('CURRENT WIP'!$D$1='CURRENT WIP'!$E$22:$E$148),MATCH(ROW(WIP),ROW(WIP)),""),ROW('CURRENT WIP'!T33)),COLUMN('CURRENT WIP'!T33)),"")</f>
        <v/>
      </c>
      <c r="X37" s="48" t="str">
        <f t="array" ref="X37">IFERROR(INDEX(WIP,SMALL(IF(('CURRENT WIP'!$D$1='CURRENT WIP'!$E$22:$E$148),MATCH(ROW(WIP),ROW(WIP)),""),ROW('CURRENT WIP'!U33)),COLUMN('CURRENT WIP'!U33)),"")</f>
        <v/>
      </c>
      <c r="Y37" s="521" t="str">
        <f t="shared" si="1"/>
        <v/>
      </c>
      <c r="Z37" s="98"/>
      <c r="AB37" s="527">
        <f t="array" ref="AB37">INDEX(MOVEMENT!$AM$13:$AM$52, SMALL(IF(ISERROR(MATCH(MOVEMENT!$AM$13:$AM$52, MOVEMENT!$E$13:$E$52, 0)), (ROW(MOVEMENT!$AM$13:$AM$52)-MIN(ROW(MOVEMENT!$AM$13:$AM$52))+1), ""), ROW(MOVEMENT!33:33)))</f>
        <v>0</v>
      </c>
      <c r="AC37" s="48" t="e">
        <f>VLOOKUP(AB37,MOVEMENT!AM56:AY96,2,FALSE)</f>
        <v>#N/A</v>
      </c>
      <c r="AD37" s="48" t="e">
        <f>VLOOKUP(AB37,MOVEMENT!AM56:AY96,11,FALSE)</f>
        <v>#N/A</v>
      </c>
      <c r="AE37" s="48" t="e">
        <f>VLOOKUP(AB37,MOVEMENT!AM56:AY96,12,FALSE)</f>
        <v>#N/A</v>
      </c>
      <c r="AF37" s="46" t="e">
        <f>VLOOKUP(AB37,MOVEMENT!AM56:AY96,13,FALSE)</f>
        <v>#N/A</v>
      </c>
    </row>
    <row r="38" spans="2:32" s="2" customFormat="1">
      <c r="D38" s="47" t="str">
        <f t="array" ref="D38">IFERROR(INDEX(WIP,SMALL(IF(('CURRENT WIP'!$D$1='CURRENT WIP'!$E$22:E181),MATCH(ROW(WIP),ROW(WIP)),""),ROW('CURRENT WIP'!A34)),COLUMN('CURRENT WIP'!A34)),"")</f>
        <v/>
      </c>
      <c r="E38" s="48" t="str">
        <f t="array" ref="E38">IFERROR(INDEX(WIP,SMALL(IF(('CURRENT WIP'!$D$1='CURRENT WIP'!$E$22:$E$148),MATCH(ROW(WIP),ROW(WIP)),""),ROW('CURRENT WIP'!B34)),COLUMN('CURRENT WIP'!B34)),"")</f>
        <v/>
      </c>
      <c r="F38" s="48" t="str">
        <f t="array" ref="F38">IFERROR(INDEX(WIP,SMALL(IF(('CURRENT WIP'!$D$1='CURRENT WIP'!$E$22:$E$148),MATCH(ROW(WIP),ROW(WIP)),""),ROW('CURRENT WIP'!C34)),COLUMN('CURRENT WIP'!C34)),"")</f>
        <v/>
      </c>
      <c r="G38" s="48" t="str">
        <f t="array" ref="G38">IFERROR(INDEX(WIP,SMALL(IF(('CURRENT WIP'!$D$1='CURRENT WIP'!$E$22:$E$148),MATCH(ROW(WIP),ROW(WIP)),""),ROW('CURRENT WIP'!D34)),COLUMN('CURRENT WIP'!D34)),"")</f>
        <v/>
      </c>
      <c r="H38" s="66" t="str">
        <f t="array" ref="H38">IFERROR(INDEX(WIP,SMALL(IF(('CURRENT WIP'!$D$1='CURRENT WIP'!$E$22:$E$148),MATCH(ROW(WIP),ROW(WIP)),""),ROW('CURRENT WIP'!E34)),COLUMN('CURRENT WIP'!E34)),"")</f>
        <v/>
      </c>
      <c r="I38" s="66" t="str">
        <f t="array" ref="I38">IFERROR(INDEX(WIP,SMALL(IF(('CURRENT WIP'!$D$1='CURRENT WIP'!$E$22:$E$148),MATCH(ROW(WIP),ROW(WIP)),""),ROW('CURRENT WIP'!F34)),COLUMN('CURRENT WIP'!F34)),"")</f>
        <v/>
      </c>
      <c r="J38" s="48" t="str">
        <f t="array" ref="J38">IFERROR(INDEX(WIP,SMALL(IF(('CURRENT WIP'!$D$1='CURRENT WIP'!$E$22:$E$148),MATCH(ROW(WIP),ROW(WIP)),""),ROW('CURRENT WIP'!G34)),COLUMN('CURRENT WIP'!G34)),"")</f>
        <v/>
      </c>
      <c r="K38" s="66" t="str">
        <f t="array" ref="K38">IFERROR(INDEX(WIP,SMALL(IF(('CURRENT WIP'!$D$1='CURRENT WIP'!$E$22:$E$148),MATCH(ROW(WIP),ROW(WIP)),""),ROW('CURRENT WIP'!H34)),COLUMN('CURRENT WIP'!H34)),"")</f>
        <v/>
      </c>
      <c r="L38" s="48" t="str">
        <f t="array" ref="L38">IFERROR(INDEX(WIP,SMALL(IF(('CURRENT WIP'!$D$1='CURRENT WIP'!$E$22:$E$148),MATCH(ROW(WIP),ROW(WIP)),""),ROW('CURRENT WIP'!I34)),COLUMN('CURRENT WIP'!I34)),"")</f>
        <v/>
      </c>
      <c r="M38" s="67" t="str">
        <f t="array" ref="M38">IFERROR(INDEX(WIP,SMALL(IF(('CURRENT WIP'!$D$1='CURRENT WIP'!$E$22:$E$148),MATCH(ROW(WIP),ROW(WIP)),""),ROW('CURRENT WIP'!J34)),COLUMN('CURRENT WIP'!J34)),"")</f>
        <v/>
      </c>
      <c r="N38" s="48" t="str">
        <f t="array" ref="N38">IFERROR(INDEX(WIP,SMALL(IF(('CURRENT WIP'!$D$1='CURRENT WIP'!$E$22:$E$148),MATCH(ROW(WIP),ROW(WIP)),""),ROW('CURRENT WIP'!K34)),COLUMN('CURRENT WIP'!K34)),"")</f>
        <v/>
      </c>
      <c r="O38" s="48" t="str">
        <f t="array" ref="O38">IFERROR(INDEX(WIP,SMALL(IF(('CURRENT WIP'!$D$1='CURRENT WIP'!$E$22:$E$148),MATCH(ROW(WIP),ROW(WIP)),""),ROW('CURRENT WIP'!L34)),COLUMN('CURRENT WIP'!L34)),"")</f>
        <v/>
      </c>
      <c r="P38" s="48" t="str">
        <f t="array" ref="P38">IFERROR(INDEX(WIP,SMALL(IF(('CURRENT WIP'!$D$1='CURRENT WIP'!$E$22:$E$148),MATCH(ROW(WIP),ROW(WIP)),""),ROW('CURRENT WIP'!M34)),COLUMN('CURRENT WIP'!M34)),"")</f>
        <v/>
      </c>
      <c r="Q38" s="68" t="str">
        <f t="array" ref="Q38">IFERROR(INDEX(WIP,SMALL(IF(('CURRENT WIP'!$D$1='CURRENT WIP'!$E$22:$E$148),MATCH(ROW(WIP),ROW(WIP)),""),ROW('CURRENT WIP'!N34)),COLUMN('CURRENT WIP'!N34)),"")</f>
        <v/>
      </c>
      <c r="R38" s="48" t="str">
        <f t="array" ref="R38">IFERROR(INDEX(WIP,SMALL(IF(('CURRENT WIP'!$D$1='CURRENT WIP'!$E$22:$E$148),MATCH(ROW(WIP),ROW(WIP)),""),ROW('CURRENT WIP'!O34)),COLUMN('CURRENT WIP'!O34)),"")</f>
        <v/>
      </c>
      <c r="S38" s="48" t="str">
        <f t="array" ref="S38">IFERROR(INDEX(WIP,SMALL(IF(('CURRENT WIP'!$D$1='CURRENT WIP'!$E$22:$E$148),MATCH(ROW(WIP),ROW(WIP)),""),ROW('CURRENT WIP'!P34)),COLUMN('CURRENT WIP'!P34)),"")</f>
        <v/>
      </c>
      <c r="T38" s="68" t="str">
        <f t="array" ref="T38">IFERROR(INDEX(WIP,SMALL(IF(('CURRENT WIP'!$D$1='CURRENT WIP'!$E$22:$E$148),MATCH(ROW(WIP),ROW(WIP)),""),ROW('CURRENT WIP'!Q34)),COLUMN('CURRENT WIP'!Q34)),"")</f>
        <v/>
      </c>
      <c r="U38" s="48" t="str">
        <f t="array" ref="U38">IFERROR(INDEX(WIP,SMALL(IF(('CURRENT WIP'!$D$1='CURRENT WIP'!$E$22:$E$148),MATCH(ROW(WIP),ROW(WIP)),""),ROW('CURRENT WIP'!R34)),COLUMN('CURRENT WIP'!R34)),"")</f>
        <v/>
      </c>
      <c r="V38" s="48" t="str">
        <f t="array" ref="V38">IFERROR(INDEX(WIP,SMALL(IF(('CURRENT WIP'!$D$1='CURRENT WIP'!$E$22:$E$148),MATCH(ROW(WIP),ROW(WIP)),""),ROW('CURRENT WIP'!S34)),COLUMN('CURRENT WIP'!S34)),"")</f>
        <v/>
      </c>
      <c r="W38" s="48" t="str">
        <f t="array" ref="W38">IFERROR(INDEX(WIP,SMALL(IF(('CURRENT WIP'!$D$1='CURRENT WIP'!$E$22:$E$148),MATCH(ROW(WIP),ROW(WIP)),""),ROW('CURRENT WIP'!T34)),COLUMN('CURRENT WIP'!T34)),"")</f>
        <v/>
      </c>
      <c r="X38" s="48" t="str">
        <f t="array" ref="X38">IFERROR(INDEX(WIP,SMALL(IF(('CURRENT WIP'!$D$1='CURRENT WIP'!$E$22:$E$148),MATCH(ROW(WIP),ROW(WIP)),""),ROW('CURRENT WIP'!U34)),COLUMN('CURRENT WIP'!U34)),"")</f>
        <v/>
      </c>
      <c r="Y38" s="521" t="str">
        <f t="shared" si="1"/>
        <v/>
      </c>
      <c r="Z38" s="98"/>
      <c r="AB38" s="527">
        <f t="array" ref="AB38">INDEX(MOVEMENT!$AM$13:$AM$52, SMALL(IF(ISERROR(MATCH(MOVEMENT!$AM$13:$AM$52, MOVEMENT!$E$13:$E$52, 0)), (ROW(MOVEMENT!$AM$13:$AM$52)-MIN(ROW(MOVEMENT!$AM$13:$AM$52))+1), ""), ROW(MOVEMENT!34:34)))</f>
        <v>0</v>
      </c>
      <c r="AC38" s="48" t="e">
        <f>VLOOKUP(AB38,MOVEMENT!AM57:AY98,2,FALSE)</f>
        <v>#N/A</v>
      </c>
      <c r="AD38" s="48" t="e">
        <f>VLOOKUP(AB38,MOVEMENT!AM57:AY98,11,FALSE)</f>
        <v>#N/A</v>
      </c>
      <c r="AE38" s="48" t="e">
        <f>VLOOKUP(AB38,MOVEMENT!AM57:AY98,12,FALSE)</f>
        <v>#N/A</v>
      </c>
      <c r="AF38" s="46" t="e">
        <f>VLOOKUP(AB38,MOVEMENT!AM57:AY98,13,FALSE)</f>
        <v>#N/A</v>
      </c>
    </row>
    <row r="39" spans="2:32" s="2" customFormat="1">
      <c r="D39" s="47" t="str">
        <f t="array" ref="D39">IFERROR(INDEX(WIP,SMALL(IF(('CURRENT WIP'!$D$1='CURRENT WIP'!$E$22:E182),MATCH(ROW(WIP),ROW(WIP)),""),ROW('CURRENT WIP'!A35)),COLUMN('CURRENT WIP'!A35)),"")</f>
        <v/>
      </c>
      <c r="E39" s="48" t="str">
        <f t="array" ref="E39">IFERROR(INDEX(WIP,SMALL(IF(('CURRENT WIP'!$D$1='CURRENT WIP'!$E$22:$E$148),MATCH(ROW(WIP),ROW(WIP)),""),ROW('CURRENT WIP'!B35)),COLUMN('CURRENT WIP'!B35)),"")</f>
        <v/>
      </c>
      <c r="F39" s="48" t="str">
        <f t="array" ref="F39">IFERROR(INDEX(WIP,SMALL(IF(('CURRENT WIP'!$D$1='CURRENT WIP'!$E$22:$E$148),MATCH(ROW(WIP),ROW(WIP)),""),ROW('CURRENT WIP'!C35)),COLUMN('CURRENT WIP'!C35)),"")</f>
        <v/>
      </c>
      <c r="G39" s="48" t="str">
        <f t="array" ref="G39">IFERROR(INDEX(WIP,SMALL(IF(('CURRENT WIP'!$D$1='CURRENT WIP'!$E$22:$E$148),MATCH(ROW(WIP),ROW(WIP)),""),ROW('CURRENT WIP'!D35)),COLUMN('CURRENT WIP'!D35)),"")</f>
        <v/>
      </c>
      <c r="H39" s="66" t="str">
        <f t="array" ref="H39">IFERROR(INDEX(WIP,SMALL(IF(('CURRENT WIP'!$D$1='CURRENT WIP'!$E$22:$E$148),MATCH(ROW(WIP),ROW(WIP)),""),ROW('CURRENT WIP'!E35)),COLUMN('CURRENT WIP'!E35)),"")</f>
        <v/>
      </c>
      <c r="I39" s="66" t="str">
        <f t="array" ref="I39">IFERROR(INDEX(WIP,SMALL(IF(('CURRENT WIP'!$D$1='CURRENT WIP'!$E$22:$E$148),MATCH(ROW(WIP),ROW(WIP)),""),ROW('CURRENT WIP'!F35)),COLUMN('CURRENT WIP'!F35)),"")</f>
        <v/>
      </c>
      <c r="J39" s="48" t="str">
        <f t="array" ref="J39">IFERROR(INDEX(WIP,SMALL(IF(('CURRENT WIP'!$D$1='CURRENT WIP'!$E$22:$E$148),MATCH(ROW(WIP),ROW(WIP)),""),ROW('CURRENT WIP'!G35)),COLUMN('CURRENT WIP'!G35)),"")</f>
        <v/>
      </c>
      <c r="K39" s="66" t="str">
        <f t="array" ref="K39">IFERROR(INDEX(WIP,SMALL(IF(('CURRENT WIP'!$D$1='CURRENT WIP'!$E$22:$E$148),MATCH(ROW(WIP),ROW(WIP)),""),ROW('CURRENT WIP'!H35)),COLUMN('CURRENT WIP'!H35)),"")</f>
        <v/>
      </c>
      <c r="L39" s="48" t="str">
        <f t="array" ref="L39">IFERROR(INDEX(WIP,SMALL(IF(('CURRENT WIP'!$D$1='CURRENT WIP'!$E$22:$E$148),MATCH(ROW(WIP),ROW(WIP)),""),ROW('CURRENT WIP'!I35)),COLUMN('CURRENT WIP'!I35)),"")</f>
        <v/>
      </c>
      <c r="M39" s="67" t="str">
        <f t="array" ref="M39">IFERROR(INDEX(WIP,SMALL(IF(('CURRENT WIP'!$D$1='CURRENT WIP'!$E$22:$E$148),MATCH(ROW(WIP),ROW(WIP)),""),ROW('CURRENT WIP'!J35)),COLUMN('CURRENT WIP'!J35)),"")</f>
        <v/>
      </c>
      <c r="N39" s="48" t="str">
        <f t="array" ref="N39">IFERROR(INDEX(WIP,SMALL(IF(('CURRENT WIP'!$D$1='CURRENT WIP'!$E$22:$E$148),MATCH(ROW(WIP),ROW(WIP)),""),ROW('CURRENT WIP'!K35)),COLUMN('CURRENT WIP'!K35)),"")</f>
        <v/>
      </c>
      <c r="O39" s="48" t="str">
        <f t="array" ref="O39">IFERROR(INDEX(WIP,SMALL(IF(('CURRENT WIP'!$D$1='CURRENT WIP'!$E$22:$E$148),MATCH(ROW(WIP),ROW(WIP)),""),ROW('CURRENT WIP'!L35)),COLUMN('CURRENT WIP'!L35)),"")</f>
        <v/>
      </c>
      <c r="P39" s="48" t="str">
        <f t="array" ref="P39">IFERROR(INDEX(WIP,SMALL(IF(('CURRENT WIP'!$D$1='CURRENT WIP'!$E$22:$E$148),MATCH(ROW(WIP),ROW(WIP)),""),ROW('CURRENT WIP'!M35)),COLUMN('CURRENT WIP'!M35)),"")</f>
        <v/>
      </c>
      <c r="Q39" s="68" t="str">
        <f t="array" ref="Q39">IFERROR(INDEX(WIP,SMALL(IF(('CURRENT WIP'!$D$1='CURRENT WIP'!$E$22:$E$148),MATCH(ROW(WIP),ROW(WIP)),""),ROW('CURRENT WIP'!N35)),COLUMN('CURRENT WIP'!N35)),"")</f>
        <v/>
      </c>
      <c r="R39" s="48" t="str">
        <f t="array" ref="R39">IFERROR(INDEX(WIP,SMALL(IF(('CURRENT WIP'!$D$1='CURRENT WIP'!$E$22:$E$148),MATCH(ROW(WIP),ROW(WIP)),""),ROW('CURRENT WIP'!O35)),COLUMN('CURRENT WIP'!O35)),"")</f>
        <v/>
      </c>
      <c r="S39" s="48" t="str">
        <f t="array" ref="S39">IFERROR(INDEX(WIP,SMALL(IF(('CURRENT WIP'!$D$1='CURRENT WIP'!$E$22:$E$148),MATCH(ROW(WIP),ROW(WIP)),""),ROW('CURRENT WIP'!P35)),COLUMN('CURRENT WIP'!P35)),"")</f>
        <v/>
      </c>
      <c r="T39" s="68" t="str">
        <f t="array" ref="T39">IFERROR(INDEX(WIP,SMALL(IF(('CURRENT WIP'!$D$1='CURRENT WIP'!$E$22:$E$148),MATCH(ROW(WIP),ROW(WIP)),""),ROW('CURRENT WIP'!Q35)),COLUMN('CURRENT WIP'!Q35)),"")</f>
        <v/>
      </c>
      <c r="U39" s="48" t="str">
        <f t="array" ref="U39">IFERROR(INDEX(WIP,SMALL(IF(('CURRENT WIP'!$D$1='CURRENT WIP'!$E$22:$E$148),MATCH(ROW(WIP),ROW(WIP)),""),ROW('CURRENT WIP'!R35)),COLUMN('CURRENT WIP'!R35)),"")</f>
        <v/>
      </c>
      <c r="V39" s="48" t="str">
        <f t="array" ref="V39">IFERROR(INDEX(WIP,SMALL(IF(('CURRENT WIP'!$D$1='CURRENT WIP'!$E$22:$E$148),MATCH(ROW(WIP),ROW(WIP)),""),ROW('CURRENT WIP'!S35)),COLUMN('CURRENT WIP'!S35)),"")</f>
        <v/>
      </c>
      <c r="W39" s="48" t="str">
        <f t="array" ref="W39">IFERROR(INDEX(WIP,SMALL(IF(('CURRENT WIP'!$D$1='CURRENT WIP'!$E$22:$E$148),MATCH(ROW(WIP),ROW(WIP)),""),ROW('CURRENT WIP'!T35)),COLUMN('CURRENT WIP'!T35)),"")</f>
        <v/>
      </c>
      <c r="X39" s="48" t="str">
        <f t="array" ref="X39">IFERROR(INDEX(WIP,SMALL(IF(('CURRENT WIP'!$D$1='CURRENT WIP'!$E$22:$E$148),MATCH(ROW(WIP),ROW(WIP)),""),ROW('CURRENT WIP'!U35)),COLUMN('CURRENT WIP'!U35)),"")</f>
        <v/>
      </c>
      <c r="Y39" s="521" t="str">
        <f t="shared" si="1"/>
        <v/>
      </c>
      <c r="Z39" s="98"/>
      <c r="AB39" s="527">
        <f t="array" ref="AB39">INDEX(MOVEMENT!$AM$13:$AM$52, SMALL(IF(ISERROR(MATCH(MOVEMENT!$AM$13:$AM$52, MOVEMENT!$E$13:$E$52, 0)), (ROW(MOVEMENT!$AM$13:$AM$52)-MIN(ROW(MOVEMENT!$AM$13:$AM$52))+1), ""), ROW(MOVEMENT!35:35)))</f>
        <v>0</v>
      </c>
      <c r="AC39" s="48" t="e">
        <f>VLOOKUP(AB39,MOVEMENT!AM58:AY99,2,FALSE)</f>
        <v>#N/A</v>
      </c>
      <c r="AD39" s="48" t="e">
        <f>VLOOKUP(AB39,MOVEMENT!AM58:AY99,11,FALSE)</f>
        <v>#N/A</v>
      </c>
      <c r="AE39" s="48" t="e">
        <f>VLOOKUP(AB39,MOVEMENT!AM58:AY99,12,FALSE)</f>
        <v>#N/A</v>
      </c>
      <c r="AF39" s="46" t="e">
        <f>VLOOKUP(AB39,MOVEMENT!AM58:AY99,13,FALSE)</f>
        <v>#N/A</v>
      </c>
    </row>
    <row r="40" spans="2:32" s="2" customFormat="1">
      <c r="D40" s="47" t="str">
        <f t="array" ref="D40">IFERROR(INDEX(WIP,SMALL(IF(('CURRENT WIP'!$D$1='CURRENT WIP'!$E$22:E183),MATCH(ROW(WIP),ROW(WIP)),""),ROW('CURRENT WIP'!A36)),COLUMN('CURRENT WIP'!A36)),"")</f>
        <v/>
      </c>
      <c r="E40" s="48" t="str">
        <f t="array" ref="E40">IFERROR(INDEX(WIP,SMALL(IF(('CURRENT WIP'!$D$1='CURRENT WIP'!$E$22:$E$148),MATCH(ROW(WIP),ROW(WIP)),""),ROW('CURRENT WIP'!B36)),COLUMN('CURRENT WIP'!B36)),"")</f>
        <v/>
      </c>
      <c r="F40" s="48" t="str">
        <f t="array" ref="F40">IFERROR(INDEX(WIP,SMALL(IF(('CURRENT WIP'!$D$1='CURRENT WIP'!$E$22:$E$148),MATCH(ROW(WIP),ROW(WIP)),""),ROW('CURRENT WIP'!C36)),COLUMN('CURRENT WIP'!C36)),"")</f>
        <v/>
      </c>
      <c r="G40" s="48" t="str">
        <f t="array" ref="G40">IFERROR(INDEX(WIP,SMALL(IF(('CURRENT WIP'!$D$1='CURRENT WIP'!$E$22:$E$148),MATCH(ROW(WIP),ROW(WIP)),""),ROW('CURRENT WIP'!D36)),COLUMN('CURRENT WIP'!D36)),"")</f>
        <v/>
      </c>
      <c r="H40" s="66" t="str">
        <f t="array" ref="H40">IFERROR(INDEX(WIP,SMALL(IF(('CURRENT WIP'!$D$1='CURRENT WIP'!$E$22:$E$148),MATCH(ROW(WIP),ROW(WIP)),""),ROW('CURRENT WIP'!E36)),COLUMN('CURRENT WIP'!E36)),"")</f>
        <v/>
      </c>
      <c r="I40" s="66" t="str">
        <f t="array" ref="I40">IFERROR(INDEX(WIP,SMALL(IF(('CURRENT WIP'!$D$1='CURRENT WIP'!$E$22:$E$148),MATCH(ROW(WIP),ROW(WIP)),""),ROW('CURRENT WIP'!F36)),COLUMN('CURRENT WIP'!F36)),"")</f>
        <v/>
      </c>
      <c r="J40" s="48" t="str">
        <f t="array" ref="J40">IFERROR(INDEX(WIP,SMALL(IF(('CURRENT WIP'!$D$1='CURRENT WIP'!$E$22:$E$148),MATCH(ROW(WIP),ROW(WIP)),""),ROW('CURRENT WIP'!G36)),COLUMN('CURRENT WIP'!G36)),"")</f>
        <v/>
      </c>
      <c r="K40" s="66" t="str">
        <f t="array" ref="K40">IFERROR(INDEX(WIP,SMALL(IF(('CURRENT WIP'!$D$1='CURRENT WIP'!$E$22:$E$148),MATCH(ROW(WIP),ROW(WIP)),""),ROW('CURRENT WIP'!H36)),COLUMN('CURRENT WIP'!H36)),"")</f>
        <v/>
      </c>
      <c r="L40" s="48" t="str">
        <f t="array" ref="L40">IFERROR(INDEX(WIP,SMALL(IF(('CURRENT WIP'!$D$1='CURRENT WIP'!$E$22:$E$148),MATCH(ROW(WIP),ROW(WIP)),""),ROW('CURRENT WIP'!I36)),COLUMN('CURRENT WIP'!I36)),"")</f>
        <v/>
      </c>
      <c r="M40" s="67" t="str">
        <f t="array" ref="M40">IFERROR(INDEX(WIP,SMALL(IF(('CURRENT WIP'!$D$1='CURRENT WIP'!$E$22:$E$148),MATCH(ROW(WIP),ROW(WIP)),""),ROW('CURRENT WIP'!J36)),COLUMN('CURRENT WIP'!J36)),"")</f>
        <v/>
      </c>
      <c r="N40" s="48" t="str">
        <f t="array" ref="N40">IFERROR(INDEX(WIP,SMALL(IF(('CURRENT WIP'!$D$1='CURRENT WIP'!$E$22:$E$148),MATCH(ROW(WIP),ROW(WIP)),""),ROW('CURRENT WIP'!K36)),COLUMN('CURRENT WIP'!K36)),"")</f>
        <v/>
      </c>
      <c r="O40" s="48" t="str">
        <f t="array" ref="O40">IFERROR(INDEX(WIP,SMALL(IF(('CURRENT WIP'!$D$1='CURRENT WIP'!$E$22:$E$148),MATCH(ROW(WIP),ROW(WIP)),""),ROW('CURRENT WIP'!L36)),COLUMN('CURRENT WIP'!L36)),"")</f>
        <v/>
      </c>
      <c r="P40" s="48" t="str">
        <f t="array" ref="P40">IFERROR(INDEX(WIP,SMALL(IF(('CURRENT WIP'!$D$1='CURRENT WIP'!$E$22:$E$148),MATCH(ROW(WIP),ROW(WIP)),""),ROW('CURRENT WIP'!M36)),COLUMN('CURRENT WIP'!M36)),"")</f>
        <v/>
      </c>
      <c r="Q40" s="68" t="str">
        <f t="array" ref="Q40">IFERROR(INDEX(WIP,SMALL(IF(('CURRENT WIP'!$D$1='CURRENT WIP'!$E$22:$E$148),MATCH(ROW(WIP),ROW(WIP)),""),ROW('CURRENT WIP'!N36)),COLUMN('CURRENT WIP'!N36)),"")</f>
        <v/>
      </c>
      <c r="R40" s="48" t="str">
        <f t="array" ref="R40">IFERROR(INDEX(WIP,SMALL(IF(('CURRENT WIP'!$D$1='CURRENT WIP'!$E$22:$E$148),MATCH(ROW(WIP),ROW(WIP)),""),ROW('CURRENT WIP'!O36)),COLUMN('CURRENT WIP'!O36)),"")</f>
        <v/>
      </c>
      <c r="S40" s="48" t="str">
        <f t="array" ref="S40">IFERROR(INDEX(WIP,SMALL(IF(('CURRENT WIP'!$D$1='CURRENT WIP'!$E$22:$E$148),MATCH(ROW(WIP),ROW(WIP)),""),ROW('CURRENT WIP'!P36)),COLUMN('CURRENT WIP'!P36)),"")</f>
        <v/>
      </c>
      <c r="T40" s="68" t="str">
        <f t="array" ref="T40">IFERROR(INDEX(WIP,SMALL(IF(('CURRENT WIP'!$D$1='CURRENT WIP'!$E$22:$E$148),MATCH(ROW(WIP),ROW(WIP)),""),ROW('CURRENT WIP'!Q36)),COLUMN('CURRENT WIP'!Q36)),"")</f>
        <v/>
      </c>
      <c r="U40" s="48" t="str">
        <f t="array" ref="U40">IFERROR(INDEX(WIP,SMALL(IF(('CURRENT WIP'!$D$1='CURRENT WIP'!$E$22:$E$148),MATCH(ROW(WIP),ROW(WIP)),""),ROW('CURRENT WIP'!R36)),COLUMN('CURRENT WIP'!R36)),"")</f>
        <v/>
      </c>
      <c r="V40" s="48" t="str">
        <f t="array" ref="V40">IFERROR(INDEX(WIP,SMALL(IF(('CURRENT WIP'!$D$1='CURRENT WIP'!$E$22:$E$148),MATCH(ROW(WIP),ROW(WIP)),""),ROW('CURRENT WIP'!S36)),COLUMN('CURRENT WIP'!S36)),"")</f>
        <v/>
      </c>
      <c r="W40" s="48" t="str">
        <f t="array" ref="W40">IFERROR(INDEX(WIP,SMALL(IF(('CURRENT WIP'!$D$1='CURRENT WIP'!$E$22:$E$148),MATCH(ROW(WIP),ROW(WIP)),""),ROW('CURRENT WIP'!T36)),COLUMN('CURRENT WIP'!T36)),"")</f>
        <v/>
      </c>
      <c r="X40" s="48" t="str">
        <f t="array" ref="X40">IFERROR(INDEX(WIP,SMALL(IF(('CURRENT WIP'!$D$1='CURRENT WIP'!$E$22:$E$148),MATCH(ROW(WIP),ROW(WIP)),""),ROW('CURRENT WIP'!U36)),COLUMN('CURRENT WIP'!U36)),"")</f>
        <v/>
      </c>
      <c r="Y40" s="521" t="str">
        <f t="shared" si="1"/>
        <v/>
      </c>
      <c r="Z40" s="98"/>
      <c r="AB40" s="527">
        <f t="array" ref="AB40">INDEX(MOVEMENT!$AM$13:$AM$52, SMALL(IF(ISERROR(MATCH(MOVEMENT!$AM$13:$AM$52, MOVEMENT!$E$13:$E$52, 0)), (ROW(MOVEMENT!$AM$13:$AM$52)-MIN(ROW(MOVEMENT!$AM$13:$AM$52))+1), ""), ROW(MOVEMENT!36:36)))</f>
        <v>0</v>
      </c>
      <c r="AC40" s="48" t="e">
        <f>VLOOKUP(AB40,MOVEMENT!AM59:AY100,2,FALSE)</f>
        <v>#N/A</v>
      </c>
      <c r="AD40" s="48" t="e">
        <f>VLOOKUP(AB40,MOVEMENT!AM59:AY100,11,FALSE)</f>
        <v>#N/A</v>
      </c>
      <c r="AE40" s="48" t="e">
        <f>VLOOKUP(AB40,MOVEMENT!AM59:AY100,12,FALSE)</f>
        <v>#N/A</v>
      </c>
      <c r="AF40" s="46" t="e">
        <f>VLOOKUP(AB40,MOVEMENT!AM59:AY100,13,FALSE)</f>
        <v>#N/A</v>
      </c>
    </row>
    <row r="41" spans="2:32" s="2" customFormat="1">
      <c r="D41" s="47" t="str">
        <f t="array" ref="D41">IFERROR(INDEX(WIP,SMALL(IF(('CURRENT WIP'!$D$1='CURRENT WIP'!$E$22:E184),MATCH(ROW(WIP),ROW(WIP)),""),ROW('CURRENT WIP'!A37)),COLUMN('CURRENT WIP'!A37)),"")</f>
        <v/>
      </c>
      <c r="E41" s="48" t="str">
        <f t="array" ref="E41">IFERROR(INDEX(WIP,SMALL(IF(('CURRENT WIP'!$D$1='CURRENT WIP'!$E$22:$E$148),MATCH(ROW(WIP),ROW(WIP)),""),ROW('CURRENT WIP'!B37)),COLUMN('CURRENT WIP'!B37)),"")</f>
        <v/>
      </c>
      <c r="F41" s="48" t="str">
        <f t="array" ref="F41">IFERROR(INDEX(WIP,SMALL(IF(('CURRENT WIP'!$D$1='CURRENT WIP'!$E$22:$E$148),MATCH(ROW(WIP),ROW(WIP)),""),ROW('CURRENT WIP'!C37)),COLUMN('CURRENT WIP'!C37)),"")</f>
        <v/>
      </c>
      <c r="G41" s="48" t="str">
        <f t="array" ref="G41">IFERROR(INDEX(WIP,SMALL(IF(('CURRENT WIP'!$D$1='CURRENT WIP'!$E$22:$E$148),MATCH(ROW(WIP),ROW(WIP)),""),ROW('CURRENT WIP'!D37)),COLUMN('CURRENT WIP'!D37)),"")</f>
        <v/>
      </c>
      <c r="H41" s="66" t="str">
        <f t="array" ref="H41">IFERROR(INDEX(WIP,SMALL(IF(('CURRENT WIP'!$D$1='CURRENT WIP'!$E$22:$E$148),MATCH(ROW(WIP),ROW(WIP)),""),ROW('CURRENT WIP'!E37)),COLUMN('CURRENT WIP'!E37)),"")</f>
        <v/>
      </c>
      <c r="I41" s="66" t="str">
        <f t="array" ref="I41">IFERROR(INDEX(WIP,SMALL(IF(('CURRENT WIP'!$D$1='CURRENT WIP'!$E$22:$E$148),MATCH(ROW(WIP),ROW(WIP)),""),ROW('CURRENT WIP'!F37)),COLUMN('CURRENT WIP'!F37)),"")</f>
        <v/>
      </c>
      <c r="J41" s="48" t="str">
        <f t="array" ref="J41">IFERROR(INDEX(WIP,SMALL(IF(('CURRENT WIP'!$D$1='CURRENT WIP'!$E$22:$E$148),MATCH(ROW(WIP),ROW(WIP)),""),ROW('CURRENT WIP'!G37)),COLUMN('CURRENT WIP'!G37)),"")</f>
        <v/>
      </c>
      <c r="K41" s="66" t="str">
        <f t="array" ref="K41">IFERROR(INDEX(WIP,SMALL(IF(('CURRENT WIP'!$D$1='CURRENT WIP'!$E$22:$E$148),MATCH(ROW(WIP),ROW(WIP)),""),ROW('CURRENT WIP'!H37)),COLUMN('CURRENT WIP'!H37)),"")</f>
        <v/>
      </c>
      <c r="L41" s="48" t="str">
        <f t="array" ref="L41">IFERROR(INDEX(WIP,SMALL(IF(('CURRENT WIP'!$D$1='CURRENT WIP'!$E$22:$E$148),MATCH(ROW(WIP),ROW(WIP)),""),ROW('CURRENT WIP'!I37)),COLUMN('CURRENT WIP'!I37)),"")</f>
        <v/>
      </c>
      <c r="M41" s="67" t="str">
        <f t="array" ref="M41">IFERROR(INDEX(WIP,SMALL(IF(('CURRENT WIP'!$D$1='CURRENT WIP'!$E$22:$E$148),MATCH(ROW(WIP),ROW(WIP)),""),ROW('CURRENT WIP'!J37)),COLUMN('CURRENT WIP'!J37)),"")</f>
        <v/>
      </c>
      <c r="N41" s="48" t="str">
        <f t="array" ref="N41">IFERROR(INDEX(WIP,SMALL(IF(('CURRENT WIP'!$D$1='CURRENT WIP'!$E$22:$E$148),MATCH(ROW(WIP),ROW(WIP)),""),ROW('CURRENT WIP'!K37)),COLUMN('CURRENT WIP'!K37)),"")</f>
        <v/>
      </c>
      <c r="O41" s="48" t="str">
        <f t="array" ref="O41">IFERROR(INDEX(WIP,SMALL(IF(('CURRENT WIP'!$D$1='CURRENT WIP'!$E$22:$E$148),MATCH(ROW(WIP),ROW(WIP)),""),ROW('CURRENT WIP'!L37)),COLUMN('CURRENT WIP'!L37)),"")</f>
        <v/>
      </c>
      <c r="P41" s="48" t="str">
        <f t="array" ref="P41">IFERROR(INDEX(WIP,SMALL(IF(('CURRENT WIP'!$D$1='CURRENT WIP'!$E$22:$E$148),MATCH(ROW(WIP),ROW(WIP)),""),ROW('CURRENT WIP'!M37)),COLUMN('CURRENT WIP'!M37)),"")</f>
        <v/>
      </c>
      <c r="Q41" s="68" t="str">
        <f t="array" ref="Q41">IFERROR(INDEX(WIP,SMALL(IF(('CURRENT WIP'!$D$1='CURRENT WIP'!$E$22:$E$148),MATCH(ROW(WIP),ROW(WIP)),""),ROW('CURRENT WIP'!N37)),COLUMN('CURRENT WIP'!N37)),"")</f>
        <v/>
      </c>
      <c r="R41" s="48" t="str">
        <f t="array" ref="R41">IFERROR(INDEX(WIP,SMALL(IF(('CURRENT WIP'!$D$1='CURRENT WIP'!$E$22:$E$148),MATCH(ROW(WIP),ROW(WIP)),""),ROW('CURRENT WIP'!O37)),COLUMN('CURRENT WIP'!O37)),"")</f>
        <v/>
      </c>
      <c r="S41" s="48" t="str">
        <f t="array" ref="S41">IFERROR(INDEX(WIP,SMALL(IF(('CURRENT WIP'!$D$1='CURRENT WIP'!$E$22:$E$148),MATCH(ROW(WIP),ROW(WIP)),""),ROW('CURRENT WIP'!P37)),COLUMN('CURRENT WIP'!P37)),"")</f>
        <v/>
      </c>
      <c r="T41" s="68" t="str">
        <f t="array" ref="T41">IFERROR(INDEX(WIP,SMALL(IF(('CURRENT WIP'!$D$1='CURRENT WIP'!$E$22:$E$148),MATCH(ROW(WIP),ROW(WIP)),""),ROW('CURRENT WIP'!Q37)),COLUMN('CURRENT WIP'!Q37)),"")</f>
        <v/>
      </c>
      <c r="U41" s="48" t="str">
        <f t="array" ref="U41">IFERROR(INDEX(WIP,SMALL(IF(('CURRENT WIP'!$D$1='CURRENT WIP'!$E$22:$E$148),MATCH(ROW(WIP),ROW(WIP)),""),ROW('CURRENT WIP'!R37)),COLUMN('CURRENT WIP'!R37)),"")</f>
        <v/>
      </c>
      <c r="V41" s="48" t="str">
        <f t="array" ref="V41">IFERROR(INDEX(WIP,SMALL(IF(('CURRENT WIP'!$D$1='CURRENT WIP'!$E$22:$E$148),MATCH(ROW(WIP),ROW(WIP)),""),ROW('CURRENT WIP'!S37)),COLUMN('CURRENT WIP'!S37)),"")</f>
        <v/>
      </c>
      <c r="W41" s="48" t="str">
        <f t="array" ref="W41">IFERROR(INDEX(WIP,SMALL(IF(('CURRENT WIP'!$D$1='CURRENT WIP'!$E$22:$E$148),MATCH(ROW(WIP),ROW(WIP)),""),ROW('CURRENT WIP'!T37)),COLUMN('CURRENT WIP'!T37)),"")</f>
        <v/>
      </c>
      <c r="X41" s="48" t="str">
        <f t="array" ref="X41">IFERROR(INDEX(WIP,SMALL(IF(('CURRENT WIP'!$D$1='CURRENT WIP'!$E$22:$E$148),MATCH(ROW(WIP),ROW(WIP)),""),ROW('CURRENT WIP'!U37)),COLUMN('CURRENT WIP'!U37)),"")</f>
        <v/>
      </c>
      <c r="Y41" s="521" t="str">
        <f t="shared" si="1"/>
        <v/>
      </c>
      <c r="Z41" s="98"/>
      <c r="AB41" s="527">
        <f t="array" ref="AB41">INDEX(MOVEMENT!$AM$13:$AM$52, SMALL(IF(ISERROR(MATCH(MOVEMENT!$AM$13:$AM$52, MOVEMENT!$E$13:$E$52, 0)), (ROW(MOVEMENT!$AM$13:$AM$52)-MIN(ROW(MOVEMENT!$AM$13:$AM$52))+1), ""), ROW(MOVEMENT!37:37)))</f>
        <v>0</v>
      </c>
      <c r="AC41" s="48" t="e">
        <f>VLOOKUP(AB41,MOVEMENT!AM60:AY101,2,FALSE)</f>
        <v>#N/A</v>
      </c>
      <c r="AD41" s="48" t="e">
        <f>VLOOKUP(AB41,MOVEMENT!AM60:AY101,11,FALSE)</f>
        <v>#N/A</v>
      </c>
      <c r="AE41" s="48" t="e">
        <f>VLOOKUP(AB41,MOVEMENT!AM60:AY101,12,FALSE)</f>
        <v>#N/A</v>
      </c>
      <c r="AF41" s="46" t="e">
        <f>VLOOKUP(AB41,MOVEMENT!AM60:AY101,13,FALSE)</f>
        <v>#N/A</v>
      </c>
    </row>
    <row r="42" spans="2:32" s="2" customFormat="1">
      <c r="D42" s="47" t="str">
        <f t="array" ref="D42">IFERROR(INDEX(WIP,SMALL(IF(('CURRENT WIP'!$D$1='CURRENT WIP'!$E$22:E185),MATCH(ROW(WIP),ROW(WIP)),""),ROW('CURRENT WIP'!A38)),COLUMN('CURRENT WIP'!A38)),"")</f>
        <v/>
      </c>
      <c r="E42" s="48" t="str">
        <f t="array" ref="E42">IFERROR(INDEX(WIP,SMALL(IF(('CURRENT WIP'!$D$1='CURRENT WIP'!$E$22:$E$148),MATCH(ROW(WIP),ROW(WIP)),""),ROW('CURRENT WIP'!B38)),COLUMN('CURRENT WIP'!B38)),"")</f>
        <v/>
      </c>
      <c r="F42" s="48" t="str">
        <f t="array" ref="F42">IFERROR(INDEX(WIP,SMALL(IF(('CURRENT WIP'!$D$1='CURRENT WIP'!$E$22:$E$148),MATCH(ROW(WIP),ROW(WIP)),""),ROW('CURRENT WIP'!C38)),COLUMN('CURRENT WIP'!C38)),"")</f>
        <v/>
      </c>
      <c r="G42" s="48" t="str">
        <f t="array" ref="G42">IFERROR(INDEX(WIP,SMALL(IF(('CURRENT WIP'!$D$1='CURRENT WIP'!$E$22:$E$148),MATCH(ROW(WIP),ROW(WIP)),""),ROW('CURRENT WIP'!D38)),COLUMN('CURRENT WIP'!D38)),"")</f>
        <v/>
      </c>
      <c r="H42" s="66" t="str">
        <f t="array" ref="H42">IFERROR(INDEX(WIP,SMALL(IF(('CURRENT WIP'!$D$1='CURRENT WIP'!$E$22:$E$148),MATCH(ROW(WIP),ROW(WIP)),""),ROW('CURRENT WIP'!E38)),COLUMN('CURRENT WIP'!E38)),"")</f>
        <v/>
      </c>
      <c r="I42" s="66" t="str">
        <f t="array" ref="I42">IFERROR(INDEX(WIP,SMALL(IF(('CURRENT WIP'!$D$1='CURRENT WIP'!$E$22:$E$148),MATCH(ROW(WIP),ROW(WIP)),""),ROW('CURRENT WIP'!F38)),COLUMN('CURRENT WIP'!F38)),"")</f>
        <v/>
      </c>
      <c r="J42" s="48" t="str">
        <f t="array" ref="J42">IFERROR(INDEX(WIP,SMALL(IF(('CURRENT WIP'!$D$1='CURRENT WIP'!$E$22:$E$148),MATCH(ROW(WIP),ROW(WIP)),""),ROW('CURRENT WIP'!G38)),COLUMN('CURRENT WIP'!G38)),"")</f>
        <v/>
      </c>
      <c r="K42" s="66" t="str">
        <f t="array" ref="K42">IFERROR(INDEX(WIP,SMALL(IF(('CURRENT WIP'!$D$1='CURRENT WIP'!$E$22:$E$148),MATCH(ROW(WIP),ROW(WIP)),""),ROW('CURRENT WIP'!H38)),COLUMN('CURRENT WIP'!H38)),"")</f>
        <v/>
      </c>
      <c r="L42" s="48" t="str">
        <f t="array" ref="L42">IFERROR(INDEX(WIP,SMALL(IF(('CURRENT WIP'!$D$1='CURRENT WIP'!$E$22:$E$148),MATCH(ROW(WIP),ROW(WIP)),""),ROW('CURRENT WIP'!I38)),COLUMN('CURRENT WIP'!I38)),"")</f>
        <v/>
      </c>
      <c r="M42" s="67" t="str">
        <f t="array" ref="M42">IFERROR(INDEX(WIP,SMALL(IF(('CURRENT WIP'!$D$1='CURRENT WIP'!$E$22:$E$148),MATCH(ROW(WIP),ROW(WIP)),""),ROW('CURRENT WIP'!J38)),COLUMN('CURRENT WIP'!J38)),"")</f>
        <v/>
      </c>
      <c r="N42" s="48" t="str">
        <f t="array" ref="N42">IFERROR(INDEX(WIP,SMALL(IF(('CURRENT WIP'!$D$1='CURRENT WIP'!$E$22:$E$148),MATCH(ROW(WIP),ROW(WIP)),""),ROW('CURRENT WIP'!K38)),COLUMN('CURRENT WIP'!K38)),"")</f>
        <v/>
      </c>
      <c r="O42" s="48" t="str">
        <f t="array" ref="O42">IFERROR(INDEX(WIP,SMALL(IF(('CURRENT WIP'!$D$1='CURRENT WIP'!$E$22:$E$148),MATCH(ROW(WIP),ROW(WIP)),""),ROW('CURRENT WIP'!L38)),COLUMN('CURRENT WIP'!L38)),"")</f>
        <v/>
      </c>
      <c r="P42" s="48" t="str">
        <f t="array" ref="P42">IFERROR(INDEX(WIP,SMALL(IF(('CURRENT WIP'!$D$1='CURRENT WIP'!$E$22:$E$148),MATCH(ROW(WIP),ROW(WIP)),""),ROW('CURRENT WIP'!M38)),COLUMN('CURRENT WIP'!M38)),"")</f>
        <v/>
      </c>
      <c r="Q42" s="68" t="str">
        <f t="array" ref="Q42">IFERROR(INDEX(WIP,SMALL(IF(('CURRENT WIP'!$D$1='CURRENT WIP'!$E$22:$E$148),MATCH(ROW(WIP),ROW(WIP)),""),ROW('CURRENT WIP'!N38)),COLUMN('CURRENT WIP'!N38)),"")</f>
        <v/>
      </c>
      <c r="R42" s="48" t="str">
        <f t="array" ref="R42">IFERROR(INDEX(WIP,SMALL(IF(('CURRENT WIP'!$D$1='CURRENT WIP'!$E$22:$E$148),MATCH(ROW(WIP),ROW(WIP)),""),ROW('CURRENT WIP'!O38)),COLUMN('CURRENT WIP'!O38)),"")</f>
        <v/>
      </c>
      <c r="S42" s="48" t="str">
        <f t="array" ref="S42">IFERROR(INDEX(WIP,SMALL(IF(('CURRENT WIP'!$D$1='CURRENT WIP'!$E$22:$E$148),MATCH(ROW(WIP),ROW(WIP)),""),ROW('CURRENT WIP'!P38)),COLUMN('CURRENT WIP'!P38)),"")</f>
        <v/>
      </c>
      <c r="T42" s="68" t="str">
        <f t="array" ref="T42">IFERROR(INDEX(WIP,SMALL(IF(('CURRENT WIP'!$D$1='CURRENT WIP'!$E$22:$E$148),MATCH(ROW(WIP),ROW(WIP)),""),ROW('CURRENT WIP'!Q38)),COLUMN('CURRENT WIP'!Q38)),"")</f>
        <v/>
      </c>
      <c r="U42" s="48" t="str">
        <f t="array" ref="U42">IFERROR(INDEX(WIP,SMALL(IF(('CURRENT WIP'!$D$1='CURRENT WIP'!$E$22:$E$148),MATCH(ROW(WIP),ROW(WIP)),""),ROW('CURRENT WIP'!R38)),COLUMN('CURRENT WIP'!R38)),"")</f>
        <v/>
      </c>
      <c r="V42" s="48" t="str">
        <f t="array" ref="V42">IFERROR(INDEX(WIP,SMALL(IF(('CURRENT WIP'!$D$1='CURRENT WIP'!$E$22:$E$148),MATCH(ROW(WIP),ROW(WIP)),""),ROW('CURRENT WIP'!S38)),COLUMN('CURRENT WIP'!S38)),"")</f>
        <v/>
      </c>
      <c r="W42" s="48" t="str">
        <f t="array" ref="W42">IFERROR(INDEX(WIP,SMALL(IF(('CURRENT WIP'!$D$1='CURRENT WIP'!$E$22:$E$148),MATCH(ROW(WIP),ROW(WIP)),""),ROW('CURRENT WIP'!T38)),COLUMN('CURRENT WIP'!T38)),"")</f>
        <v/>
      </c>
      <c r="X42" s="48" t="str">
        <f t="array" ref="X42">IFERROR(INDEX(WIP,SMALL(IF(('CURRENT WIP'!$D$1='CURRENT WIP'!$E$22:$E$148),MATCH(ROW(WIP),ROW(WIP)),""),ROW('CURRENT WIP'!U38)),COLUMN('CURRENT WIP'!U38)),"")</f>
        <v/>
      </c>
      <c r="Y42" s="521" t="str">
        <f t="shared" si="1"/>
        <v/>
      </c>
      <c r="Z42" s="98"/>
      <c r="AB42" s="527">
        <f t="array" ref="AB42">INDEX(MOVEMENT!$AM$13:$AM$52, SMALL(IF(ISERROR(MATCH(MOVEMENT!$AM$13:$AM$52, MOVEMENT!$E$13:$E$52, 0)), (ROW(MOVEMENT!$AM$13:$AM$52)-MIN(ROW(MOVEMENT!$AM$13:$AM$52))+1), ""), ROW(MOVEMENT!38:38)))</f>
        <v>0</v>
      </c>
      <c r="AC42" s="48" t="e">
        <f>VLOOKUP(AB42,MOVEMENT!AM61:AY102,2,FALSE)</f>
        <v>#N/A</v>
      </c>
      <c r="AD42" s="48" t="e">
        <f>VLOOKUP(AB42,MOVEMENT!AM61:AY102,11,FALSE)</f>
        <v>#N/A</v>
      </c>
      <c r="AE42" s="48" t="e">
        <f>VLOOKUP(AB42,MOVEMENT!AM61:AY102,12,FALSE)</f>
        <v>#N/A</v>
      </c>
      <c r="AF42" s="46" t="e">
        <f>VLOOKUP(AB42,MOVEMENT!AM61:AY102,13,FALSE)</f>
        <v>#N/A</v>
      </c>
    </row>
    <row r="43" spans="2:32" s="2" customFormat="1">
      <c r="D43" s="47" t="str">
        <f t="array" ref="D43">IFERROR(INDEX(WIP,SMALL(IF(('CURRENT WIP'!$D$1='CURRENT WIP'!$E$22:E186),MATCH(ROW(WIP),ROW(WIP)),""),ROW('CURRENT WIP'!A39)),COLUMN('CURRENT WIP'!A39)),"")</f>
        <v/>
      </c>
      <c r="E43" s="48" t="str">
        <f t="array" ref="E43">IFERROR(INDEX(WIP,SMALL(IF(('CURRENT WIP'!$D$1='CURRENT WIP'!$E$22:$E$148),MATCH(ROW(WIP),ROW(WIP)),""),ROW('CURRENT WIP'!B39)),COLUMN('CURRENT WIP'!B39)),"")</f>
        <v/>
      </c>
      <c r="F43" s="48" t="str">
        <f t="array" ref="F43">IFERROR(INDEX(WIP,SMALL(IF(('CURRENT WIP'!$D$1='CURRENT WIP'!$E$22:$E$148),MATCH(ROW(WIP),ROW(WIP)),""),ROW('CURRENT WIP'!C39)),COLUMN('CURRENT WIP'!C39)),"")</f>
        <v/>
      </c>
      <c r="G43" s="48" t="str">
        <f t="array" ref="G43">IFERROR(INDEX(WIP,SMALL(IF(('CURRENT WIP'!$D$1='CURRENT WIP'!$E$22:$E$148),MATCH(ROW(WIP),ROW(WIP)),""),ROW('CURRENT WIP'!D39)),COLUMN('CURRENT WIP'!D39)),"")</f>
        <v/>
      </c>
      <c r="H43" s="66" t="str">
        <f t="array" ref="H43">IFERROR(INDEX(WIP,SMALL(IF(('CURRENT WIP'!$D$1='CURRENT WIP'!$E$22:$E$148),MATCH(ROW(WIP),ROW(WIP)),""),ROW('CURRENT WIP'!E39)),COLUMN('CURRENT WIP'!E39)),"")</f>
        <v/>
      </c>
      <c r="I43" s="66" t="str">
        <f t="array" ref="I43">IFERROR(INDEX(WIP,SMALL(IF(('CURRENT WIP'!$D$1='CURRENT WIP'!$E$22:$E$148),MATCH(ROW(WIP),ROW(WIP)),""),ROW('CURRENT WIP'!F39)),COLUMN('CURRENT WIP'!F39)),"")</f>
        <v/>
      </c>
      <c r="J43" s="48" t="str">
        <f t="array" ref="J43">IFERROR(INDEX(WIP,SMALL(IF(('CURRENT WIP'!$D$1='CURRENT WIP'!$E$22:$E$148),MATCH(ROW(WIP),ROW(WIP)),""),ROW('CURRENT WIP'!G39)),COLUMN('CURRENT WIP'!G39)),"")</f>
        <v/>
      </c>
      <c r="K43" s="66" t="str">
        <f t="array" ref="K43">IFERROR(INDEX(WIP,SMALL(IF(('CURRENT WIP'!$D$1='CURRENT WIP'!$E$22:$E$148),MATCH(ROW(WIP),ROW(WIP)),""),ROW('CURRENT WIP'!H39)),COLUMN('CURRENT WIP'!H39)),"")</f>
        <v/>
      </c>
      <c r="L43" s="48" t="str">
        <f t="array" ref="L43">IFERROR(INDEX(WIP,SMALL(IF(('CURRENT WIP'!$D$1='CURRENT WIP'!$E$22:$E$148),MATCH(ROW(WIP),ROW(WIP)),""),ROW('CURRENT WIP'!I39)),COLUMN('CURRENT WIP'!I39)),"")</f>
        <v/>
      </c>
      <c r="M43" s="67" t="str">
        <f t="array" ref="M43">IFERROR(INDEX(WIP,SMALL(IF(('CURRENT WIP'!$D$1='CURRENT WIP'!$E$22:$E$148),MATCH(ROW(WIP),ROW(WIP)),""),ROW('CURRENT WIP'!J39)),COLUMN('CURRENT WIP'!J39)),"")</f>
        <v/>
      </c>
      <c r="N43" s="48" t="str">
        <f t="array" ref="N43">IFERROR(INDEX(WIP,SMALL(IF(('CURRENT WIP'!$D$1='CURRENT WIP'!$E$22:$E$148),MATCH(ROW(WIP),ROW(WIP)),""),ROW('CURRENT WIP'!K39)),COLUMN('CURRENT WIP'!K39)),"")</f>
        <v/>
      </c>
      <c r="O43" s="48" t="str">
        <f t="array" ref="O43">IFERROR(INDEX(WIP,SMALL(IF(('CURRENT WIP'!$D$1='CURRENT WIP'!$E$22:$E$148),MATCH(ROW(WIP),ROW(WIP)),""),ROW('CURRENT WIP'!L39)),COLUMN('CURRENT WIP'!L39)),"")</f>
        <v/>
      </c>
      <c r="P43" s="48" t="str">
        <f t="array" ref="P43">IFERROR(INDEX(WIP,SMALL(IF(('CURRENT WIP'!$D$1='CURRENT WIP'!$E$22:$E$148),MATCH(ROW(WIP),ROW(WIP)),""),ROW('CURRENT WIP'!M39)),COLUMN('CURRENT WIP'!M39)),"")</f>
        <v/>
      </c>
      <c r="Q43" s="68" t="str">
        <f t="array" ref="Q43">IFERROR(INDEX(WIP,SMALL(IF(('CURRENT WIP'!$D$1='CURRENT WIP'!$E$22:$E$148),MATCH(ROW(WIP),ROW(WIP)),""),ROW('CURRENT WIP'!N39)),COLUMN('CURRENT WIP'!N39)),"")</f>
        <v/>
      </c>
      <c r="R43" s="48" t="str">
        <f t="array" ref="R43">IFERROR(INDEX(WIP,SMALL(IF(('CURRENT WIP'!$D$1='CURRENT WIP'!$E$22:$E$148),MATCH(ROW(WIP),ROW(WIP)),""),ROW('CURRENT WIP'!O39)),COLUMN('CURRENT WIP'!O39)),"")</f>
        <v/>
      </c>
      <c r="S43" s="48" t="str">
        <f t="array" ref="S43">IFERROR(INDEX(WIP,SMALL(IF(('CURRENT WIP'!$D$1='CURRENT WIP'!$E$22:$E$148),MATCH(ROW(WIP),ROW(WIP)),""),ROW('CURRENT WIP'!P39)),COLUMN('CURRENT WIP'!P39)),"")</f>
        <v/>
      </c>
      <c r="T43" s="68" t="str">
        <f t="array" ref="T43">IFERROR(INDEX(WIP,SMALL(IF(('CURRENT WIP'!$D$1='CURRENT WIP'!$E$22:$E$148),MATCH(ROW(WIP),ROW(WIP)),""),ROW('CURRENT WIP'!Q39)),COLUMN('CURRENT WIP'!Q39)),"")</f>
        <v/>
      </c>
      <c r="U43" s="48" t="str">
        <f t="array" ref="U43">IFERROR(INDEX(WIP,SMALL(IF(('CURRENT WIP'!$D$1='CURRENT WIP'!$E$22:$E$148),MATCH(ROW(WIP),ROW(WIP)),""),ROW('CURRENT WIP'!R39)),COLUMN('CURRENT WIP'!R39)),"")</f>
        <v/>
      </c>
      <c r="V43" s="48" t="str">
        <f t="array" ref="V43">IFERROR(INDEX(WIP,SMALL(IF(('CURRENT WIP'!$D$1='CURRENT WIP'!$E$22:$E$148),MATCH(ROW(WIP),ROW(WIP)),""),ROW('CURRENT WIP'!S39)),COLUMN('CURRENT WIP'!S39)),"")</f>
        <v/>
      </c>
      <c r="W43" s="48" t="str">
        <f t="array" ref="W43">IFERROR(INDEX(WIP,SMALL(IF(('CURRENT WIP'!$D$1='CURRENT WIP'!$E$22:$E$148),MATCH(ROW(WIP),ROW(WIP)),""),ROW('CURRENT WIP'!T39)),COLUMN('CURRENT WIP'!T39)),"")</f>
        <v/>
      </c>
      <c r="X43" s="48" t="str">
        <f t="array" ref="X43">IFERROR(INDEX(WIP,SMALL(IF(('CURRENT WIP'!$D$1='CURRENT WIP'!$E$22:$E$148),MATCH(ROW(WIP),ROW(WIP)),""),ROW('CURRENT WIP'!U39)),COLUMN('CURRENT WIP'!U39)),"")</f>
        <v/>
      </c>
      <c r="Y43" s="521" t="str">
        <f t="shared" si="1"/>
        <v/>
      </c>
      <c r="Z43" s="98"/>
      <c r="AB43" s="527">
        <f t="array" ref="AB43">INDEX(MOVEMENT!$AM$13:$AM$52, SMALL(IF(ISERROR(MATCH(MOVEMENT!$AM$13:$AM$52, MOVEMENT!$E$13:$E$52, 0)), (ROW(MOVEMENT!$AM$13:$AM$52)-MIN(ROW(MOVEMENT!$AM$13:$AM$52))+1), ""), ROW(MOVEMENT!39:39)))</f>
        <v>0</v>
      </c>
      <c r="AC43" s="48" t="e">
        <f>VLOOKUP(AB43,MOVEMENT!AM62:AY103,2,FALSE)</f>
        <v>#N/A</v>
      </c>
      <c r="AD43" s="48" t="e">
        <f>VLOOKUP(AB43,MOVEMENT!AM62:AY103,11,FALSE)</f>
        <v>#N/A</v>
      </c>
      <c r="AE43" s="48" t="e">
        <f>VLOOKUP(AB43,MOVEMENT!AM62:AY103,12,FALSE)</f>
        <v>#N/A</v>
      </c>
      <c r="AF43" s="46" t="e">
        <f>VLOOKUP(AB43,MOVEMENT!AM62:AY103,13,FALSE)</f>
        <v>#N/A</v>
      </c>
    </row>
    <row r="44" spans="2:32" s="2" customFormat="1" ht="13.5" thickBot="1">
      <c r="D44" s="50" t="str">
        <f t="array" ref="D44">IFERROR(INDEX(WIP,SMALL(IF(('CURRENT WIP'!$D$1='CURRENT WIP'!$E$22:E187),MATCH(ROW(WIP),ROW(WIP)),""),ROW('CURRENT WIP'!A40)),COLUMN('CURRENT WIP'!A40)),"")</f>
        <v/>
      </c>
      <c r="E44" s="51" t="str">
        <f t="array" ref="E44">IFERROR(INDEX(WIP,SMALL(IF(('CURRENT WIP'!$D$1='CURRENT WIP'!$E$22:$E$148),MATCH(ROW(WIP),ROW(WIP)),""),ROW('CURRENT WIP'!B40)),COLUMN('CURRENT WIP'!B40)),"")</f>
        <v/>
      </c>
      <c r="F44" s="51" t="str">
        <f t="array" ref="F44">IFERROR(INDEX(WIP,SMALL(IF(('CURRENT WIP'!$D$1='CURRENT WIP'!$E$22:$E$148),MATCH(ROW(WIP),ROW(WIP)),""),ROW('CURRENT WIP'!C40)),COLUMN('CURRENT WIP'!C40)),"")</f>
        <v/>
      </c>
      <c r="G44" s="51" t="str">
        <f t="array" ref="G44">IFERROR(INDEX(WIP,SMALL(IF(('CURRENT WIP'!$D$1='CURRENT WIP'!$E$22:$E$148),MATCH(ROW(WIP),ROW(WIP)),""),ROW('CURRENT WIP'!D40)),COLUMN('CURRENT WIP'!D40)),"")</f>
        <v/>
      </c>
      <c r="H44" s="69" t="str">
        <f t="array" ref="H44">IFERROR(INDEX(WIP,SMALL(IF(('CURRENT WIP'!$D$1='CURRENT WIP'!$E$22:$E$148),MATCH(ROW(WIP),ROW(WIP)),""),ROW('CURRENT WIP'!E40)),COLUMN('CURRENT WIP'!E40)),"")</f>
        <v/>
      </c>
      <c r="I44" s="69" t="str">
        <f t="array" ref="I44">IFERROR(INDEX(WIP,SMALL(IF(('CURRENT WIP'!$D$1='CURRENT WIP'!$E$22:$E$148),MATCH(ROW(WIP),ROW(WIP)),""),ROW('CURRENT WIP'!F40)),COLUMN('CURRENT WIP'!F40)),"")</f>
        <v/>
      </c>
      <c r="J44" s="51" t="str">
        <f t="array" ref="J44">IFERROR(INDEX(WIP,SMALL(IF(('CURRENT WIP'!$D$1='CURRENT WIP'!$E$22:$E$148),MATCH(ROW(WIP),ROW(WIP)),""),ROW('CURRENT WIP'!G40)),COLUMN('CURRENT WIP'!G40)),"")</f>
        <v/>
      </c>
      <c r="K44" s="69" t="str">
        <f t="array" ref="K44">IFERROR(INDEX(WIP,SMALL(IF(('CURRENT WIP'!$D$1='CURRENT WIP'!$E$22:$E$148),MATCH(ROW(WIP),ROW(WIP)),""),ROW('CURRENT WIP'!H40)),COLUMN('CURRENT WIP'!H40)),"")</f>
        <v/>
      </c>
      <c r="L44" s="51" t="str">
        <f t="array" ref="L44">IFERROR(INDEX(WIP,SMALL(IF(('CURRENT WIP'!$D$1='CURRENT WIP'!$E$22:$E$148),MATCH(ROW(WIP),ROW(WIP)),""),ROW('CURRENT WIP'!I40)),COLUMN('CURRENT WIP'!I40)),"")</f>
        <v/>
      </c>
      <c r="M44" s="70" t="str">
        <f t="array" ref="M44">IFERROR(INDEX(WIP,SMALL(IF(('CURRENT WIP'!$D$1='CURRENT WIP'!$E$22:$E$148),MATCH(ROW(WIP),ROW(WIP)),""),ROW('CURRENT WIP'!J40)),COLUMN('CURRENT WIP'!J40)),"")</f>
        <v/>
      </c>
      <c r="N44" s="51" t="str">
        <f t="array" ref="N44">IFERROR(INDEX(WIP,SMALL(IF(('CURRENT WIP'!$D$1='CURRENT WIP'!$E$22:$E$148),MATCH(ROW(WIP),ROW(WIP)),""),ROW('CURRENT WIP'!K40)),COLUMN('CURRENT WIP'!K40)),"")</f>
        <v/>
      </c>
      <c r="O44" s="51" t="str">
        <f t="array" ref="O44">IFERROR(INDEX(WIP,SMALL(IF(('CURRENT WIP'!$D$1='CURRENT WIP'!$E$22:$E$148),MATCH(ROW(WIP),ROW(WIP)),""),ROW('CURRENT WIP'!L40)),COLUMN('CURRENT WIP'!L40)),"")</f>
        <v/>
      </c>
      <c r="P44" s="51" t="str">
        <f t="array" ref="P44">IFERROR(INDEX(WIP,SMALL(IF(('CURRENT WIP'!$D$1='CURRENT WIP'!$E$22:$E$148),MATCH(ROW(WIP),ROW(WIP)),""),ROW('CURRENT WIP'!M40)),COLUMN('CURRENT WIP'!M40)),"")</f>
        <v/>
      </c>
      <c r="Q44" s="71" t="str">
        <f t="array" ref="Q44">IFERROR(INDEX(WIP,SMALL(IF(('CURRENT WIP'!$D$1='CURRENT WIP'!$E$22:$E$148),MATCH(ROW(WIP),ROW(WIP)),""),ROW('CURRENT WIP'!N40)),COLUMN('CURRENT WIP'!N40)),"")</f>
        <v/>
      </c>
      <c r="R44" s="51" t="str">
        <f t="array" ref="R44">IFERROR(INDEX(WIP,SMALL(IF(('CURRENT WIP'!$D$1='CURRENT WIP'!$E$22:$E$148),MATCH(ROW(WIP),ROW(WIP)),""),ROW('CURRENT WIP'!O40)),COLUMN('CURRENT WIP'!O40)),"")</f>
        <v/>
      </c>
      <c r="S44" s="51" t="str">
        <f t="array" ref="S44">IFERROR(INDEX(WIP,SMALL(IF(('CURRENT WIP'!$D$1='CURRENT WIP'!$E$22:$E$148),MATCH(ROW(WIP),ROW(WIP)),""),ROW('CURRENT WIP'!P40)),COLUMN('CURRENT WIP'!P40)),"")</f>
        <v/>
      </c>
      <c r="T44" s="71" t="str">
        <f t="array" ref="T44">IFERROR(INDEX(WIP,SMALL(IF(('CURRENT WIP'!$D$1='CURRENT WIP'!$E$22:$E$148),MATCH(ROW(WIP),ROW(WIP)),""),ROW('CURRENT WIP'!Q40)),COLUMN('CURRENT WIP'!Q40)),"")</f>
        <v/>
      </c>
      <c r="U44" s="51" t="str">
        <f t="array" ref="U44">IFERROR(INDEX(WIP,SMALL(IF(('CURRENT WIP'!$D$1='CURRENT WIP'!$E$22:$E$148),MATCH(ROW(WIP),ROW(WIP)),""),ROW('CURRENT WIP'!R40)),COLUMN('CURRENT WIP'!R40)),"")</f>
        <v/>
      </c>
      <c r="V44" s="51" t="str">
        <f t="array" ref="V44">IFERROR(INDEX(WIP,SMALL(IF(('CURRENT WIP'!$D$1='CURRENT WIP'!$E$22:$E$148),MATCH(ROW(WIP),ROW(WIP)),""),ROW('CURRENT WIP'!S40)),COLUMN('CURRENT WIP'!S40)),"")</f>
        <v/>
      </c>
      <c r="W44" s="51" t="str">
        <f t="array" ref="W44">IFERROR(INDEX(WIP,SMALL(IF(('CURRENT WIP'!$D$1='CURRENT WIP'!$E$22:$E$148),MATCH(ROW(WIP),ROW(WIP)),""),ROW('CURRENT WIP'!T40)),COLUMN('CURRENT WIP'!T40)),"")</f>
        <v/>
      </c>
      <c r="X44" s="51" t="str">
        <f t="array" ref="X44">IFERROR(INDEX(WIP,SMALL(IF(('CURRENT WIP'!$D$1='CURRENT WIP'!$E$22:$E$148),MATCH(ROW(WIP),ROW(WIP)),""),ROW('CURRENT WIP'!U40)),COLUMN('CURRENT WIP'!U40)),"")</f>
        <v/>
      </c>
      <c r="Y44" s="522" t="str">
        <f t="shared" si="1"/>
        <v/>
      </c>
      <c r="Z44" s="98"/>
      <c r="AB44" s="528">
        <f t="array" ref="AB44">INDEX(MOVEMENT!$AM$13:$AM$52, SMALL(IF(ISERROR(MATCH(MOVEMENT!$AM$13:$AM$52, MOVEMENT!$E$13:$E$52, 0)), (ROW(MOVEMENT!$AM$13:$AM$52)-MIN(ROW(MOVEMENT!$AM$13:$AM$52))+1), ""), ROW(MOVEMENT!40:40)))</f>
        <v>0</v>
      </c>
      <c r="AC44" s="51" t="e">
        <f>VLOOKUP(AB44,MOVEMENT!AM63:AY104,2,FALSE)</f>
        <v>#N/A</v>
      </c>
      <c r="AD44" s="51" t="e">
        <f>VLOOKUP(AB44,MOVEMENT!AM63:AY104,11,FALSE)</f>
        <v>#N/A</v>
      </c>
      <c r="AE44" s="51" t="e">
        <f>VLOOKUP(AB44,MOVEMENT!AM63:AY104,12,FALSE)</f>
        <v>#N/A</v>
      </c>
      <c r="AF44" s="52" t="e">
        <f>VLOOKUP(AB44,MOVEMENT!AM63:AY104,13,FALSE)</f>
        <v>#N/A</v>
      </c>
    </row>
    <row r="45" spans="2:32" s="2" customFormat="1">
      <c r="D45" s="48"/>
      <c r="E45" s="48"/>
      <c r="F45" s="48"/>
      <c r="G45" s="48"/>
      <c r="H45" s="66"/>
      <c r="I45" s="66"/>
      <c r="J45" s="48"/>
      <c r="K45" s="66"/>
      <c r="L45" s="48"/>
      <c r="M45" s="67"/>
      <c r="N45" s="48"/>
      <c r="O45" s="48"/>
      <c r="P45" s="48"/>
      <c r="Q45" s="68"/>
      <c r="R45" s="48"/>
      <c r="S45" s="48"/>
      <c r="T45" s="68"/>
      <c r="U45" s="48"/>
      <c r="V45" s="48"/>
      <c r="W45" s="48"/>
      <c r="X45" s="48"/>
      <c r="Y45" s="544"/>
      <c r="Z45" s="98"/>
      <c r="AB45" s="545"/>
      <c r="AC45" s="48"/>
      <c r="AD45" s="48"/>
      <c r="AE45" s="48"/>
      <c r="AF45" s="48"/>
    </row>
    <row r="46" spans="2:32">
      <c r="D46" s="2"/>
      <c r="E46" s="2"/>
      <c r="F46" s="2"/>
      <c r="G46" s="2"/>
      <c r="J46" s="2"/>
      <c r="L46" s="2" t="str">
        <f t="array" ref="L46">IFERROR(INDEX(WIP,SMALL(IF(('CURRENT WIP'!$D$1='CURRENT WIP'!$E$22:$E$148),MATCH(ROW(WIP),ROW(WIP)),""),ROW(G31)),COLUMN(G31)),"")</f>
        <v/>
      </c>
      <c r="M46" s="546"/>
      <c r="N46" s="2" t="str">
        <f t="array" ref="N46">IFERROR(INDEX(WIP,SMALL(IF(('CURRENT WIP'!$D$1='CURRENT WIP'!$E$22:$E$148),MATCH(ROW(WIP),ROW(WIP)),""),ROW(I31)),COLUMN(I31)),"")</f>
        <v/>
      </c>
      <c r="O46" s="2"/>
      <c r="P46" s="2"/>
      <c r="R46" s="2"/>
      <c r="S46" s="2"/>
      <c r="U46" s="2"/>
      <c r="V46" s="2"/>
      <c r="W46" s="2"/>
      <c r="X46" s="2"/>
      <c r="Y46" s="18"/>
      <c r="Z46" s="18"/>
    </row>
    <row r="47" spans="2:32" ht="13.5" thickBot="1">
      <c r="B47" s="437"/>
      <c r="D47" s="12">
        <f>COUNTIF(M5:M44,"M")</f>
        <v>0</v>
      </c>
      <c r="E47" s="13" t="s">
        <v>54</v>
      </c>
      <c r="F47" s="437"/>
      <c r="G47" s="13" t="s">
        <v>59</v>
      </c>
      <c r="H47" s="12">
        <f>SUMIFS(N5:N44,M5:M44,"m")</f>
        <v>0</v>
      </c>
      <c r="I47" s="459"/>
      <c r="J47" s="13" t="s">
        <v>64</v>
      </c>
      <c r="K47" s="13"/>
      <c r="L47" s="12">
        <f>COUNTIF('Prod. SCHED'!T:T,"M")</f>
        <v>0</v>
      </c>
      <c r="M47" s="12">
        <f>SUMIFS(O5:O44,M5:M44,"m")</f>
        <v>0</v>
      </c>
      <c r="N47" s="459"/>
      <c r="P47" s="12">
        <f>SUMIFS(P5:P44,M5:M44,"m")</f>
        <v>0</v>
      </c>
      <c r="R47" s="2"/>
      <c r="S47" s="2"/>
      <c r="U47" s="2"/>
      <c r="V47" s="13" t="s">
        <v>66</v>
      </c>
      <c r="X47" s="13"/>
      <c r="Y47" s="13"/>
      <c r="Z47" s="43"/>
    </row>
    <row r="48" spans="2:32" ht="15.75" thickBot="1">
      <c r="B48" s="437"/>
      <c r="D48" s="3">
        <f>COUNTIF(M5:M44,"A")</f>
        <v>0</v>
      </c>
      <c r="E48" s="3" t="s">
        <v>55</v>
      </c>
      <c r="F48" s="437"/>
      <c r="G48" s="3" t="s">
        <v>60</v>
      </c>
      <c r="H48" s="3">
        <f>SUMIFS(N5:N44,M5:M44,"A")</f>
        <v>0</v>
      </c>
      <c r="I48" s="459"/>
      <c r="J48" s="3" t="s">
        <v>63</v>
      </c>
      <c r="K48" s="3"/>
      <c r="L48" s="2">
        <f>COUNTIF('Prod. SCHED'!T:T,"A")</f>
        <v>0</v>
      </c>
      <c r="M48" s="3">
        <f>SUMIFS(O5:O44,M5:M44,"A")</f>
        <v>0</v>
      </c>
      <c r="N48" s="459"/>
      <c r="P48" s="3">
        <f>SUMIFS(P5:P44,M5:M44,"A")</f>
        <v>0</v>
      </c>
      <c r="R48" s="2"/>
      <c r="S48" s="2"/>
      <c r="U48" s="2"/>
      <c r="V48" s="3" t="s">
        <v>67</v>
      </c>
      <c r="X48" s="3"/>
      <c r="Y48" s="3"/>
      <c r="Z48" s="43"/>
      <c r="AD48" s="579" t="s">
        <v>9</v>
      </c>
      <c r="AE48" s="580"/>
      <c r="AF48" s="581"/>
    </row>
    <row r="49" spans="2:32" ht="16.5" thickBot="1">
      <c r="B49" s="437"/>
      <c r="D49" s="12">
        <f>COUNTIF(M5:N44,"F")</f>
        <v>0</v>
      </c>
      <c r="E49" s="13" t="s">
        <v>56</v>
      </c>
      <c r="F49" s="437"/>
      <c r="G49" s="13" t="s">
        <v>61</v>
      </c>
      <c r="H49" s="12">
        <f>SUMIFS(N5:N44,M5:M44,"F")</f>
        <v>0</v>
      </c>
      <c r="I49" s="459"/>
      <c r="J49" s="13" t="s">
        <v>65</v>
      </c>
      <c r="K49" s="13"/>
      <c r="L49" s="12">
        <f>COUNTIF('Prod. SCHED'!T:T,"F")</f>
        <v>0</v>
      </c>
      <c r="M49" s="12">
        <f>SUMIFS(O5:O44,M5:M44,"F")</f>
        <v>0</v>
      </c>
      <c r="N49" s="459"/>
      <c r="P49" s="12">
        <f>SUMIFS(P5:P44,M5:M44,"F")</f>
        <v>0</v>
      </c>
      <c r="R49" s="2"/>
      <c r="S49" s="2"/>
      <c r="U49" s="2"/>
      <c r="V49" s="13" t="s">
        <v>68</v>
      </c>
      <c r="X49" s="13"/>
      <c r="Y49" s="13"/>
      <c r="Z49" s="43"/>
      <c r="AD49" s="523">
        <f t="array" ref="AD49">SUM(IF(ISERROR(AD5:AD34),0,AD5:AD34))</f>
        <v>0</v>
      </c>
      <c r="AE49" s="524">
        <f t="array" ref="AE49">SUM(IF(ISERROR(AE5:AE44),0,AE5:AE44))</f>
        <v>0</v>
      </c>
      <c r="AF49" s="525">
        <f t="array" ref="AF49">SUM(IF(ISERROR(AF5:AF44),0,AF5:AF44))</f>
        <v>0</v>
      </c>
    </row>
    <row r="50" spans="2:32">
      <c r="B50" s="437"/>
      <c r="D50" s="3">
        <f>COUNTIF(M5:M44,"D")</f>
        <v>0</v>
      </c>
      <c r="E50" s="3" t="s">
        <v>158</v>
      </c>
      <c r="F50" s="437"/>
      <c r="G50" s="3" t="s">
        <v>159</v>
      </c>
      <c r="H50" s="3">
        <f>SUMIFS(N5:N44,M5:M44,"D")</f>
        <v>0</v>
      </c>
      <c r="I50" s="459"/>
      <c r="J50" s="3" t="s">
        <v>160</v>
      </c>
      <c r="K50" s="3"/>
      <c r="L50" s="2">
        <f>COUNTIF('Prod. SCHED'!T:T,"D")</f>
        <v>0</v>
      </c>
      <c r="M50" s="3">
        <f>SUMIFS(O5:O44,M5:M44,"D")</f>
        <v>0</v>
      </c>
      <c r="N50" s="459"/>
      <c r="P50" s="3">
        <f>SUMIFS(P5:P44,M5:M44,"D")</f>
        <v>0</v>
      </c>
      <c r="R50" s="2"/>
      <c r="S50" s="2"/>
      <c r="U50" s="2"/>
      <c r="V50" s="460" t="s">
        <v>161</v>
      </c>
      <c r="X50" s="460"/>
      <c r="Y50" s="3"/>
      <c r="Z50" s="43"/>
    </row>
    <row r="51" spans="2:32">
      <c r="D51" s="15">
        <f>SUM(D47:D50)</f>
        <v>0</v>
      </c>
      <c r="E51" s="15" t="s">
        <v>53</v>
      </c>
      <c r="F51" s="2"/>
      <c r="G51" s="75" t="s">
        <v>62</v>
      </c>
      <c r="H51" s="15">
        <f>SUM(H47:H50)</f>
        <v>0</v>
      </c>
      <c r="J51" s="575" t="s">
        <v>75</v>
      </c>
      <c r="K51" s="575"/>
      <c r="L51" s="2"/>
      <c r="M51" s="15">
        <f>SUM(M47:M50)</f>
        <v>0</v>
      </c>
      <c r="P51" s="15">
        <f>SUM(P47:P50)</f>
        <v>0</v>
      </c>
      <c r="R51" s="2"/>
      <c r="S51" s="2"/>
      <c r="U51" s="2"/>
      <c r="V51" s="15" t="s">
        <v>69</v>
      </c>
      <c r="X51" s="75"/>
      <c r="Y51" s="493"/>
      <c r="Z51" s="531"/>
    </row>
    <row r="52" spans="2:32">
      <c r="D52" s="2"/>
      <c r="E52" s="2"/>
      <c r="F52" s="2"/>
      <c r="G52" s="2"/>
      <c r="J52" s="2"/>
      <c r="L52" s="2"/>
      <c r="N52" s="2"/>
      <c r="O52" s="2"/>
      <c r="P52" s="2"/>
      <c r="R52" s="2"/>
      <c r="S52" s="2"/>
      <c r="U52" s="2"/>
      <c r="V52" s="2"/>
      <c r="W52" s="2"/>
      <c r="X52" s="2"/>
    </row>
    <row r="53" spans="2:32">
      <c r="D53" s="2"/>
      <c r="E53" s="2"/>
      <c r="F53" s="2"/>
      <c r="G53" s="2"/>
      <c r="J53" s="2"/>
      <c r="L53" s="2"/>
      <c r="N53" s="2"/>
      <c r="O53" s="2"/>
      <c r="P53" s="2"/>
      <c r="R53" s="2"/>
      <c r="S53" s="2"/>
      <c r="U53" s="2"/>
      <c r="V53" s="2"/>
      <c r="W53" s="2"/>
      <c r="X53" s="2"/>
    </row>
    <row r="54" spans="2:32">
      <c r="D54" s="2"/>
      <c r="E54" s="2"/>
      <c r="F54" s="2"/>
      <c r="G54" s="2"/>
      <c r="J54" s="2"/>
      <c r="L54" s="2"/>
      <c r="N54" s="2"/>
      <c r="O54" s="2"/>
      <c r="P54" s="2"/>
      <c r="R54" s="2"/>
      <c r="S54" s="2"/>
      <c r="U54" s="2"/>
      <c r="V54" s="2"/>
      <c r="W54" s="2"/>
      <c r="X54" s="2"/>
    </row>
    <row r="56" spans="2:32">
      <c r="E56" s="2"/>
      <c r="F56" s="2"/>
      <c r="I56" s="77" t="s">
        <v>76</v>
      </c>
      <c r="J56" s="28">
        <f>SUM(Q5:Q34)</f>
        <v>0</v>
      </c>
    </row>
    <row r="57" spans="2:32">
      <c r="E57" s="2"/>
      <c r="F57" s="2"/>
      <c r="I57" s="78"/>
    </row>
    <row r="58" spans="2:32">
      <c r="E58" s="7"/>
      <c r="F58" s="436"/>
      <c r="I58" s="77" t="s">
        <v>77</v>
      </c>
      <c r="J58" s="28">
        <f>SUM(T5:T34)</f>
        <v>0</v>
      </c>
    </row>
    <row r="59" spans="2:32">
      <c r="E59" s="7"/>
      <c r="F59" s="437"/>
    </row>
    <row r="60" spans="2:32">
      <c r="E60" s="7"/>
      <c r="F60" s="437"/>
    </row>
    <row r="61" spans="2:32">
      <c r="E61" s="7"/>
      <c r="F61" s="437"/>
    </row>
  </sheetData>
  <mergeCells count="3">
    <mergeCell ref="J51:K51"/>
    <mergeCell ref="AB3:AF3"/>
    <mergeCell ref="AD48:AF48"/>
  </mergeCells>
  <conditionalFormatting sqref="L4">
    <cfRule type="containsText" dxfId="305" priority="24" operator="containsText" text="SW">
      <formula>NOT(ISERROR(SEARCH("SW",L4)))</formula>
    </cfRule>
    <cfRule type="containsText" dxfId="304" priority="25" operator="containsText" text="SQ">
      <formula>NOT(ISERROR(SEARCH("SQ",L4)))</formula>
    </cfRule>
    <cfRule type="containsText" dxfId="303" priority="26" operator="containsText" text="SC">
      <formula>NOT(ISERROR(SEARCH("SC",L4)))</formula>
    </cfRule>
    <cfRule type="containsText" dxfId="302" priority="27" operator="containsText" text="AP">
      <formula>NOT(ISERROR(SEARCH("AP",L4)))</formula>
    </cfRule>
    <cfRule type="containsText" dxfId="301" priority="28" operator="containsText" text="SS">
      <formula>NOT(ISERROR(SEARCH("SS",L4)))</formula>
    </cfRule>
    <cfRule type="containsText" dxfId="300" priority="29" operator="containsText" text="PQ">
      <formula>NOT(ISERROR(SEARCH("PQ",L4)))</formula>
    </cfRule>
    <cfRule type="containsText" dxfId="299" priority="30" operator="containsText" text="PC">
      <formula>NOT(ISERROR(SEARCH("PC",L4)))</formula>
    </cfRule>
    <cfRule type="containsText" dxfId="298" priority="31" operator="containsText" text="PW">
      <formula>NOT(ISERROR(SEARCH("PW",L4)))</formula>
    </cfRule>
    <cfRule type="containsText" dxfId="297" priority="32" operator="containsText" text="RS">
      <formula>NOT(ISERROR(SEARCH("RS",L4)))</formula>
    </cfRule>
    <cfRule type="containsText" dxfId="296" priority="33" operator="containsText" text="PF">
      <formula>NOT(ISERROR(SEARCH("PF",L4)))</formula>
    </cfRule>
  </conditionalFormatting>
  <conditionalFormatting sqref="L4">
    <cfRule type="containsText" dxfId="295" priority="20" operator="containsText" text="rc">
      <formula>NOT(ISERROR(SEARCH("rc",L4)))</formula>
    </cfRule>
    <cfRule type="containsText" dxfId="294" priority="21" operator="containsText" text="sf">
      <formula>NOT(ISERROR(SEARCH("sf",L4)))</formula>
    </cfRule>
    <cfRule type="containsText" dxfId="293" priority="22" operator="containsText" text="rq">
      <formula>NOT(ISERROR(SEARCH("rq",L4)))</formula>
    </cfRule>
    <cfRule type="containsText" dxfId="292" priority="23" operator="containsText" text="rf">
      <formula>NOT(ISERROR(SEARCH("rf",L4)))</formula>
    </cfRule>
  </conditionalFormatting>
  <conditionalFormatting sqref="U4">
    <cfRule type="containsText" dxfId="291" priority="19" operator="containsText" text="FALSE">
      <formula>NOT(ISERROR(SEARCH("FALSE",U4)))</formula>
    </cfRule>
  </conditionalFormatting>
  <conditionalFormatting sqref="M5:M33 M45">
    <cfRule type="containsText" dxfId="290" priority="15" operator="containsText" text="D">
      <formula>NOT(ISERROR(SEARCH("D",M5)))</formula>
    </cfRule>
    <cfRule type="containsText" dxfId="289" priority="16" operator="containsText" text="F">
      <formula>NOT(ISERROR(SEARCH("F",M5)))</formula>
    </cfRule>
    <cfRule type="containsText" dxfId="288" priority="18" operator="containsText" text="M">
      <formula>NOT(ISERROR(SEARCH("M",M5)))</formula>
    </cfRule>
  </conditionalFormatting>
  <conditionalFormatting sqref="M5:M33 M45">
    <cfRule type="containsText" dxfId="287" priority="17" operator="containsText" text="A">
      <formula>NOT(ISERROR(SEARCH("A",M5)))</formula>
    </cfRule>
  </conditionalFormatting>
  <conditionalFormatting sqref="AB5:AB45">
    <cfRule type="cellIs" dxfId="286" priority="9" operator="equal">
      <formula>0</formula>
    </cfRule>
    <cfRule type="beginsWith" dxfId="285" priority="11" operator="beginsWith" text="1">
      <formula>LEFT(AB5,LEN("1"))="1"</formula>
    </cfRule>
  </conditionalFormatting>
  <conditionalFormatting sqref="AB5:AF45">
    <cfRule type="containsErrors" dxfId="284" priority="10">
      <formula>ISERROR(AB5)</formula>
    </cfRule>
  </conditionalFormatting>
  <conditionalFormatting sqref="M34:M44">
    <cfRule type="containsText" dxfId="283" priority="1" operator="containsText" text="D">
      <formula>NOT(ISERROR(SEARCH("D",M34)))</formula>
    </cfRule>
    <cfRule type="containsText" dxfId="282" priority="2" operator="containsText" text="F">
      <formula>NOT(ISERROR(SEARCH("F",M34)))</formula>
    </cfRule>
    <cfRule type="containsText" dxfId="281" priority="4" operator="containsText" text="M">
      <formula>NOT(ISERROR(SEARCH("M",M34)))</formula>
    </cfRule>
  </conditionalFormatting>
  <conditionalFormatting sqref="M34:M44">
    <cfRule type="containsText" dxfId="280" priority="3" operator="containsText" text="A">
      <formula>NOT(ISERROR(SEARCH("A",M34)))</formula>
    </cfRule>
  </conditionalFormatting>
  <pageMargins left="0.7" right="0.7" top="0.75" bottom="0.75" header="0.3" footer="0.3"/>
  <pageSetup paperSize="17" orientation="landscape" r:id="rId1"/>
  <headerFooter>
    <oddHeader>&amp;C&amp;T&amp;D</oddHeader>
    <oddFooter>&amp;A</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BX448"/>
  <sheetViews>
    <sheetView workbookViewId="0">
      <selection activeCell="C12" sqref="C12:AD20"/>
    </sheetView>
  </sheetViews>
  <sheetFormatPr defaultRowHeight="15"/>
  <cols>
    <col min="3" max="3" width="12.85546875" customWidth="1"/>
    <col min="4" max="4" width="3.42578125" customWidth="1"/>
    <col min="5" max="5" width="13.85546875" style="2" hidden="1" customWidth="1"/>
    <col min="6" max="6" width="11.5703125" style="2" hidden="1" customWidth="1"/>
    <col min="7" max="7" width="8.42578125" style="2" hidden="1" customWidth="1"/>
    <col min="8" max="8" width="16" style="2" hidden="1" customWidth="1"/>
    <col min="9" max="9" width="10.42578125" style="2" hidden="1" customWidth="1"/>
    <col min="10" max="10" width="12.140625" style="2" hidden="1" customWidth="1"/>
    <col min="11" max="11" width="11.28515625" style="2" hidden="1" customWidth="1"/>
    <col min="12" max="12" width="10" style="2" hidden="1" customWidth="1"/>
    <col min="13" max="13" width="12.42578125" style="2" hidden="1" customWidth="1"/>
    <col min="14" max="14" width="8.5703125" style="2" hidden="1" customWidth="1"/>
    <col min="15" max="17" width="8" style="2" hidden="1" customWidth="1"/>
    <col min="18" max="18" width="11.5703125" style="2" hidden="1" customWidth="1"/>
    <col min="19" max="19" width="9.85546875" style="2" hidden="1" customWidth="1"/>
    <col min="20" max="20" width="8.5703125" style="2" hidden="1" customWidth="1"/>
    <col min="21" max="21" width="7" style="2" hidden="1" customWidth="1"/>
    <col min="22" max="22" width="8" style="2" hidden="1" customWidth="1"/>
    <col min="23" max="23" width="5.28515625" style="2" hidden="1" customWidth="1"/>
    <col min="24" max="24" width="10" style="2" hidden="1" customWidth="1"/>
    <col min="25" max="25" width="3.42578125" style="2" hidden="1" customWidth="1"/>
    <col min="27" max="27" width="12.140625" customWidth="1"/>
    <col min="28" max="28" width="11" customWidth="1"/>
    <col min="30" max="30" width="10.28515625" customWidth="1"/>
    <col min="34" max="34" width="10" customWidth="1"/>
    <col min="36" max="36" width="9.140625" style="123"/>
    <col min="37" max="37" width="13.42578125" customWidth="1"/>
    <col min="38" max="38" width="3.85546875" customWidth="1"/>
    <col min="39" max="39" width="13.7109375" style="2" hidden="1" customWidth="1"/>
    <col min="40" max="59" width="3.85546875" style="2" hidden="1" customWidth="1"/>
    <col min="61" max="61" width="11.5703125" customWidth="1"/>
    <col min="63" max="64" width="9.140625" style="2"/>
    <col min="65" max="65" width="19.28515625" style="7" customWidth="1"/>
    <col min="67" max="67" width="11.5703125" customWidth="1"/>
    <col min="68" max="68" width="9.140625" style="115" hidden="1" customWidth="1"/>
  </cols>
  <sheetData>
    <row r="1" spans="1:76" s="2" customFormat="1" ht="15.75" thickBot="1">
      <c r="AJ1" s="123"/>
      <c r="BP1" s="115"/>
    </row>
    <row r="2" spans="1:76" s="2" customFormat="1">
      <c r="AI2" s="124" t="s">
        <v>71</v>
      </c>
      <c r="AJ2" s="125"/>
      <c r="AK2" s="125"/>
      <c r="AL2" s="125"/>
      <c r="AM2" s="125"/>
      <c r="AN2" s="125"/>
      <c r="AO2" s="125"/>
      <c r="AP2" s="125"/>
      <c r="AQ2" s="125"/>
      <c r="AR2" s="125"/>
      <c r="AS2" s="125"/>
      <c r="AT2" s="125"/>
      <c r="AU2" s="125"/>
      <c r="AV2" s="125"/>
      <c r="AW2" s="125"/>
      <c r="AX2" s="125"/>
      <c r="AY2" s="125"/>
      <c r="AZ2" s="125"/>
      <c r="BA2" s="125"/>
      <c r="BB2" s="125"/>
      <c r="BC2" s="125"/>
      <c r="BD2" s="125"/>
      <c r="BE2" s="125"/>
      <c r="BF2" s="125"/>
      <c r="BG2" s="126"/>
      <c r="BH2" s="126"/>
      <c r="BI2" s="126"/>
      <c r="BJ2" s="126"/>
      <c r="BK2" s="126"/>
      <c r="BL2" s="126"/>
      <c r="BM2" s="127"/>
    </row>
    <row r="3" spans="1:76" ht="15.75" thickBot="1">
      <c r="B3" s="2"/>
      <c r="C3" s="2"/>
      <c r="D3" s="2"/>
      <c r="Z3" s="2"/>
      <c r="AA3" s="2"/>
      <c r="AB3" s="2"/>
      <c r="AC3" s="2"/>
      <c r="AD3" s="2"/>
      <c r="AE3" s="2"/>
      <c r="AF3" s="2"/>
      <c r="AG3" s="2"/>
      <c r="AH3" s="2"/>
      <c r="AI3" s="128"/>
      <c r="AJ3" s="129" t="s">
        <v>72</v>
      </c>
      <c r="AK3" s="129"/>
      <c r="AL3" s="129"/>
      <c r="AM3" s="129"/>
      <c r="AN3" s="129"/>
      <c r="AO3" s="129"/>
      <c r="AP3" s="129"/>
      <c r="AQ3" s="129"/>
      <c r="AR3" s="129"/>
      <c r="AS3" s="129"/>
      <c r="AT3" s="129"/>
      <c r="AU3" s="129"/>
      <c r="AV3" s="129"/>
      <c r="AW3" s="129"/>
      <c r="AX3" s="129"/>
      <c r="AY3" s="129"/>
      <c r="AZ3" s="129"/>
      <c r="BA3" s="129"/>
      <c r="BB3" s="129"/>
      <c r="BC3" s="129"/>
      <c r="BD3" s="129"/>
      <c r="BE3" s="129"/>
      <c r="BF3" s="129"/>
      <c r="BG3" s="130"/>
      <c r="BH3" s="130"/>
      <c r="BI3" s="130"/>
      <c r="BJ3" s="130"/>
      <c r="BK3" s="130"/>
      <c r="BL3" s="130"/>
      <c r="BM3" s="131"/>
      <c r="BN3" s="2"/>
    </row>
    <row r="4" spans="1:76" ht="15.75" thickBot="1">
      <c r="B4" s="2"/>
      <c r="Z4" s="591" t="s">
        <v>90</v>
      </c>
      <c r="AA4" s="592"/>
      <c r="AB4" s="592"/>
      <c r="AC4" s="592"/>
      <c r="AD4" s="592"/>
      <c r="AE4" s="592"/>
      <c r="AF4" s="592"/>
      <c r="AG4" s="593"/>
      <c r="AH4" s="2"/>
      <c r="AI4" s="128" t="s">
        <v>73</v>
      </c>
      <c r="AJ4" s="129"/>
      <c r="AK4" s="129"/>
      <c r="AL4" s="129"/>
      <c r="AM4" s="129"/>
      <c r="AN4" s="129"/>
      <c r="AO4" s="129"/>
      <c r="AP4" s="129"/>
      <c r="AQ4" s="129"/>
      <c r="AR4" s="129"/>
      <c r="AS4" s="129"/>
      <c r="AT4" s="129"/>
      <c r="AU4" s="129"/>
      <c r="AV4" s="129"/>
      <c r="AW4" s="129"/>
      <c r="AX4" s="129"/>
      <c r="AY4" s="129"/>
      <c r="AZ4" s="129"/>
      <c r="BA4" s="129"/>
      <c r="BB4" s="129"/>
      <c r="BC4" s="129"/>
      <c r="BD4" s="129"/>
      <c r="BE4" s="129"/>
      <c r="BF4" s="129"/>
      <c r="BG4" s="130"/>
      <c r="BH4" s="130"/>
      <c r="BI4" s="130"/>
      <c r="BJ4" s="130"/>
      <c r="BK4" s="130"/>
      <c r="BL4" s="130"/>
      <c r="BM4" s="131"/>
      <c r="BN4" s="2"/>
    </row>
    <row r="5" spans="1:76">
      <c r="B5" s="2"/>
      <c r="Z5" s="585" t="s">
        <v>91</v>
      </c>
      <c r="AA5" s="585"/>
      <c r="AB5" s="585"/>
      <c r="AC5" s="136" t="s">
        <v>84</v>
      </c>
      <c r="AD5" s="136" t="s">
        <v>85</v>
      </c>
      <c r="AE5" s="136" t="s">
        <v>86</v>
      </c>
      <c r="AF5" s="136" t="s">
        <v>87</v>
      </c>
      <c r="AG5" s="462" t="s">
        <v>88</v>
      </c>
      <c r="AH5" s="2"/>
      <c r="AI5" s="128" t="s">
        <v>74</v>
      </c>
      <c r="AJ5" s="129"/>
      <c r="AK5" s="129"/>
      <c r="AL5" s="129"/>
      <c r="AM5" s="129"/>
      <c r="AN5" s="129"/>
      <c r="AO5" s="129"/>
      <c r="AP5" s="129"/>
      <c r="AQ5" s="129"/>
      <c r="AR5" s="129"/>
      <c r="AS5" s="129"/>
      <c r="AT5" s="129"/>
      <c r="AU5" s="129"/>
      <c r="AV5" s="129"/>
      <c r="AW5" s="129"/>
      <c r="AX5" s="129"/>
      <c r="AY5" s="129"/>
      <c r="AZ5" s="129"/>
      <c r="BA5" s="129"/>
      <c r="BB5" s="129"/>
      <c r="BC5" s="129"/>
      <c r="BD5" s="129"/>
      <c r="BE5" s="129"/>
      <c r="BF5" s="129"/>
      <c r="BG5" s="130"/>
      <c r="BH5" s="130"/>
      <c r="BI5" s="130"/>
      <c r="BJ5" s="130"/>
      <c r="BK5" s="130"/>
      <c r="BL5" s="130"/>
      <c r="BM5" s="131"/>
      <c r="BN5" s="2"/>
    </row>
    <row r="6" spans="1:76" ht="15.75">
      <c r="Z6" s="120">
        <f>VLOOKUP(2,'Prod. SCHED'!$A$2:$F$505,6,FALSE)</f>
        <v>0</v>
      </c>
      <c r="AA6" s="120">
        <f>VLOOKUP(3,'Prod. SCHED'!$A$2:$F$505,6,FALSE)</f>
        <v>42443</v>
      </c>
      <c r="AB6" s="120">
        <f>VLOOKUP(4,'Prod. SCHED'!$A$2:$F$505,6,FALSE)</f>
        <v>42450</v>
      </c>
      <c r="AC6" s="120">
        <f>VLOOKUP(5,'Prod. SCHED'!$A$2:$F$505,6,FALSE)</f>
        <v>42457</v>
      </c>
      <c r="AD6" s="120">
        <f>VLOOKUP(6,'Prod. SCHED'!$A$2:$F$505,6,FALSE)</f>
        <v>42464</v>
      </c>
      <c r="AE6" s="120">
        <f>VLOOKUP(7,'Prod. SCHED'!$A$2:$F$505,6,FALSE)</f>
        <v>0</v>
      </c>
      <c r="AF6" s="120" t="e">
        <f>VLOOKUP(8,'Prod. SCHED'!$A$2:$F$505,6,FALSE)</f>
        <v>#N/A</v>
      </c>
      <c r="AG6" s="120" t="e">
        <f>VLOOKUP(9,'Prod. SCHED'!$A$2:$F$505,6,FALSE)</f>
        <v>#N/A</v>
      </c>
      <c r="AI6" s="128" t="s">
        <v>165</v>
      </c>
      <c r="AJ6" s="129"/>
      <c r="AK6" s="129"/>
      <c r="AL6" s="129"/>
      <c r="AM6" s="129"/>
      <c r="AN6" s="129"/>
      <c r="AO6" s="129"/>
      <c r="AP6" s="129"/>
      <c r="AQ6" s="129"/>
      <c r="AR6" s="129"/>
      <c r="AS6" s="129"/>
      <c r="AT6" s="129"/>
      <c r="AU6" s="129"/>
      <c r="AV6" s="129"/>
      <c r="AW6" s="129"/>
      <c r="AX6" s="129"/>
      <c r="AY6" s="129"/>
      <c r="AZ6" s="129"/>
      <c r="BA6" s="129"/>
      <c r="BB6" s="129"/>
      <c r="BC6" s="129"/>
      <c r="BD6" s="129"/>
      <c r="BE6" s="129"/>
      <c r="BF6" s="129"/>
      <c r="BG6" s="130"/>
      <c r="BH6" s="130"/>
      <c r="BI6" s="130"/>
      <c r="BJ6" s="130"/>
      <c r="BK6" s="130"/>
      <c r="BL6" s="130"/>
      <c r="BM6" s="131"/>
      <c r="BN6" s="2"/>
    </row>
    <row r="7" spans="1:76" ht="15.75">
      <c r="C7" s="55" t="s">
        <v>89</v>
      </c>
      <c r="Z7" s="461">
        <f>SUM('Prod. SCHED'!AJ2:AJ514)</f>
        <v>0</v>
      </c>
      <c r="AA7" s="461">
        <f>SUM('Prod. SCHED'!AK2:AK514)</f>
        <v>0</v>
      </c>
      <c r="AB7" s="461">
        <f>SUM('Prod. SCHED'!AL2:AL514)</f>
        <v>0</v>
      </c>
      <c r="AC7" s="461">
        <f>SUM('Prod. SCHED'!AM2:AM514)</f>
        <v>0</v>
      </c>
      <c r="AD7" s="461">
        <f>SUM('Prod. SCHED'!AN2:AN514)</f>
        <v>0</v>
      </c>
      <c r="AE7" s="461">
        <f>SUM('Prod. SCHED'!AO2:AO514)</f>
        <v>0</v>
      </c>
      <c r="AF7" s="461">
        <f>SUM('Prod. SCHED'!AP2:AP514)</f>
        <v>0</v>
      </c>
      <c r="AG7" s="461">
        <f>SUM('Prod. SCHED'!AQ2:AQ514)</f>
        <v>0</v>
      </c>
      <c r="AI7" s="128" t="s">
        <v>166</v>
      </c>
      <c r="AJ7" s="129"/>
      <c r="AK7" s="129"/>
      <c r="AL7" s="129"/>
      <c r="AM7" s="129"/>
      <c r="AN7" s="129"/>
      <c r="AO7" s="129"/>
      <c r="AP7" s="129"/>
      <c r="AQ7" s="129"/>
      <c r="AR7" s="129"/>
      <c r="AS7" s="129"/>
      <c r="AT7" s="129"/>
      <c r="AU7" s="129"/>
      <c r="AV7" s="129"/>
      <c r="AW7" s="129"/>
      <c r="AX7" s="129"/>
      <c r="AY7" s="129"/>
      <c r="AZ7" s="129"/>
      <c r="BA7" s="129"/>
      <c r="BB7" s="129"/>
      <c r="BC7" s="129"/>
      <c r="BD7" s="129"/>
      <c r="BE7" s="129"/>
      <c r="BF7" s="129"/>
      <c r="BG7" s="130"/>
      <c r="BH7" s="130"/>
      <c r="BI7" s="130"/>
      <c r="BJ7" s="130"/>
      <c r="BK7" s="130"/>
      <c r="BL7" s="130"/>
      <c r="BM7" s="131"/>
      <c r="BN7" s="2"/>
    </row>
    <row r="8" spans="1:76">
      <c r="AI8" s="128"/>
      <c r="AJ8" s="129" t="s">
        <v>81</v>
      </c>
      <c r="AK8" s="129"/>
      <c r="AL8" s="129"/>
      <c r="AM8" s="129"/>
      <c r="AN8" s="129"/>
      <c r="AO8" s="129"/>
      <c r="AP8" s="129"/>
      <c r="AQ8" s="129"/>
      <c r="AR8" s="129"/>
      <c r="AS8" s="129"/>
      <c r="AT8" s="129"/>
      <c r="AU8" s="129"/>
      <c r="AV8" s="129"/>
      <c r="AW8" s="129"/>
      <c r="AX8" s="129"/>
      <c r="AY8" s="129"/>
      <c r="AZ8" s="129"/>
      <c r="BA8" s="129"/>
      <c r="BB8" s="129"/>
      <c r="BC8" s="129"/>
      <c r="BD8" s="129"/>
      <c r="BE8" s="129"/>
      <c r="BF8" s="129"/>
      <c r="BG8" s="130"/>
      <c r="BH8" s="130"/>
      <c r="BI8" s="130"/>
      <c r="BJ8" s="130"/>
      <c r="BK8" s="130"/>
      <c r="BL8" s="130"/>
      <c r="BM8" s="131"/>
      <c r="BN8" s="2"/>
    </row>
    <row r="9" spans="1:76" ht="13.5" thickBot="1">
      <c r="AI9" s="132"/>
      <c r="AJ9" s="133"/>
      <c r="AK9" s="133"/>
      <c r="AL9" s="133"/>
      <c r="AM9" s="133"/>
      <c r="AN9" s="133"/>
      <c r="AO9" s="133"/>
      <c r="AP9" s="133"/>
      <c r="AQ9" s="133"/>
      <c r="AR9" s="133"/>
      <c r="AS9" s="133"/>
      <c r="AT9" s="133"/>
      <c r="AU9" s="133"/>
      <c r="AV9" s="133"/>
      <c r="AW9" s="133"/>
      <c r="AX9" s="133"/>
      <c r="AY9" s="133"/>
      <c r="AZ9" s="133"/>
      <c r="BA9" s="133"/>
      <c r="BB9" s="133"/>
      <c r="BC9" s="133"/>
      <c r="BD9" s="133"/>
      <c r="BE9" s="133"/>
      <c r="BF9" s="133"/>
      <c r="BG9" s="133"/>
      <c r="BH9" s="133"/>
      <c r="BI9" s="133"/>
      <c r="BJ9" s="133"/>
      <c r="BK9" s="133"/>
      <c r="BL9" s="133"/>
      <c r="BM9" s="134"/>
      <c r="BN9" s="2"/>
    </row>
    <row r="10" spans="1:76" ht="15.75" thickBot="1">
      <c r="AI10" s="2"/>
      <c r="AK10" s="2"/>
      <c r="AL10" s="2"/>
      <c r="BH10" s="2"/>
      <c r="BI10" s="2"/>
      <c r="BJ10" s="2"/>
      <c r="BN10" s="2"/>
      <c r="BO10" s="2"/>
    </row>
    <row r="11" spans="1:76" ht="15.75" thickBot="1">
      <c r="C11" s="594" t="s">
        <v>46</v>
      </c>
      <c r="D11" s="595"/>
      <c r="E11" s="595"/>
      <c r="F11" s="595"/>
      <c r="G11" s="595"/>
      <c r="H11" s="595"/>
      <c r="I11" s="595"/>
      <c r="J11" s="595"/>
      <c r="K11" s="595"/>
      <c r="L11" s="595"/>
      <c r="M11" s="595"/>
      <c r="N11" s="595"/>
      <c r="O11" s="595"/>
      <c r="P11" s="595"/>
      <c r="Q11" s="595"/>
      <c r="R11" s="595"/>
      <c r="S11" s="595"/>
      <c r="T11" s="595"/>
      <c r="U11" s="595"/>
      <c r="V11" s="595"/>
      <c r="W11" s="595"/>
      <c r="X11" s="595"/>
      <c r="Y11" s="595"/>
      <c r="Z11" s="595"/>
      <c r="AA11" s="595"/>
      <c r="AB11" s="595"/>
      <c r="AC11" s="595"/>
      <c r="AD11" s="596"/>
      <c r="AK11" s="582" t="s">
        <v>163</v>
      </c>
      <c r="AL11" s="583"/>
      <c r="AM11" s="583"/>
      <c r="AN11" s="583"/>
      <c r="AO11" s="583"/>
      <c r="AP11" s="583"/>
      <c r="AQ11" s="583"/>
      <c r="AR11" s="583"/>
      <c r="AS11" s="583"/>
      <c r="AT11" s="583"/>
      <c r="AU11" s="583"/>
      <c r="AV11" s="583"/>
      <c r="AW11" s="583"/>
      <c r="AX11" s="583"/>
      <c r="AY11" s="583"/>
      <c r="AZ11" s="583"/>
      <c r="BA11" s="583"/>
      <c r="BB11" s="583"/>
      <c r="BC11" s="583"/>
      <c r="BD11" s="583"/>
      <c r="BE11" s="583"/>
      <c r="BF11" s="583"/>
      <c r="BG11" s="583"/>
      <c r="BH11" s="583"/>
      <c r="BI11" s="583"/>
      <c r="BJ11" s="583"/>
      <c r="BK11" s="583"/>
      <c r="BL11" s="584"/>
      <c r="BN11" s="2"/>
      <c r="BO11" s="2"/>
    </row>
    <row r="12" spans="1:76" ht="18.75" customHeight="1" thickBot="1">
      <c r="A12" s="74" t="s">
        <v>57</v>
      </c>
      <c r="C12" s="96" t="s">
        <v>50</v>
      </c>
      <c r="D12" s="97">
        <f>SUM(Z13:Z16)</f>
        <v>0</v>
      </c>
      <c r="E12" s="547" t="s">
        <v>0</v>
      </c>
      <c r="F12" s="548" t="s">
        <v>1</v>
      </c>
      <c r="G12" s="548" t="s">
        <v>21</v>
      </c>
      <c r="H12" s="548" t="s">
        <v>22</v>
      </c>
      <c r="I12" s="549" t="s">
        <v>23</v>
      </c>
      <c r="J12" s="549" t="s">
        <v>52</v>
      </c>
      <c r="K12" s="548" t="s">
        <v>25</v>
      </c>
      <c r="L12" s="549" t="s">
        <v>2</v>
      </c>
      <c r="M12" s="550" t="s">
        <v>3</v>
      </c>
      <c r="N12" s="548" t="s">
        <v>10</v>
      </c>
      <c r="O12" s="548" t="s">
        <v>4</v>
      </c>
      <c r="P12" s="548" t="s">
        <v>5</v>
      </c>
      <c r="Q12" s="548" t="s">
        <v>6</v>
      </c>
      <c r="R12" s="551" t="s">
        <v>26</v>
      </c>
      <c r="S12" s="552" t="s">
        <v>27</v>
      </c>
      <c r="T12" s="552" t="s">
        <v>28</v>
      </c>
      <c r="U12" s="551" t="s">
        <v>29</v>
      </c>
      <c r="V12" s="552" t="s">
        <v>30</v>
      </c>
      <c r="W12" s="548" t="s">
        <v>31</v>
      </c>
      <c r="X12" s="552" t="s">
        <v>14</v>
      </c>
      <c r="Y12" s="553" t="s">
        <v>32</v>
      </c>
      <c r="Z12" s="83"/>
      <c r="AA12" s="83"/>
      <c r="AB12" s="84" t="s">
        <v>70</v>
      </c>
      <c r="AC12" s="85" t="s">
        <v>5</v>
      </c>
      <c r="AD12" s="86" t="s">
        <v>6</v>
      </c>
      <c r="AE12" s="2"/>
      <c r="AG12" s="2"/>
      <c r="AH12" s="2"/>
      <c r="AI12" s="494" t="s">
        <v>167</v>
      </c>
      <c r="AK12" s="514"/>
      <c r="AL12" s="515"/>
      <c r="AM12" s="547"/>
      <c r="AN12" s="548"/>
      <c r="AO12" s="548"/>
      <c r="AP12" s="548"/>
      <c r="AQ12" s="549"/>
      <c r="AR12" s="549"/>
      <c r="AS12" s="548"/>
      <c r="AT12" s="549"/>
      <c r="AU12" s="550"/>
      <c r="AV12" s="548"/>
      <c r="AW12" s="548"/>
      <c r="AX12" s="548"/>
      <c r="AY12" s="548"/>
      <c r="AZ12" s="551"/>
      <c r="BA12" s="552"/>
      <c r="BB12" s="552"/>
      <c r="BC12" s="551"/>
      <c r="BD12" s="552"/>
      <c r="BE12" s="548"/>
      <c r="BF12" s="552"/>
      <c r="BG12" s="553"/>
      <c r="BH12" s="516"/>
      <c r="BI12" s="516"/>
      <c r="BJ12" s="517"/>
      <c r="BK12" s="518"/>
      <c r="BL12" s="519"/>
      <c r="BM12" s="72"/>
      <c r="BN12" s="73"/>
      <c r="BO12" s="73"/>
    </row>
    <row r="13" spans="1:76">
      <c r="C13" s="87"/>
      <c r="D13" s="48"/>
      <c r="E13" s="554" t="str">
        <f t="array" ref="E13">IFERROR(INDEX(WIP,SMALL(IF(('CURRENT WIP'!$D$1='CURRENT WIP'!$E$22:E148),MATCH(ROW(WIP),ROW(WIP)),""),ROW('CURRENT WIP'!A1)),COLUMN('CURRENT WIP'!A1)),"")</f>
        <v/>
      </c>
      <c r="F13" s="83" t="str">
        <f t="array" ref="F13">IFERROR(INDEX(WIP,SMALL(IF(('CURRENT WIP'!$D$1='CURRENT WIP'!$E$22:$E$148),MATCH(ROW(WIP),ROW(WIP)),""),ROW('CURRENT WIP'!B1)),COLUMN('CURRENT WIP'!B1)),"")</f>
        <v/>
      </c>
      <c r="G13" s="83" t="str">
        <f t="array" ref="G13">IFERROR(INDEX(WIP,SMALL(IF(('CURRENT WIP'!$D$1='CURRENT WIP'!$E$22:$E$148),MATCH(ROW(WIP),ROW(WIP)),""),ROW('CURRENT WIP'!C1)),COLUMN('CURRENT WIP'!C1)),"")</f>
        <v/>
      </c>
      <c r="H13" s="83" t="str">
        <f t="array" ref="H13">IFERROR(INDEX(WIP,SMALL(IF(('CURRENT WIP'!$D$1='CURRENT WIP'!$E$22:$E$148),MATCH(ROW(WIP),ROW(WIP)),""),ROW('CURRENT WIP'!D1)),COLUMN('CURRENT WIP'!D1)),"")</f>
        <v/>
      </c>
      <c r="I13" s="555" t="str">
        <f t="array" ref="I13">IFERROR(INDEX(WIP,SMALL(IF(('CURRENT WIP'!$D$1='CURRENT WIP'!$E$22:$E$148),MATCH(ROW(WIP),ROW(WIP)),""),ROW('CURRENT WIP'!E1)),COLUMN('CURRENT WIP'!E1)),"")</f>
        <v/>
      </c>
      <c r="J13" s="555" t="str">
        <f t="array" ref="J13">IFERROR(INDEX(WIP,SMALL(IF(('CURRENT WIP'!$D$1='CURRENT WIP'!$E$22:$E$148),MATCH(ROW(WIP),ROW(WIP)),""),ROW('CURRENT WIP'!F1)),COLUMN('CURRENT WIP'!F1)),"")</f>
        <v/>
      </c>
      <c r="K13" s="83" t="str">
        <f t="array" ref="K13">IFERROR(INDEX(WIP,SMALL(IF(('CURRENT WIP'!$D$1='CURRENT WIP'!$E$22:$E$148),MATCH(ROW(WIP),ROW(WIP)),""),ROW('CURRENT WIP'!G1)),COLUMN('CURRENT WIP'!G1)),"")</f>
        <v/>
      </c>
      <c r="L13" s="555" t="str">
        <f t="array" ref="L13">IFERROR(INDEX(WIP,SMALL(IF(('CURRENT WIP'!$D$1='CURRENT WIP'!$E$22:$E$148),MATCH(ROW(WIP),ROW(WIP)),""),ROW('CURRENT WIP'!H1)),COLUMN('CURRENT WIP'!H1)),"")</f>
        <v/>
      </c>
      <c r="M13" s="83" t="str">
        <f t="array" ref="M13">IFERROR(INDEX(WIP,SMALL(IF(('CURRENT WIP'!$D$1='CURRENT WIP'!$E$22:$E$148),MATCH(ROW(WIP),ROW(WIP)),""),ROW('CURRENT WIP'!I1)),COLUMN('CURRENT WIP'!I1)),"")</f>
        <v/>
      </c>
      <c r="N13" s="556" t="str">
        <f t="array" ref="N13">IFERROR(INDEX(WIP,SMALL(IF(('CURRENT WIP'!$D$1='CURRENT WIP'!$E$22:$E$148),MATCH(ROW(WIP),ROW(WIP)),""),ROW('CURRENT WIP'!J1)),COLUMN('CURRENT WIP'!J1)),"")</f>
        <v/>
      </c>
      <c r="O13" s="83" t="str">
        <f t="array" ref="O13">IFERROR(INDEX(WIP,SMALL(IF(('CURRENT WIP'!$D$1='CURRENT WIP'!$E$22:$E$148),MATCH(ROW(WIP),ROW(WIP)),""),ROW('CURRENT WIP'!K1)),COLUMN('CURRENT WIP'!K1)),"")</f>
        <v/>
      </c>
      <c r="P13" s="83" t="str">
        <f t="array" ref="P13">IFERROR(INDEX(WIP,SMALL(IF(('CURRENT WIP'!$D$1='CURRENT WIP'!$E$22:$E$148),MATCH(ROW(WIP),ROW(WIP)),""),ROW('CURRENT WIP'!L1)),COLUMN('CURRENT WIP'!L1)),"")</f>
        <v/>
      </c>
      <c r="Q13" s="83" t="str">
        <f t="array" ref="Q13">IFERROR(INDEX(WIP,SMALL(IF(('CURRENT WIP'!$D$1='CURRENT WIP'!$E$22:$E$148),MATCH(ROW(WIP),ROW(WIP)),""),ROW('CURRENT WIP'!M1)),COLUMN('CURRENT WIP'!M1)),"")</f>
        <v/>
      </c>
      <c r="R13" s="557" t="str">
        <f t="array" ref="R13">IFERROR(INDEX(WIP,SMALL(IF(('CURRENT WIP'!$D$1='CURRENT WIP'!$E$22:$E$148),MATCH(ROW(WIP),ROW(WIP)),""),ROW('CURRENT WIP'!N1)),COLUMN('CURRENT WIP'!N1)),"")</f>
        <v/>
      </c>
      <c r="S13" s="83" t="str">
        <f t="array" ref="S13">IFERROR(INDEX(WIP,SMALL(IF(('CURRENT WIP'!$D$1='CURRENT WIP'!$E$22:$E$148),MATCH(ROW(WIP),ROW(WIP)),""),ROW('CURRENT WIP'!O1)),COLUMN('CURRENT WIP'!O1)),"")</f>
        <v/>
      </c>
      <c r="T13" s="83" t="str">
        <f t="array" ref="T13">IFERROR(INDEX(WIP,SMALL(IF(('CURRENT WIP'!$D$1='CURRENT WIP'!$E$22:$E$148),MATCH(ROW(WIP),ROW(WIP)),""),ROW('CURRENT WIP'!P1)),COLUMN('CURRENT WIP'!P1)),"")</f>
        <v/>
      </c>
      <c r="U13" s="557" t="str">
        <f t="array" ref="U13">IFERROR(INDEX(WIP,SMALL(IF(('CURRENT WIP'!$D$1='CURRENT WIP'!$E$22:$E$148),MATCH(ROW(WIP),ROW(WIP)),""),ROW('CURRENT WIP'!Q1)),COLUMN('CURRENT WIP'!Q1)),"")</f>
        <v/>
      </c>
      <c r="V13" s="83" t="str">
        <f t="array" ref="V13">IFERROR(INDEX(WIP,SMALL(IF(('CURRENT WIP'!$D$1='CURRENT WIP'!$E$22:$E$148),MATCH(ROW(WIP),ROW(WIP)),""),ROW('CURRENT WIP'!R1)),COLUMN('CURRENT WIP'!R1)),"")</f>
        <v/>
      </c>
      <c r="W13" s="83" t="str">
        <f t="array" ref="W13">IFERROR(INDEX(WIP,SMALL(IF(('CURRENT WIP'!$D$1='CURRENT WIP'!$E$22:$E$148),MATCH(ROW(WIP),ROW(WIP)),""),ROW('CURRENT WIP'!S1)),COLUMN('CURRENT WIP'!S1)),"")</f>
        <v/>
      </c>
      <c r="X13" s="83" t="str">
        <f t="array" ref="X13">IFERROR(INDEX(WIP,SMALL(IF(('CURRENT WIP'!$D$1='CURRENT WIP'!$E$22:$E$148),MATCH(ROW(WIP),ROW(WIP)),""),ROW('CURRENT WIP'!T1)),COLUMN('CURRENT WIP'!T1)),"")</f>
        <v/>
      </c>
      <c r="Y13" s="558" t="str">
        <f t="array" ref="Y13">IFERROR(INDEX(WIP,SMALL(IF(('CURRENT WIP'!$D$1='CURRENT WIP'!$E$22:$E$148),MATCH(ROW(WIP),ROW(WIP)),""),ROW('CURRENT WIP'!U1)),COLUMN('CURRENT WIP'!U1)),"")</f>
        <v/>
      </c>
      <c r="Z13" s="44">
        <f>COUNTIF('CURRENT WIP'!O:O,"M")</f>
        <v>0</v>
      </c>
      <c r="AA13" s="45" t="s">
        <v>17</v>
      </c>
      <c r="AB13" s="48">
        <f>'CURRENT WIP'!P51</f>
        <v>0</v>
      </c>
      <c r="AC13" s="48">
        <f>'WIP REPORT'!M47</f>
        <v>0</v>
      </c>
      <c r="AD13" s="88">
        <f>'WIP REPORT'!P47</f>
        <v>0</v>
      </c>
      <c r="AE13" s="2"/>
      <c r="AG13" s="2"/>
      <c r="AH13" s="2"/>
      <c r="AI13" s="589" t="s">
        <v>168</v>
      </c>
      <c r="AJ13" s="590"/>
      <c r="AK13" s="502"/>
      <c r="AL13" s="495"/>
      <c r="AM13" s="554"/>
      <c r="AN13" s="83"/>
      <c r="AO13" s="83"/>
      <c r="AP13" s="83"/>
      <c r="AQ13" s="555"/>
      <c r="AR13" s="555"/>
      <c r="AS13" s="83"/>
      <c r="AT13" s="555"/>
      <c r="AU13" s="83"/>
      <c r="AV13" s="556"/>
      <c r="AW13" s="83"/>
      <c r="AX13" s="83"/>
      <c r="AY13" s="83"/>
      <c r="AZ13" s="557"/>
      <c r="BA13" s="83"/>
      <c r="BB13" s="83"/>
      <c r="BC13" s="557"/>
      <c r="BD13" s="83"/>
      <c r="BE13" s="83"/>
      <c r="BF13" s="83"/>
      <c r="BG13" s="558"/>
      <c r="BH13" s="512"/>
      <c r="BI13" s="512"/>
      <c r="BJ13" s="495"/>
      <c r="BK13" s="495"/>
      <c r="BL13" s="503"/>
      <c r="BM13" s="122" t="str">
        <f ca="1">IF(BJ13="","",IF(BM13="",NOW(),BM13))</f>
        <v/>
      </c>
      <c r="BN13" s="3"/>
      <c r="BO13" s="3" t="s">
        <v>83</v>
      </c>
    </row>
    <row r="14" spans="1:76" ht="15" customHeight="1">
      <c r="A14" s="476"/>
      <c r="B14" s="476"/>
      <c r="C14" s="477"/>
      <c r="D14" s="478"/>
      <c r="E14" s="87" t="str">
        <f t="array" ref="E14">IFERROR(INDEX(WIP,SMALL(IF(('CURRENT WIP'!$D$1='CURRENT WIP'!$E$22:E149),MATCH(ROW(WIP),ROW(WIP)),""),ROW('CURRENT WIP'!A2)),COLUMN('CURRENT WIP'!A2)),"")</f>
        <v/>
      </c>
      <c r="F14" s="48" t="str">
        <f t="array" ref="F14">IFERROR(INDEX(WIP,SMALL(IF(('CURRENT WIP'!$D$1='CURRENT WIP'!$E$22:$E$148),MATCH(ROW(WIP),ROW(WIP)),""),ROW('CURRENT WIP'!B2)),COLUMN('CURRENT WIP'!B2)),"")</f>
        <v/>
      </c>
      <c r="G14" s="48" t="str">
        <f t="array" ref="G14">IFERROR(INDEX(WIP,SMALL(IF(('CURRENT WIP'!$D$1='CURRENT WIP'!$E$22:$E$148),MATCH(ROW(WIP),ROW(WIP)),""),ROW('CURRENT WIP'!C2)),COLUMN('CURRENT WIP'!C2)),"")</f>
        <v/>
      </c>
      <c r="H14" s="48" t="str">
        <f t="array" ref="H14">IFERROR(INDEX(WIP,SMALL(IF(('CURRENT WIP'!$D$1='CURRENT WIP'!$E$22:$E$148),MATCH(ROW(WIP),ROW(WIP)),""),ROW('CURRENT WIP'!D2)),COLUMN('CURRENT WIP'!D2)),"")</f>
        <v/>
      </c>
      <c r="I14" s="66" t="str">
        <f t="array" ref="I14">IFERROR(INDEX(WIP,SMALL(IF(('CURRENT WIP'!$D$1='CURRENT WIP'!$E$22:$E$148),MATCH(ROW(WIP),ROW(WIP)),""),ROW('CURRENT WIP'!E2)),COLUMN('CURRENT WIP'!E2)),"")</f>
        <v/>
      </c>
      <c r="J14" s="66" t="str">
        <f t="array" ref="J14">IFERROR(INDEX(WIP,SMALL(IF(('CURRENT WIP'!$D$1='CURRENT WIP'!$E$22:$E$148),MATCH(ROW(WIP),ROW(WIP)),""),ROW('CURRENT WIP'!F2)),COLUMN('CURRENT WIP'!F2)),"")</f>
        <v/>
      </c>
      <c r="K14" s="48" t="str">
        <f t="array" ref="K14">IFERROR(INDEX(WIP,SMALL(IF(('CURRENT WIP'!$D$1='CURRENT WIP'!$E$22:$E$148),MATCH(ROW(WIP),ROW(WIP)),""),ROW('CURRENT WIP'!G2)),COLUMN('CURRENT WIP'!G2)),"")</f>
        <v/>
      </c>
      <c r="L14" s="66" t="str">
        <f t="array" ref="L14">IFERROR(INDEX(WIP,SMALL(IF(('CURRENT WIP'!$D$1='CURRENT WIP'!$E$22:$E$148),MATCH(ROW(WIP),ROW(WIP)),""),ROW('CURRENT WIP'!H2)),COLUMN('CURRENT WIP'!H2)),"")</f>
        <v/>
      </c>
      <c r="M14" s="48" t="str">
        <f t="array" ref="M14">IFERROR(INDEX(WIP,SMALL(IF(('CURRENT WIP'!$D$1='CURRENT WIP'!$E$22:$E$148),MATCH(ROW(WIP),ROW(WIP)),""),ROW('CURRENT WIP'!I2)),COLUMN('CURRENT WIP'!I2)),"")</f>
        <v/>
      </c>
      <c r="N14" s="67" t="str">
        <f t="array" ref="N14">IFERROR(INDEX(WIP,SMALL(IF(('CURRENT WIP'!$D$1='CURRENT WIP'!$E$22:$E$148),MATCH(ROW(WIP),ROW(WIP)),""),ROW('CURRENT WIP'!J2)),COLUMN('CURRENT WIP'!J2)),"")</f>
        <v/>
      </c>
      <c r="O14" s="48" t="str">
        <f t="array" ref="O14">IFERROR(INDEX(WIP,SMALL(IF(('CURRENT WIP'!$D$1='CURRENT WIP'!$E$22:$E$148),MATCH(ROW(WIP),ROW(WIP)),""),ROW('CURRENT WIP'!K2)),COLUMN('CURRENT WIP'!K2)),"")</f>
        <v/>
      </c>
      <c r="P14" s="48" t="str">
        <f t="array" ref="P14">IFERROR(INDEX(WIP,SMALL(IF(('CURRENT WIP'!$D$1='CURRENT WIP'!$E$22:$E$148),MATCH(ROW(WIP),ROW(WIP)),""),ROW('CURRENT WIP'!L2)),COLUMN('CURRENT WIP'!L2)),"")</f>
        <v/>
      </c>
      <c r="Q14" s="48" t="str">
        <f t="array" ref="Q14">IFERROR(INDEX(WIP,SMALL(IF(('CURRENT WIP'!$D$1='CURRENT WIP'!$E$22:$E$148),MATCH(ROW(WIP),ROW(WIP)),""),ROW('CURRENT WIP'!M2)),COLUMN('CURRENT WIP'!M2)),"")</f>
        <v/>
      </c>
      <c r="R14" s="68" t="str">
        <f t="array" ref="R14">IFERROR(INDEX(WIP,SMALL(IF(('CURRENT WIP'!$D$1='CURRENT WIP'!$E$22:$E$148),MATCH(ROW(WIP),ROW(WIP)),""),ROW('CURRENT WIP'!N2)),COLUMN('CURRENT WIP'!N2)),"")</f>
        <v/>
      </c>
      <c r="S14" s="48" t="str">
        <f t="array" ref="S14">IFERROR(INDEX(WIP,SMALL(IF(('CURRENT WIP'!$D$1='CURRENT WIP'!$E$22:$E$148),MATCH(ROW(WIP),ROW(WIP)),""),ROW('CURRENT WIP'!O2)),COLUMN('CURRENT WIP'!O2)),"")</f>
        <v/>
      </c>
      <c r="T14" s="48" t="str">
        <f t="array" ref="T14">IFERROR(INDEX(WIP,SMALL(IF(('CURRENT WIP'!$D$1='CURRENT WIP'!$E$22:$E$148),MATCH(ROW(WIP),ROW(WIP)),""),ROW('CURRENT WIP'!P2)),COLUMN('CURRENT WIP'!P2)),"")</f>
        <v/>
      </c>
      <c r="U14" s="68" t="str">
        <f t="array" ref="U14">IFERROR(INDEX(WIP,SMALL(IF(('CURRENT WIP'!$D$1='CURRENT WIP'!$E$22:$E$148),MATCH(ROW(WIP),ROW(WIP)),""),ROW('CURRENT WIP'!Q2)),COLUMN('CURRENT WIP'!Q2)),"")</f>
        <v/>
      </c>
      <c r="V14" s="48" t="str">
        <f t="array" ref="V14">IFERROR(INDEX(WIP,SMALL(IF(('CURRENT WIP'!$D$1='CURRENT WIP'!$E$22:$E$148),MATCH(ROW(WIP),ROW(WIP)),""),ROW('CURRENT WIP'!R2)),COLUMN('CURRENT WIP'!R2)),"")</f>
        <v/>
      </c>
      <c r="W14" s="48" t="str">
        <f t="array" ref="W14">IFERROR(INDEX(WIP,SMALL(IF(('CURRENT WIP'!$D$1='CURRENT WIP'!$E$22:$E$148),MATCH(ROW(WIP),ROW(WIP)),""),ROW('CURRENT WIP'!S2)),COLUMN('CURRENT WIP'!S2)),"")</f>
        <v/>
      </c>
      <c r="X14" s="48" t="str">
        <f t="array" ref="X14">IFERROR(INDEX(WIP,SMALL(IF(('CURRENT WIP'!$D$1='CURRENT WIP'!$E$22:$E$148),MATCH(ROW(WIP),ROW(WIP)),""),ROW('CURRENT WIP'!T2)),COLUMN('CURRENT WIP'!T2)),"")</f>
        <v/>
      </c>
      <c r="Y14" s="88" t="str">
        <f t="array" ref="Y14">IFERROR(INDEX(WIP,SMALL(IF(('CURRENT WIP'!$D$1='CURRENT WIP'!$E$22:$E$148),MATCH(ROW(WIP),ROW(WIP)),""),ROW('CURRENT WIP'!U2)),COLUMN('CURRENT WIP'!U2)),"")</f>
        <v/>
      </c>
      <c r="Z14" s="478">
        <f>COUNTIF('CURRENT WIP'!O:O,"A")</f>
        <v>0</v>
      </c>
      <c r="AA14" s="482" t="s">
        <v>18</v>
      </c>
      <c r="AB14" s="478">
        <f>'CURRENT WIP'!P84</f>
        <v>0</v>
      </c>
      <c r="AC14" s="478">
        <f>'WIP REPORT'!M48</f>
        <v>0</v>
      </c>
      <c r="AD14" s="481">
        <f>'WIP REPORT'!P48</f>
        <v>0</v>
      </c>
      <c r="AE14" s="476"/>
      <c r="AG14" s="476"/>
      <c r="AH14" s="476"/>
      <c r="AI14" s="589"/>
      <c r="AJ14" s="590"/>
      <c r="AK14" s="504"/>
      <c r="AL14" s="496"/>
      <c r="AM14" s="87"/>
      <c r="AN14" s="48"/>
      <c r="AO14" s="48"/>
      <c r="AP14" s="48"/>
      <c r="AQ14" s="66"/>
      <c r="AR14" s="66"/>
      <c r="AS14" s="48"/>
      <c r="AT14" s="66"/>
      <c r="AU14" s="48"/>
      <c r="AV14" s="67"/>
      <c r="AW14" s="48"/>
      <c r="AX14" s="48"/>
      <c r="AY14" s="48"/>
      <c r="AZ14" s="68"/>
      <c r="BA14" s="48"/>
      <c r="BB14" s="48"/>
      <c r="BC14" s="68"/>
      <c r="BD14" s="48"/>
      <c r="BE14" s="48"/>
      <c r="BF14" s="48"/>
      <c r="BG14" s="88"/>
      <c r="BH14" s="496"/>
      <c r="BI14" s="496"/>
      <c r="BJ14" s="496"/>
      <c r="BK14" s="496"/>
      <c r="BL14" s="505"/>
      <c r="BM14" s="55"/>
      <c r="BN14" s="5"/>
      <c r="BO14" s="5"/>
      <c r="BP14" s="484"/>
      <c r="BQ14" s="476"/>
      <c r="BR14" s="476"/>
      <c r="BS14" s="476"/>
      <c r="BT14" s="476"/>
      <c r="BU14" s="476"/>
      <c r="BV14" s="476"/>
      <c r="BW14" s="476"/>
      <c r="BX14" s="476"/>
    </row>
    <row r="15" spans="1:76">
      <c r="A15" s="476"/>
      <c r="B15" s="476"/>
      <c r="C15" s="477"/>
      <c r="D15" s="478"/>
      <c r="E15" s="87" t="str">
        <f t="array" ref="E15">IFERROR(INDEX(WIP,SMALL(IF(('CURRENT WIP'!$D$1='CURRENT WIP'!$E$22:E150),MATCH(ROW(WIP),ROW(WIP)),""),ROW('CURRENT WIP'!A3)),COLUMN('CURRENT WIP'!A3)),"")</f>
        <v/>
      </c>
      <c r="F15" s="48" t="str">
        <f t="array" ref="F15">IFERROR(INDEX(WIP,SMALL(IF(('CURRENT WIP'!$D$1='CURRENT WIP'!$E$22:$E$148),MATCH(ROW(WIP),ROW(WIP)),""),ROW('CURRENT WIP'!B3)),COLUMN('CURRENT WIP'!B3)),"")</f>
        <v/>
      </c>
      <c r="G15" s="48" t="str">
        <f t="array" ref="G15">IFERROR(INDEX(WIP,SMALL(IF(('CURRENT WIP'!$D$1='CURRENT WIP'!$E$22:$E$148),MATCH(ROW(WIP),ROW(WIP)),""),ROW('CURRENT WIP'!C3)),COLUMN('CURRENT WIP'!C3)),"")</f>
        <v/>
      </c>
      <c r="H15" s="48" t="str">
        <f t="array" ref="H15">IFERROR(INDEX(WIP,SMALL(IF(('CURRENT WIP'!$D$1='CURRENT WIP'!$E$22:$E$148),MATCH(ROW(WIP),ROW(WIP)),""),ROW('CURRENT WIP'!D3)),COLUMN('CURRENT WIP'!D3)),"")</f>
        <v/>
      </c>
      <c r="I15" s="66" t="str">
        <f t="array" ref="I15">IFERROR(INDEX(WIP,SMALL(IF(('CURRENT WIP'!$D$1='CURRENT WIP'!$E$22:$E$148),MATCH(ROW(WIP),ROW(WIP)),""),ROW('CURRENT WIP'!E3)),COLUMN('CURRENT WIP'!E3)),"")</f>
        <v/>
      </c>
      <c r="J15" s="66" t="str">
        <f t="array" ref="J15">IFERROR(INDEX(WIP,SMALL(IF(('CURRENT WIP'!$D$1='CURRENT WIP'!$E$22:$E$148),MATCH(ROW(WIP),ROW(WIP)),""),ROW('CURRENT WIP'!F3)),COLUMN('CURRENT WIP'!F3)),"")</f>
        <v/>
      </c>
      <c r="K15" s="48" t="str">
        <f t="array" ref="K15">IFERROR(INDEX(WIP,SMALL(IF(('CURRENT WIP'!$D$1='CURRENT WIP'!$E$22:$E$148),MATCH(ROW(WIP),ROW(WIP)),""),ROW('CURRENT WIP'!G3)),COLUMN('CURRENT WIP'!G3)),"")</f>
        <v/>
      </c>
      <c r="L15" s="66" t="str">
        <f t="array" ref="L15">IFERROR(INDEX(WIP,SMALL(IF(('CURRENT WIP'!$D$1='CURRENT WIP'!$E$22:$E$148),MATCH(ROW(WIP),ROW(WIP)),""),ROW('CURRENT WIP'!H3)),COLUMN('CURRENT WIP'!H3)),"")</f>
        <v/>
      </c>
      <c r="M15" s="48" t="str">
        <f t="array" ref="M15">IFERROR(INDEX(WIP,SMALL(IF(('CURRENT WIP'!$D$1='CURRENT WIP'!$E$22:$E$148),MATCH(ROW(WIP),ROW(WIP)),""),ROW('CURRENT WIP'!I3)),COLUMN('CURRENT WIP'!I3)),"")</f>
        <v/>
      </c>
      <c r="N15" s="67" t="str">
        <f t="array" ref="N15">IFERROR(INDEX(WIP,SMALL(IF(('CURRENT WIP'!$D$1='CURRENT WIP'!$E$22:$E$148),MATCH(ROW(WIP),ROW(WIP)),""),ROW('CURRENT WIP'!J3)),COLUMN('CURRENT WIP'!J3)),"")</f>
        <v/>
      </c>
      <c r="O15" s="48" t="str">
        <f t="array" ref="O15">IFERROR(INDEX(WIP,SMALL(IF(('CURRENT WIP'!$D$1='CURRENT WIP'!$E$22:$E$148),MATCH(ROW(WIP),ROW(WIP)),""),ROW('CURRENT WIP'!K3)),COLUMN('CURRENT WIP'!K3)),"")</f>
        <v/>
      </c>
      <c r="P15" s="48" t="str">
        <f t="array" ref="P15">IFERROR(INDEX(WIP,SMALL(IF(('CURRENT WIP'!$D$1='CURRENT WIP'!$E$22:$E$148),MATCH(ROW(WIP),ROW(WIP)),""),ROW('CURRENT WIP'!L3)),COLUMN('CURRENT WIP'!L3)),"")</f>
        <v/>
      </c>
      <c r="Q15" s="48" t="str">
        <f t="array" ref="Q15">IFERROR(INDEX(WIP,SMALL(IF(('CURRENT WIP'!$D$1='CURRENT WIP'!$E$22:$E$148),MATCH(ROW(WIP),ROW(WIP)),""),ROW('CURRENT WIP'!M3)),COLUMN('CURRENT WIP'!M3)),"")</f>
        <v/>
      </c>
      <c r="R15" s="68" t="str">
        <f t="array" ref="R15">IFERROR(INDEX(WIP,SMALL(IF(('CURRENT WIP'!$D$1='CURRENT WIP'!$E$22:$E$148),MATCH(ROW(WIP),ROW(WIP)),""),ROW('CURRENT WIP'!N3)),COLUMN('CURRENT WIP'!N3)),"")</f>
        <v/>
      </c>
      <c r="S15" s="48" t="str">
        <f t="array" ref="S15">IFERROR(INDEX(WIP,SMALL(IF(('CURRENT WIP'!$D$1='CURRENT WIP'!$E$22:$E$148),MATCH(ROW(WIP),ROW(WIP)),""),ROW('CURRENT WIP'!O3)),COLUMN('CURRENT WIP'!O3)),"")</f>
        <v/>
      </c>
      <c r="T15" s="48" t="str">
        <f t="array" ref="T15">IFERROR(INDEX(WIP,SMALL(IF(('CURRENT WIP'!$D$1='CURRENT WIP'!$E$22:$E$148),MATCH(ROW(WIP),ROW(WIP)),""),ROW('CURRENT WIP'!P3)),COLUMN('CURRENT WIP'!P3)),"")</f>
        <v/>
      </c>
      <c r="U15" s="68" t="str">
        <f t="array" ref="U15">IFERROR(INDEX(WIP,SMALL(IF(('CURRENT WIP'!$D$1='CURRENT WIP'!$E$22:$E$148),MATCH(ROW(WIP),ROW(WIP)),""),ROW('CURRENT WIP'!Q3)),COLUMN('CURRENT WIP'!Q3)),"")</f>
        <v/>
      </c>
      <c r="V15" s="48" t="str">
        <f t="array" ref="V15">IFERROR(INDEX(WIP,SMALL(IF(('CURRENT WIP'!$D$1='CURRENT WIP'!$E$22:$E$148),MATCH(ROW(WIP),ROW(WIP)),""),ROW('CURRENT WIP'!R3)),COLUMN('CURRENT WIP'!R3)),"")</f>
        <v/>
      </c>
      <c r="W15" s="48" t="str">
        <f t="array" ref="W15">IFERROR(INDEX(WIP,SMALL(IF(('CURRENT WIP'!$D$1='CURRENT WIP'!$E$22:$E$148),MATCH(ROW(WIP),ROW(WIP)),""),ROW('CURRENT WIP'!S3)),COLUMN('CURRENT WIP'!S3)),"")</f>
        <v/>
      </c>
      <c r="X15" s="48" t="str">
        <f t="array" ref="X15">IFERROR(INDEX(WIP,SMALL(IF(('CURRENT WIP'!$D$1='CURRENT WIP'!$E$22:$E$148),MATCH(ROW(WIP),ROW(WIP)),""),ROW('CURRENT WIP'!T3)),COLUMN('CURRENT WIP'!T3)),"")</f>
        <v/>
      </c>
      <c r="Y15" s="88" t="str">
        <f t="array" ref="Y15">IFERROR(INDEX(WIP,SMALL(IF(('CURRENT WIP'!$D$1='CURRENT WIP'!$E$22:$E$148),MATCH(ROW(WIP),ROW(WIP)),""),ROW('CURRENT WIP'!U3)),COLUMN('CURRENT WIP'!U3)),"")</f>
        <v/>
      </c>
      <c r="Z15" s="485">
        <f>COUNTIF('CURRENT WIP'!O:O,"F")</f>
        <v>0</v>
      </c>
      <c r="AA15" s="486" t="s">
        <v>19</v>
      </c>
      <c r="AB15" s="478">
        <f>'CURRENT WIP'!P117</f>
        <v>0</v>
      </c>
      <c r="AC15" s="478">
        <f>'WIP REPORT'!M49</f>
        <v>0</v>
      </c>
      <c r="AD15" s="481">
        <f>'WIP REPORT'!P49</f>
        <v>0</v>
      </c>
      <c r="AE15" s="476"/>
      <c r="AG15" s="476"/>
      <c r="AH15" s="476"/>
      <c r="AI15" s="476"/>
      <c r="AJ15" s="483"/>
      <c r="AK15" s="504"/>
      <c r="AL15" s="496"/>
      <c r="AM15" s="87"/>
      <c r="AN15" s="48"/>
      <c r="AO15" s="48"/>
      <c r="AP15" s="48"/>
      <c r="AQ15" s="66"/>
      <c r="AR15" s="66"/>
      <c r="AS15" s="48"/>
      <c r="AT15" s="66"/>
      <c r="AU15" s="48"/>
      <c r="AV15" s="67"/>
      <c r="AW15" s="48"/>
      <c r="AX15" s="48"/>
      <c r="AY15" s="48"/>
      <c r="AZ15" s="68"/>
      <c r="BA15" s="48"/>
      <c r="BB15" s="48"/>
      <c r="BC15" s="68"/>
      <c r="BD15" s="48"/>
      <c r="BE15" s="48"/>
      <c r="BF15" s="48"/>
      <c r="BG15" s="88"/>
      <c r="BH15" s="513"/>
      <c r="BI15" s="513"/>
      <c r="BJ15" s="496"/>
      <c r="BK15" s="496"/>
      <c r="BL15" s="505"/>
      <c r="BM15" s="55"/>
      <c r="BN15" s="1"/>
      <c r="BO15" s="487"/>
      <c r="BP15" s="484"/>
      <c r="BQ15" s="476"/>
      <c r="BR15" s="476"/>
      <c r="BS15" s="476"/>
      <c r="BT15" s="476"/>
      <c r="BU15" s="476"/>
      <c r="BV15" s="476"/>
      <c r="BW15" s="476"/>
      <c r="BX15" s="476"/>
    </row>
    <row r="16" spans="1:76">
      <c r="A16" s="476"/>
      <c r="B16" s="476"/>
      <c r="C16" s="477"/>
      <c r="D16" s="478"/>
      <c r="E16" s="87" t="str">
        <f t="array" ref="E16">IFERROR(INDEX(WIP,SMALL(IF(('CURRENT WIP'!$D$1='CURRENT WIP'!$E$22:E151),MATCH(ROW(WIP),ROW(WIP)),""),ROW('CURRENT WIP'!A4)),COLUMN('CURRENT WIP'!A4)),"")</f>
        <v/>
      </c>
      <c r="F16" s="48" t="str">
        <f t="array" ref="F16">IFERROR(INDEX(WIP,SMALL(IF(('CURRENT WIP'!$D$1='CURRENT WIP'!$E$22:$E$148),MATCH(ROW(WIP),ROW(WIP)),""),ROW('CURRENT WIP'!B4)),COLUMN('CURRENT WIP'!B4)),"")</f>
        <v/>
      </c>
      <c r="G16" s="48" t="str">
        <f t="array" ref="G16">IFERROR(INDEX(WIP,SMALL(IF(('CURRENT WIP'!$D$1='CURRENT WIP'!$E$22:$E$148),MATCH(ROW(WIP),ROW(WIP)),""),ROW('CURRENT WIP'!C4)),COLUMN('CURRENT WIP'!C4)),"")</f>
        <v/>
      </c>
      <c r="H16" s="48" t="str">
        <f t="array" ref="H16">IFERROR(INDEX(WIP,SMALL(IF(('CURRENT WIP'!$D$1='CURRENT WIP'!$E$22:$E$148),MATCH(ROW(WIP),ROW(WIP)),""),ROW('CURRENT WIP'!D4)),COLUMN('CURRENT WIP'!D4)),"")</f>
        <v/>
      </c>
      <c r="I16" s="66" t="str">
        <f t="array" ref="I16">IFERROR(INDEX(WIP,SMALL(IF(('CURRENT WIP'!$D$1='CURRENT WIP'!$E$22:$E$148),MATCH(ROW(WIP),ROW(WIP)),""),ROW('CURRENT WIP'!E4)),COLUMN('CURRENT WIP'!E4)),"")</f>
        <v/>
      </c>
      <c r="J16" s="66" t="str">
        <f t="array" ref="J16">IFERROR(INDEX(WIP,SMALL(IF(('CURRENT WIP'!$D$1='CURRENT WIP'!$E$22:$E$148),MATCH(ROW(WIP),ROW(WIP)),""),ROW('CURRENT WIP'!F4)),COLUMN('CURRENT WIP'!F4)),"")</f>
        <v/>
      </c>
      <c r="K16" s="48" t="str">
        <f t="array" ref="K16">IFERROR(INDEX(WIP,SMALL(IF(('CURRENT WIP'!$D$1='CURRENT WIP'!$E$22:$E$148),MATCH(ROW(WIP),ROW(WIP)),""),ROW('CURRENT WIP'!G4)),COLUMN('CURRENT WIP'!G4)),"")</f>
        <v/>
      </c>
      <c r="L16" s="66" t="str">
        <f t="array" ref="L16">IFERROR(INDEX(WIP,SMALL(IF(('CURRENT WIP'!$D$1='CURRENT WIP'!$E$22:$E$148),MATCH(ROW(WIP),ROW(WIP)),""),ROW('CURRENT WIP'!H4)),COLUMN('CURRENT WIP'!H4)),"")</f>
        <v/>
      </c>
      <c r="M16" s="48" t="str">
        <f t="array" ref="M16">IFERROR(INDEX(WIP,SMALL(IF(('CURRENT WIP'!$D$1='CURRENT WIP'!$E$22:$E$148),MATCH(ROW(WIP),ROW(WIP)),""),ROW('CURRENT WIP'!I4)),COLUMN('CURRENT WIP'!I4)),"")</f>
        <v/>
      </c>
      <c r="N16" s="67" t="str">
        <f t="array" ref="N16">IFERROR(INDEX(WIP,SMALL(IF(('CURRENT WIP'!$D$1='CURRENT WIP'!$E$22:$E$148),MATCH(ROW(WIP),ROW(WIP)),""),ROW('CURRENT WIP'!J4)),COLUMN('CURRENT WIP'!J4)),"")</f>
        <v/>
      </c>
      <c r="O16" s="48" t="str">
        <f t="array" ref="O16">IFERROR(INDEX(WIP,SMALL(IF(('CURRENT WIP'!$D$1='CURRENT WIP'!$E$22:$E$148),MATCH(ROW(WIP),ROW(WIP)),""),ROW('CURRENT WIP'!K4)),COLUMN('CURRENT WIP'!K4)),"")</f>
        <v/>
      </c>
      <c r="P16" s="48" t="str">
        <f t="array" ref="P16">IFERROR(INDEX(WIP,SMALL(IF(('CURRENT WIP'!$D$1='CURRENT WIP'!$E$22:$E$148),MATCH(ROW(WIP),ROW(WIP)),""),ROW('CURRENT WIP'!L4)),COLUMN('CURRENT WIP'!L4)),"")</f>
        <v/>
      </c>
      <c r="Q16" s="48" t="str">
        <f t="array" ref="Q16">IFERROR(INDEX(WIP,SMALL(IF(('CURRENT WIP'!$D$1='CURRENT WIP'!$E$22:$E$148),MATCH(ROW(WIP),ROW(WIP)),""),ROW('CURRENT WIP'!M4)),COLUMN('CURRENT WIP'!M4)),"")</f>
        <v/>
      </c>
      <c r="R16" s="68" t="str">
        <f t="array" ref="R16">IFERROR(INDEX(WIP,SMALL(IF(('CURRENT WIP'!$D$1='CURRENT WIP'!$E$22:$E$148),MATCH(ROW(WIP),ROW(WIP)),""),ROW('CURRENT WIP'!N4)),COLUMN('CURRENT WIP'!N4)),"")</f>
        <v/>
      </c>
      <c r="S16" s="48" t="str">
        <f t="array" ref="S16">IFERROR(INDEX(WIP,SMALL(IF(('CURRENT WIP'!$D$1='CURRENT WIP'!$E$22:$E$148),MATCH(ROW(WIP),ROW(WIP)),""),ROW('CURRENT WIP'!O4)),COLUMN('CURRENT WIP'!O4)),"")</f>
        <v/>
      </c>
      <c r="T16" s="48" t="str">
        <f t="array" ref="T16">IFERROR(INDEX(WIP,SMALL(IF(('CURRENT WIP'!$D$1='CURRENT WIP'!$E$22:$E$148),MATCH(ROW(WIP),ROW(WIP)),""),ROW('CURRENT WIP'!P4)),COLUMN('CURRENT WIP'!P4)),"")</f>
        <v/>
      </c>
      <c r="U16" s="68" t="str">
        <f t="array" ref="U16">IFERROR(INDEX(WIP,SMALL(IF(('CURRENT WIP'!$D$1='CURRENT WIP'!$E$22:$E$148),MATCH(ROW(WIP),ROW(WIP)),""),ROW('CURRENT WIP'!Q4)),COLUMN('CURRENT WIP'!Q4)),"")</f>
        <v/>
      </c>
      <c r="V16" s="48" t="str">
        <f t="array" ref="V16">IFERROR(INDEX(WIP,SMALL(IF(('CURRENT WIP'!$D$1='CURRENT WIP'!$E$22:$E$148),MATCH(ROW(WIP),ROW(WIP)),""),ROW('CURRENT WIP'!R4)),COLUMN('CURRENT WIP'!R4)),"")</f>
        <v/>
      </c>
      <c r="W16" s="48" t="str">
        <f t="array" ref="W16">IFERROR(INDEX(WIP,SMALL(IF(('CURRENT WIP'!$D$1='CURRENT WIP'!$E$22:$E$148),MATCH(ROW(WIP),ROW(WIP)),""),ROW('CURRENT WIP'!S4)),COLUMN('CURRENT WIP'!S4)),"")</f>
        <v/>
      </c>
      <c r="X16" s="48" t="str">
        <f t="array" ref="X16">IFERROR(INDEX(WIP,SMALL(IF(('CURRENT WIP'!$D$1='CURRENT WIP'!$E$22:$E$148),MATCH(ROW(WIP),ROW(WIP)),""),ROW('CURRENT WIP'!T4)),COLUMN('CURRENT WIP'!T4)),"")</f>
        <v/>
      </c>
      <c r="Y16" s="88" t="str">
        <f t="array" ref="Y16">IFERROR(INDEX(WIP,SMALL(IF(('CURRENT WIP'!$D$1='CURRENT WIP'!$E$22:$E$148),MATCH(ROW(WIP),ROW(WIP)),""),ROW('CURRENT WIP'!U4)),COLUMN('CURRENT WIP'!U4)),"")</f>
        <v/>
      </c>
      <c r="Z16" s="478">
        <f>COUNTIF('CURRENT WIP'!O:O,"D")</f>
        <v>0</v>
      </c>
      <c r="AA16" s="438" t="s">
        <v>162</v>
      </c>
      <c r="AB16" s="478">
        <f>'CURRENT WIP'!P150</f>
        <v>0</v>
      </c>
      <c r="AC16" s="478">
        <f>'WIP REPORT'!M50</f>
        <v>0</v>
      </c>
      <c r="AD16" s="481">
        <f>'WIP REPORT'!P50</f>
        <v>0</v>
      </c>
      <c r="AE16" s="476"/>
      <c r="AG16" s="476"/>
      <c r="AH16" s="476"/>
      <c r="AI16" s="476"/>
      <c r="AJ16" s="483"/>
      <c r="AK16" s="504"/>
      <c r="AL16" s="496"/>
      <c r="AM16" s="87"/>
      <c r="AN16" s="48"/>
      <c r="AO16" s="48"/>
      <c r="AP16" s="48"/>
      <c r="AQ16" s="66"/>
      <c r="AR16" s="66"/>
      <c r="AS16" s="48"/>
      <c r="AT16" s="66"/>
      <c r="AU16" s="48"/>
      <c r="AV16" s="67"/>
      <c r="AW16" s="48"/>
      <c r="AX16" s="48"/>
      <c r="AY16" s="48"/>
      <c r="AZ16" s="68"/>
      <c r="BA16" s="48"/>
      <c r="BB16" s="48"/>
      <c r="BC16" s="68"/>
      <c r="BD16" s="48"/>
      <c r="BE16" s="48"/>
      <c r="BF16" s="48"/>
      <c r="BG16" s="88"/>
      <c r="BH16" s="496"/>
      <c r="BI16" s="497"/>
      <c r="BJ16" s="496"/>
      <c r="BK16" s="496"/>
      <c r="BL16" s="505"/>
      <c r="BM16" s="55"/>
      <c r="BN16" s="1"/>
      <c r="BO16" s="1"/>
      <c r="BP16" s="484"/>
      <c r="BQ16" s="476"/>
      <c r="BR16" s="476"/>
      <c r="BS16" s="476"/>
      <c r="BT16" s="476"/>
      <c r="BU16" s="476"/>
      <c r="BV16" s="476"/>
      <c r="BW16" s="476"/>
      <c r="BX16" s="476"/>
    </row>
    <row r="17" spans="1:76">
      <c r="A17" s="476"/>
      <c r="B17" s="476"/>
      <c r="C17" s="477"/>
      <c r="D17" s="478"/>
      <c r="E17" s="87" t="str">
        <f t="array" ref="E17">IFERROR(INDEX(WIP,SMALL(IF(('CURRENT WIP'!$D$1='CURRENT WIP'!$E$22:E152),MATCH(ROW(WIP),ROW(WIP)),""),ROW('CURRENT WIP'!A5)),COLUMN('CURRENT WIP'!A5)),"")</f>
        <v/>
      </c>
      <c r="F17" s="48" t="str">
        <f t="array" ref="F17">IFERROR(INDEX(WIP,SMALL(IF(('CURRENT WIP'!$D$1='CURRENT WIP'!$E$22:$E$148),MATCH(ROW(WIP),ROW(WIP)),""),ROW('CURRENT WIP'!B5)),COLUMN('CURRENT WIP'!B5)),"")</f>
        <v/>
      </c>
      <c r="G17" s="48" t="str">
        <f t="array" ref="G17">IFERROR(INDEX(WIP,SMALL(IF(('CURRENT WIP'!$D$1='CURRENT WIP'!$E$22:$E$148),MATCH(ROW(WIP),ROW(WIP)),""),ROW('CURRENT WIP'!C5)),COLUMN('CURRENT WIP'!C5)),"")</f>
        <v/>
      </c>
      <c r="H17" s="48" t="str">
        <f t="array" ref="H17">IFERROR(INDEX(WIP,SMALL(IF(('CURRENT WIP'!$D$1='CURRENT WIP'!$E$22:$E$148),MATCH(ROW(WIP),ROW(WIP)),""),ROW('CURRENT WIP'!D5)),COLUMN('CURRENT WIP'!D5)),"")</f>
        <v/>
      </c>
      <c r="I17" s="66" t="str">
        <f t="array" ref="I17">IFERROR(INDEX(WIP,SMALL(IF(('CURRENT WIP'!$D$1='CURRENT WIP'!$E$22:$E$148),MATCH(ROW(WIP),ROW(WIP)),""),ROW('CURRENT WIP'!E5)),COLUMN('CURRENT WIP'!E5)),"")</f>
        <v/>
      </c>
      <c r="J17" s="66" t="str">
        <f t="array" ref="J17">IFERROR(INDEX(WIP,SMALL(IF(('CURRENT WIP'!$D$1='CURRENT WIP'!$E$22:$E$148),MATCH(ROW(WIP),ROW(WIP)),""),ROW('CURRENT WIP'!F5)),COLUMN('CURRENT WIP'!F5)),"")</f>
        <v/>
      </c>
      <c r="K17" s="48" t="str">
        <f t="array" ref="K17">IFERROR(INDEX(WIP,SMALL(IF(('CURRENT WIP'!$D$1='CURRENT WIP'!$E$22:$E$148),MATCH(ROW(WIP),ROW(WIP)),""),ROW('CURRENT WIP'!G5)),COLUMN('CURRENT WIP'!G5)),"")</f>
        <v/>
      </c>
      <c r="L17" s="66" t="str">
        <f t="array" ref="L17">IFERROR(INDEX(WIP,SMALL(IF(('CURRENT WIP'!$D$1='CURRENT WIP'!$E$22:$E$148),MATCH(ROW(WIP),ROW(WIP)),""),ROW('CURRENT WIP'!H5)),COLUMN('CURRENT WIP'!H5)),"")</f>
        <v/>
      </c>
      <c r="M17" s="48" t="str">
        <f t="array" ref="M17">IFERROR(INDEX(WIP,SMALL(IF(('CURRENT WIP'!$D$1='CURRENT WIP'!$E$22:$E$148),MATCH(ROW(WIP),ROW(WIP)),""),ROW('CURRENT WIP'!I5)),COLUMN('CURRENT WIP'!I5)),"")</f>
        <v/>
      </c>
      <c r="N17" s="67" t="str">
        <f t="array" ref="N17">IFERROR(INDEX(WIP,SMALL(IF(('CURRENT WIP'!$D$1='CURRENT WIP'!$E$22:$E$148),MATCH(ROW(WIP),ROW(WIP)),""),ROW('CURRENT WIP'!J5)),COLUMN('CURRENT WIP'!J5)),"")</f>
        <v/>
      </c>
      <c r="O17" s="48" t="str">
        <f t="array" ref="O17">IFERROR(INDEX(WIP,SMALL(IF(('CURRENT WIP'!$D$1='CURRENT WIP'!$E$22:$E$148),MATCH(ROW(WIP),ROW(WIP)),""),ROW('CURRENT WIP'!K5)),COLUMN('CURRENT WIP'!K5)),"")</f>
        <v/>
      </c>
      <c r="P17" s="48" t="str">
        <f t="array" ref="P17">IFERROR(INDEX(WIP,SMALL(IF(('CURRENT WIP'!$D$1='CURRENT WIP'!$E$22:$E$148),MATCH(ROW(WIP),ROW(WIP)),""),ROW('CURRENT WIP'!L5)),COLUMN('CURRENT WIP'!L5)),"")</f>
        <v/>
      </c>
      <c r="Q17" s="48" t="str">
        <f t="array" ref="Q17">IFERROR(INDEX(WIP,SMALL(IF(('CURRENT WIP'!$D$1='CURRENT WIP'!$E$22:$E$148),MATCH(ROW(WIP),ROW(WIP)),""),ROW('CURRENT WIP'!M5)),COLUMN('CURRENT WIP'!M5)),"")</f>
        <v/>
      </c>
      <c r="R17" s="68" t="str">
        <f t="array" ref="R17">IFERROR(INDEX(WIP,SMALL(IF(('CURRENT WIP'!$D$1='CURRENT WIP'!$E$22:$E$148),MATCH(ROW(WIP),ROW(WIP)),""),ROW('CURRENT WIP'!N5)),COLUMN('CURRENT WIP'!N5)),"")</f>
        <v/>
      </c>
      <c r="S17" s="48" t="str">
        <f t="array" ref="S17">IFERROR(INDEX(WIP,SMALL(IF(('CURRENT WIP'!$D$1='CURRENT WIP'!$E$22:$E$148),MATCH(ROW(WIP),ROW(WIP)),""),ROW('CURRENT WIP'!O5)),COLUMN('CURRENT WIP'!O5)),"")</f>
        <v/>
      </c>
      <c r="T17" s="48" t="str">
        <f t="array" ref="T17">IFERROR(INDEX(WIP,SMALL(IF(('CURRENT WIP'!$D$1='CURRENT WIP'!$E$22:$E$148),MATCH(ROW(WIP),ROW(WIP)),""),ROW('CURRENT WIP'!P5)),COLUMN('CURRENT WIP'!P5)),"")</f>
        <v/>
      </c>
      <c r="U17" s="68" t="str">
        <f t="array" ref="U17">IFERROR(INDEX(WIP,SMALL(IF(('CURRENT WIP'!$D$1='CURRENT WIP'!$E$22:$E$148),MATCH(ROW(WIP),ROW(WIP)),""),ROW('CURRENT WIP'!Q5)),COLUMN('CURRENT WIP'!Q5)),"")</f>
        <v/>
      </c>
      <c r="V17" s="48" t="str">
        <f t="array" ref="V17">IFERROR(INDEX(WIP,SMALL(IF(('CURRENT WIP'!$D$1='CURRENT WIP'!$E$22:$E$148),MATCH(ROW(WIP),ROW(WIP)),""),ROW('CURRENT WIP'!R5)),COLUMN('CURRENT WIP'!R5)),"")</f>
        <v/>
      </c>
      <c r="W17" s="48" t="str">
        <f t="array" ref="W17">IFERROR(INDEX(WIP,SMALL(IF(('CURRENT WIP'!$D$1='CURRENT WIP'!$E$22:$E$148),MATCH(ROW(WIP),ROW(WIP)),""),ROW('CURRENT WIP'!S5)),COLUMN('CURRENT WIP'!S5)),"")</f>
        <v/>
      </c>
      <c r="X17" s="48" t="str">
        <f t="array" ref="X17">IFERROR(INDEX(WIP,SMALL(IF(('CURRENT WIP'!$D$1='CURRENT WIP'!$E$22:$E$148),MATCH(ROW(WIP),ROW(WIP)),""),ROW('CURRENT WIP'!T5)),COLUMN('CURRENT WIP'!T5)),"")</f>
        <v/>
      </c>
      <c r="Y17" s="88" t="str">
        <f t="array" ref="Y17">IFERROR(INDEX(WIP,SMALL(IF(('CURRENT WIP'!$D$1='CURRENT WIP'!$E$22:$E$148),MATCH(ROW(WIP),ROW(WIP)),""),ROW('CURRENT WIP'!U5)),COLUMN('CURRENT WIP'!U5)),"")</f>
        <v/>
      </c>
      <c r="Z17" s="478"/>
      <c r="AA17" s="478"/>
      <c r="AB17" s="478"/>
      <c r="AC17" s="478"/>
      <c r="AD17" s="481"/>
      <c r="AE17" s="476"/>
      <c r="AG17" s="476"/>
      <c r="AH17" s="476"/>
      <c r="AI17" s="476"/>
      <c r="AJ17" s="483"/>
      <c r="AK17" s="504"/>
      <c r="AL17" s="496"/>
      <c r="AM17" s="87"/>
      <c r="AN17" s="48"/>
      <c r="AO17" s="48"/>
      <c r="AP17" s="48"/>
      <c r="AQ17" s="66"/>
      <c r="AR17" s="66"/>
      <c r="AS17" s="48"/>
      <c r="AT17" s="66"/>
      <c r="AU17" s="48"/>
      <c r="AV17" s="67"/>
      <c r="AW17" s="48"/>
      <c r="AX17" s="48"/>
      <c r="AY17" s="48"/>
      <c r="AZ17" s="68"/>
      <c r="BA17" s="48"/>
      <c r="BB17" s="48"/>
      <c r="BC17" s="68"/>
      <c r="BD17" s="48"/>
      <c r="BE17" s="48"/>
      <c r="BF17" s="48"/>
      <c r="BG17" s="88"/>
      <c r="BH17" s="496"/>
      <c r="BI17" s="496"/>
      <c r="BJ17" s="496"/>
      <c r="BK17" s="496"/>
      <c r="BL17" s="505"/>
      <c r="BM17" s="55"/>
      <c r="BN17" s="488"/>
      <c r="BO17" s="487"/>
      <c r="BP17" s="484"/>
      <c r="BQ17" s="476"/>
      <c r="BR17" s="476"/>
      <c r="BS17" s="476"/>
      <c r="BT17" s="476"/>
      <c r="BU17" s="476"/>
      <c r="BV17" s="476"/>
      <c r="BW17" s="476"/>
      <c r="BX17" s="476"/>
    </row>
    <row r="18" spans="1:76">
      <c r="A18" s="476"/>
      <c r="B18" s="476"/>
      <c r="C18" s="477"/>
      <c r="D18" s="478"/>
      <c r="E18" s="87" t="str">
        <f t="array" ref="E18">IFERROR(INDEX(WIP,SMALL(IF(('CURRENT WIP'!$D$1='CURRENT WIP'!$E$22:E153),MATCH(ROW(WIP),ROW(WIP)),""),ROW('CURRENT WIP'!A6)),COLUMN('CURRENT WIP'!A6)),"")</f>
        <v/>
      </c>
      <c r="F18" s="48" t="str">
        <f t="array" ref="F18">IFERROR(INDEX(WIP,SMALL(IF(('CURRENT WIP'!$D$1='CURRENT WIP'!$E$22:$E$148),MATCH(ROW(WIP),ROW(WIP)),""),ROW('CURRENT WIP'!B6)),COLUMN('CURRENT WIP'!B6)),"")</f>
        <v/>
      </c>
      <c r="G18" s="48" t="str">
        <f t="array" ref="G18">IFERROR(INDEX(WIP,SMALL(IF(('CURRENT WIP'!$D$1='CURRENT WIP'!$E$22:$E$148),MATCH(ROW(WIP),ROW(WIP)),""),ROW('CURRENT WIP'!C6)),COLUMN('CURRENT WIP'!C6)),"")</f>
        <v/>
      </c>
      <c r="H18" s="48" t="str">
        <f t="array" ref="H18">IFERROR(INDEX(WIP,SMALL(IF(('CURRENT WIP'!$D$1='CURRENT WIP'!$E$22:$E$148),MATCH(ROW(WIP),ROW(WIP)),""),ROW('CURRENT WIP'!D6)),COLUMN('CURRENT WIP'!D6)),"")</f>
        <v/>
      </c>
      <c r="I18" s="66" t="str">
        <f t="array" ref="I18">IFERROR(INDEX(WIP,SMALL(IF(('CURRENT WIP'!$D$1='CURRENT WIP'!$E$22:$E$148),MATCH(ROW(WIP),ROW(WIP)),""),ROW('CURRENT WIP'!E6)),COLUMN('CURRENT WIP'!E6)),"")</f>
        <v/>
      </c>
      <c r="J18" s="66" t="str">
        <f t="array" ref="J18">IFERROR(INDEX(WIP,SMALL(IF(('CURRENT WIP'!$D$1='CURRENT WIP'!$E$22:$E$148),MATCH(ROW(WIP),ROW(WIP)),""),ROW('CURRENT WIP'!F6)),COLUMN('CURRENT WIP'!F6)),"")</f>
        <v/>
      </c>
      <c r="K18" s="48" t="str">
        <f t="array" ref="K18">IFERROR(INDEX(WIP,SMALL(IF(('CURRENT WIP'!$D$1='CURRENT WIP'!$E$22:$E$148),MATCH(ROW(WIP),ROW(WIP)),""),ROW('CURRENT WIP'!G6)),COLUMN('CURRENT WIP'!G6)),"")</f>
        <v/>
      </c>
      <c r="L18" s="66" t="str">
        <f t="array" ref="L18">IFERROR(INDEX(WIP,SMALL(IF(('CURRENT WIP'!$D$1='CURRENT WIP'!$E$22:$E$148),MATCH(ROW(WIP),ROW(WIP)),""),ROW('CURRENT WIP'!H6)),COLUMN('CURRENT WIP'!H6)),"")</f>
        <v/>
      </c>
      <c r="M18" s="48" t="str">
        <f t="array" ref="M18">IFERROR(INDEX(WIP,SMALL(IF(('CURRENT WIP'!$D$1='CURRENT WIP'!$E$22:$E$148),MATCH(ROW(WIP),ROW(WIP)),""),ROW('CURRENT WIP'!I6)),COLUMN('CURRENT WIP'!I6)),"")</f>
        <v/>
      </c>
      <c r="N18" s="67" t="str">
        <f t="array" ref="N18">IFERROR(INDEX(WIP,SMALL(IF(('CURRENT WIP'!$D$1='CURRENT WIP'!$E$22:$E$148),MATCH(ROW(WIP),ROW(WIP)),""),ROW('CURRENT WIP'!J6)),COLUMN('CURRENT WIP'!J6)),"")</f>
        <v/>
      </c>
      <c r="O18" s="48" t="str">
        <f t="array" ref="O18">IFERROR(INDEX(WIP,SMALL(IF(('CURRENT WIP'!$D$1='CURRENT WIP'!$E$22:$E$148),MATCH(ROW(WIP),ROW(WIP)),""),ROW('CURRENT WIP'!K6)),COLUMN('CURRENT WIP'!K6)),"")</f>
        <v/>
      </c>
      <c r="P18" s="48" t="str">
        <f t="array" ref="P18">IFERROR(INDEX(WIP,SMALL(IF(('CURRENT WIP'!$D$1='CURRENT WIP'!$E$22:$E$148),MATCH(ROW(WIP),ROW(WIP)),""),ROW('CURRENT WIP'!L6)),COLUMN('CURRENT WIP'!L6)),"")</f>
        <v/>
      </c>
      <c r="Q18" s="48" t="str">
        <f t="array" ref="Q18">IFERROR(INDEX(WIP,SMALL(IF(('CURRENT WIP'!$D$1='CURRENT WIP'!$E$22:$E$148),MATCH(ROW(WIP),ROW(WIP)),""),ROW('CURRENT WIP'!M6)),COLUMN('CURRENT WIP'!M6)),"")</f>
        <v/>
      </c>
      <c r="R18" s="68" t="str">
        <f t="array" ref="R18">IFERROR(INDEX(WIP,SMALL(IF(('CURRENT WIP'!$D$1='CURRENT WIP'!$E$22:$E$148),MATCH(ROW(WIP),ROW(WIP)),""),ROW('CURRENT WIP'!N6)),COLUMN('CURRENT WIP'!N6)),"")</f>
        <v/>
      </c>
      <c r="S18" s="48" t="str">
        <f t="array" ref="S18">IFERROR(INDEX(WIP,SMALL(IF(('CURRENT WIP'!$D$1='CURRENT WIP'!$E$22:$E$148),MATCH(ROW(WIP),ROW(WIP)),""),ROW('CURRENT WIP'!O6)),COLUMN('CURRENT WIP'!O6)),"")</f>
        <v/>
      </c>
      <c r="T18" s="48" t="str">
        <f t="array" ref="T18">IFERROR(INDEX(WIP,SMALL(IF(('CURRENT WIP'!$D$1='CURRENT WIP'!$E$22:$E$148),MATCH(ROW(WIP),ROW(WIP)),""),ROW('CURRENT WIP'!P6)),COLUMN('CURRENT WIP'!P6)),"")</f>
        <v/>
      </c>
      <c r="U18" s="68" t="str">
        <f t="array" ref="U18">IFERROR(INDEX(WIP,SMALL(IF(('CURRENT WIP'!$D$1='CURRENT WIP'!$E$22:$E$148),MATCH(ROW(WIP),ROW(WIP)),""),ROW('CURRENT WIP'!Q6)),COLUMN('CURRENT WIP'!Q6)),"")</f>
        <v/>
      </c>
      <c r="V18" s="48" t="str">
        <f t="array" ref="V18">IFERROR(INDEX(WIP,SMALL(IF(('CURRENT WIP'!$D$1='CURRENT WIP'!$E$22:$E$148),MATCH(ROW(WIP),ROW(WIP)),""),ROW('CURRENT WIP'!R6)),COLUMN('CURRENT WIP'!R6)),"")</f>
        <v/>
      </c>
      <c r="W18" s="48" t="str">
        <f t="array" ref="W18">IFERROR(INDEX(WIP,SMALL(IF(('CURRENT WIP'!$D$1='CURRENT WIP'!$E$22:$E$148),MATCH(ROW(WIP),ROW(WIP)),""),ROW('CURRENT WIP'!S6)),COLUMN('CURRENT WIP'!S6)),"")</f>
        <v/>
      </c>
      <c r="X18" s="48" t="str">
        <f t="array" ref="X18">IFERROR(INDEX(WIP,SMALL(IF(('CURRENT WIP'!$D$1='CURRENT WIP'!$E$22:$E$148),MATCH(ROW(WIP),ROW(WIP)),""),ROW('CURRENT WIP'!T6)),COLUMN('CURRENT WIP'!T6)),"")</f>
        <v/>
      </c>
      <c r="Y18" s="88" t="str">
        <f t="array" ref="Y18">IFERROR(INDEX(WIP,SMALL(IF(('CURRENT WIP'!$D$1='CURRENT WIP'!$E$22:$E$148),MATCH(ROW(WIP),ROW(WIP)),""),ROW('CURRENT WIP'!U6)),COLUMN('CURRENT WIP'!U6)),"")</f>
        <v/>
      </c>
      <c r="Z18" s="79" t="s">
        <v>76</v>
      </c>
      <c r="AA18" s="81">
        <f>'WIP REPORT'!J56</f>
        <v>0</v>
      </c>
      <c r="AB18" s="597" t="s">
        <v>20</v>
      </c>
      <c r="AC18" s="597"/>
      <c r="AD18" s="106">
        <f>SUM(AB13:AB16)</f>
        <v>0</v>
      </c>
      <c r="AE18" s="476"/>
      <c r="AG18" s="476"/>
      <c r="AH18" s="476"/>
      <c r="AI18" s="476"/>
      <c r="AJ18" s="483"/>
      <c r="AK18" s="504"/>
      <c r="AL18" s="496"/>
      <c r="AM18" s="87"/>
      <c r="AN18" s="48"/>
      <c r="AO18" s="48"/>
      <c r="AP18" s="48"/>
      <c r="AQ18" s="66"/>
      <c r="AR18" s="66"/>
      <c r="AS18" s="48"/>
      <c r="AT18" s="66"/>
      <c r="AU18" s="48"/>
      <c r="AV18" s="67"/>
      <c r="AW18" s="48"/>
      <c r="AX18" s="48"/>
      <c r="AY18" s="48"/>
      <c r="AZ18" s="68"/>
      <c r="BA18" s="48"/>
      <c r="BB18" s="48"/>
      <c r="BC18" s="68"/>
      <c r="BD18" s="48"/>
      <c r="BE18" s="48"/>
      <c r="BF18" s="48"/>
      <c r="BG18" s="88"/>
      <c r="BH18" s="498"/>
      <c r="BI18" s="506"/>
      <c r="BJ18" s="496"/>
      <c r="BK18" s="499"/>
      <c r="BL18" s="505"/>
      <c r="BN18" s="476"/>
      <c r="BO18" s="476"/>
      <c r="BP18" s="484"/>
      <c r="BQ18" s="476"/>
      <c r="BR18" s="476"/>
      <c r="BS18" s="476"/>
      <c r="BT18" s="476"/>
      <c r="BU18" s="476"/>
      <c r="BV18" s="476"/>
      <c r="BW18" s="476"/>
      <c r="BX18" s="476"/>
    </row>
    <row r="19" spans="1:76">
      <c r="A19" s="476"/>
      <c r="B19" s="476"/>
      <c r="C19" s="477"/>
      <c r="D19" s="478"/>
      <c r="E19" s="87" t="str">
        <f t="array" ref="E19">IFERROR(INDEX(WIP,SMALL(IF(('CURRENT WIP'!$D$1='CURRENT WIP'!$E$22:E154),MATCH(ROW(WIP),ROW(WIP)),""),ROW('CURRENT WIP'!A7)),COLUMN('CURRENT WIP'!A7)),"")</f>
        <v/>
      </c>
      <c r="F19" s="48" t="str">
        <f t="array" ref="F19">IFERROR(INDEX(WIP,SMALL(IF(('CURRENT WIP'!$D$1='CURRENT WIP'!$E$22:$E$148),MATCH(ROW(WIP),ROW(WIP)),""),ROW('CURRENT WIP'!B7)),COLUMN('CURRENT WIP'!B7)),"")</f>
        <v/>
      </c>
      <c r="G19" s="48" t="str">
        <f t="array" ref="G19">IFERROR(INDEX(WIP,SMALL(IF(('CURRENT WIP'!$D$1='CURRENT WIP'!$E$22:$E$148),MATCH(ROW(WIP),ROW(WIP)),""),ROW('CURRENT WIP'!C7)),COLUMN('CURRENT WIP'!C7)),"")</f>
        <v/>
      </c>
      <c r="H19" s="48" t="str">
        <f t="array" ref="H19">IFERROR(INDEX(WIP,SMALL(IF(('CURRENT WIP'!$D$1='CURRENT WIP'!$E$22:$E$148),MATCH(ROW(WIP),ROW(WIP)),""),ROW('CURRENT WIP'!D7)),COLUMN('CURRENT WIP'!D7)),"")</f>
        <v/>
      </c>
      <c r="I19" s="66" t="str">
        <f t="array" ref="I19">IFERROR(INDEX(WIP,SMALL(IF(('CURRENT WIP'!$D$1='CURRENT WIP'!$E$22:$E$148),MATCH(ROW(WIP),ROW(WIP)),""),ROW('CURRENT WIP'!E7)),COLUMN('CURRENT WIP'!E7)),"")</f>
        <v/>
      </c>
      <c r="J19" s="66" t="str">
        <f t="array" ref="J19">IFERROR(INDEX(WIP,SMALL(IF(('CURRENT WIP'!$D$1='CURRENT WIP'!$E$22:$E$148),MATCH(ROW(WIP),ROW(WIP)),""),ROW('CURRENT WIP'!F7)),COLUMN('CURRENT WIP'!F7)),"")</f>
        <v/>
      </c>
      <c r="K19" s="48" t="str">
        <f t="array" ref="K19">IFERROR(INDEX(WIP,SMALL(IF(('CURRENT WIP'!$D$1='CURRENT WIP'!$E$22:$E$148),MATCH(ROW(WIP),ROW(WIP)),""),ROW('CURRENT WIP'!G7)),COLUMN('CURRENT WIP'!G7)),"")</f>
        <v/>
      </c>
      <c r="L19" s="66" t="str">
        <f t="array" ref="L19">IFERROR(INDEX(WIP,SMALL(IF(('CURRENT WIP'!$D$1='CURRENT WIP'!$E$22:$E$148),MATCH(ROW(WIP),ROW(WIP)),""),ROW('CURRENT WIP'!H7)),COLUMN('CURRENT WIP'!H7)),"")</f>
        <v/>
      </c>
      <c r="M19" s="48" t="str">
        <f t="array" ref="M19">IFERROR(INDEX(WIP,SMALL(IF(('CURRENT WIP'!$D$1='CURRENT WIP'!$E$22:$E$148),MATCH(ROW(WIP),ROW(WIP)),""),ROW('CURRENT WIP'!I7)),COLUMN('CURRENT WIP'!I7)),"")</f>
        <v/>
      </c>
      <c r="N19" s="67" t="str">
        <f t="array" ref="N19">IFERROR(INDEX(WIP,SMALL(IF(('CURRENT WIP'!$D$1='CURRENT WIP'!$E$22:$E$148),MATCH(ROW(WIP),ROW(WIP)),""),ROW('CURRENT WIP'!J7)),COLUMN('CURRENT WIP'!J7)),"")</f>
        <v/>
      </c>
      <c r="O19" s="48" t="str">
        <f t="array" ref="O19">IFERROR(INDEX(WIP,SMALL(IF(('CURRENT WIP'!$D$1='CURRENT WIP'!$E$22:$E$148),MATCH(ROW(WIP),ROW(WIP)),""),ROW('CURRENT WIP'!K7)),COLUMN('CURRENT WIP'!K7)),"")</f>
        <v/>
      </c>
      <c r="P19" s="48" t="str">
        <f t="array" ref="P19">IFERROR(INDEX(WIP,SMALL(IF(('CURRENT WIP'!$D$1='CURRENT WIP'!$E$22:$E$148),MATCH(ROW(WIP),ROW(WIP)),""),ROW('CURRENT WIP'!L7)),COLUMN('CURRENT WIP'!L7)),"")</f>
        <v/>
      </c>
      <c r="Q19" s="48" t="str">
        <f t="array" ref="Q19">IFERROR(INDEX(WIP,SMALL(IF(('CURRENT WIP'!$D$1='CURRENT WIP'!$E$22:$E$148),MATCH(ROW(WIP),ROW(WIP)),""),ROW('CURRENT WIP'!M7)),COLUMN('CURRENT WIP'!M7)),"")</f>
        <v/>
      </c>
      <c r="R19" s="68" t="str">
        <f t="array" ref="R19">IFERROR(INDEX(WIP,SMALL(IF(('CURRENT WIP'!$D$1='CURRENT WIP'!$E$22:$E$148),MATCH(ROW(WIP),ROW(WIP)),""),ROW('CURRENT WIP'!N7)),COLUMN('CURRENT WIP'!N7)),"")</f>
        <v/>
      </c>
      <c r="S19" s="48" t="str">
        <f t="array" ref="S19">IFERROR(INDEX(WIP,SMALL(IF(('CURRENT WIP'!$D$1='CURRENT WIP'!$E$22:$E$148),MATCH(ROW(WIP),ROW(WIP)),""),ROW('CURRENT WIP'!O7)),COLUMN('CURRENT WIP'!O7)),"")</f>
        <v/>
      </c>
      <c r="T19" s="48" t="str">
        <f t="array" ref="T19">IFERROR(INDEX(WIP,SMALL(IF(('CURRENT WIP'!$D$1='CURRENT WIP'!$E$22:$E$148),MATCH(ROW(WIP),ROW(WIP)),""),ROW('CURRENT WIP'!P7)),COLUMN('CURRENT WIP'!P7)),"")</f>
        <v/>
      </c>
      <c r="U19" s="68" t="str">
        <f t="array" ref="U19">IFERROR(INDEX(WIP,SMALL(IF(('CURRENT WIP'!$D$1='CURRENT WIP'!$E$22:$E$148),MATCH(ROW(WIP),ROW(WIP)),""),ROW('CURRENT WIP'!Q7)),COLUMN('CURRENT WIP'!Q7)),"")</f>
        <v/>
      </c>
      <c r="V19" s="48" t="str">
        <f t="array" ref="V19">IFERROR(INDEX(WIP,SMALL(IF(('CURRENT WIP'!$D$1='CURRENT WIP'!$E$22:$E$148),MATCH(ROW(WIP),ROW(WIP)),""),ROW('CURRENT WIP'!R7)),COLUMN('CURRENT WIP'!R7)),"")</f>
        <v/>
      </c>
      <c r="W19" s="48" t="str">
        <f t="array" ref="W19">IFERROR(INDEX(WIP,SMALL(IF(('CURRENT WIP'!$D$1='CURRENT WIP'!$E$22:$E$148),MATCH(ROW(WIP),ROW(WIP)),""),ROW('CURRENT WIP'!S7)),COLUMN('CURRENT WIP'!S7)),"")</f>
        <v/>
      </c>
      <c r="X19" s="48" t="str">
        <f t="array" ref="X19">IFERROR(INDEX(WIP,SMALL(IF(('CURRENT WIP'!$D$1='CURRENT WIP'!$E$22:$E$148),MATCH(ROW(WIP),ROW(WIP)),""),ROW('CURRENT WIP'!T7)),COLUMN('CURRENT WIP'!T7)),"")</f>
        <v/>
      </c>
      <c r="Y19" s="88" t="str">
        <f t="array" ref="Y19">IFERROR(INDEX(WIP,SMALL(IF(('CURRENT WIP'!$D$1='CURRENT WIP'!$E$22:$E$148),MATCH(ROW(WIP),ROW(WIP)),""),ROW('CURRENT WIP'!U7)),COLUMN('CURRENT WIP'!U7)),"")</f>
        <v/>
      </c>
      <c r="Z19" s="80"/>
      <c r="AA19" s="82"/>
      <c r="AB19" s="597" t="s">
        <v>79</v>
      </c>
      <c r="AC19" s="597"/>
      <c r="AD19" s="106">
        <f>SUM(AC13:AC16)</f>
        <v>0</v>
      </c>
      <c r="AE19" s="476"/>
      <c r="AG19" s="476"/>
      <c r="AH19" s="476"/>
      <c r="AI19" s="476"/>
      <c r="AJ19" s="483"/>
      <c r="AK19" s="504"/>
      <c r="AL19" s="496"/>
      <c r="AM19" s="87"/>
      <c r="AN19" s="48"/>
      <c r="AO19" s="48"/>
      <c r="AP19" s="48"/>
      <c r="AQ19" s="66"/>
      <c r="AR19" s="66"/>
      <c r="AS19" s="48"/>
      <c r="AT19" s="66"/>
      <c r="AU19" s="48"/>
      <c r="AV19" s="67"/>
      <c r="AW19" s="48"/>
      <c r="AX19" s="48"/>
      <c r="AY19" s="48"/>
      <c r="AZ19" s="68"/>
      <c r="BA19" s="48"/>
      <c r="BB19" s="48"/>
      <c r="BC19" s="68"/>
      <c r="BD19" s="48"/>
      <c r="BE19" s="48"/>
      <c r="BF19" s="48"/>
      <c r="BG19" s="88"/>
      <c r="BH19" s="498"/>
      <c r="BI19" s="507"/>
      <c r="BJ19" s="496"/>
      <c r="BK19" s="499"/>
      <c r="BL19" s="505"/>
      <c r="BM19" s="55"/>
      <c r="BN19" s="488"/>
      <c r="BO19" s="487"/>
      <c r="BP19" s="484"/>
      <c r="BQ19" s="476"/>
      <c r="BR19" s="476"/>
      <c r="BS19" s="476"/>
      <c r="BT19" s="476"/>
      <c r="BU19" s="476"/>
      <c r="BV19" s="476"/>
      <c r="BW19" s="476"/>
      <c r="BX19" s="476"/>
    </row>
    <row r="20" spans="1:76" ht="15.75" thickBot="1">
      <c r="A20" s="476"/>
      <c r="B20" s="476"/>
      <c r="C20" s="489"/>
      <c r="D20" s="490"/>
      <c r="E20" s="87" t="str">
        <f t="array" ref="E20">IFERROR(INDEX(WIP,SMALL(IF(('CURRENT WIP'!$D$1='CURRENT WIP'!$E$22:E155),MATCH(ROW(WIP),ROW(WIP)),""),ROW('CURRENT WIP'!A8)),COLUMN('CURRENT WIP'!A8)),"")</f>
        <v/>
      </c>
      <c r="F20" s="48" t="str">
        <f t="array" ref="F20">IFERROR(INDEX(WIP,SMALL(IF(('CURRENT WIP'!$D$1='CURRENT WIP'!$E$22:$E$148),MATCH(ROW(WIP),ROW(WIP)),""),ROW('CURRENT WIP'!B8)),COLUMN('CURRENT WIP'!B8)),"")</f>
        <v/>
      </c>
      <c r="G20" s="48" t="str">
        <f t="array" ref="G20">IFERROR(INDEX(WIP,SMALL(IF(('CURRENT WIP'!$D$1='CURRENT WIP'!$E$22:$E$148),MATCH(ROW(WIP),ROW(WIP)),""),ROW('CURRENT WIP'!C8)),COLUMN('CURRENT WIP'!C8)),"")</f>
        <v/>
      </c>
      <c r="H20" s="48" t="str">
        <f t="array" ref="H20">IFERROR(INDEX(WIP,SMALL(IF(('CURRENT WIP'!$D$1='CURRENT WIP'!$E$22:$E$148),MATCH(ROW(WIP),ROW(WIP)),""),ROW('CURRENT WIP'!D8)),COLUMN('CURRENT WIP'!D8)),"")</f>
        <v/>
      </c>
      <c r="I20" s="66" t="str">
        <f t="array" ref="I20">IFERROR(INDEX(WIP,SMALL(IF(('CURRENT WIP'!$D$1='CURRENT WIP'!$E$22:$E$148),MATCH(ROW(WIP),ROW(WIP)),""),ROW('CURRENT WIP'!E8)),COLUMN('CURRENT WIP'!E8)),"")</f>
        <v/>
      </c>
      <c r="J20" s="66" t="str">
        <f t="array" ref="J20">IFERROR(INDEX(WIP,SMALL(IF(('CURRENT WIP'!$D$1='CURRENT WIP'!$E$22:$E$148),MATCH(ROW(WIP),ROW(WIP)),""),ROW('CURRENT WIP'!F8)),COLUMN('CURRENT WIP'!F8)),"")</f>
        <v/>
      </c>
      <c r="K20" s="48" t="str">
        <f t="array" ref="K20">IFERROR(INDEX(WIP,SMALL(IF(('CURRENT WIP'!$D$1='CURRENT WIP'!$E$22:$E$148),MATCH(ROW(WIP),ROW(WIP)),""),ROW('CURRENT WIP'!G8)),COLUMN('CURRENT WIP'!G8)),"")</f>
        <v/>
      </c>
      <c r="L20" s="66" t="str">
        <f t="array" ref="L20">IFERROR(INDEX(WIP,SMALL(IF(('CURRENT WIP'!$D$1='CURRENT WIP'!$E$22:$E$148),MATCH(ROW(WIP),ROW(WIP)),""),ROW('CURRENT WIP'!H8)),COLUMN('CURRENT WIP'!H8)),"")</f>
        <v/>
      </c>
      <c r="M20" s="48" t="str">
        <f t="array" ref="M20">IFERROR(INDEX(WIP,SMALL(IF(('CURRENT WIP'!$D$1='CURRENT WIP'!$E$22:$E$148),MATCH(ROW(WIP),ROW(WIP)),""),ROW('CURRENT WIP'!I8)),COLUMN('CURRENT WIP'!I8)),"")</f>
        <v/>
      </c>
      <c r="N20" s="67" t="str">
        <f t="array" ref="N20">IFERROR(INDEX(WIP,SMALL(IF(('CURRENT WIP'!$D$1='CURRENT WIP'!$E$22:$E$148),MATCH(ROW(WIP),ROW(WIP)),""),ROW('CURRENT WIP'!J8)),COLUMN('CURRENT WIP'!J8)),"")</f>
        <v/>
      </c>
      <c r="O20" s="48" t="str">
        <f t="array" ref="O20">IFERROR(INDEX(WIP,SMALL(IF(('CURRENT WIP'!$D$1='CURRENT WIP'!$E$22:$E$148),MATCH(ROW(WIP),ROW(WIP)),""),ROW('CURRENT WIP'!K8)),COLUMN('CURRENT WIP'!K8)),"")</f>
        <v/>
      </c>
      <c r="P20" s="48" t="str">
        <f t="array" ref="P20">IFERROR(INDEX(WIP,SMALL(IF(('CURRENT WIP'!$D$1='CURRENT WIP'!$E$22:$E$148),MATCH(ROW(WIP),ROW(WIP)),""),ROW('CURRENT WIP'!L8)),COLUMN('CURRENT WIP'!L8)),"")</f>
        <v/>
      </c>
      <c r="Q20" s="48" t="str">
        <f t="array" ref="Q20">IFERROR(INDEX(WIP,SMALL(IF(('CURRENT WIP'!$D$1='CURRENT WIP'!$E$22:$E$148),MATCH(ROW(WIP),ROW(WIP)),""),ROW('CURRENT WIP'!M8)),COLUMN('CURRENT WIP'!M8)),"")</f>
        <v/>
      </c>
      <c r="R20" s="68" t="str">
        <f t="array" ref="R20">IFERROR(INDEX(WIP,SMALL(IF(('CURRENT WIP'!$D$1='CURRENT WIP'!$E$22:$E$148),MATCH(ROW(WIP),ROW(WIP)),""),ROW('CURRENT WIP'!N8)),COLUMN('CURRENT WIP'!N8)),"")</f>
        <v/>
      </c>
      <c r="S20" s="48" t="str">
        <f t="array" ref="S20">IFERROR(INDEX(WIP,SMALL(IF(('CURRENT WIP'!$D$1='CURRENT WIP'!$E$22:$E$148),MATCH(ROW(WIP),ROW(WIP)),""),ROW('CURRENT WIP'!O8)),COLUMN('CURRENT WIP'!O8)),"")</f>
        <v/>
      </c>
      <c r="T20" s="48" t="str">
        <f t="array" ref="T20">IFERROR(INDEX(WIP,SMALL(IF(('CURRENT WIP'!$D$1='CURRENT WIP'!$E$22:$E$148),MATCH(ROW(WIP),ROW(WIP)),""),ROW('CURRENT WIP'!P8)),COLUMN('CURRENT WIP'!P8)),"")</f>
        <v/>
      </c>
      <c r="U20" s="68" t="str">
        <f t="array" ref="U20">IFERROR(INDEX(WIP,SMALL(IF(('CURRENT WIP'!$D$1='CURRENT WIP'!$E$22:$E$148),MATCH(ROW(WIP),ROW(WIP)),""),ROW('CURRENT WIP'!Q8)),COLUMN('CURRENT WIP'!Q8)),"")</f>
        <v/>
      </c>
      <c r="V20" s="48" t="str">
        <f t="array" ref="V20">IFERROR(INDEX(WIP,SMALL(IF(('CURRENT WIP'!$D$1='CURRENT WIP'!$E$22:$E$148),MATCH(ROW(WIP),ROW(WIP)),""),ROW('CURRENT WIP'!R8)),COLUMN('CURRENT WIP'!R8)),"")</f>
        <v/>
      </c>
      <c r="W20" s="48" t="str">
        <f t="array" ref="W20">IFERROR(INDEX(WIP,SMALL(IF(('CURRENT WIP'!$D$1='CURRENT WIP'!$E$22:$E$148),MATCH(ROW(WIP),ROW(WIP)),""),ROW('CURRENT WIP'!S8)),COLUMN('CURRENT WIP'!S8)),"")</f>
        <v/>
      </c>
      <c r="X20" s="48" t="str">
        <f t="array" ref="X20">IFERROR(INDEX(WIP,SMALL(IF(('CURRENT WIP'!$D$1='CURRENT WIP'!$E$22:$E$148),MATCH(ROW(WIP),ROW(WIP)),""),ROW('CURRENT WIP'!T8)),COLUMN('CURRENT WIP'!T8)),"")</f>
        <v/>
      </c>
      <c r="Y20" s="88" t="str">
        <f t="array" ref="Y20">IFERROR(INDEX(WIP,SMALL(IF(('CURRENT WIP'!$D$1='CURRENT WIP'!$E$22:$E$148),MATCH(ROW(WIP),ROW(WIP)),""),ROW('CURRENT WIP'!U8)),COLUMN('CURRENT WIP'!U8)),"")</f>
        <v/>
      </c>
      <c r="Z20" s="91" t="s">
        <v>77</v>
      </c>
      <c r="AA20" s="92">
        <f>'WIP REPORT'!J58</f>
        <v>0</v>
      </c>
      <c r="AB20" s="598" t="s">
        <v>78</v>
      </c>
      <c r="AC20" s="598"/>
      <c r="AD20" s="107">
        <f>SUM(AD13:AD16)</f>
        <v>0</v>
      </c>
      <c r="AE20" s="476"/>
      <c r="AG20" s="476"/>
      <c r="AH20" s="476"/>
      <c r="AI20" s="476"/>
      <c r="AJ20" s="483"/>
      <c r="AK20" s="508"/>
      <c r="AL20" s="509"/>
      <c r="AM20" s="87"/>
      <c r="AN20" s="48"/>
      <c r="AO20" s="48"/>
      <c r="AP20" s="48"/>
      <c r="AQ20" s="66"/>
      <c r="AR20" s="66"/>
      <c r="AS20" s="48"/>
      <c r="AT20" s="66"/>
      <c r="AU20" s="48"/>
      <c r="AV20" s="67"/>
      <c r="AW20" s="48"/>
      <c r="AX20" s="48"/>
      <c r="AY20" s="48"/>
      <c r="AZ20" s="68"/>
      <c r="BA20" s="48"/>
      <c r="BB20" s="48"/>
      <c r="BC20" s="68"/>
      <c r="BD20" s="48"/>
      <c r="BE20" s="48"/>
      <c r="BF20" s="48"/>
      <c r="BG20" s="88"/>
      <c r="BH20" s="500"/>
      <c r="BI20" s="511"/>
      <c r="BJ20" s="509"/>
      <c r="BK20" s="501"/>
      <c r="BL20" s="510"/>
      <c r="BN20" s="476"/>
      <c r="BO20" s="476"/>
      <c r="BP20" s="484"/>
      <c r="BQ20" s="476"/>
      <c r="BR20" s="476"/>
      <c r="BS20" s="476"/>
      <c r="BT20" s="476"/>
      <c r="BU20" s="476"/>
      <c r="BV20" s="476"/>
      <c r="BW20" s="476"/>
      <c r="BX20" s="476"/>
    </row>
    <row r="21" spans="1:76" hidden="1">
      <c r="A21" s="476"/>
      <c r="B21" s="476"/>
      <c r="C21" s="476"/>
      <c r="D21" s="476"/>
      <c r="E21" s="87" t="str">
        <f t="array" ref="E21">IFERROR(INDEX(WIP,SMALL(IF(('CURRENT WIP'!$D$1='CURRENT WIP'!$E$22:E156),MATCH(ROW(WIP),ROW(WIP)),""),ROW('CURRENT WIP'!A9)),COLUMN('CURRENT WIP'!A9)),"")</f>
        <v/>
      </c>
      <c r="F21" s="48" t="str">
        <f t="array" ref="F21">IFERROR(INDEX(WIP,SMALL(IF(('CURRENT WIP'!$D$1='CURRENT WIP'!$E$22:$E$148),MATCH(ROW(WIP),ROW(WIP)),""),ROW('CURRENT WIP'!B9)),COLUMN('CURRENT WIP'!B9)),"")</f>
        <v/>
      </c>
      <c r="G21" s="48" t="str">
        <f t="array" ref="G21">IFERROR(INDEX(WIP,SMALL(IF(('CURRENT WIP'!$D$1='CURRENT WIP'!$E$22:$E$148),MATCH(ROW(WIP),ROW(WIP)),""),ROW('CURRENT WIP'!C9)),COLUMN('CURRENT WIP'!C9)),"")</f>
        <v/>
      </c>
      <c r="H21" s="48" t="str">
        <f t="array" ref="H21">IFERROR(INDEX(WIP,SMALL(IF(('CURRENT WIP'!$D$1='CURRENT WIP'!$E$22:$E$148),MATCH(ROW(WIP),ROW(WIP)),""),ROW('CURRENT WIP'!D9)),COLUMN('CURRENT WIP'!D9)),"")</f>
        <v/>
      </c>
      <c r="I21" s="66" t="str">
        <f t="array" ref="I21">IFERROR(INDEX(WIP,SMALL(IF(('CURRENT WIP'!$D$1='CURRENT WIP'!$E$22:$E$148),MATCH(ROW(WIP),ROW(WIP)),""),ROW('CURRENT WIP'!E9)),COLUMN('CURRENT WIP'!E9)),"")</f>
        <v/>
      </c>
      <c r="J21" s="66" t="str">
        <f t="array" ref="J21">IFERROR(INDEX(WIP,SMALL(IF(('CURRENT WIP'!$D$1='CURRENT WIP'!$E$22:$E$148),MATCH(ROW(WIP),ROW(WIP)),""),ROW('CURRENT WIP'!F9)),COLUMN('CURRENT WIP'!F9)),"")</f>
        <v/>
      </c>
      <c r="K21" s="48" t="str">
        <f t="array" ref="K21">IFERROR(INDEX(WIP,SMALL(IF(('CURRENT WIP'!$D$1='CURRENT WIP'!$E$22:$E$148),MATCH(ROW(WIP),ROW(WIP)),""),ROW('CURRENT WIP'!G9)),COLUMN('CURRENT WIP'!G9)),"")</f>
        <v/>
      </c>
      <c r="L21" s="66" t="str">
        <f t="array" ref="L21">IFERROR(INDEX(WIP,SMALL(IF(('CURRENT WIP'!$D$1='CURRENT WIP'!$E$22:$E$148),MATCH(ROW(WIP),ROW(WIP)),""),ROW('CURRENT WIP'!H9)),COLUMN('CURRENT WIP'!H9)),"")</f>
        <v/>
      </c>
      <c r="M21" s="48" t="str">
        <f t="array" ref="M21">IFERROR(INDEX(WIP,SMALL(IF(('CURRENT WIP'!$D$1='CURRENT WIP'!$E$22:$E$148),MATCH(ROW(WIP),ROW(WIP)),""),ROW('CURRENT WIP'!I9)),COLUMN('CURRENT WIP'!I9)),"")</f>
        <v/>
      </c>
      <c r="N21" s="67" t="str">
        <f t="array" ref="N21">IFERROR(INDEX(WIP,SMALL(IF(('CURRENT WIP'!$D$1='CURRENT WIP'!$E$22:$E$148),MATCH(ROW(WIP),ROW(WIP)),""),ROW('CURRENT WIP'!J9)),COLUMN('CURRENT WIP'!J9)),"")</f>
        <v/>
      </c>
      <c r="O21" s="48" t="str">
        <f t="array" ref="O21">IFERROR(INDEX(WIP,SMALL(IF(('CURRENT WIP'!$D$1='CURRENT WIP'!$E$22:$E$148),MATCH(ROW(WIP),ROW(WIP)),""),ROW('CURRENT WIP'!K9)),COLUMN('CURRENT WIP'!K9)),"")</f>
        <v/>
      </c>
      <c r="P21" s="48" t="str">
        <f t="array" ref="P21">IFERROR(INDEX(WIP,SMALL(IF(('CURRENT WIP'!$D$1='CURRENT WIP'!$E$22:$E$148),MATCH(ROW(WIP),ROW(WIP)),""),ROW('CURRENT WIP'!L9)),COLUMN('CURRENT WIP'!L9)),"")</f>
        <v/>
      </c>
      <c r="Q21" s="48" t="str">
        <f t="array" ref="Q21">IFERROR(INDEX(WIP,SMALL(IF(('CURRENT WIP'!$D$1='CURRENT WIP'!$E$22:$E$148),MATCH(ROW(WIP),ROW(WIP)),""),ROW('CURRENT WIP'!M9)),COLUMN('CURRENT WIP'!M9)),"")</f>
        <v/>
      </c>
      <c r="R21" s="68" t="str">
        <f t="array" ref="R21">IFERROR(INDEX(WIP,SMALL(IF(('CURRENT WIP'!$D$1='CURRENT WIP'!$E$22:$E$148),MATCH(ROW(WIP),ROW(WIP)),""),ROW('CURRENT WIP'!N9)),COLUMN('CURRENT WIP'!N9)),"")</f>
        <v/>
      </c>
      <c r="S21" s="48" t="str">
        <f t="array" ref="S21">IFERROR(INDEX(WIP,SMALL(IF(('CURRENT WIP'!$D$1='CURRENT WIP'!$E$22:$E$148),MATCH(ROW(WIP),ROW(WIP)),""),ROW('CURRENT WIP'!O9)),COLUMN('CURRENT WIP'!O9)),"")</f>
        <v/>
      </c>
      <c r="T21" s="48" t="str">
        <f t="array" ref="T21">IFERROR(INDEX(WIP,SMALL(IF(('CURRENT WIP'!$D$1='CURRENT WIP'!$E$22:$E$148),MATCH(ROW(WIP),ROW(WIP)),""),ROW('CURRENT WIP'!P9)),COLUMN('CURRENT WIP'!P9)),"")</f>
        <v/>
      </c>
      <c r="U21" s="68" t="str">
        <f t="array" ref="U21">IFERROR(INDEX(WIP,SMALL(IF(('CURRENT WIP'!$D$1='CURRENT WIP'!$E$22:$E$148),MATCH(ROW(WIP),ROW(WIP)),""),ROW('CURRENT WIP'!Q9)),COLUMN('CURRENT WIP'!Q9)),"")</f>
        <v/>
      </c>
      <c r="V21" s="48" t="str">
        <f t="array" ref="V21">IFERROR(INDEX(WIP,SMALL(IF(('CURRENT WIP'!$D$1='CURRENT WIP'!$E$22:$E$148),MATCH(ROW(WIP),ROW(WIP)),""),ROW('CURRENT WIP'!R9)),COLUMN('CURRENT WIP'!R9)),"")</f>
        <v/>
      </c>
      <c r="W21" s="48" t="str">
        <f t="array" ref="W21">IFERROR(INDEX(WIP,SMALL(IF(('CURRENT WIP'!$D$1='CURRENT WIP'!$E$22:$E$148),MATCH(ROW(WIP),ROW(WIP)),""),ROW('CURRENT WIP'!S9)),COLUMN('CURRENT WIP'!S9)),"")</f>
        <v/>
      </c>
      <c r="X21" s="48" t="str">
        <f t="array" ref="X21">IFERROR(INDEX(WIP,SMALL(IF(('CURRENT WIP'!$D$1='CURRENT WIP'!$E$22:$E$148),MATCH(ROW(WIP),ROW(WIP)),""),ROW('CURRENT WIP'!T9)),COLUMN('CURRENT WIP'!T9)),"")</f>
        <v/>
      </c>
      <c r="Y21" s="88" t="str">
        <f t="array" ref="Y21">IFERROR(INDEX(WIP,SMALL(IF(('CURRENT WIP'!$D$1='CURRENT WIP'!$E$22:$E$148),MATCH(ROW(WIP),ROW(WIP)),""),ROW('CURRENT WIP'!U9)),COLUMN('CURRENT WIP'!U9)),"")</f>
        <v/>
      </c>
      <c r="Z21" s="476"/>
      <c r="AA21" s="476"/>
      <c r="AB21" s="476"/>
      <c r="AC21" s="476"/>
      <c r="AD21" s="476"/>
      <c r="AE21" s="476"/>
      <c r="AF21" s="492">
        <f t="array" ref="AF21">INDEX($AM$13:$AM$42, SMALL(IF(ISERROR(MATCH($AM$13:$AM$42, $E$13:$E$42, 0)), (ROW($AM$13:$AM$42)-MIN(ROW($AM$13:$AM$42))+1), ""), ROW(9:9)))</f>
        <v>0</v>
      </c>
      <c r="AG21" s="476"/>
      <c r="AH21" s="476"/>
      <c r="AI21" s="476"/>
      <c r="AJ21" s="483"/>
      <c r="AK21" s="478"/>
      <c r="AL21" s="476"/>
      <c r="AM21" s="87"/>
      <c r="AN21" s="48"/>
      <c r="AO21" s="48"/>
      <c r="AP21" s="48"/>
      <c r="AQ21" s="66"/>
      <c r="AR21" s="66"/>
      <c r="AS21" s="48"/>
      <c r="AT21" s="66"/>
      <c r="AU21" s="48"/>
      <c r="AV21" s="67"/>
      <c r="AW21" s="48"/>
      <c r="AX21" s="48"/>
      <c r="AY21" s="48"/>
      <c r="AZ21" s="68"/>
      <c r="BA21" s="48"/>
      <c r="BB21" s="48"/>
      <c r="BC21" s="68"/>
      <c r="BD21" s="48"/>
      <c r="BE21" s="48"/>
      <c r="BF21" s="48"/>
      <c r="BG21" s="88"/>
      <c r="BH21" s="476"/>
      <c r="BI21" s="476"/>
      <c r="BJ21" s="476"/>
      <c r="BK21" s="476"/>
      <c r="BL21" s="476"/>
      <c r="BN21" s="476"/>
      <c r="BO21" s="476"/>
      <c r="BP21" s="484"/>
      <c r="BQ21" s="476"/>
      <c r="BR21" s="476"/>
      <c r="BS21" s="476"/>
      <c r="BT21" s="476"/>
      <c r="BU21" s="476"/>
      <c r="BV21" s="476"/>
      <c r="BW21" s="476"/>
      <c r="BX21" s="476"/>
    </row>
    <row r="22" spans="1:76" hidden="1">
      <c r="A22" s="476"/>
      <c r="B22" s="476"/>
      <c r="C22" s="476"/>
      <c r="D22" s="476"/>
      <c r="E22" s="87" t="str">
        <f t="array" ref="E22">IFERROR(INDEX(WIP,SMALL(IF(('CURRENT WIP'!$D$1='CURRENT WIP'!$E$22:E157),MATCH(ROW(WIP),ROW(WIP)),""),ROW('CURRENT WIP'!A10)),COLUMN('CURRENT WIP'!A10)),"")</f>
        <v/>
      </c>
      <c r="F22" s="48" t="str">
        <f t="array" ref="F22">IFERROR(INDEX(WIP,SMALL(IF(('CURRENT WIP'!$D$1='CURRENT WIP'!$E$22:$E$148),MATCH(ROW(WIP),ROW(WIP)),""),ROW('CURRENT WIP'!B10)),COLUMN('CURRENT WIP'!B10)),"")</f>
        <v/>
      </c>
      <c r="G22" s="48" t="str">
        <f t="array" ref="G22">IFERROR(INDEX(WIP,SMALL(IF(('CURRENT WIP'!$D$1='CURRENT WIP'!$E$22:$E$148),MATCH(ROW(WIP),ROW(WIP)),""),ROW('CURRENT WIP'!C10)),COLUMN('CURRENT WIP'!C10)),"")</f>
        <v/>
      </c>
      <c r="H22" s="48" t="str">
        <f t="array" ref="H22">IFERROR(INDEX(WIP,SMALL(IF(('CURRENT WIP'!$D$1='CURRENT WIP'!$E$22:$E$148),MATCH(ROW(WIP),ROW(WIP)),""),ROW('CURRENT WIP'!D10)),COLUMN('CURRENT WIP'!D10)),"")</f>
        <v/>
      </c>
      <c r="I22" s="66" t="str">
        <f t="array" ref="I22">IFERROR(INDEX(WIP,SMALL(IF(('CURRENT WIP'!$D$1='CURRENT WIP'!$E$22:$E$148),MATCH(ROW(WIP),ROW(WIP)),""),ROW('CURRENT WIP'!E10)),COLUMN('CURRENT WIP'!E10)),"")</f>
        <v/>
      </c>
      <c r="J22" s="66" t="str">
        <f t="array" ref="J22">IFERROR(INDEX(WIP,SMALL(IF(('CURRENT WIP'!$D$1='CURRENT WIP'!$E$22:$E$148),MATCH(ROW(WIP),ROW(WIP)),""),ROW('CURRENT WIP'!F10)),COLUMN('CURRENT WIP'!F10)),"")</f>
        <v/>
      </c>
      <c r="K22" s="48" t="str">
        <f t="array" ref="K22">IFERROR(INDEX(WIP,SMALL(IF(('CURRENT WIP'!$D$1='CURRENT WIP'!$E$22:$E$148),MATCH(ROW(WIP),ROW(WIP)),""),ROW('CURRENT WIP'!G10)),COLUMN('CURRENT WIP'!G10)),"")</f>
        <v/>
      </c>
      <c r="L22" s="66" t="str">
        <f t="array" ref="L22">IFERROR(INDEX(WIP,SMALL(IF(('CURRENT WIP'!$D$1='CURRENT WIP'!$E$22:$E$148),MATCH(ROW(WIP),ROW(WIP)),""),ROW('CURRENT WIP'!H10)),COLUMN('CURRENT WIP'!H10)),"")</f>
        <v/>
      </c>
      <c r="M22" s="48" t="str">
        <f t="array" ref="M22">IFERROR(INDEX(WIP,SMALL(IF(('CURRENT WIP'!$D$1='CURRENT WIP'!$E$22:$E$148),MATCH(ROW(WIP),ROW(WIP)),""),ROW('CURRENT WIP'!I10)),COLUMN('CURRENT WIP'!I10)),"")</f>
        <v/>
      </c>
      <c r="N22" s="67" t="str">
        <f t="array" ref="N22">IFERROR(INDEX(WIP,SMALL(IF(('CURRENT WIP'!$D$1='CURRENT WIP'!$E$22:$E$148),MATCH(ROW(WIP),ROW(WIP)),""),ROW('CURRENT WIP'!J10)),COLUMN('CURRENT WIP'!J10)),"")</f>
        <v/>
      </c>
      <c r="O22" s="48" t="str">
        <f t="array" ref="O22">IFERROR(INDEX(WIP,SMALL(IF(('CURRENT WIP'!$D$1='CURRENT WIP'!$E$22:$E$148),MATCH(ROW(WIP),ROW(WIP)),""),ROW('CURRENT WIP'!K10)),COLUMN('CURRENT WIP'!K10)),"")</f>
        <v/>
      </c>
      <c r="P22" s="48" t="str">
        <f t="array" ref="P22">IFERROR(INDEX(WIP,SMALL(IF(('CURRENT WIP'!$D$1='CURRENT WIP'!$E$22:$E$148),MATCH(ROW(WIP),ROW(WIP)),""),ROW('CURRENT WIP'!L10)),COLUMN('CURRENT WIP'!L10)),"")</f>
        <v/>
      </c>
      <c r="Q22" s="48" t="str">
        <f t="array" ref="Q22">IFERROR(INDEX(WIP,SMALL(IF(('CURRENT WIP'!$D$1='CURRENT WIP'!$E$22:$E$148),MATCH(ROW(WIP),ROW(WIP)),""),ROW('CURRENT WIP'!M10)),COLUMN('CURRENT WIP'!M10)),"")</f>
        <v/>
      </c>
      <c r="R22" s="68" t="str">
        <f t="array" ref="R22">IFERROR(INDEX(WIP,SMALL(IF(('CURRENT WIP'!$D$1='CURRENT WIP'!$E$22:$E$148),MATCH(ROW(WIP),ROW(WIP)),""),ROW('CURRENT WIP'!N10)),COLUMN('CURRENT WIP'!N10)),"")</f>
        <v/>
      </c>
      <c r="S22" s="48" t="str">
        <f t="array" ref="S22">IFERROR(INDEX(WIP,SMALL(IF(('CURRENT WIP'!$D$1='CURRENT WIP'!$E$22:$E$148),MATCH(ROW(WIP),ROW(WIP)),""),ROW('CURRENT WIP'!O10)),COLUMN('CURRENT WIP'!O10)),"")</f>
        <v/>
      </c>
      <c r="T22" s="48" t="str">
        <f t="array" ref="T22">IFERROR(INDEX(WIP,SMALL(IF(('CURRENT WIP'!$D$1='CURRENT WIP'!$E$22:$E$148),MATCH(ROW(WIP),ROW(WIP)),""),ROW('CURRENT WIP'!P10)),COLUMN('CURRENT WIP'!P10)),"")</f>
        <v/>
      </c>
      <c r="U22" s="68" t="str">
        <f t="array" ref="U22">IFERROR(INDEX(WIP,SMALL(IF(('CURRENT WIP'!$D$1='CURRENT WIP'!$E$22:$E$148),MATCH(ROW(WIP),ROW(WIP)),""),ROW('CURRENT WIP'!Q10)),COLUMN('CURRENT WIP'!Q10)),"")</f>
        <v/>
      </c>
      <c r="V22" s="48" t="str">
        <f t="array" ref="V22">IFERROR(INDEX(WIP,SMALL(IF(('CURRENT WIP'!$D$1='CURRENT WIP'!$E$22:$E$148),MATCH(ROW(WIP),ROW(WIP)),""),ROW('CURRENT WIP'!R10)),COLUMN('CURRENT WIP'!R10)),"")</f>
        <v/>
      </c>
      <c r="W22" s="48" t="str">
        <f t="array" ref="W22">IFERROR(INDEX(WIP,SMALL(IF(('CURRENT WIP'!$D$1='CURRENT WIP'!$E$22:$E$148),MATCH(ROW(WIP),ROW(WIP)),""),ROW('CURRENT WIP'!S10)),COLUMN('CURRENT WIP'!S10)),"")</f>
        <v/>
      </c>
      <c r="X22" s="48" t="str">
        <f t="array" ref="X22">IFERROR(INDEX(WIP,SMALL(IF(('CURRENT WIP'!$D$1='CURRENT WIP'!$E$22:$E$148),MATCH(ROW(WIP),ROW(WIP)),""),ROW('CURRENT WIP'!T10)),COLUMN('CURRENT WIP'!T10)),"")</f>
        <v/>
      </c>
      <c r="Y22" s="88" t="str">
        <f t="array" ref="Y22">IFERROR(INDEX(WIP,SMALL(IF(('CURRENT WIP'!$D$1='CURRENT WIP'!$E$22:$E$148),MATCH(ROW(WIP),ROW(WIP)),""),ROW('CURRENT WIP'!U10)),COLUMN('CURRENT WIP'!U10)),"")</f>
        <v/>
      </c>
      <c r="Z22" s="476"/>
      <c r="AA22" s="476"/>
      <c r="AB22" s="476"/>
      <c r="AC22" s="476"/>
      <c r="AD22" s="476"/>
      <c r="AE22" s="476"/>
      <c r="AF22" s="492">
        <f t="array" ref="AF22">INDEX($AM$13:$AM$42, SMALL(IF(ISERROR(MATCH($AM$13:$AM$42, $E$13:$E$42, 0)), (ROW($AM$13:$AM$42)-MIN(ROW($AM$13:$AM$42))+1), ""), ROW(10:10)))</f>
        <v>0</v>
      </c>
      <c r="AG22" s="476"/>
      <c r="AH22" s="476"/>
      <c r="AI22" s="476"/>
      <c r="AJ22" s="483"/>
      <c r="AK22" s="478"/>
      <c r="AL22" s="476"/>
      <c r="AM22" s="87"/>
      <c r="AN22" s="48"/>
      <c r="AO22" s="48"/>
      <c r="AP22" s="48"/>
      <c r="AQ22" s="66"/>
      <c r="AR22" s="66"/>
      <c r="AS22" s="48"/>
      <c r="AT22" s="66"/>
      <c r="AU22" s="48"/>
      <c r="AV22" s="67"/>
      <c r="AW22" s="48"/>
      <c r="AX22" s="48"/>
      <c r="AY22" s="48"/>
      <c r="AZ22" s="68"/>
      <c r="BA22" s="48"/>
      <c r="BB22" s="48"/>
      <c r="BC22" s="68"/>
      <c r="BD22" s="48"/>
      <c r="BE22" s="48"/>
      <c r="BF22" s="48"/>
      <c r="BG22" s="88"/>
      <c r="BH22" s="476"/>
      <c r="BI22" s="476"/>
      <c r="BJ22" s="476"/>
      <c r="BK22" s="476"/>
      <c r="BL22" s="476"/>
      <c r="BN22" s="476"/>
      <c r="BO22" s="476"/>
      <c r="BP22" s="484"/>
      <c r="BQ22" s="476"/>
      <c r="BR22" s="476"/>
      <c r="BS22" s="476"/>
      <c r="BT22" s="476"/>
      <c r="BU22" s="476"/>
      <c r="BV22" s="476"/>
      <c r="BW22" s="476"/>
      <c r="BX22" s="476"/>
    </row>
    <row r="23" spans="1:76" hidden="1">
      <c r="A23" s="476"/>
      <c r="B23" s="476"/>
      <c r="C23" s="476"/>
      <c r="D23" s="476"/>
      <c r="E23" s="87" t="str">
        <f t="array" ref="E23">IFERROR(INDEX(WIP,SMALL(IF(('CURRENT WIP'!$D$1='CURRENT WIP'!$E$22:E158),MATCH(ROW(WIP),ROW(WIP)),""),ROW('CURRENT WIP'!A11)),COLUMN('CURRENT WIP'!A11)),"")</f>
        <v/>
      </c>
      <c r="F23" s="48" t="str">
        <f t="array" ref="F23">IFERROR(INDEX(WIP,SMALL(IF(('CURRENT WIP'!$D$1='CURRENT WIP'!$E$22:$E$148),MATCH(ROW(WIP),ROW(WIP)),""),ROW('CURRENT WIP'!B11)),COLUMN('CURRENT WIP'!B11)),"")</f>
        <v/>
      </c>
      <c r="G23" s="48" t="str">
        <f t="array" ref="G23">IFERROR(INDEX(WIP,SMALL(IF(('CURRENT WIP'!$D$1='CURRENT WIP'!$E$22:$E$148),MATCH(ROW(WIP),ROW(WIP)),""),ROW('CURRENT WIP'!C11)),COLUMN('CURRENT WIP'!C11)),"")</f>
        <v/>
      </c>
      <c r="H23" s="48" t="str">
        <f t="array" ref="H23">IFERROR(INDEX(WIP,SMALL(IF(('CURRENT WIP'!$D$1='CURRENT WIP'!$E$22:$E$148),MATCH(ROW(WIP),ROW(WIP)),""),ROW('CURRENT WIP'!D11)),COLUMN('CURRENT WIP'!D11)),"")</f>
        <v/>
      </c>
      <c r="I23" s="66" t="str">
        <f t="array" ref="I23">IFERROR(INDEX(WIP,SMALL(IF(('CURRENT WIP'!$D$1='CURRENT WIP'!$E$22:$E$148),MATCH(ROW(WIP),ROW(WIP)),""),ROW('CURRENT WIP'!E11)),COLUMN('CURRENT WIP'!E11)),"")</f>
        <v/>
      </c>
      <c r="J23" s="66" t="str">
        <f t="array" ref="J23">IFERROR(INDEX(WIP,SMALL(IF(('CURRENT WIP'!$D$1='CURRENT WIP'!$E$22:$E$148),MATCH(ROW(WIP),ROW(WIP)),""),ROW('CURRENT WIP'!F11)),COLUMN('CURRENT WIP'!F11)),"")</f>
        <v/>
      </c>
      <c r="K23" s="48" t="str">
        <f t="array" ref="K23">IFERROR(INDEX(WIP,SMALL(IF(('CURRENT WIP'!$D$1='CURRENT WIP'!$E$22:$E$148),MATCH(ROW(WIP),ROW(WIP)),""),ROW('CURRENT WIP'!G11)),COLUMN('CURRENT WIP'!G11)),"")</f>
        <v/>
      </c>
      <c r="L23" s="66" t="str">
        <f t="array" ref="L23">IFERROR(INDEX(WIP,SMALL(IF(('CURRENT WIP'!$D$1='CURRENT WIP'!$E$22:$E$148),MATCH(ROW(WIP),ROW(WIP)),""),ROW('CURRENT WIP'!H11)),COLUMN('CURRENT WIP'!H11)),"")</f>
        <v/>
      </c>
      <c r="M23" s="48" t="str">
        <f t="array" ref="M23">IFERROR(INDEX(WIP,SMALL(IF(('CURRENT WIP'!$D$1='CURRENT WIP'!$E$22:$E$148),MATCH(ROW(WIP),ROW(WIP)),""),ROW('CURRENT WIP'!I11)),COLUMN('CURRENT WIP'!I11)),"")</f>
        <v/>
      </c>
      <c r="N23" s="67" t="str">
        <f t="array" ref="N23">IFERROR(INDEX(WIP,SMALL(IF(('CURRENT WIP'!$D$1='CURRENT WIP'!$E$22:$E$148),MATCH(ROW(WIP),ROW(WIP)),""),ROW('CURRENT WIP'!J11)),COLUMN('CURRENT WIP'!J11)),"")</f>
        <v/>
      </c>
      <c r="O23" s="48" t="str">
        <f t="array" ref="O23">IFERROR(INDEX(WIP,SMALL(IF(('CURRENT WIP'!$D$1='CURRENT WIP'!$E$22:$E$148),MATCH(ROW(WIP),ROW(WIP)),""),ROW('CURRENT WIP'!K11)),COLUMN('CURRENT WIP'!K11)),"")</f>
        <v/>
      </c>
      <c r="P23" s="48" t="str">
        <f t="array" ref="P23">IFERROR(INDEX(WIP,SMALL(IF(('CURRENT WIP'!$D$1='CURRENT WIP'!$E$22:$E$148),MATCH(ROW(WIP),ROW(WIP)),""),ROW('CURRENT WIP'!L11)),COLUMN('CURRENT WIP'!L11)),"")</f>
        <v/>
      </c>
      <c r="Q23" s="48" t="str">
        <f t="array" ref="Q23">IFERROR(INDEX(WIP,SMALL(IF(('CURRENT WIP'!$D$1='CURRENT WIP'!$E$22:$E$148),MATCH(ROW(WIP),ROW(WIP)),""),ROW('CURRENT WIP'!M11)),COLUMN('CURRENT WIP'!M11)),"")</f>
        <v/>
      </c>
      <c r="R23" s="68" t="str">
        <f t="array" ref="R23">IFERROR(INDEX(WIP,SMALL(IF(('CURRENT WIP'!$D$1='CURRENT WIP'!$E$22:$E$148),MATCH(ROW(WIP),ROW(WIP)),""),ROW('CURRENT WIP'!N11)),COLUMN('CURRENT WIP'!N11)),"")</f>
        <v/>
      </c>
      <c r="S23" s="48" t="str">
        <f t="array" ref="S23">IFERROR(INDEX(WIP,SMALL(IF(('CURRENT WIP'!$D$1='CURRENT WIP'!$E$22:$E$148),MATCH(ROW(WIP),ROW(WIP)),""),ROW('CURRENT WIP'!O11)),COLUMN('CURRENT WIP'!O11)),"")</f>
        <v/>
      </c>
      <c r="T23" s="48" t="str">
        <f t="array" ref="T23">IFERROR(INDEX(WIP,SMALL(IF(('CURRENT WIP'!$D$1='CURRENT WIP'!$E$22:$E$148),MATCH(ROW(WIP),ROW(WIP)),""),ROW('CURRENT WIP'!P11)),COLUMN('CURRENT WIP'!P11)),"")</f>
        <v/>
      </c>
      <c r="U23" s="68" t="str">
        <f t="array" ref="U23">IFERROR(INDEX(WIP,SMALL(IF(('CURRENT WIP'!$D$1='CURRENT WIP'!$E$22:$E$148),MATCH(ROW(WIP),ROW(WIP)),""),ROW('CURRENT WIP'!Q11)),COLUMN('CURRENT WIP'!Q11)),"")</f>
        <v/>
      </c>
      <c r="V23" s="48" t="str">
        <f t="array" ref="V23">IFERROR(INDEX(WIP,SMALL(IF(('CURRENT WIP'!$D$1='CURRENT WIP'!$E$22:$E$148),MATCH(ROW(WIP),ROW(WIP)),""),ROW('CURRENT WIP'!R11)),COLUMN('CURRENT WIP'!R11)),"")</f>
        <v/>
      </c>
      <c r="W23" s="48" t="str">
        <f t="array" ref="W23">IFERROR(INDEX(WIP,SMALL(IF(('CURRENT WIP'!$D$1='CURRENT WIP'!$E$22:$E$148),MATCH(ROW(WIP),ROW(WIP)),""),ROW('CURRENT WIP'!S11)),COLUMN('CURRENT WIP'!S11)),"")</f>
        <v/>
      </c>
      <c r="X23" s="48" t="str">
        <f t="array" ref="X23">IFERROR(INDEX(WIP,SMALL(IF(('CURRENT WIP'!$D$1='CURRENT WIP'!$E$22:$E$148),MATCH(ROW(WIP),ROW(WIP)),""),ROW('CURRENT WIP'!T11)),COLUMN('CURRENT WIP'!T11)),"")</f>
        <v/>
      </c>
      <c r="Y23" s="88" t="str">
        <f t="array" ref="Y23">IFERROR(INDEX(WIP,SMALL(IF(('CURRENT WIP'!$D$1='CURRENT WIP'!$E$22:$E$148),MATCH(ROW(WIP),ROW(WIP)),""),ROW('CURRENT WIP'!U11)),COLUMN('CURRENT WIP'!U11)),"")</f>
        <v/>
      </c>
      <c r="Z23" s="476"/>
      <c r="AA23" s="476"/>
      <c r="AB23" s="476"/>
      <c r="AC23" s="476"/>
      <c r="AD23" s="476"/>
      <c r="AE23" s="476"/>
      <c r="AF23" s="476"/>
      <c r="AG23" s="476"/>
      <c r="AH23" s="476"/>
      <c r="AI23" s="476"/>
      <c r="AJ23" s="483"/>
      <c r="AK23" s="478"/>
      <c r="AL23" s="476"/>
      <c r="AM23" s="87"/>
      <c r="AN23" s="48"/>
      <c r="AO23" s="48"/>
      <c r="AP23" s="48"/>
      <c r="AQ23" s="66"/>
      <c r="AR23" s="66"/>
      <c r="AS23" s="48"/>
      <c r="AT23" s="66"/>
      <c r="AU23" s="48"/>
      <c r="AV23" s="67"/>
      <c r="AW23" s="48"/>
      <c r="AX23" s="48"/>
      <c r="AY23" s="48"/>
      <c r="AZ23" s="68"/>
      <c r="BA23" s="48"/>
      <c r="BB23" s="48"/>
      <c r="BC23" s="68"/>
      <c r="BD23" s="48"/>
      <c r="BE23" s="48"/>
      <c r="BF23" s="48"/>
      <c r="BG23" s="88"/>
      <c r="BH23" s="476"/>
      <c r="BI23" s="476"/>
      <c r="BJ23" s="476"/>
      <c r="BK23" s="476"/>
      <c r="BL23" s="476"/>
      <c r="BN23" s="476"/>
      <c r="BO23" s="476"/>
      <c r="BP23" s="484"/>
      <c r="BQ23" s="476"/>
      <c r="BR23" s="476"/>
      <c r="BS23" s="476"/>
      <c r="BT23" s="476"/>
      <c r="BU23" s="476"/>
      <c r="BV23" s="476"/>
      <c r="BW23" s="476"/>
      <c r="BX23" s="476"/>
    </row>
    <row r="24" spans="1:76" hidden="1">
      <c r="A24" s="476"/>
      <c r="B24" s="476"/>
      <c r="C24" s="476"/>
      <c r="D24" s="476"/>
      <c r="E24" s="87" t="str">
        <f t="array" ref="E24">IFERROR(INDEX(WIP,SMALL(IF(('CURRENT WIP'!$D$1='CURRENT WIP'!$E$22:E159),MATCH(ROW(WIP),ROW(WIP)),""),ROW('CURRENT WIP'!A12)),COLUMN('CURRENT WIP'!A12)),"")</f>
        <v/>
      </c>
      <c r="F24" s="48" t="str">
        <f t="array" ref="F24">IFERROR(INDEX(WIP,SMALL(IF(('CURRENT WIP'!$D$1='CURRENT WIP'!$E$22:$E$148),MATCH(ROW(WIP),ROW(WIP)),""),ROW('CURRENT WIP'!B12)),COLUMN('CURRENT WIP'!B12)),"")</f>
        <v/>
      </c>
      <c r="G24" s="48" t="str">
        <f t="array" ref="G24">IFERROR(INDEX(WIP,SMALL(IF(('CURRENT WIP'!$D$1='CURRENT WIP'!$E$22:$E$148),MATCH(ROW(WIP),ROW(WIP)),""),ROW('CURRENT WIP'!C12)),COLUMN('CURRENT WIP'!C12)),"")</f>
        <v/>
      </c>
      <c r="H24" s="48" t="str">
        <f t="array" ref="H24">IFERROR(INDEX(WIP,SMALL(IF(('CURRENT WIP'!$D$1='CURRENT WIP'!$E$22:$E$148),MATCH(ROW(WIP),ROW(WIP)),""),ROW('CURRENT WIP'!D12)),COLUMN('CURRENT WIP'!D12)),"")</f>
        <v/>
      </c>
      <c r="I24" s="66" t="str">
        <f t="array" ref="I24">IFERROR(INDEX(WIP,SMALL(IF(('CURRENT WIP'!$D$1='CURRENT WIP'!$E$22:$E$148),MATCH(ROW(WIP),ROW(WIP)),""),ROW('CURRENT WIP'!E12)),COLUMN('CURRENT WIP'!E12)),"")</f>
        <v/>
      </c>
      <c r="J24" s="66" t="str">
        <f t="array" ref="J24">IFERROR(INDEX(WIP,SMALL(IF(('CURRENT WIP'!$D$1='CURRENT WIP'!$E$22:$E$148),MATCH(ROW(WIP),ROW(WIP)),""),ROW('CURRENT WIP'!F12)),COLUMN('CURRENT WIP'!F12)),"")</f>
        <v/>
      </c>
      <c r="K24" s="48" t="str">
        <f t="array" ref="K24">IFERROR(INDEX(WIP,SMALL(IF(('CURRENT WIP'!$D$1='CURRENT WIP'!$E$22:$E$148),MATCH(ROW(WIP),ROW(WIP)),""),ROW('CURRENT WIP'!G12)),COLUMN('CURRENT WIP'!G12)),"")</f>
        <v/>
      </c>
      <c r="L24" s="66" t="str">
        <f t="array" ref="L24">IFERROR(INDEX(WIP,SMALL(IF(('CURRENT WIP'!$D$1='CURRENT WIP'!$E$22:$E$148),MATCH(ROW(WIP),ROW(WIP)),""),ROW('CURRENT WIP'!H12)),COLUMN('CURRENT WIP'!H12)),"")</f>
        <v/>
      </c>
      <c r="M24" s="48" t="str">
        <f t="array" ref="M24">IFERROR(INDEX(WIP,SMALL(IF(('CURRENT WIP'!$D$1='CURRENT WIP'!$E$22:$E$148),MATCH(ROW(WIP),ROW(WIP)),""),ROW('CURRENT WIP'!I12)),COLUMN('CURRENT WIP'!I12)),"")</f>
        <v/>
      </c>
      <c r="N24" s="67" t="str">
        <f t="array" ref="N24">IFERROR(INDEX(WIP,SMALL(IF(('CURRENT WIP'!$D$1='CURRENT WIP'!$E$22:$E$148),MATCH(ROW(WIP),ROW(WIP)),""),ROW('CURRENT WIP'!J12)),COLUMN('CURRENT WIP'!J12)),"")</f>
        <v/>
      </c>
      <c r="O24" s="48" t="str">
        <f t="array" ref="O24">IFERROR(INDEX(WIP,SMALL(IF(('CURRENT WIP'!$D$1='CURRENT WIP'!$E$22:$E$148),MATCH(ROW(WIP),ROW(WIP)),""),ROW('CURRENT WIP'!K12)),COLUMN('CURRENT WIP'!K12)),"")</f>
        <v/>
      </c>
      <c r="P24" s="48" t="str">
        <f t="array" ref="P24">IFERROR(INDEX(WIP,SMALL(IF(('CURRENT WIP'!$D$1='CURRENT WIP'!$E$22:$E$148),MATCH(ROW(WIP),ROW(WIP)),""),ROW('CURRENT WIP'!L12)),COLUMN('CURRENT WIP'!L12)),"")</f>
        <v/>
      </c>
      <c r="Q24" s="48" t="str">
        <f t="array" ref="Q24">IFERROR(INDEX(WIP,SMALL(IF(('CURRENT WIP'!$D$1='CURRENT WIP'!$E$22:$E$148),MATCH(ROW(WIP),ROW(WIP)),""),ROW('CURRENT WIP'!M12)),COLUMN('CURRENT WIP'!M12)),"")</f>
        <v/>
      </c>
      <c r="R24" s="68" t="str">
        <f t="array" ref="R24">IFERROR(INDEX(WIP,SMALL(IF(('CURRENT WIP'!$D$1='CURRENT WIP'!$E$22:$E$148),MATCH(ROW(WIP),ROW(WIP)),""),ROW('CURRENT WIP'!N12)),COLUMN('CURRENT WIP'!N12)),"")</f>
        <v/>
      </c>
      <c r="S24" s="48" t="str">
        <f t="array" ref="S24">IFERROR(INDEX(WIP,SMALL(IF(('CURRENT WIP'!$D$1='CURRENT WIP'!$E$22:$E$148),MATCH(ROW(WIP),ROW(WIP)),""),ROW('CURRENT WIP'!O12)),COLUMN('CURRENT WIP'!O12)),"")</f>
        <v/>
      </c>
      <c r="T24" s="48" t="str">
        <f t="array" ref="T24">IFERROR(INDEX(WIP,SMALL(IF(('CURRENT WIP'!$D$1='CURRENT WIP'!$E$22:$E$148),MATCH(ROW(WIP),ROW(WIP)),""),ROW('CURRENT WIP'!P12)),COLUMN('CURRENT WIP'!P12)),"")</f>
        <v/>
      </c>
      <c r="U24" s="68" t="str">
        <f t="array" ref="U24">IFERROR(INDEX(WIP,SMALL(IF(('CURRENT WIP'!$D$1='CURRENT WIP'!$E$22:$E$148),MATCH(ROW(WIP),ROW(WIP)),""),ROW('CURRENT WIP'!Q12)),COLUMN('CURRENT WIP'!Q12)),"")</f>
        <v/>
      </c>
      <c r="V24" s="48" t="str">
        <f t="array" ref="V24">IFERROR(INDEX(WIP,SMALL(IF(('CURRENT WIP'!$D$1='CURRENT WIP'!$E$22:$E$148),MATCH(ROW(WIP),ROW(WIP)),""),ROW('CURRENT WIP'!R12)),COLUMN('CURRENT WIP'!R12)),"")</f>
        <v/>
      </c>
      <c r="W24" s="48" t="str">
        <f t="array" ref="W24">IFERROR(INDEX(WIP,SMALL(IF(('CURRENT WIP'!$D$1='CURRENT WIP'!$E$22:$E$148),MATCH(ROW(WIP),ROW(WIP)),""),ROW('CURRENT WIP'!S12)),COLUMN('CURRENT WIP'!S12)),"")</f>
        <v/>
      </c>
      <c r="X24" s="48" t="str">
        <f t="array" ref="X24">IFERROR(INDEX(WIP,SMALL(IF(('CURRENT WIP'!$D$1='CURRENT WIP'!$E$22:$E$148),MATCH(ROW(WIP),ROW(WIP)),""),ROW('CURRENT WIP'!T12)),COLUMN('CURRENT WIP'!T12)),"")</f>
        <v/>
      </c>
      <c r="Y24" s="88" t="str">
        <f t="array" ref="Y24">IFERROR(INDEX(WIP,SMALL(IF(('CURRENT WIP'!$D$1='CURRENT WIP'!$E$22:$E$148),MATCH(ROW(WIP),ROW(WIP)),""),ROW('CURRENT WIP'!U12)),COLUMN('CURRENT WIP'!U12)),"")</f>
        <v/>
      </c>
      <c r="Z24" s="476"/>
      <c r="AA24" s="476"/>
      <c r="AC24" s="476"/>
      <c r="AD24" s="476"/>
      <c r="AE24" s="476"/>
      <c r="AF24" s="476"/>
      <c r="AG24" s="476"/>
      <c r="AH24" s="476"/>
      <c r="AI24" s="476"/>
      <c r="AJ24" s="483"/>
      <c r="AK24" s="478"/>
      <c r="AL24" s="476"/>
      <c r="AM24" s="87"/>
      <c r="AN24" s="48"/>
      <c r="AO24" s="48"/>
      <c r="AP24" s="48"/>
      <c r="AQ24" s="66"/>
      <c r="AR24" s="66"/>
      <c r="AS24" s="48"/>
      <c r="AT24" s="66"/>
      <c r="AU24" s="48"/>
      <c r="AV24" s="67"/>
      <c r="AW24" s="48"/>
      <c r="AX24" s="48"/>
      <c r="AY24" s="48"/>
      <c r="AZ24" s="68"/>
      <c r="BA24" s="48"/>
      <c r="BB24" s="48"/>
      <c r="BC24" s="68"/>
      <c r="BD24" s="48"/>
      <c r="BE24" s="48"/>
      <c r="BF24" s="48"/>
      <c r="BG24" s="88"/>
      <c r="BH24" s="476"/>
      <c r="BI24" s="476"/>
      <c r="BJ24" s="476"/>
      <c r="BK24" s="476"/>
      <c r="BL24" s="476"/>
      <c r="BN24" s="476"/>
      <c r="BO24" s="476"/>
      <c r="BP24" s="484"/>
      <c r="BQ24" s="476"/>
      <c r="BR24" s="476"/>
      <c r="BS24" s="476"/>
      <c r="BT24" s="476"/>
      <c r="BU24" s="476"/>
      <c r="BV24" s="476"/>
      <c r="BW24" s="476"/>
      <c r="BX24" s="476"/>
    </row>
    <row r="25" spans="1:76" hidden="1">
      <c r="A25" s="476"/>
      <c r="B25" s="476"/>
      <c r="C25" s="476"/>
      <c r="D25" s="476"/>
      <c r="E25" s="87" t="str">
        <f t="array" ref="E25">IFERROR(INDEX(WIP,SMALL(IF(('CURRENT WIP'!$D$1='CURRENT WIP'!$E$22:E160),MATCH(ROW(WIP),ROW(WIP)),""),ROW('CURRENT WIP'!A13)),COLUMN('CURRENT WIP'!A13)),"")</f>
        <v/>
      </c>
      <c r="F25" s="48" t="str">
        <f t="array" ref="F25">IFERROR(INDEX(WIP,SMALL(IF(('CURRENT WIP'!$D$1='CURRENT WIP'!$E$22:$E$148),MATCH(ROW(WIP),ROW(WIP)),""),ROW('CURRENT WIP'!B13)),COLUMN('CURRENT WIP'!B13)),"")</f>
        <v/>
      </c>
      <c r="G25" s="48" t="str">
        <f t="array" ref="G25">IFERROR(INDEX(WIP,SMALL(IF(('CURRENT WIP'!$D$1='CURRENT WIP'!$E$22:$E$148),MATCH(ROW(WIP),ROW(WIP)),""),ROW('CURRENT WIP'!C13)),COLUMN('CURRENT WIP'!C13)),"")</f>
        <v/>
      </c>
      <c r="H25" s="48" t="str">
        <f t="array" ref="H25">IFERROR(INDEX(WIP,SMALL(IF(('CURRENT WIP'!$D$1='CURRENT WIP'!$E$22:$E$148),MATCH(ROW(WIP),ROW(WIP)),""),ROW('CURRENT WIP'!D13)),COLUMN('CURRENT WIP'!D13)),"")</f>
        <v/>
      </c>
      <c r="I25" s="66" t="str">
        <f t="array" ref="I25">IFERROR(INDEX(WIP,SMALL(IF(('CURRENT WIP'!$D$1='CURRENT WIP'!$E$22:$E$148),MATCH(ROW(WIP),ROW(WIP)),""),ROW('CURRENT WIP'!E13)),COLUMN('CURRENT WIP'!E13)),"")</f>
        <v/>
      </c>
      <c r="J25" s="66" t="str">
        <f t="array" ref="J25">IFERROR(INDEX(WIP,SMALL(IF(('CURRENT WIP'!$D$1='CURRENT WIP'!$E$22:$E$148),MATCH(ROW(WIP),ROW(WIP)),""),ROW('CURRENT WIP'!F13)),COLUMN('CURRENT WIP'!F13)),"")</f>
        <v/>
      </c>
      <c r="K25" s="48" t="str">
        <f t="array" ref="K25">IFERROR(INDEX(WIP,SMALL(IF(('CURRENT WIP'!$D$1='CURRENT WIP'!$E$22:$E$148),MATCH(ROW(WIP),ROW(WIP)),""),ROW('CURRENT WIP'!G13)),COLUMN('CURRENT WIP'!G13)),"")</f>
        <v/>
      </c>
      <c r="L25" s="66" t="str">
        <f t="array" ref="L25">IFERROR(INDEX(WIP,SMALL(IF(('CURRENT WIP'!$D$1='CURRENT WIP'!$E$22:$E$148),MATCH(ROW(WIP),ROW(WIP)),""),ROW('CURRENT WIP'!H13)),COLUMN('CURRENT WIP'!H13)),"")</f>
        <v/>
      </c>
      <c r="M25" s="48" t="str">
        <f t="array" ref="M25">IFERROR(INDEX(WIP,SMALL(IF(('CURRENT WIP'!$D$1='CURRENT WIP'!$E$22:$E$148),MATCH(ROW(WIP),ROW(WIP)),""),ROW('CURRENT WIP'!I13)),COLUMN('CURRENT WIP'!I13)),"")</f>
        <v/>
      </c>
      <c r="N25" s="67" t="str">
        <f t="array" ref="N25">IFERROR(INDEX(WIP,SMALL(IF(('CURRENT WIP'!$D$1='CURRENT WIP'!$E$22:$E$148),MATCH(ROW(WIP),ROW(WIP)),""),ROW('CURRENT WIP'!J13)),COLUMN('CURRENT WIP'!J13)),"")</f>
        <v/>
      </c>
      <c r="O25" s="48" t="str">
        <f t="array" ref="O25">IFERROR(INDEX(WIP,SMALL(IF(('CURRENT WIP'!$D$1='CURRENT WIP'!$E$22:$E$148),MATCH(ROW(WIP),ROW(WIP)),""),ROW('CURRENT WIP'!K13)),COLUMN('CURRENT WIP'!K13)),"")</f>
        <v/>
      </c>
      <c r="P25" s="48" t="str">
        <f t="array" ref="P25">IFERROR(INDEX(WIP,SMALL(IF(('CURRENT WIP'!$D$1='CURRENT WIP'!$E$22:$E$148),MATCH(ROW(WIP),ROW(WIP)),""),ROW('CURRENT WIP'!L13)),COLUMN('CURRENT WIP'!L13)),"")</f>
        <v/>
      </c>
      <c r="Q25" s="48" t="str">
        <f t="array" ref="Q25">IFERROR(INDEX(WIP,SMALL(IF(('CURRENT WIP'!$D$1='CURRENT WIP'!$E$22:$E$148),MATCH(ROW(WIP),ROW(WIP)),""),ROW('CURRENT WIP'!M13)),COLUMN('CURRENT WIP'!M13)),"")</f>
        <v/>
      </c>
      <c r="R25" s="68" t="str">
        <f t="array" ref="R25">IFERROR(INDEX(WIP,SMALL(IF(('CURRENT WIP'!$D$1='CURRENT WIP'!$E$22:$E$148),MATCH(ROW(WIP),ROW(WIP)),""),ROW('CURRENT WIP'!N13)),COLUMN('CURRENT WIP'!N13)),"")</f>
        <v/>
      </c>
      <c r="S25" s="48" t="str">
        <f t="array" ref="S25">IFERROR(INDEX(WIP,SMALL(IF(('CURRENT WIP'!$D$1='CURRENT WIP'!$E$22:$E$148),MATCH(ROW(WIP),ROW(WIP)),""),ROW('CURRENT WIP'!O13)),COLUMN('CURRENT WIP'!O13)),"")</f>
        <v/>
      </c>
      <c r="T25" s="48" t="str">
        <f t="array" ref="T25">IFERROR(INDEX(WIP,SMALL(IF(('CURRENT WIP'!$D$1='CURRENT WIP'!$E$22:$E$148),MATCH(ROW(WIP),ROW(WIP)),""),ROW('CURRENT WIP'!P13)),COLUMN('CURRENT WIP'!P13)),"")</f>
        <v/>
      </c>
      <c r="U25" s="68" t="str">
        <f t="array" ref="U25">IFERROR(INDEX(WIP,SMALL(IF(('CURRENT WIP'!$D$1='CURRENT WIP'!$E$22:$E$148),MATCH(ROW(WIP),ROW(WIP)),""),ROW('CURRENT WIP'!Q13)),COLUMN('CURRENT WIP'!Q13)),"")</f>
        <v/>
      </c>
      <c r="V25" s="48" t="str">
        <f t="array" ref="V25">IFERROR(INDEX(WIP,SMALL(IF(('CURRENT WIP'!$D$1='CURRENT WIP'!$E$22:$E$148),MATCH(ROW(WIP),ROW(WIP)),""),ROW('CURRENT WIP'!R13)),COLUMN('CURRENT WIP'!R13)),"")</f>
        <v/>
      </c>
      <c r="W25" s="48" t="str">
        <f t="array" ref="W25">IFERROR(INDEX(WIP,SMALL(IF(('CURRENT WIP'!$D$1='CURRENT WIP'!$E$22:$E$148),MATCH(ROW(WIP),ROW(WIP)),""),ROW('CURRENT WIP'!S13)),COLUMN('CURRENT WIP'!S13)),"")</f>
        <v/>
      </c>
      <c r="X25" s="48" t="str">
        <f t="array" ref="X25">IFERROR(INDEX(WIP,SMALL(IF(('CURRENT WIP'!$D$1='CURRENT WIP'!$E$22:$E$148),MATCH(ROW(WIP),ROW(WIP)),""),ROW('CURRENT WIP'!T13)),COLUMN('CURRENT WIP'!T13)),"")</f>
        <v/>
      </c>
      <c r="Y25" s="88" t="str">
        <f t="array" ref="Y25">IFERROR(INDEX(WIP,SMALL(IF(('CURRENT WIP'!$D$1='CURRENT WIP'!$E$22:$E$148),MATCH(ROW(WIP),ROW(WIP)),""),ROW('CURRENT WIP'!U13)),COLUMN('CURRENT WIP'!U13)),"")</f>
        <v/>
      </c>
      <c r="Z25" s="476"/>
      <c r="AA25" s="476"/>
      <c r="AC25" s="476"/>
      <c r="AD25" s="476"/>
      <c r="AE25" s="476"/>
      <c r="AF25" s="476"/>
      <c r="AG25" s="476"/>
      <c r="AH25" s="476"/>
      <c r="AI25" s="476"/>
      <c r="AJ25" s="483"/>
      <c r="AK25" s="478"/>
      <c r="AL25" s="476"/>
      <c r="AM25" s="87"/>
      <c r="AN25" s="48"/>
      <c r="AO25" s="48"/>
      <c r="AP25" s="48"/>
      <c r="AQ25" s="66"/>
      <c r="AR25" s="66"/>
      <c r="AS25" s="48"/>
      <c r="AT25" s="66"/>
      <c r="AU25" s="48"/>
      <c r="AV25" s="67"/>
      <c r="AW25" s="48"/>
      <c r="AX25" s="48"/>
      <c r="AY25" s="48"/>
      <c r="AZ25" s="68"/>
      <c r="BA25" s="48"/>
      <c r="BB25" s="48"/>
      <c r="BC25" s="68"/>
      <c r="BD25" s="48"/>
      <c r="BE25" s="48"/>
      <c r="BF25" s="48"/>
      <c r="BG25" s="88"/>
      <c r="BH25" s="476"/>
      <c r="BI25" s="476"/>
      <c r="BJ25" s="476"/>
      <c r="BK25" s="476"/>
      <c r="BL25" s="476"/>
      <c r="BN25" s="476"/>
      <c r="BO25" s="476"/>
      <c r="BP25" s="484"/>
      <c r="BQ25" s="476"/>
      <c r="BR25" s="476"/>
      <c r="BS25" s="476"/>
      <c r="BT25" s="476"/>
      <c r="BU25" s="476"/>
      <c r="BV25" s="476"/>
      <c r="BW25" s="476"/>
      <c r="BX25" s="476"/>
    </row>
    <row r="26" spans="1:76" hidden="1">
      <c r="A26" s="476"/>
      <c r="B26" s="476"/>
      <c r="C26" s="476"/>
      <c r="D26" s="476"/>
      <c r="E26" s="87" t="str">
        <f t="array" ref="E26">IFERROR(INDEX(WIP,SMALL(IF(('CURRENT WIP'!$D$1='CURRENT WIP'!$E$22:E161),MATCH(ROW(WIP),ROW(WIP)),""),ROW('CURRENT WIP'!A14)),COLUMN('CURRENT WIP'!A14)),"")</f>
        <v/>
      </c>
      <c r="F26" s="48" t="str">
        <f t="array" ref="F26">IFERROR(INDEX(WIP,SMALL(IF(('CURRENT WIP'!$D$1='CURRENT WIP'!$E$22:$E$148),MATCH(ROW(WIP),ROW(WIP)),""),ROW('CURRENT WIP'!B14)),COLUMN('CURRENT WIP'!B14)),"")</f>
        <v/>
      </c>
      <c r="G26" s="48" t="str">
        <f t="array" ref="G26">IFERROR(INDEX(WIP,SMALL(IF(('CURRENT WIP'!$D$1='CURRENT WIP'!$E$22:$E$148),MATCH(ROW(WIP),ROW(WIP)),""),ROW('CURRENT WIP'!C14)),COLUMN('CURRENT WIP'!C14)),"")</f>
        <v/>
      </c>
      <c r="H26" s="48" t="str">
        <f t="array" ref="H26">IFERROR(INDEX(WIP,SMALL(IF(('CURRENT WIP'!$D$1='CURRENT WIP'!$E$22:$E$148),MATCH(ROW(WIP),ROW(WIP)),""),ROW('CURRENT WIP'!D14)),COLUMN('CURRENT WIP'!D14)),"")</f>
        <v/>
      </c>
      <c r="I26" s="66" t="str">
        <f t="array" ref="I26">IFERROR(INDEX(WIP,SMALL(IF(('CURRENT WIP'!$D$1='CURRENT WIP'!$E$22:$E$148),MATCH(ROW(WIP),ROW(WIP)),""),ROW('CURRENT WIP'!E14)),COLUMN('CURRENT WIP'!E14)),"")</f>
        <v/>
      </c>
      <c r="J26" s="66" t="str">
        <f t="array" ref="J26">IFERROR(INDEX(WIP,SMALL(IF(('CURRENT WIP'!$D$1='CURRENT WIP'!$E$22:$E$148),MATCH(ROW(WIP),ROW(WIP)),""),ROW('CURRENT WIP'!F14)),COLUMN('CURRENT WIP'!F14)),"")</f>
        <v/>
      </c>
      <c r="K26" s="48" t="str">
        <f t="array" ref="K26">IFERROR(INDEX(WIP,SMALL(IF(('CURRENT WIP'!$D$1='CURRENT WIP'!$E$22:$E$148),MATCH(ROW(WIP),ROW(WIP)),""),ROW('CURRENT WIP'!G14)),COLUMN('CURRENT WIP'!G14)),"")</f>
        <v/>
      </c>
      <c r="L26" s="66" t="str">
        <f t="array" ref="L26">IFERROR(INDEX(WIP,SMALL(IF(('CURRENT WIP'!$D$1='CURRENT WIP'!$E$22:$E$148),MATCH(ROW(WIP),ROW(WIP)),""),ROW('CURRENT WIP'!H14)),COLUMN('CURRENT WIP'!H14)),"")</f>
        <v/>
      </c>
      <c r="M26" s="48" t="str">
        <f t="array" ref="M26">IFERROR(INDEX(WIP,SMALL(IF(('CURRENT WIP'!$D$1='CURRENT WIP'!$E$22:$E$148),MATCH(ROW(WIP),ROW(WIP)),""),ROW('CURRENT WIP'!I14)),COLUMN('CURRENT WIP'!I14)),"")</f>
        <v/>
      </c>
      <c r="N26" s="67" t="str">
        <f t="array" ref="N26">IFERROR(INDEX(WIP,SMALL(IF(('CURRENT WIP'!$D$1='CURRENT WIP'!$E$22:$E$148),MATCH(ROW(WIP),ROW(WIP)),""),ROW('CURRENT WIP'!J14)),COLUMN('CURRENT WIP'!J14)),"")</f>
        <v/>
      </c>
      <c r="O26" s="48" t="str">
        <f t="array" ref="O26">IFERROR(INDEX(WIP,SMALL(IF(('CURRENT WIP'!$D$1='CURRENT WIP'!$E$22:$E$148),MATCH(ROW(WIP),ROW(WIP)),""),ROW('CURRENT WIP'!K14)),COLUMN('CURRENT WIP'!K14)),"")</f>
        <v/>
      </c>
      <c r="P26" s="48" t="str">
        <f t="array" ref="P26">IFERROR(INDEX(WIP,SMALL(IF(('CURRENT WIP'!$D$1='CURRENT WIP'!$E$22:$E$148),MATCH(ROW(WIP),ROW(WIP)),""),ROW('CURRENT WIP'!L14)),COLUMN('CURRENT WIP'!L14)),"")</f>
        <v/>
      </c>
      <c r="Q26" s="48" t="str">
        <f t="array" ref="Q26">IFERROR(INDEX(WIP,SMALL(IF(('CURRENT WIP'!$D$1='CURRENT WIP'!$E$22:$E$148),MATCH(ROW(WIP),ROW(WIP)),""),ROW('CURRENT WIP'!M14)),COLUMN('CURRENT WIP'!M14)),"")</f>
        <v/>
      </c>
      <c r="R26" s="68" t="str">
        <f t="array" ref="R26">IFERROR(INDEX(WIP,SMALL(IF(('CURRENT WIP'!$D$1='CURRENT WIP'!$E$22:$E$148),MATCH(ROW(WIP),ROW(WIP)),""),ROW('CURRENT WIP'!N14)),COLUMN('CURRENT WIP'!N14)),"")</f>
        <v/>
      </c>
      <c r="S26" s="48" t="str">
        <f t="array" ref="S26">IFERROR(INDEX(WIP,SMALL(IF(('CURRENT WIP'!$D$1='CURRENT WIP'!$E$22:$E$148),MATCH(ROW(WIP),ROW(WIP)),""),ROW('CURRENT WIP'!O14)),COLUMN('CURRENT WIP'!O14)),"")</f>
        <v/>
      </c>
      <c r="T26" s="48" t="str">
        <f t="array" ref="T26">IFERROR(INDEX(WIP,SMALL(IF(('CURRENT WIP'!$D$1='CURRENT WIP'!$E$22:$E$148),MATCH(ROW(WIP),ROW(WIP)),""),ROW('CURRENT WIP'!P14)),COLUMN('CURRENT WIP'!P14)),"")</f>
        <v/>
      </c>
      <c r="U26" s="68" t="str">
        <f t="array" ref="U26">IFERROR(INDEX(WIP,SMALL(IF(('CURRENT WIP'!$D$1='CURRENT WIP'!$E$22:$E$148),MATCH(ROW(WIP),ROW(WIP)),""),ROW('CURRENT WIP'!Q14)),COLUMN('CURRENT WIP'!Q14)),"")</f>
        <v/>
      </c>
      <c r="V26" s="48" t="str">
        <f t="array" ref="V26">IFERROR(INDEX(WIP,SMALL(IF(('CURRENT WIP'!$D$1='CURRENT WIP'!$E$22:$E$148),MATCH(ROW(WIP),ROW(WIP)),""),ROW('CURRENT WIP'!R14)),COLUMN('CURRENT WIP'!R14)),"")</f>
        <v/>
      </c>
      <c r="W26" s="48" t="str">
        <f t="array" ref="W26">IFERROR(INDEX(WIP,SMALL(IF(('CURRENT WIP'!$D$1='CURRENT WIP'!$E$22:$E$148),MATCH(ROW(WIP),ROW(WIP)),""),ROW('CURRENT WIP'!S14)),COLUMN('CURRENT WIP'!S14)),"")</f>
        <v/>
      </c>
      <c r="X26" s="48" t="str">
        <f t="array" ref="X26">IFERROR(INDEX(WIP,SMALL(IF(('CURRENT WIP'!$D$1='CURRENT WIP'!$E$22:$E$148),MATCH(ROW(WIP),ROW(WIP)),""),ROW('CURRENT WIP'!T14)),COLUMN('CURRENT WIP'!T14)),"")</f>
        <v/>
      </c>
      <c r="Y26" s="88" t="str">
        <f t="array" ref="Y26">IFERROR(INDEX(WIP,SMALL(IF(('CURRENT WIP'!$D$1='CURRENT WIP'!$E$22:$E$148),MATCH(ROW(WIP),ROW(WIP)),""),ROW('CURRENT WIP'!U14)),COLUMN('CURRENT WIP'!U14)),"")</f>
        <v/>
      </c>
      <c r="Z26" s="476"/>
      <c r="AA26" s="476"/>
      <c r="AC26" s="476"/>
      <c r="AD26" s="476"/>
      <c r="AE26" s="476"/>
      <c r="AF26" s="476"/>
      <c r="AG26" s="476"/>
      <c r="AH26" s="476"/>
      <c r="AI26" s="476"/>
      <c r="AJ26" s="483"/>
      <c r="AK26" s="478"/>
      <c r="AL26" s="476"/>
      <c r="AM26" s="87"/>
      <c r="AN26" s="48"/>
      <c r="AO26" s="48"/>
      <c r="AP26" s="48"/>
      <c r="AQ26" s="66"/>
      <c r="AR26" s="66"/>
      <c r="AS26" s="48"/>
      <c r="AT26" s="66"/>
      <c r="AU26" s="48"/>
      <c r="AV26" s="67"/>
      <c r="AW26" s="48"/>
      <c r="AX26" s="48"/>
      <c r="AY26" s="48"/>
      <c r="AZ26" s="68"/>
      <c r="BA26" s="48"/>
      <c r="BB26" s="48"/>
      <c r="BC26" s="68"/>
      <c r="BD26" s="48"/>
      <c r="BE26" s="48"/>
      <c r="BF26" s="48"/>
      <c r="BG26" s="88"/>
      <c r="BH26" s="476"/>
      <c r="BI26" s="476"/>
      <c r="BJ26" s="476"/>
      <c r="BK26" s="476"/>
      <c r="BL26" s="476"/>
      <c r="BN26" s="476"/>
      <c r="BO26" s="476"/>
      <c r="BP26" s="484"/>
      <c r="BQ26" s="476"/>
      <c r="BR26" s="476"/>
      <c r="BS26" s="476"/>
      <c r="BT26" s="476"/>
      <c r="BU26" s="476"/>
      <c r="BV26" s="476"/>
      <c r="BW26" s="476"/>
      <c r="BX26" s="476"/>
    </row>
    <row r="27" spans="1:76" hidden="1">
      <c r="A27" s="476"/>
      <c r="B27" s="476"/>
      <c r="C27" s="476"/>
      <c r="D27" s="476"/>
      <c r="E27" s="87" t="str">
        <f t="array" ref="E27">IFERROR(INDEX(WIP,SMALL(IF(('CURRENT WIP'!$D$1='CURRENT WIP'!$E$22:E162),MATCH(ROW(WIP),ROW(WIP)),""),ROW('CURRENT WIP'!A15)),COLUMN('CURRENT WIP'!A15)),"")</f>
        <v/>
      </c>
      <c r="F27" s="48" t="str">
        <f t="array" ref="F27">IFERROR(INDEX(WIP,SMALL(IF(('CURRENT WIP'!$D$1='CURRENT WIP'!$E$22:$E$148),MATCH(ROW(WIP),ROW(WIP)),""),ROW('CURRENT WIP'!B15)),COLUMN('CURRENT WIP'!B15)),"")</f>
        <v/>
      </c>
      <c r="G27" s="48" t="str">
        <f t="array" ref="G27">IFERROR(INDEX(WIP,SMALL(IF(('CURRENT WIP'!$D$1='CURRENT WIP'!$E$22:$E$148),MATCH(ROW(WIP),ROW(WIP)),""),ROW('CURRENT WIP'!C15)),COLUMN('CURRENT WIP'!C15)),"")</f>
        <v/>
      </c>
      <c r="H27" s="48" t="str">
        <f t="array" ref="H27">IFERROR(INDEX(WIP,SMALL(IF(('CURRENT WIP'!$D$1='CURRENT WIP'!$E$22:$E$148),MATCH(ROW(WIP),ROW(WIP)),""),ROW('CURRENT WIP'!D15)),COLUMN('CURRENT WIP'!D15)),"")</f>
        <v/>
      </c>
      <c r="I27" s="66" t="str">
        <f t="array" ref="I27">IFERROR(INDEX(WIP,SMALL(IF(('CURRENT WIP'!$D$1='CURRENT WIP'!$E$22:$E$148),MATCH(ROW(WIP),ROW(WIP)),""),ROW('CURRENT WIP'!E15)),COLUMN('CURRENT WIP'!E15)),"")</f>
        <v/>
      </c>
      <c r="J27" s="66" t="str">
        <f t="array" ref="J27">IFERROR(INDEX(WIP,SMALL(IF(('CURRENT WIP'!$D$1='CURRENT WIP'!$E$22:$E$148),MATCH(ROW(WIP),ROW(WIP)),""),ROW('CURRENT WIP'!F15)),COLUMN('CURRENT WIP'!F15)),"")</f>
        <v/>
      </c>
      <c r="K27" s="48" t="str">
        <f t="array" ref="K27">IFERROR(INDEX(WIP,SMALL(IF(('CURRENT WIP'!$D$1='CURRENT WIP'!$E$22:$E$148),MATCH(ROW(WIP),ROW(WIP)),""),ROW('CURRENT WIP'!G15)),COLUMN('CURRENT WIP'!G15)),"")</f>
        <v/>
      </c>
      <c r="L27" s="66" t="str">
        <f t="array" ref="L27">IFERROR(INDEX(WIP,SMALL(IF(('CURRENT WIP'!$D$1='CURRENT WIP'!$E$22:$E$148),MATCH(ROW(WIP),ROW(WIP)),""),ROW('CURRENT WIP'!H15)),COLUMN('CURRENT WIP'!H15)),"")</f>
        <v/>
      </c>
      <c r="M27" s="48" t="str">
        <f t="array" ref="M27">IFERROR(INDEX(WIP,SMALL(IF(('CURRENT WIP'!$D$1='CURRENT WIP'!$E$22:$E$148),MATCH(ROW(WIP),ROW(WIP)),""),ROW('CURRENT WIP'!I15)),COLUMN('CURRENT WIP'!I15)),"")</f>
        <v/>
      </c>
      <c r="N27" s="67" t="str">
        <f t="array" ref="N27">IFERROR(INDEX(WIP,SMALL(IF(('CURRENT WIP'!$D$1='CURRENT WIP'!$E$22:$E$148),MATCH(ROW(WIP),ROW(WIP)),""),ROW('CURRENT WIP'!J15)),COLUMN('CURRENT WIP'!J15)),"")</f>
        <v/>
      </c>
      <c r="O27" s="48" t="str">
        <f t="array" ref="O27">IFERROR(INDEX(WIP,SMALL(IF(('CURRENT WIP'!$D$1='CURRENT WIP'!$E$22:$E$148),MATCH(ROW(WIP),ROW(WIP)),""),ROW('CURRENT WIP'!K15)),COLUMN('CURRENT WIP'!K15)),"")</f>
        <v/>
      </c>
      <c r="P27" s="48" t="str">
        <f t="array" ref="P27">IFERROR(INDEX(WIP,SMALL(IF(('CURRENT WIP'!$D$1='CURRENT WIP'!$E$22:$E$148),MATCH(ROW(WIP),ROW(WIP)),""),ROW('CURRENT WIP'!L15)),COLUMN('CURRENT WIP'!L15)),"")</f>
        <v/>
      </c>
      <c r="Q27" s="48" t="str">
        <f t="array" ref="Q27">IFERROR(INDEX(WIP,SMALL(IF(('CURRENT WIP'!$D$1='CURRENT WIP'!$E$22:$E$148),MATCH(ROW(WIP),ROW(WIP)),""),ROW('CURRENT WIP'!M15)),COLUMN('CURRENT WIP'!M15)),"")</f>
        <v/>
      </c>
      <c r="R27" s="68" t="str">
        <f t="array" ref="R27">IFERROR(INDEX(WIP,SMALL(IF(('CURRENT WIP'!$D$1='CURRENT WIP'!$E$22:$E$148),MATCH(ROW(WIP),ROW(WIP)),""),ROW('CURRENT WIP'!N15)),COLUMN('CURRENT WIP'!N15)),"")</f>
        <v/>
      </c>
      <c r="S27" s="48" t="str">
        <f t="array" ref="S27">IFERROR(INDEX(WIP,SMALL(IF(('CURRENT WIP'!$D$1='CURRENT WIP'!$E$22:$E$148),MATCH(ROW(WIP),ROW(WIP)),""),ROW('CURRENT WIP'!O15)),COLUMN('CURRENT WIP'!O15)),"")</f>
        <v/>
      </c>
      <c r="T27" s="48" t="str">
        <f t="array" ref="T27">IFERROR(INDEX(WIP,SMALL(IF(('CURRENT WIP'!$D$1='CURRENT WIP'!$E$22:$E$148),MATCH(ROW(WIP),ROW(WIP)),""),ROW('CURRENT WIP'!P15)),COLUMN('CURRENT WIP'!P15)),"")</f>
        <v/>
      </c>
      <c r="U27" s="68" t="str">
        <f t="array" ref="U27">IFERROR(INDEX(WIP,SMALL(IF(('CURRENT WIP'!$D$1='CURRENT WIP'!$E$22:$E$148),MATCH(ROW(WIP),ROW(WIP)),""),ROW('CURRENT WIP'!Q15)),COLUMN('CURRENT WIP'!Q15)),"")</f>
        <v/>
      </c>
      <c r="V27" s="48" t="str">
        <f t="array" ref="V27">IFERROR(INDEX(WIP,SMALL(IF(('CURRENT WIP'!$D$1='CURRENT WIP'!$E$22:$E$148),MATCH(ROW(WIP),ROW(WIP)),""),ROW('CURRENT WIP'!R15)),COLUMN('CURRENT WIP'!R15)),"")</f>
        <v/>
      </c>
      <c r="W27" s="48" t="str">
        <f t="array" ref="W27">IFERROR(INDEX(WIP,SMALL(IF(('CURRENT WIP'!$D$1='CURRENT WIP'!$E$22:$E$148),MATCH(ROW(WIP),ROW(WIP)),""),ROW('CURRENT WIP'!S15)),COLUMN('CURRENT WIP'!S15)),"")</f>
        <v/>
      </c>
      <c r="X27" s="48" t="str">
        <f t="array" ref="X27">IFERROR(INDEX(WIP,SMALL(IF(('CURRENT WIP'!$D$1='CURRENT WIP'!$E$22:$E$148),MATCH(ROW(WIP),ROW(WIP)),""),ROW('CURRENT WIP'!T15)),COLUMN('CURRENT WIP'!T15)),"")</f>
        <v/>
      </c>
      <c r="Y27" s="88" t="str">
        <f t="array" ref="Y27">IFERROR(INDEX(WIP,SMALL(IF(('CURRENT WIP'!$D$1='CURRENT WIP'!$E$22:$E$148),MATCH(ROW(WIP),ROW(WIP)),""),ROW('CURRENT WIP'!U15)),COLUMN('CURRENT WIP'!U15)),"")</f>
        <v/>
      </c>
      <c r="Z27" s="476"/>
      <c r="AA27" s="476"/>
      <c r="AC27" s="476"/>
      <c r="AD27" s="476"/>
      <c r="AE27" s="476"/>
      <c r="AF27" s="476"/>
      <c r="AG27" s="476"/>
      <c r="AH27" s="476"/>
      <c r="AI27" s="476"/>
      <c r="AJ27" s="483"/>
      <c r="AK27" s="478"/>
      <c r="AL27" s="476"/>
      <c r="AM27" s="87"/>
      <c r="AN27" s="48"/>
      <c r="AO27" s="48"/>
      <c r="AP27" s="48"/>
      <c r="AQ27" s="66"/>
      <c r="AR27" s="66"/>
      <c r="AS27" s="48"/>
      <c r="AT27" s="66"/>
      <c r="AU27" s="48"/>
      <c r="AV27" s="67"/>
      <c r="AW27" s="48"/>
      <c r="AX27" s="48"/>
      <c r="AY27" s="48"/>
      <c r="AZ27" s="68"/>
      <c r="BA27" s="48"/>
      <c r="BB27" s="48"/>
      <c r="BC27" s="68"/>
      <c r="BD27" s="48"/>
      <c r="BE27" s="48"/>
      <c r="BF27" s="48"/>
      <c r="BG27" s="88"/>
      <c r="BH27" s="476"/>
      <c r="BI27" s="476"/>
      <c r="BJ27" s="476"/>
      <c r="BK27" s="476"/>
      <c r="BL27" s="476"/>
      <c r="BN27" s="476"/>
      <c r="BO27" s="476"/>
      <c r="BP27" s="484"/>
      <c r="BQ27" s="476"/>
      <c r="BR27" s="476"/>
      <c r="BS27" s="476"/>
      <c r="BT27" s="476"/>
      <c r="BU27" s="476"/>
      <c r="BV27" s="476"/>
      <c r="BW27" s="476"/>
      <c r="BX27" s="476"/>
    </row>
    <row r="28" spans="1:76" hidden="1">
      <c r="A28" s="476"/>
      <c r="B28" s="476"/>
      <c r="C28" s="476"/>
      <c r="D28" s="476"/>
      <c r="E28" s="87" t="str">
        <f t="array" ref="E28">IFERROR(INDEX(WIP,SMALL(IF(('CURRENT WIP'!$D$1='CURRENT WIP'!$E$22:E163),MATCH(ROW(WIP),ROW(WIP)),""),ROW('CURRENT WIP'!A16)),COLUMN('CURRENT WIP'!A16)),"")</f>
        <v/>
      </c>
      <c r="F28" s="48" t="str">
        <f t="array" ref="F28">IFERROR(INDEX(WIP,SMALL(IF(('CURRENT WIP'!$D$1='CURRENT WIP'!$E$22:$E$148),MATCH(ROW(WIP),ROW(WIP)),""),ROW('CURRENT WIP'!B16)),COLUMN('CURRENT WIP'!B16)),"")</f>
        <v/>
      </c>
      <c r="G28" s="48" t="str">
        <f t="array" ref="G28">IFERROR(INDEX(WIP,SMALL(IF(('CURRENT WIP'!$D$1='CURRENT WIP'!$E$22:$E$148),MATCH(ROW(WIP),ROW(WIP)),""),ROW('CURRENT WIP'!C16)),COLUMN('CURRENT WIP'!C16)),"")</f>
        <v/>
      </c>
      <c r="H28" s="48" t="str">
        <f t="array" ref="H28">IFERROR(INDEX(WIP,SMALL(IF(('CURRENT WIP'!$D$1='CURRENT WIP'!$E$22:$E$148),MATCH(ROW(WIP),ROW(WIP)),""),ROW('CURRENT WIP'!D16)),COLUMN('CURRENT WIP'!D16)),"")</f>
        <v/>
      </c>
      <c r="I28" s="66" t="str">
        <f t="array" ref="I28">IFERROR(INDEX(WIP,SMALL(IF(('CURRENT WIP'!$D$1='CURRENT WIP'!$E$22:$E$148),MATCH(ROW(WIP),ROW(WIP)),""),ROW('CURRENT WIP'!E16)),COLUMN('CURRENT WIP'!E16)),"")</f>
        <v/>
      </c>
      <c r="J28" s="66" t="str">
        <f t="array" ref="J28">IFERROR(INDEX(WIP,SMALL(IF(('CURRENT WIP'!$D$1='CURRENT WIP'!$E$22:$E$148),MATCH(ROW(WIP),ROW(WIP)),""),ROW('CURRENT WIP'!F16)),COLUMN('CURRENT WIP'!F16)),"")</f>
        <v/>
      </c>
      <c r="K28" s="48" t="str">
        <f t="array" ref="K28">IFERROR(INDEX(WIP,SMALL(IF(('CURRENT WIP'!$D$1='CURRENT WIP'!$E$22:$E$148),MATCH(ROW(WIP),ROW(WIP)),""),ROW('CURRENT WIP'!G16)),COLUMN('CURRENT WIP'!G16)),"")</f>
        <v/>
      </c>
      <c r="L28" s="66" t="str">
        <f t="array" ref="L28">IFERROR(INDEX(WIP,SMALL(IF(('CURRENT WIP'!$D$1='CURRENT WIP'!$E$22:$E$148),MATCH(ROW(WIP),ROW(WIP)),""),ROW('CURRENT WIP'!H16)),COLUMN('CURRENT WIP'!H16)),"")</f>
        <v/>
      </c>
      <c r="M28" s="48" t="str">
        <f t="array" ref="M28">IFERROR(INDEX(WIP,SMALL(IF(('CURRENT WIP'!$D$1='CURRENT WIP'!$E$22:$E$148),MATCH(ROW(WIP),ROW(WIP)),""),ROW('CURRENT WIP'!I16)),COLUMN('CURRENT WIP'!I16)),"")</f>
        <v/>
      </c>
      <c r="N28" s="67" t="str">
        <f t="array" ref="N28">IFERROR(INDEX(WIP,SMALL(IF(('CURRENT WIP'!$D$1='CURRENT WIP'!$E$22:$E$148),MATCH(ROW(WIP),ROW(WIP)),""),ROW('CURRENT WIP'!J16)),COLUMN('CURRENT WIP'!J16)),"")</f>
        <v/>
      </c>
      <c r="O28" s="48" t="str">
        <f t="array" ref="O28">IFERROR(INDEX(WIP,SMALL(IF(('CURRENT WIP'!$D$1='CURRENT WIP'!$E$22:$E$148),MATCH(ROW(WIP),ROW(WIP)),""),ROW('CURRENT WIP'!K16)),COLUMN('CURRENT WIP'!K16)),"")</f>
        <v/>
      </c>
      <c r="P28" s="48" t="str">
        <f t="array" ref="P28">IFERROR(INDEX(WIP,SMALL(IF(('CURRENT WIP'!$D$1='CURRENT WIP'!$E$22:$E$148),MATCH(ROW(WIP),ROW(WIP)),""),ROW('CURRENT WIP'!L16)),COLUMN('CURRENT WIP'!L16)),"")</f>
        <v/>
      </c>
      <c r="Q28" s="48" t="str">
        <f t="array" ref="Q28">IFERROR(INDEX(WIP,SMALL(IF(('CURRENT WIP'!$D$1='CURRENT WIP'!$E$22:$E$148),MATCH(ROW(WIP),ROW(WIP)),""),ROW('CURRENT WIP'!M16)),COLUMN('CURRENT WIP'!M16)),"")</f>
        <v/>
      </c>
      <c r="R28" s="68" t="str">
        <f t="array" ref="R28">IFERROR(INDEX(WIP,SMALL(IF(('CURRENT WIP'!$D$1='CURRENT WIP'!$E$22:$E$148),MATCH(ROW(WIP),ROW(WIP)),""),ROW('CURRENT WIP'!N16)),COLUMN('CURRENT WIP'!N16)),"")</f>
        <v/>
      </c>
      <c r="S28" s="48" t="str">
        <f t="array" ref="S28">IFERROR(INDEX(WIP,SMALL(IF(('CURRENT WIP'!$D$1='CURRENT WIP'!$E$22:$E$148),MATCH(ROW(WIP),ROW(WIP)),""),ROW('CURRENT WIP'!O16)),COLUMN('CURRENT WIP'!O16)),"")</f>
        <v/>
      </c>
      <c r="T28" s="48" t="str">
        <f t="array" ref="T28">IFERROR(INDEX(WIP,SMALL(IF(('CURRENT WIP'!$D$1='CURRENT WIP'!$E$22:$E$148),MATCH(ROW(WIP),ROW(WIP)),""),ROW('CURRENT WIP'!P16)),COLUMN('CURRENT WIP'!P16)),"")</f>
        <v/>
      </c>
      <c r="U28" s="68" t="str">
        <f t="array" ref="U28">IFERROR(INDEX(WIP,SMALL(IF(('CURRENT WIP'!$D$1='CURRENT WIP'!$E$22:$E$148),MATCH(ROW(WIP),ROW(WIP)),""),ROW('CURRENT WIP'!Q16)),COLUMN('CURRENT WIP'!Q16)),"")</f>
        <v/>
      </c>
      <c r="V28" s="48" t="str">
        <f t="array" ref="V28">IFERROR(INDEX(WIP,SMALL(IF(('CURRENT WIP'!$D$1='CURRENT WIP'!$E$22:$E$148),MATCH(ROW(WIP),ROW(WIP)),""),ROW('CURRENT WIP'!R16)),COLUMN('CURRENT WIP'!R16)),"")</f>
        <v/>
      </c>
      <c r="W28" s="48" t="str">
        <f t="array" ref="W28">IFERROR(INDEX(WIP,SMALL(IF(('CURRENT WIP'!$D$1='CURRENT WIP'!$E$22:$E$148),MATCH(ROW(WIP),ROW(WIP)),""),ROW('CURRENT WIP'!S16)),COLUMN('CURRENT WIP'!S16)),"")</f>
        <v/>
      </c>
      <c r="X28" s="48" t="str">
        <f t="array" ref="X28">IFERROR(INDEX(WIP,SMALL(IF(('CURRENT WIP'!$D$1='CURRENT WIP'!$E$22:$E$148),MATCH(ROW(WIP),ROW(WIP)),""),ROW('CURRENT WIP'!T16)),COLUMN('CURRENT WIP'!T16)),"")</f>
        <v/>
      </c>
      <c r="Y28" s="88" t="str">
        <f t="array" ref="Y28">IFERROR(INDEX(WIP,SMALL(IF(('CURRENT WIP'!$D$1='CURRENT WIP'!$E$22:$E$148),MATCH(ROW(WIP),ROW(WIP)),""),ROW('CURRENT WIP'!U16)),COLUMN('CURRENT WIP'!U16)),"")</f>
        <v/>
      </c>
      <c r="Z28" s="476"/>
      <c r="AA28" s="476"/>
      <c r="AC28" s="476"/>
      <c r="AD28" s="476"/>
      <c r="AE28" s="476"/>
      <c r="AF28" s="476"/>
      <c r="AG28" s="476"/>
      <c r="AH28" s="476"/>
      <c r="AI28" s="476"/>
      <c r="AJ28" s="483"/>
      <c r="AK28" s="478"/>
      <c r="AL28" s="476"/>
      <c r="AM28" s="87"/>
      <c r="AN28" s="48"/>
      <c r="AO28" s="48"/>
      <c r="AP28" s="48"/>
      <c r="AQ28" s="66"/>
      <c r="AR28" s="66"/>
      <c r="AS28" s="48"/>
      <c r="AT28" s="66"/>
      <c r="AU28" s="48"/>
      <c r="AV28" s="67"/>
      <c r="AW28" s="48"/>
      <c r="AX28" s="48"/>
      <c r="AY28" s="48"/>
      <c r="AZ28" s="68"/>
      <c r="BA28" s="48"/>
      <c r="BB28" s="48"/>
      <c r="BC28" s="68"/>
      <c r="BD28" s="48"/>
      <c r="BE28" s="48"/>
      <c r="BF28" s="48"/>
      <c r="BG28" s="88"/>
      <c r="BH28" s="476"/>
      <c r="BI28" s="476"/>
      <c r="BJ28" s="476"/>
      <c r="BK28" s="476"/>
      <c r="BL28" s="476"/>
      <c r="BN28" s="476"/>
      <c r="BO28" s="476"/>
      <c r="BP28" s="484"/>
      <c r="BQ28" s="476"/>
      <c r="BR28" s="476"/>
      <c r="BS28" s="476"/>
      <c r="BT28" s="476"/>
      <c r="BU28" s="476"/>
      <c r="BV28" s="476"/>
      <c r="BW28" s="476"/>
      <c r="BX28" s="476"/>
    </row>
    <row r="29" spans="1:76" hidden="1">
      <c r="A29" s="476"/>
      <c r="B29" s="476"/>
      <c r="C29" s="476"/>
      <c r="D29" s="476"/>
      <c r="E29" s="87" t="str">
        <f t="array" ref="E29">IFERROR(INDEX(WIP,SMALL(IF(('CURRENT WIP'!$D$1='CURRENT WIP'!$E$22:E164),MATCH(ROW(WIP),ROW(WIP)),""),ROW('CURRENT WIP'!A17)),COLUMN('CURRENT WIP'!A17)),"")</f>
        <v/>
      </c>
      <c r="F29" s="48" t="str">
        <f t="array" ref="F29">IFERROR(INDEX(WIP,SMALL(IF(('CURRENT WIP'!$D$1='CURRENT WIP'!$E$22:$E$148),MATCH(ROW(WIP),ROW(WIP)),""),ROW('CURRENT WIP'!B17)),COLUMN('CURRENT WIP'!B17)),"")</f>
        <v/>
      </c>
      <c r="G29" s="48" t="str">
        <f t="array" ref="G29">IFERROR(INDEX(WIP,SMALL(IF(('CURRENT WIP'!$D$1='CURRENT WIP'!$E$22:$E$148),MATCH(ROW(WIP),ROW(WIP)),""),ROW('CURRENT WIP'!C17)),COLUMN('CURRENT WIP'!C17)),"")</f>
        <v/>
      </c>
      <c r="H29" s="48" t="str">
        <f t="array" ref="H29">IFERROR(INDEX(WIP,SMALL(IF(('CURRENT WIP'!$D$1='CURRENT WIP'!$E$22:$E$148),MATCH(ROW(WIP),ROW(WIP)),""),ROW('CURRENT WIP'!D17)),COLUMN('CURRENT WIP'!D17)),"")</f>
        <v/>
      </c>
      <c r="I29" s="66" t="str">
        <f t="array" ref="I29">IFERROR(INDEX(WIP,SMALL(IF(('CURRENT WIP'!$D$1='CURRENT WIP'!$E$22:$E$148),MATCH(ROW(WIP),ROW(WIP)),""),ROW('CURRENT WIP'!E17)),COLUMN('CURRENT WIP'!E17)),"")</f>
        <v/>
      </c>
      <c r="J29" s="66" t="str">
        <f t="array" ref="J29">IFERROR(INDEX(WIP,SMALL(IF(('CURRENT WIP'!$D$1='CURRENT WIP'!$E$22:$E$148),MATCH(ROW(WIP),ROW(WIP)),""),ROW('CURRENT WIP'!F17)),COLUMN('CURRENT WIP'!F17)),"")</f>
        <v/>
      </c>
      <c r="K29" s="48" t="str">
        <f t="array" ref="K29">IFERROR(INDEX(WIP,SMALL(IF(('CURRENT WIP'!$D$1='CURRENT WIP'!$E$22:$E$148),MATCH(ROW(WIP),ROW(WIP)),""),ROW('CURRENT WIP'!G17)),COLUMN('CURRENT WIP'!G17)),"")</f>
        <v/>
      </c>
      <c r="L29" s="66" t="str">
        <f t="array" ref="L29">IFERROR(INDEX(WIP,SMALL(IF(('CURRENT WIP'!$D$1='CURRENT WIP'!$E$22:$E$148),MATCH(ROW(WIP),ROW(WIP)),""),ROW('CURRENT WIP'!H17)),COLUMN('CURRENT WIP'!H17)),"")</f>
        <v/>
      </c>
      <c r="M29" s="48" t="str">
        <f t="array" ref="M29">IFERROR(INDEX(WIP,SMALL(IF(('CURRENT WIP'!$D$1='CURRENT WIP'!$E$22:$E$148),MATCH(ROW(WIP),ROW(WIP)),""),ROW('CURRENT WIP'!I17)),COLUMN('CURRENT WIP'!I17)),"")</f>
        <v/>
      </c>
      <c r="N29" s="67" t="str">
        <f t="array" ref="N29">IFERROR(INDEX(WIP,SMALL(IF(('CURRENT WIP'!$D$1='CURRENT WIP'!$E$22:$E$148),MATCH(ROW(WIP),ROW(WIP)),""),ROW('CURRENT WIP'!J17)),COLUMN('CURRENT WIP'!J17)),"")</f>
        <v/>
      </c>
      <c r="O29" s="48" t="str">
        <f t="array" ref="O29">IFERROR(INDEX(WIP,SMALL(IF(('CURRENT WIP'!$D$1='CURRENT WIP'!$E$22:$E$148),MATCH(ROW(WIP),ROW(WIP)),""),ROW('CURRENT WIP'!K17)),COLUMN('CURRENT WIP'!K17)),"")</f>
        <v/>
      </c>
      <c r="P29" s="48" t="str">
        <f t="array" ref="P29">IFERROR(INDEX(WIP,SMALL(IF(('CURRENT WIP'!$D$1='CURRENT WIP'!$E$22:$E$148),MATCH(ROW(WIP),ROW(WIP)),""),ROW('CURRENT WIP'!L17)),COLUMN('CURRENT WIP'!L17)),"")</f>
        <v/>
      </c>
      <c r="Q29" s="48" t="str">
        <f t="array" ref="Q29">IFERROR(INDEX(WIP,SMALL(IF(('CURRENT WIP'!$D$1='CURRENT WIP'!$E$22:$E$148),MATCH(ROW(WIP),ROW(WIP)),""),ROW('CURRENT WIP'!M17)),COLUMN('CURRENT WIP'!M17)),"")</f>
        <v/>
      </c>
      <c r="R29" s="68" t="str">
        <f t="array" ref="R29">IFERROR(INDEX(WIP,SMALL(IF(('CURRENT WIP'!$D$1='CURRENT WIP'!$E$22:$E$148),MATCH(ROW(WIP),ROW(WIP)),""),ROW('CURRENT WIP'!N17)),COLUMN('CURRENT WIP'!N17)),"")</f>
        <v/>
      </c>
      <c r="S29" s="48" t="str">
        <f t="array" ref="S29">IFERROR(INDEX(WIP,SMALL(IF(('CURRENT WIP'!$D$1='CURRENT WIP'!$E$22:$E$148),MATCH(ROW(WIP),ROW(WIP)),""),ROW('CURRENT WIP'!O17)),COLUMN('CURRENT WIP'!O17)),"")</f>
        <v/>
      </c>
      <c r="T29" s="48" t="str">
        <f t="array" ref="T29">IFERROR(INDEX(WIP,SMALL(IF(('CURRENT WIP'!$D$1='CURRENT WIP'!$E$22:$E$148),MATCH(ROW(WIP),ROW(WIP)),""),ROW('CURRENT WIP'!P17)),COLUMN('CURRENT WIP'!P17)),"")</f>
        <v/>
      </c>
      <c r="U29" s="68" t="str">
        <f t="array" ref="U29">IFERROR(INDEX(WIP,SMALL(IF(('CURRENT WIP'!$D$1='CURRENT WIP'!$E$22:$E$148),MATCH(ROW(WIP),ROW(WIP)),""),ROW('CURRENT WIP'!Q17)),COLUMN('CURRENT WIP'!Q17)),"")</f>
        <v/>
      </c>
      <c r="V29" s="48" t="str">
        <f t="array" ref="V29">IFERROR(INDEX(WIP,SMALL(IF(('CURRENT WIP'!$D$1='CURRENT WIP'!$E$22:$E$148),MATCH(ROW(WIP),ROW(WIP)),""),ROW('CURRENT WIP'!R17)),COLUMN('CURRENT WIP'!R17)),"")</f>
        <v/>
      </c>
      <c r="W29" s="48" t="str">
        <f t="array" ref="W29">IFERROR(INDEX(WIP,SMALL(IF(('CURRENT WIP'!$D$1='CURRENT WIP'!$E$22:$E$148),MATCH(ROW(WIP),ROW(WIP)),""),ROW('CURRENT WIP'!S17)),COLUMN('CURRENT WIP'!S17)),"")</f>
        <v/>
      </c>
      <c r="X29" s="48" t="str">
        <f t="array" ref="X29">IFERROR(INDEX(WIP,SMALL(IF(('CURRENT WIP'!$D$1='CURRENT WIP'!$E$22:$E$148),MATCH(ROW(WIP),ROW(WIP)),""),ROW('CURRENT WIP'!T17)),COLUMN('CURRENT WIP'!T17)),"")</f>
        <v/>
      </c>
      <c r="Y29" s="88" t="str">
        <f t="array" ref="Y29">IFERROR(INDEX(WIP,SMALL(IF(('CURRENT WIP'!$D$1='CURRENT WIP'!$E$22:$E$148),MATCH(ROW(WIP),ROW(WIP)),""),ROW('CURRENT WIP'!U17)),COLUMN('CURRENT WIP'!U17)),"")</f>
        <v/>
      </c>
      <c r="Z29" s="476"/>
      <c r="AA29" s="476"/>
      <c r="AC29" s="476"/>
      <c r="AD29" s="476"/>
      <c r="AE29" s="476"/>
      <c r="AF29" s="476"/>
      <c r="AG29" s="476"/>
      <c r="AH29" s="476"/>
      <c r="AI29" s="476"/>
      <c r="AJ29" s="483"/>
      <c r="AK29" s="478"/>
      <c r="AL29" s="476"/>
      <c r="AM29" s="87"/>
      <c r="AN29" s="48"/>
      <c r="AO29" s="48"/>
      <c r="AP29" s="48"/>
      <c r="AQ29" s="66"/>
      <c r="AR29" s="66"/>
      <c r="AS29" s="48"/>
      <c r="AT29" s="66"/>
      <c r="AU29" s="48"/>
      <c r="AV29" s="67"/>
      <c r="AW29" s="48"/>
      <c r="AX29" s="48"/>
      <c r="AY29" s="48"/>
      <c r="AZ29" s="68"/>
      <c r="BA29" s="48"/>
      <c r="BB29" s="48"/>
      <c r="BC29" s="68"/>
      <c r="BD29" s="48"/>
      <c r="BE29" s="48"/>
      <c r="BF29" s="48"/>
      <c r="BG29" s="88"/>
      <c r="BH29" s="476"/>
      <c r="BI29" s="476"/>
      <c r="BJ29" s="476"/>
      <c r="BK29" s="476"/>
      <c r="BL29" s="476"/>
      <c r="BN29" s="476"/>
      <c r="BO29" s="476"/>
      <c r="BP29" s="484"/>
      <c r="BQ29" s="476"/>
      <c r="BR29" s="476"/>
      <c r="BS29" s="476"/>
      <c r="BT29" s="476"/>
      <c r="BU29" s="476"/>
      <c r="BV29" s="476"/>
      <c r="BW29" s="476"/>
      <c r="BX29" s="476"/>
    </row>
    <row r="30" spans="1:76" hidden="1">
      <c r="A30" s="476"/>
      <c r="B30" s="476"/>
      <c r="C30" s="476"/>
      <c r="D30" s="476"/>
      <c r="E30" s="87" t="str">
        <f t="array" ref="E30">IFERROR(INDEX(WIP,SMALL(IF(('CURRENT WIP'!$D$1='CURRENT WIP'!$E$22:E165),MATCH(ROW(WIP),ROW(WIP)),""),ROW('CURRENT WIP'!A18)),COLUMN('CURRENT WIP'!A18)),"")</f>
        <v/>
      </c>
      <c r="F30" s="48" t="str">
        <f t="array" ref="F30">IFERROR(INDEX(WIP,SMALL(IF(('CURRENT WIP'!$D$1='CURRENT WIP'!$E$22:$E$148),MATCH(ROW(WIP),ROW(WIP)),""),ROW('CURRENT WIP'!B18)),COLUMN('CURRENT WIP'!B18)),"")</f>
        <v/>
      </c>
      <c r="G30" s="48" t="str">
        <f t="array" ref="G30">IFERROR(INDEX(WIP,SMALL(IF(('CURRENT WIP'!$D$1='CURRENT WIP'!$E$22:$E$148),MATCH(ROW(WIP),ROW(WIP)),""),ROW('CURRENT WIP'!C18)),COLUMN('CURRENT WIP'!C18)),"")</f>
        <v/>
      </c>
      <c r="H30" s="48" t="str">
        <f t="array" ref="H30">IFERROR(INDEX(WIP,SMALL(IF(('CURRENT WIP'!$D$1='CURRENT WIP'!$E$22:$E$148),MATCH(ROW(WIP),ROW(WIP)),""),ROW('CURRENT WIP'!D18)),COLUMN('CURRENT WIP'!D18)),"")</f>
        <v/>
      </c>
      <c r="I30" s="66" t="str">
        <f t="array" ref="I30">IFERROR(INDEX(WIP,SMALL(IF(('CURRENT WIP'!$D$1='CURRENT WIP'!$E$22:$E$148),MATCH(ROW(WIP),ROW(WIP)),""),ROW('CURRENT WIP'!E18)),COLUMN('CURRENT WIP'!E18)),"")</f>
        <v/>
      </c>
      <c r="J30" s="66" t="str">
        <f t="array" ref="J30">IFERROR(INDEX(WIP,SMALL(IF(('CURRENT WIP'!$D$1='CURRENT WIP'!$E$22:$E$148),MATCH(ROW(WIP),ROW(WIP)),""),ROW('CURRENT WIP'!F18)),COLUMN('CURRENT WIP'!F18)),"")</f>
        <v/>
      </c>
      <c r="K30" s="48" t="str">
        <f t="array" ref="K30">IFERROR(INDEX(WIP,SMALL(IF(('CURRENT WIP'!$D$1='CURRENT WIP'!$E$22:$E$148),MATCH(ROW(WIP),ROW(WIP)),""),ROW('CURRENT WIP'!G18)),COLUMN('CURRENT WIP'!G18)),"")</f>
        <v/>
      </c>
      <c r="L30" s="66" t="str">
        <f t="array" ref="L30">IFERROR(INDEX(WIP,SMALL(IF(('CURRENT WIP'!$D$1='CURRENT WIP'!$E$22:$E$148),MATCH(ROW(WIP),ROW(WIP)),""),ROW('CURRENT WIP'!H18)),COLUMN('CURRENT WIP'!H18)),"")</f>
        <v/>
      </c>
      <c r="M30" s="48" t="str">
        <f t="array" ref="M30">IFERROR(INDEX(WIP,SMALL(IF(('CURRENT WIP'!$D$1='CURRENT WIP'!$E$22:$E$148),MATCH(ROW(WIP),ROW(WIP)),""),ROW('CURRENT WIP'!I18)),COLUMN('CURRENT WIP'!I18)),"")</f>
        <v/>
      </c>
      <c r="N30" s="67" t="str">
        <f t="array" ref="N30">IFERROR(INDEX(WIP,SMALL(IF(('CURRENT WIP'!$D$1='CURRENT WIP'!$E$22:$E$148),MATCH(ROW(WIP),ROW(WIP)),""),ROW('CURRENT WIP'!J18)),COLUMN('CURRENT WIP'!J18)),"")</f>
        <v/>
      </c>
      <c r="O30" s="48" t="str">
        <f t="array" ref="O30">IFERROR(INDEX(WIP,SMALL(IF(('CURRENT WIP'!$D$1='CURRENT WIP'!$E$22:$E$148),MATCH(ROW(WIP),ROW(WIP)),""),ROW('CURRENT WIP'!K18)),COLUMN('CURRENT WIP'!K18)),"")</f>
        <v/>
      </c>
      <c r="P30" s="48" t="str">
        <f t="array" ref="P30">IFERROR(INDEX(WIP,SMALL(IF(('CURRENT WIP'!$D$1='CURRENT WIP'!$E$22:$E$148),MATCH(ROW(WIP),ROW(WIP)),""),ROW('CURRENT WIP'!L18)),COLUMN('CURRENT WIP'!L18)),"")</f>
        <v/>
      </c>
      <c r="Q30" s="48" t="str">
        <f t="array" ref="Q30">IFERROR(INDEX(WIP,SMALL(IF(('CURRENT WIP'!$D$1='CURRENT WIP'!$E$22:$E$148),MATCH(ROW(WIP),ROW(WIP)),""),ROW('CURRENT WIP'!M18)),COLUMN('CURRENT WIP'!M18)),"")</f>
        <v/>
      </c>
      <c r="R30" s="68" t="str">
        <f t="array" ref="R30">IFERROR(INDEX(WIP,SMALL(IF(('CURRENT WIP'!$D$1='CURRENT WIP'!$E$22:$E$148),MATCH(ROW(WIP),ROW(WIP)),""),ROW('CURRENT WIP'!N18)),COLUMN('CURRENT WIP'!N18)),"")</f>
        <v/>
      </c>
      <c r="S30" s="48" t="str">
        <f t="array" ref="S30">IFERROR(INDEX(WIP,SMALL(IF(('CURRENT WIP'!$D$1='CURRENT WIP'!$E$22:$E$148),MATCH(ROW(WIP),ROW(WIP)),""),ROW('CURRENT WIP'!O18)),COLUMN('CURRENT WIP'!O18)),"")</f>
        <v/>
      </c>
      <c r="T30" s="48" t="str">
        <f t="array" ref="T30">IFERROR(INDEX(WIP,SMALL(IF(('CURRENT WIP'!$D$1='CURRENT WIP'!$E$22:$E$148),MATCH(ROW(WIP),ROW(WIP)),""),ROW('CURRENT WIP'!P18)),COLUMN('CURRENT WIP'!P18)),"")</f>
        <v/>
      </c>
      <c r="U30" s="68" t="str">
        <f t="array" ref="U30">IFERROR(INDEX(WIP,SMALL(IF(('CURRENT WIP'!$D$1='CURRENT WIP'!$E$22:$E$148),MATCH(ROW(WIP),ROW(WIP)),""),ROW('CURRENT WIP'!Q18)),COLUMN('CURRENT WIP'!Q18)),"")</f>
        <v/>
      </c>
      <c r="V30" s="48" t="str">
        <f t="array" ref="V30">IFERROR(INDEX(WIP,SMALL(IF(('CURRENT WIP'!$D$1='CURRENT WIP'!$E$22:$E$148),MATCH(ROW(WIP),ROW(WIP)),""),ROW('CURRENT WIP'!R18)),COLUMN('CURRENT WIP'!R18)),"")</f>
        <v/>
      </c>
      <c r="W30" s="48" t="str">
        <f t="array" ref="W30">IFERROR(INDEX(WIP,SMALL(IF(('CURRENT WIP'!$D$1='CURRENT WIP'!$E$22:$E$148),MATCH(ROW(WIP),ROW(WIP)),""),ROW('CURRENT WIP'!S18)),COLUMN('CURRENT WIP'!S18)),"")</f>
        <v/>
      </c>
      <c r="X30" s="48" t="str">
        <f t="array" ref="X30">IFERROR(INDEX(WIP,SMALL(IF(('CURRENT WIP'!$D$1='CURRENT WIP'!$E$22:$E$148),MATCH(ROW(WIP),ROW(WIP)),""),ROW('CURRENT WIP'!T18)),COLUMN('CURRENT WIP'!T18)),"")</f>
        <v/>
      </c>
      <c r="Y30" s="88" t="str">
        <f t="array" ref="Y30">IFERROR(INDEX(WIP,SMALL(IF(('CURRENT WIP'!$D$1='CURRENT WIP'!$E$22:$E$148),MATCH(ROW(WIP),ROW(WIP)),""),ROW('CURRENT WIP'!U18)),COLUMN('CURRENT WIP'!U18)),"")</f>
        <v/>
      </c>
      <c r="Z30" s="476"/>
      <c r="AA30" s="476"/>
      <c r="AC30" s="476"/>
      <c r="AD30" s="476"/>
      <c r="AE30" s="476"/>
      <c r="AF30" s="476"/>
      <c r="AG30" s="476"/>
      <c r="AH30" s="476"/>
      <c r="AI30" s="476"/>
      <c r="AJ30" s="483"/>
      <c r="AK30" s="478"/>
      <c r="AL30" s="476"/>
      <c r="AM30" s="87"/>
      <c r="AN30" s="48"/>
      <c r="AO30" s="48"/>
      <c r="AP30" s="48"/>
      <c r="AQ30" s="66"/>
      <c r="AR30" s="66"/>
      <c r="AS30" s="48"/>
      <c r="AT30" s="66"/>
      <c r="AU30" s="48"/>
      <c r="AV30" s="67"/>
      <c r="AW30" s="48"/>
      <c r="AX30" s="48"/>
      <c r="AY30" s="48"/>
      <c r="AZ30" s="68"/>
      <c r="BA30" s="48"/>
      <c r="BB30" s="48"/>
      <c r="BC30" s="68"/>
      <c r="BD30" s="48"/>
      <c r="BE30" s="48"/>
      <c r="BF30" s="48"/>
      <c r="BG30" s="88"/>
      <c r="BH30" s="476"/>
      <c r="BI30" s="476"/>
      <c r="BJ30" s="476"/>
      <c r="BK30" s="476"/>
      <c r="BL30" s="476"/>
      <c r="BN30" s="476"/>
      <c r="BO30" s="476"/>
      <c r="BP30" s="484"/>
      <c r="BQ30" s="476"/>
      <c r="BR30" s="476"/>
      <c r="BS30" s="476"/>
      <c r="BT30" s="476"/>
      <c r="BU30" s="476"/>
      <c r="BV30" s="476"/>
      <c r="BW30" s="476"/>
      <c r="BX30" s="476"/>
    </row>
    <row r="31" spans="1:76" hidden="1">
      <c r="A31" s="476"/>
      <c r="B31" s="476"/>
      <c r="C31" s="476"/>
      <c r="D31" s="476"/>
      <c r="E31" s="87" t="str">
        <f t="array" ref="E31">IFERROR(INDEX(WIP,SMALL(IF(('CURRENT WIP'!$D$1='CURRENT WIP'!$E$22:E166),MATCH(ROW(WIP),ROW(WIP)),""),ROW('CURRENT WIP'!A19)),COLUMN('CURRENT WIP'!A19)),"")</f>
        <v/>
      </c>
      <c r="F31" s="48" t="str">
        <f t="array" ref="F31">IFERROR(INDEX(WIP,SMALL(IF(('CURRENT WIP'!$D$1='CURRENT WIP'!$E$22:$E$148),MATCH(ROW(WIP),ROW(WIP)),""),ROW('CURRENT WIP'!B19)),COLUMN('CURRENT WIP'!B19)),"")</f>
        <v/>
      </c>
      <c r="G31" s="48" t="str">
        <f t="array" ref="G31">IFERROR(INDEX(WIP,SMALL(IF(('CURRENT WIP'!$D$1='CURRENT WIP'!$E$22:$E$148),MATCH(ROW(WIP),ROW(WIP)),""),ROW('CURRENT WIP'!C19)),COLUMN('CURRENT WIP'!C19)),"")</f>
        <v/>
      </c>
      <c r="H31" s="48" t="str">
        <f t="array" ref="H31">IFERROR(INDEX(WIP,SMALL(IF(('CURRENT WIP'!$D$1='CURRENT WIP'!$E$22:$E$148),MATCH(ROW(WIP),ROW(WIP)),""),ROW('CURRENT WIP'!D19)),COLUMN('CURRENT WIP'!D19)),"")</f>
        <v/>
      </c>
      <c r="I31" s="66" t="str">
        <f t="array" ref="I31">IFERROR(INDEX(WIP,SMALL(IF(('CURRENT WIP'!$D$1='CURRENT WIP'!$E$22:$E$148),MATCH(ROW(WIP),ROW(WIP)),""),ROW('CURRENT WIP'!E19)),COLUMN('CURRENT WIP'!E19)),"")</f>
        <v/>
      </c>
      <c r="J31" s="66" t="str">
        <f t="array" ref="J31">IFERROR(INDEX(WIP,SMALL(IF(('CURRENT WIP'!$D$1='CURRENT WIP'!$E$22:$E$148),MATCH(ROW(WIP),ROW(WIP)),""),ROW('CURRENT WIP'!F19)),COLUMN('CURRENT WIP'!F19)),"")</f>
        <v/>
      </c>
      <c r="K31" s="48" t="str">
        <f t="array" ref="K31">IFERROR(INDEX(WIP,SMALL(IF(('CURRENT WIP'!$D$1='CURRENT WIP'!$E$22:$E$148),MATCH(ROW(WIP),ROW(WIP)),""),ROW('CURRENT WIP'!G19)),COLUMN('CURRENT WIP'!G19)),"")</f>
        <v/>
      </c>
      <c r="L31" s="66" t="str">
        <f t="array" ref="L31">IFERROR(INDEX(WIP,SMALL(IF(('CURRENT WIP'!$D$1='CURRENT WIP'!$E$22:$E$148),MATCH(ROW(WIP),ROW(WIP)),""),ROW('CURRENT WIP'!H19)),COLUMN('CURRENT WIP'!H19)),"")</f>
        <v/>
      </c>
      <c r="M31" s="48" t="str">
        <f t="array" ref="M31">IFERROR(INDEX(WIP,SMALL(IF(('CURRENT WIP'!$D$1='CURRENT WIP'!$E$22:$E$148),MATCH(ROW(WIP),ROW(WIP)),""),ROW('CURRENT WIP'!I19)),COLUMN('CURRENT WIP'!I19)),"")</f>
        <v/>
      </c>
      <c r="N31" s="67" t="str">
        <f t="array" ref="N31">IFERROR(INDEX(WIP,SMALL(IF(('CURRENT WIP'!$D$1='CURRENT WIP'!$E$22:$E$148),MATCH(ROW(WIP),ROW(WIP)),""),ROW('CURRENT WIP'!J19)),COLUMN('CURRENT WIP'!J19)),"")</f>
        <v/>
      </c>
      <c r="O31" s="48" t="str">
        <f t="array" ref="O31">IFERROR(INDEX(WIP,SMALL(IF(('CURRENT WIP'!$D$1='CURRENT WIP'!$E$22:$E$148),MATCH(ROW(WIP),ROW(WIP)),""),ROW('CURRENT WIP'!K19)),COLUMN('CURRENT WIP'!K19)),"")</f>
        <v/>
      </c>
      <c r="P31" s="48" t="str">
        <f t="array" ref="P31">IFERROR(INDEX(WIP,SMALL(IF(('CURRENT WIP'!$D$1='CURRENT WIP'!$E$22:$E$148),MATCH(ROW(WIP),ROW(WIP)),""),ROW('CURRENT WIP'!L19)),COLUMN('CURRENT WIP'!L19)),"")</f>
        <v/>
      </c>
      <c r="Q31" s="48" t="str">
        <f t="array" ref="Q31">IFERROR(INDEX(WIP,SMALL(IF(('CURRENT WIP'!$D$1='CURRENT WIP'!$E$22:$E$148),MATCH(ROW(WIP),ROW(WIP)),""),ROW('CURRENT WIP'!M19)),COLUMN('CURRENT WIP'!M19)),"")</f>
        <v/>
      </c>
      <c r="R31" s="68" t="str">
        <f t="array" ref="R31">IFERROR(INDEX(WIP,SMALL(IF(('CURRENT WIP'!$D$1='CURRENT WIP'!$E$22:$E$148),MATCH(ROW(WIP),ROW(WIP)),""),ROW('CURRENT WIP'!N19)),COLUMN('CURRENT WIP'!N19)),"")</f>
        <v/>
      </c>
      <c r="S31" s="48" t="str">
        <f t="array" ref="S31">IFERROR(INDEX(WIP,SMALL(IF(('CURRENT WIP'!$D$1='CURRENT WIP'!$E$22:$E$148),MATCH(ROW(WIP),ROW(WIP)),""),ROW('CURRENT WIP'!O19)),COLUMN('CURRENT WIP'!O19)),"")</f>
        <v/>
      </c>
      <c r="T31" s="48" t="str">
        <f t="array" ref="T31">IFERROR(INDEX(WIP,SMALL(IF(('CURRENT WIP'!$D$1='CURRENT WIP'!$E$22:$E$148),MATCH(ROW(WIP),ROW(WIP)),""),ROW('CURRENT WIP'!P19)),COLUMN('CURRENT WIP'!P19)),"")</f>
        <v/>
      </c>
      <c r="U31" s="68" t="str">
        <f t="array" ref="U31">IFERROR(INDEX(WIP,SMALL(IF(('CURRENT WIP'!$D$1='CURRENT WIP'!$E$22:$E$148),MATCH(ROW(WIP),ROW(WIP)),""),ROW('CURRENT WIP'!Q19)),COLUMN('CURRENT WIP'!Q19)),"")</f>
        <v/>
      </c>
      <c r="V31" s="48" t="str">
        <f t="array" ref="V31">IFERROR(INDEX(WIP,SMALL(IF(('CURRENT WIP'!$D$1='CURRENT WIP'!$E$22:$E$148),MATCH(ROW(WIP),ROW(WIP)),""),ROW('CURRENT WIP'!R19)),COLUMN('CURRENT WIP'!R19)),"")</f>
        <v/>
      </c>
      <c r="W31" s="48" t="str">
        <f t="array" ref="W31">IFERROR(INDEX(WIP,SMALL(IF(('CURRENT WIP'!$D$1='CURRENT WIP'!$E$22:$E$148),MATCH(ROW(WIP),ROW(WIP)),""),ROW('CURRENT WIP'!S19)),COLUMN('CURRENT WIP'!S19)),"")</f>
        <v/>
      </c>
      <c r="X31" s="48" t="str">
        <f t="array" ref="X31">IFERROR(INDEX(WIP,SMALL(IF(('CURRENT WIP'!$D$1='CURRENT WIP'!$E$22:$E$148),MATCH(ROW(WIP),ROW(WIP)),""),ROW('CURRENT WIP'!T19)),COLUMN('CURRENT WIP'!T19)),"")</f>
        <v/>
      </c>
      <c r="Y31" s="88" t="str">
        <f t="array" ref="Y31">IFERROR(INDEX(WIP,SMALL(IF(('CURRENT WIP'!$D$1='CURRENT WIP'!$E$22:$E$148),MATCH(ROW(WIP),ROW(WIP)),""),ROW('CURRENT WIP'!U19)),COLUMN('CURRENT WIP'!U19)),"")</f>
        <v/>
      </c>
      <c r="Z31" s="476"/>
      <c r="AA31" s="476"/>
      <c r="AC31" s="476"/>
      <c r="AD31" s="476"/>
      <c r="AE31" s="476"/>
      <c r="AF31" s="476"/>
      <c r="AG31" s="476"/>
      <c r="AH31" s="476"/>
      <c r="AI31" s="476"/>
      <c r="AJ31" s="483"/>
      <c r="AK31" s="478"/>
      <c r="AL31" s="476"/>
      <c r="AM31" s="87"/>
      <c r="AN31" s="48"/>
      <c r="AO31" s="48"/>
      <c r="AP31" s="48"/>
      <c r="AQ31" s="66"/>
      <c r="AR31" s="66"/>
      <c r="AS31" s="48"/>
      <c r="AT31" s="66"/>
      <c r="AU31" s="48"/>
      <c r="AV31" s="67"/>
      <c r="AW31" s="48"/>
      <c r="AX31" s="48"/>
      <c r="AY31" s="48"/>
      <c r="AZ31" s="68"/>
      <c r="BA31" s="48"/>
      <c r="BB31" s="48"/>
      <c r="BC31" s="68"/>
      <c r="BD31" s="48"/>
      <c r="BE31" s="48"/>
      <c r="BF31" s="48"/>
      <c r="BG31" s="88"/>
      <c r="BH31" s="476"/>
      <c r="BI31" s="476"/>
      <c r="BJ31" s="476"/>
      <c r="BK31" s="476"/>
      <c r="BL31" s="476"/>
      <c r="BN31" s="476"/>
      <c r="BO31" s="476"/>
      <c r="BP31" s="484"/>
      <c r="BQ31" s="476"/>
      <c r="BR31" s="476"/>
      <c r="BS31" s="476"/>
      <c r="BT31" s="476"/>
      <c r="BU31" s="476"/>
      <c r="BV31" s="476"/>
      <c r="BW31" s="476"/>
      <c r="BX31" s="476"/>
    </row>
    <row r="32" spans="1:76" hidden="1">
      <c r="A32" s="476"/>
      <c r="B32" s="476"/>
      <c r="C32" s="55"/>
      <c r="D32" s="476"/>
      <c r="E32" s="87" t="str">
        <f t="array" ref="E32">IFERROR(INDEX(WIP,SMALL(IF(('CURRENT WIP'!$D$1='CURRENT WIP'!$E$22:E167),MATCH(ROW(WIP),ROW(WIP)),""),ROW('CURRENT WIP'!A20)),COLUMN('CURRENT WIP'!A20)),"")</f>
        <v/>
      </c>
      <c r="F32" s="48" t="str">
        <f t="array" ref="F32">IFERROR(INDEX(WIP,SMALL(IF(('CURRENT WIP'!$D$1='CURRENT WIP'!$E$22:$E$148),MATCH(ROW(WIP),ROW(WIP)),""),ROW('CURRENT WIP'!B20)),COLUMN('CURRENT WIP'!B20)),"")</f>
        <v/>
      </c>
      <c r="G32" s="48" t="str">
        <f t="array" ref="G32">IFERROR(INDEX(WIP,SMALL(IF(('CURRENT WIP'!$D$1='CURRENT WIP'!$E$22:$E$148),MATCH(ROW(WIP),ROW(WIP)),""),ROW('CURRENT WIP'!C20)),COLUMN('CURRENT WIP'!C20)),"")</f>
        <v/>
      </c>
      <c r="H32" s="48" t="str">
        <f t="array" ref="H32">IFERROR(INDEX(WIP,SMALL(IF(('CURRENT WIP'!$D$1='CURRENT WIP'!$E$22:$E$148),MATCH(ROW(WIP),ROW(WIP)),""),ROW('CURRENT WIP'!D20)),COLUMN('CURRENT WIP'!D20)),"")</f>
        <v/>
      </c>
      <c r="I32" s="66" t="str">
        <f t="array" ref="I32">IFERROR(INDEX(WIP,SMALL(IF(('CURRENT WIP'!$D$1='CURRENT WIP'!$E$22:$E$148),MATCH(ROW(WIP),ROW(WIP)),""),ROW('CURRENT WIP'!E20)),COLUMN('CURRENT WIP'!E20)),"")</f>
        <v/>
      </c>
      <c r="J32" s="66" t="str">
        <f t="array" ref="J32">IFERROR(INDEX(WIP,SMALL(IF(('CURRENT WIP'!$D$1='CURRENT WIP'!$E$22:$E$148),MATCH(ROW(WIP),ROW(WIP)),""),ROW('CURRENT WIP'!F20)),COLUMN('CURRENT WIP'!F20)),"")</f>
        <v/>
      </c>
      <c r="K32" s="48" t="str">
        <f t="array" ref="K32">IFERROR(INDEX(WIP,SMALL(IF(('CURRENT WIP'!$D$1='CURRENT WIP'!$E$22:$E$148),MATCH(ROW(WIP),ROW(WIP)),""),ROW('CURRENT WIP'!G20)),COLUMN('CURRENT WIP'!G20)),"")</f>
        <v/>
      </c>
      <c r="L32" s="66" t="str">
        <f t="array" ref="L32">IFERROR(INDEX(WIP,SMALL(IF(('CURRENT WIP'!$D$1='CURRENT WIP'!$E$22:$E$148),MATCH(ROW(WIP),ROW(WIP)),""),ROW('CURRENT WIP'!H20)),COLUMN('CURRENT WIP'!H20)),"")</f>
        <v/>
      </c>
      <c r="M32" s="48" t="str">
        <f t="array" ref="M32">IFERROR(INDEX(WIP,SMALL(IF(('CURRENT WIP'!$D$1='CURRENT WIP'!$E$22:$E$148),MATCH(ROW(WIP),ROW(WIP)),""),ROW('CURRENT WIP'!I20)),COLUMN('CURRENT WIP'!I20)),"")</f>
        <v/>
      </c>
      <c r="N32" s="67" t="str">
        <f t="array" ref="N32">IFERROR(INDEX(WIP,SMALL(IF(('CURRENT WIP'!$D$1='CURRENT WIP'!$E$22:$E$148),MATCH(ROW(WIP),ROW(WIP)),""),ROW('CURRENT WIP'!J20)),COLUMN('CURRENT WIP'!J20)),"")</f>
        <v/>
      </c>
      <c r="O32" s="48" t="str">
        <f t="array" ref="O32">IFERROR(INDEX(WIP,SMALL(IF(('CURRENT WIP'!$D$1='CURRENT WIP'!$E$22:$E$148),MATCH(ROW(WIP),ROW(WIP)),""),ROW('CURRENT WIP'!K20)),COLUMN('CURRENT WIP'!K20)),"")</f>
        <v/>
      </c>
      <c r="P32" s="48" t="str">
        <f t="array" ref="P32">IFERROR(INDEX(WIP,SMALL(IF(('CURRENT WIP'!$D$1='CURRENT WIP'!$E$22:$E$148),MATCH(ROW(WIP),ROW(WIP)),""),ROW('CURRENT WIP'!L20)),COLUMN('CURRENT WIP'!L20)),"")</f>
        <v/>
      </c>
      <c r="Q32" s="48" t="str">
        <f t="array" ref="Q32">IFERROR(INDEX(WIP,SMALL(IF(('CURRENT WIP'!$D$1='CURRENT WIP'!$E$22:$E$148),MATCH(ROW(WIP),ROW(WIP)),""),ROW('CURRENT WIP'!M20)),COLUMN('CURRENT WIP'!M20)),"")</f>
        <v/>
      </c>
      <c r="R32" s="68" t="str">
        <f t="array" ref="R32">IFERROR(INDEX(WIP,SMALL(IF(('CURRENT WIP'!$D$1='CURRENT WIP'!$E$22:$E$148),MATCH(ROW(WIP),ROW(WIP)),""),ROW('CURRENT WIP'!N20)),COLUMN('CURRENT WIP'!N20)),"")</f>
        <v/>
      </c>
      <c r="S32" s="48" t="str">
        <f t="array" ref="S32">IFERROR(INDEX(WIP,SMALL(IF(('CURRENT WIP'!$D$1='CURRENT WIP'!$E$22:$E$148),MATCH(ROW(WIP),ROW(WIP)),""),ROW('CURRENT WIP'!O20)),COLUMN('CURRENT WIP'!O20)),"")</f>
        <v/>
      </c>
      <c r="T32" s="48" t="str">
        <f t="array" ref="T32">IFERROR(INDEX(WIP,SMALL(IF(('CURRENT WIP'!$D$1='CURRENT WIP'!$E$22:$E$148),MATCH(ROW(WIP),ROW(WIP)),""),ROW('CURRENT WIP'!P20)),COLUMN('CURRENT WIP'!P20)),"")</f>
        <v/>
      </c>
      <c r="U32" s="68" t="str">
        <f t="array" ref="U32">IFERROR(INDEX(WIP,SMALL(IF(('CURRENT WIP'!$D$1='CURRENT WIP'!$E$22:$E$148),MATCH(ROW(WIP),ROW(WIP)),""),ROW('CURRENT WIP'!Q20)),COLUMN('CURRENT WIP'!Q20)),"")</f>
        <v/>
      </c>
      <c r="V32" s="48" t="str">
        <f t="array" ref="V32">IFERROR(INDEX(WIP,SMALL(IF(('CURRENT WIP'!$D$1='CURRENT WIP'!$E$22:$E$148),MATCH(ROW(WIP),ROW(WIP)),""),ROW('CURRENT WIP'!R20)),COLUMN('CURRENT WIP'!R20)),"")</f>
        <v/>
      </c>
      <c r="W32" s="48" t="str">
        <f t="array" ref="W32">IFERROR(INDEX(WIP,SMALL(IF(('CURRENT WIP'!$D$1='CURRENT WIP'!$E$22:$E$148),MATCH(ROW(WIP),ROW(WIP)),""),ROW('CURRENT WIP'!S20)),COLUMN('CURRENT WIP'!S20)),"")</f>
        <v/>
      </c>
      <c r="X32" s="48" t="str">
        <f t="array" ref="X32">IFERROR(INDEX(WIP,SMALL(IF(('CURRENT WIP'!$D$1='CURRENT WIP'!$E$22:$E$148),MATCH(ROW(WIP),ROW(WIP)),""),ROW('CURRENT WIP'!T20)),COLUMN('CURRENT WIP'!T20)),"")</f>
        <v/>
      </c>
      <c r="Y32" s="88" t="str">
        <f t="array" ref="Y32">IFERROR(INDEX(WIP,SMALL(IF(('CURRENT WIP'!$D$1='CURRENT WIP'!$E$22:$E$148),MATCH(ROW(WIP),ROW(WIP)),""),ROW('CURRENT WIP'!U20)),COLUMN('CURRENT WIP'!U20)),"")</f>
        <v/>
      </c>
      <c r="Z32" s="476"/>
      <c r="AA32" s="476"/>
      <c r="AC32" s="476"/>
      <c r="AD32" s="476"/>
      <c r="AE32" s="476"/>
      <c r="AF32" s="476"/>
      <c r="AG32" s="476"/>
      <c r="AH32" s="476"/>
      <c r="AI32" s="476"/>
      <c r="AJ32" s="483"/>
      <c r="AK32" s="478"/>
      <c r="AL32" s="476"/>
      <c r="AM32" s="87"/>
      <c r="AN32" s="48"/>
      <c r="AO32" s="48"/>
      <c r="AP32" s="48"/>
      <c r="AQ32" s="66"/>
      <c r="AR32" s="66"/>
      <c r="AS32" s="48"/>
      <c r="AT32" s="66"/>
      <c r="AU32" s="48"/>
      <c r="AV32" s="67"/>
      <c r="AW32" s="48"/>
      <c r="AX32" s="48"/>
      <c r="AY32" s="48"/>
      <c r="AZ32" s="68"/>
      <c r="BA32" s="48"/>
      <c r="BB32" s="48"/>
      <c r="BC32" s="68"/>
      <c r="BD32" s="48"/>
      <c r="BE32" s="48"/>
      <c r="BF32" s="48"/>
      <c r="BG32" s="88"/>
      <c r="BH32" s="476"/>
      <c r="BI32" s="476"/>
      <c r="BJ32" s="476"/>
      <c r="BK32" s="476"/>
      <c r="BL32" s="476"/>
      <c r="BN32" s="476"/>
      <c r="BO32" s="476"/>
      <c r="BP32" s="484"/>
      <c r="BQ32" s="476"/>
      <c r="BR32" s="476"/>
      <c r="BS32" s="476"/>
      <c r="BT32" s="476"/>
      <c r="BU32" s="476"/>
      <c r="BV32" s="476"/>
      <c r="BW32" s="476"/>
      <c r="BX32" s="476"/>
    </row>
    <row r="33" spans="1:76" hidden="1">
      <c r="A33" s="476"/>
      <c r="B33" s="476"/>
      <c r="C33" s="476"/>
      <c r="D33" s="476"/>
      <c r="E33" s="87" t="str">
        <f t="array" ref="E33">IFERROR(INDEX(WIP,SMALL(IF(('CURRENT WIP'!$D$1='CURRENT WIP'!$E$22:E168),MATCH(ROW(WIP),ROW(WIP)),""),ROW('CURRENT WIP'!A21)),COLUMN('CURRENT WIP'!A21)),"")</f>
        <v/>
      </c>
      <c r="F33" s="48" t="str">
        <f t="array" ref="F33">IFERROR(INDEX(WIP,SMALL(IF(('CURRENT WIP'!$D$1='CURRENT WIP'!$E$22:$E$148),MATCH(ROW(WIP),ROW(WIP)),""),ROW('CURRENT WIP'!B21)),COLUMN('CURRENT WIP'!B21)),"")</f>
        <v/>
      </c>
      <c r="G33" s="48" t="str">
        <f t="array" ref="G33">IFERROR(INDEX(WIP,SMALL(IF(('CURRENT WIP'!$D$1='CURRENT WIP'!$E$22:$E$148),MATCH(ROW(WIP),ROW(WIP)),""),ROW('CURRENT WIP'!C21)),COLUMN('CURRENT WIP'!C21)),"")</f>
        <v/>
      </c>
      <c r="H33" s="48" t="str">
        <f t="array" ref="H33">IFERROR(INDEX(WIP,SMALL(IF(('CURRENT WIP'!$D$1='CURRENT WIP'!$E$22:$E$148),MATCH(ROW(WIP),ROW(WIP)),""),ROW('CURRENT WIP'!D21)),COLUMN('CURRENT WIP'!D21)),"")</f>
        <v/>
      </c>
      <c r="I33" s="66" t="str">
        <f t="array" ref="I33">IFERROR(INDEX(WIP,SMALL(IF(('CURRENT WIP'!$D$1='CURRENT WIP'!$E$22:$E$148),MATCH(ROW(WIP),ROW(WIP)),""),ROW('CURRENT WIP'!E21)),COLUMN('CURRENT WIP'!E21)),"")</f>
        <v/>
      </c>
      <c r="J33" s="66" t="str">
        <f t="array" ref="J33">IFERROR(INDEX(WIP,SMALL(IF(('CURRENT WIP'!$D$1='CURRENT WIP'!$E$22:$E$148),MATCH(ROW(WIP),ROW(WIP)),""),ROW('CURRENT WIP'!F21)),COLUMN('CURRENT WIP'!F21)),"")</f>
        <v/>
      </c>
      <c r="K33" s="48" t="str">
        <f t="array" ref="K33">IFERROR(INDEX(WIP,SMALL(IF(('CURRENT WIP'!$D$1='CURRENT WIP'!$E$22:$E$148),MATCH(ROW(WIP),ROW(WIP)),""),ROW('CURRENT WIP'!G21)),COLUMN('CURRENT WIP'!G21)),"")</f>
        <v/>
      </c>
      <c r="L33" s="66" t="str">
        <f t="array" ref="L33">IFERROR(INDEX(WIP,SMALL(IF(('CURRENT WIP'!$D$1='CURRENT WIP'!$E$22:$E$148),MATCH(ROW(WIP),ROW(WIP)),""),ROW('CURRENT WIP'!H21)),COLUMN('CURRENT WIP'!H21)),"")</f>
        <v/>
      </c>
      <c r="M33" s="48" t="str">
        <f t="array" ref="M33">IFERROR(INDEX(WIP,SMALL(IF(('CURRENT WIP'!$D$1='CURRENT WIP'!$E$22:$E$148),MATCH(ROW(WIP),ROW(WIP)),""),ROW('CURRENT WIP'!I21)),COLUMN('CURRENT WIP'!I21)),"")</f>
        <v/>
      </c>
      <c r="N33" s="67" t="str">
        <f t="array" ref="N33">IFERROR(INDEX(WIP,SMALL(IF(('CURRENT WIP'!$D$1='CURRENT WIP'!$E$22:$E$148),MATCH(ROW(WIP),ROW(WIP)),""),ROW('CURRENT WIP'!J21)),COLUMN('CURRENT WIP'!J21)),"")</f>
        <v/>
      </c>
      <c r="O33" s="48" t="str">
        <f t="array" ref="O33">IFERROR(INDEX(WIP,SMALL(IF(('CURRENT WIP'!$D$1='CURRENT WIP'!$E$22:$E$148),MATCH(ROW(WIP),ROW(WIP)),""),ROW('CURRENT WIP'!K21)),COLUMN('CURRENT WIP'!K21)),"")</f>
        <v/>
      </c>
      <c r="P33" s="48" t="str">
        <f t="array" ref="P33">IFERROR(INDEX(WIP,SMALL(IF(('CURRENT WIP'!$D$1='CURRENT WIP'!$E$22:$E$148),MATCH(ROW(WIP),ROW(WIP)),""),ROW('CURRENT WIP'!L21)),COLUMN('CURRENT WIP'!L21)),"")</f>
        <v/>
      </c>
      <c r="Q33" s="48" t="str">
        <f t="array" ref="Q33">IFERROR(INDEX(WIP,SMALL(IF(('CURRENT WIP'!$D$1='CURRENT WIP'!$E$22:$E$148),MATCH(ROW(WIP),ROW(WIP)),""),ROW('CURRENT WIP'!M21)),COLUMN('CURRENT WIP'!M21)),"")</f>
        <v/>
      </c>
      <c r="R33" s="68" t="str">
        <f t="array" ref="R33">IFERROR(INDEX(WIP,SMALL(IF(('CURRENT WIP'!$D$1='CURRENT WIP'!$E$22:$E$148),MATCH(ROW(WIP),ROW(WIP)),""),ROW('CURRENT WIP'!N21)),COLUMN('CURRENT WIP'!N21)),"")</f>
        <v/>
      </c>
      <c r="S33" s="48" t="str">
        <f t="array" ref="S33">IFERROR(INDEX(WIP,SMALL(IF(('CURRENT WIP'!$D$1='CURRENT WIP'!$E$22:$E$148),MATCH(ROW(WIP),ROW(WIP)),""),ROW('CURRENT WIP'!O21)),COLUMN('CURRENT WIP'!O21)),"")</f>
        <v/>
      </c>
      <c r="T33" s="48" t="str">
        <f t="array" ref="T33">IFERROR(INDEX(WIP,SMALL(IF(('CURRENT WIP'!$D$1='CURRENT WIP'!$E$22:$E$148),MATCH(ROW(WIP),ROW(WIP)),""),ROW('CURRENT WIP'!P21)),COLUMN('CURRENT WIP'!P21)),"")</f>
        <v/>
      </c>
      <c r="U33" s="68" t="str">
        <f t="array" ref="U33">IFERROR(INDEX(WIP,SMALL(IF(('CURRENT WIP'!$D$1='CURRENT WIP'!$E$22:$E$148),MATCH(ROW(WIP),ROW(WIP)),""),ROW('CURRENT WIP'!Q21)),COLUMN('CURRENT WIP'!Q21)),"")</f>
        <v/>
      </c>
      <c r="V33" s="48" t="str">
        <f t="array" ref="V33">IFERROR(INDEX(WIP,SMALL(IF(('CURRENT WIP'!$D$1='CURRENT WIP'!$E$22:$E$148),MATCH(ROW(WIP),ROW(WIP)),""),ROW('CURRENT WIP'!R21)),COLUMN('CURRENT WIP'!R21)),"")</f>
        <v/>
      </c>
      <c r="W33" s="48" t="str">
        <f t="array" ref="W33">IFERROR(INDEX(WIP,SMALL(IF(('CURRENT WIP'!$D$1='CURRENT WIP'!$E$22:$E$148),MATCH(ROW(WIP),ROW(WIP)),""),ROW('CURRENT WIP'!S21)),COLUMN('CURRENT WIP'!S21)),"")</f>
        <v/>
      </c>
      <c r="X33" s="48" t="str">
        <f t="array" ref="X33">IFERROR(INDEX(WIP,SMALL(IF(('CURRENT WIP'!$D$1='CURRENT WIP'!$E$22:$E$148),MATCH(ROW(WIP),ROW(WIP)),""),ROW('CURRENT WIP'!T21)),COLUMN('CURRENT WIP'!T21)),"")</f>
        <v/>
      </c>
      <c r="Y33" s="88" t="str">
        <f t="array" ref="Y33">IFERROR(INDEX(WIP,SMALL(IF(('CURRENT WIP'!$D$1='CURRENT WIP'!$E$22:$E$148),MATCH(ROW(WIP),ROW(WIP)),""),ROW('CURRENT WIP'!U21)),COLUMN('CURRENT WIP'!U21)),"")</f>
        <v/>
      </c>
      <c r="Z33" s="476"/>
      <c r="AA33" s="476"/>
      <c r="AC33" s="476"/>
      <c r="AD33" s="476"/>
      <c r="AE33" s="476"/>
      <c r="AF33" s="476"/>
      <c r="AG33" s="476"/>
      <c r="AH33" s="476"/>
      <c r="AI33" s="476"/>
      <c r="AJ33" s="483"/>
      <c r="AK33" s="478"/>
      <c r="AL33" s="476"/>
      <c r="AM33" s="87"/>
      <c r="AN33" s="48"/>
      <c r="AO33" s="48"/>
      <c r="AP33" s="48"/>
      <c r="AQ33" s="66"/>
      <c r="AR33" s="66"/>
      <c r="AS33" s="48"/>
      <c r="AT33" s="66"/>
      <c r="AU33" s="48"/>
      <c r="AV33" s="67"/>
      <c r="AW33" s="48"/>
      <c r="AX33" s="48"/>
      <c r="AY33" s="48"/>
      <c r="AZ33" s="68"/>
      <c r="BA33" s="48"/>
      <c r="BB33" s="48"/>
      <c r="BC33" s="68"/>
      <c r="BD33" s="48"/>
      <c r="BE33" s="48"/>
      <c r="BF33" s="48"/>
      <c r="BG33" s="88"/>
      <c r="BH33" s="476"/>
      <c r="BI33" s="476"/>
      <c r="BJ33" s="476"/>
      <c r="BK33" s="476"/>
      <c r="BL33" s="476"/>
      <c r="BN33" s="476"/>
      <c r="BO33" s="476"/>
      <c r="BP33" s="484"/>
      <c r="BQ33" s="476"/>
      <c r="BR33" s="476"/>
      <c r="BS33" s="476"/>
      <c r="BT33" s="476"/>
      <c r="BU33" s="476"/>
      <c r="BV33" s="476"/>
      <c r="BW33" s="476"/>
      <c r="BX33" s="476"/>
    </row>
    <row r="34" spans="1:76" hidden="1">
      <c r="A34" s="476"/>
      <c r="B34" s="476"/>
      <c r="C34" s="476"/>
      <c r="D34" s="476"/>
      <c r="E34" s="87" t="str">
        <f t="array" ref="E34">IFERROR(INDEX(WIP,SMALL(IF(('CURRENT WIP'!$D$1='CURRENT WIP'!$E$22:E169),MATCH(ROW(WIP),ROW(WIP)),""),ROW('CURRENT WIP'!A22)),COLUMN('CURRENT WIP'!A22)),"")</f>
        <v/>
      </c>
      <c r="F34" s="48" t="str">
        <f t="array" ref="F34">IFERROR(INDEX(WIP,SMALL(IF(('CURRENT WIP'!$D$1='CURRENT WIP'!$E$22:$E$148),MATCH(ROW(WIP),ROW(WIP)),""),ROW('CURRENT WIP'!B22)),COLUMN('CURRENT WIP'!B22)),"")</f>
        <v/>
      </c>
      <c r="G34" s="48" t="str">
        <f t="array" ref="G34">IFERROR(INDEX(WIP,SMALL(IF(('CURRENT WIP'!$D$1='CURRENT WIP'!$E$22:$E$148),MATCH(ROW(WIP),ROW(WIP)),""),ROW('CURRENT WIP'!C22)),COLUMN('CURRENT WIP'!C22)),"")</f>
        <v/>
      </c>
      <c r="H34" s="48" t="str">
        <f t="array" ref="H34">IFERROR(INDEX(WIP,SMALL(IF(('CURRENT WIP'!$D$1='CURRENT WIP'!$E$22:$E$148),MATCH(ROW(WIP),ROW(WIP)),""),ROW('CURRENT WIP'!D22)),COLUMN('CURRENT WIP'!D22)),"")</f>
        <v/>
      </c>
      <c r="I34" s="66" t="str">
        <f t="array" ref="I34">IFERROR(INDEX(WIP,SMALL(IF(('CURRENT WIP'!$D$1='CURRENT WIP'!$E$22:$E$148),MATCH(ROW(WIP),ROW(WIP)),""),ROW('CURRENT WIP'!E22)),COLUMN('CURRENT WIP'!E22)),"")</f>
        <v/>
      </c>
      <c r="J34" s="66" t="str">
        <f t="array" ref="J34">IFERROR(INDEX(WIP,SMALL(IF(('CURRENT WIP'!$D$1='CURRENT WIP'!$E$22:$E$148),MATCH(ROW(WIP),ROW(WIP)),""),ROW('CURRENT WIP'!F22)),COLUMN('CURRENT WIP'!F22)),"")</f>
        <v/>
      </c>
      <c r="K34" s="48" t="str">
        <f t="array" ref="K34">IFERROR(INDEX(WIP,SMALL(IF(('CURRENT WIP'!$D$1='CURRENT WIP'!$E$22:$E$148),MATCH(ROW(WIP),ROW(WIP)),""),ROW('CURRENT WIP'!G22)),COLUMN('CURRENT WIP'!G22)),"")</f>
        <v/>
      </c>
      <c r="L34" s="66" t="str">
        <f t="array" ref="L34">IFERROR(INDEX(WIP,SMALL(IF(('CURRENT WIP'!$D$1='CURRENT WIP'!$E$22:$E$148),MATCH(ROW(WIP),ROW(WIP)),""),ROW('CURRENT WIP'!H22)),COLUMN('CURRENT WIP'!H22)),"")</f>
        <v/>
      </c>
      <c r="M34" s="48" t="str">
        <f t="array" ref="M34">IFERROR(INDEX(WIP,SMALL(IF(('CURRENT WIP'!$D$1='CURRENT WIP'!$E$22:$E$148),MATCH(ROW(WIP),ROW(WIP)),""),ROW('CURRENT WIP'!I22)),COLUMN('CURRENT WIP'!I22)),"")</f>
        <v/>
      </c>
      <c r="N34" s="67" t="str">
        <f t="array" ref="N34">IFERROR(INDEX(WIP,SMALL(IF(('CURRENT WIP'!$D$1='CURRENT WIP'!$E$22:$E$148),MATCH(ROW(WIP),ROW(WIP)),""),ROW('CURRENT WIP'!J22)),COLUMN('CURRENT WIP'!J22)),"")</f>
        <v/>
      </c>
      <c r="O34" s="48" t="str">
        <f t="array" ref="O34">IFERROR(INDEX(WIP,SMALL(IF(('CURRENT WIP'!$D$1='CURRENT WIP'!$E$22:$E$148),MATCH(ROW(WIP),ROW(WIP)),""),ROW('CURRENT WIP'!K22)),COLUMN('CURRENT WIP'!K22)),"")</f>
        <v/>
      </c>
      <c r="P34" s="48" t="str">
        <f t="array" ref="P34">IFERROR(INDEX(WIP,SMALL(IF(('CURRENT WIP'!$D$1='CURRENT WIP'!$E$22:$E$148),MATCH(ROW(WIP),ROW(WIP)),""),ROW('CURRENT WIP'!L22)),COLUMN('CURRENT WIP'!L22)),"")</f>
        <v/>
      </c>
      <c r="Q34" s="48" t="str">
        <f t="array" ref="Q34">IFERROR(INDEX(WIP,SMALL(IF(('CURRENT WIP'!$D$1='CURRENT WIP'!$E$22:$E$148),MATCH(ROW(WIP),ROW(WIP)),""),ROW('CURRENT WIP'!M22)),COLUMN('CURRENT WIP'!M22)),"")</f>
        <v/>
      </c>
      <c r="R34" s="68" t="str">
        <f t="array" ref="R34">IFERROR(INDEX(WIP,SMALL(IF(('CURRENT WIP'!$D$1='CURRENT WIP'!$E$22:$E$148),MATCH(ROW(WIP),ROW(WIP)),""),ROW('CURRENT WIP'!N22)),COLUMN('CURRENT WIP'!N22)),"")</f>
        <v/>
      </c>
      <c r="S34" s="48" t="str">
        <f t="array" ref="S34">IFERROR(INDEX(WIP,SMALL(IF(('CURRENT WIP'!$D$1='CURRENT WIP'!$E$22:$E$148),MATCH(ROW(WIP),ROW(WIP)),""),ROW('CURRENT WIP'!O22)),COLUMN('CURRENT WIP'!O22)),"")</f>
        <v/>
      </c>
      <c r="T34" s="48" t="str">
        <f t="array" ref="T34">IFERROR(INDEX(WIP,SMALL(IF(('CURRENT WIP'!$D$1='CURRENT WIP'!$E$22:$E$148),MATCH(ROW(WIP),ROW(WIP)),""),ROW('CURRENT WIP'!P22)),COLUMN('CURRENT WIP'!P22)),"")</f>
        <v/>
      </c>
      <c r="U34" s="68" t="str">
        <f t="array" ref="U34">IFERROR(INDEX(WIP,SMALL(IF(('CURRENT WIP'!$D$1='CURRENT WIP'!$E$22:$E$148),MATCH(ROW(WIP),ROW(WIP)),""),ROW('CURRENT WIP'!Q22)),COLUMN('CURRENT WIP'!Q22)),"")</f>
        <v/>
      </c>
      <c r="V34" s="48" t="str">
        <f t="array" ref="V34">IFERROR(INDEX(WIP,SMALL(IF(('CURRENT WIP'!$D$1='CURRENT WIP'!$E$22:$E$148),MATCH(ROW(WIP),ROW(WIP)),""),ROW('CURRENT WIP'!R22)),COLUMN('CURRENT WIP'!R22)),"")</f>
        <v/>
      </c>
      <c r="W34" s="48" t="str">
        <f t="array" ref="W34">IFERROR(INDEX(WIP,SMALL(IF(('CURRENT WIP'!$D$1='CURRENT WIP'!$E$22:$E$148),MATCH(ROW(WIP),ROW(WIP)),""),ROW('CURRENT WIP'!S22)),COLUMN('CURRENT WIP'!S22)),"")</f>
        <v/>
      </c>
      <c r="X34" s="48" t="str">
        <f t="array" ref="X34">IFERROR(INDEX(WIP,SMALL(IF(('CURRENT WIP'!$D$1='CURRENT WIP'!$E$22:$E$148),MATCH(ROW(WIP),ROW(WIP)),""),ROW('CURRENT WIP'!T22)),COLUMN('CURRENT WIP'!T22)),"")</f>
        <v/>
      </c>
      <c r="Y34" s="88" t="str">
        <f t="array" ref="Y34">IFERROR(INDEX(WIP,SMALL(IF(('CURRENT WIP'!$D$1='CURRENT WIP'!$E$22:$E$148),MATCH(ROW(WIP),ROW(WIP)),""),ROW('CURRENT WIP'!U22)),COLUMN('CURRENT WIP'!U22)),"")</f>
        <v/>
      </c>
      <c r="Z34" s="476"/>
      <c r="AA34" s="476"/>
      <c r="AC34" s="476"/>
      <c r="AD34" s="476"/>
      <c r="AE34" s="476"/>
      <c r="AF34" s="476"/>
      <c r="AG34" s="476"/>
      <c r="AH34" s="476"/>
      <c r="AI34" s="476"/>
      <c r="AJ34" s="483"/>
      <c r="AK34" s="478"/>
      <c r="AL34" s="476"/>
      <c r="AM34" s="87"/>
      <c r="AN34" s="48"/>
      <c r="AO34" s="48"/>
      <c r="AP34" s="48"/>
      <c r="AQ34" s="66"/>
      <c r="AR34" s="66"/>
      <c r="AS34" s="48"/>
      <c r="AT34" s="66"/>
      <c r="AU34" s="48"/>
      <c r="AV34" s="67"/>
      <c r="AW34" s="48"/>
      <c r="AX34" s="48"/>
      <c r="AY34" s="48"/>
      <c r="AZ34" s="68"/>
      <c r="BA34" s="48"/>
      <c r="BB34" s="48"/>
      <c r="BC34" s="68"/>
      <c r="BD34" s="48"/>
      <c r="BE34" s="48"/>
      <c r="BF34" s="48"/>
      <c r="BG34" s="88"/>
      <c r="BH34" s="476"/>
      <c r="BI34" s="476"/>
      <c r="BJ34" s="476"/>
      <c r="BK34" s="476"/>
      <c r="BL34" s="476"/>
      <c r="BN34" s="476"/>
      <c r="BO34" s="476"/>
      <c r="BP34" s="484"/>
      <c r="BQ34" s="476"/>
      <c r="BR34" s="476"/>
      <c r="BS34" s="476"/>
      <c r="BT34" s="476"/>
      <c r="BU34" s="476"/>
      <c r="BV34" s="476"/>
      <c r="BW34" s="476"/>
      <c r="BX34" s="476"/>
    </row>
    <row r="35" spans="1:76" hidden="1">
      <c r="A35" s="476"/>
      <c r="B35" s="476"/>
      <c r="C35" s="476"/>
      <c r="D35" s="476"/>
      <c r="E35" s="87" t="str">
        <f t="array" ref="E35">IFERROR(INDEX(WIP,SMALL(IF(('CURRENT WIP'!$D$1='CURRENT WIP'!$E$22:E170),MATCH(ROW(WIP),ROW(WIP)),""),ROW('CURRENT WIP'!A23)),COLUMN('CURRENT WIP'!A23)),"")</f>
        <v/>
      </c>
      <c r="F35" s="48" t="str">
        <f t="array" ref="F35">IFERROR(INDEX(WIP,SMALL(IF(('CURRENT WIP'!$D$1='CURRENT WIP'!$E$22:$E$148),MATCH(ROW(WIP),ROW(WIP)),""),ROW('CURRENT WIP'!B23)),COLUMN('CURRENT WIP'!B23)),"")</f>
        <v/>
      </c>
      <c r="G35" s="48" t="str">
        <f t="array" ref="G35">IFERROR(INDEX(WIP,SMALL(IF(('CURRENT WIP'!$D$1='CURRENT WIP'!$E$22:$E$148),MATCH(ROW(WIP),ROW(WIP)),""),ROW('CURRENT WIP'!C23)),COLUMN('CURRENT WIP'!C23)),"")</f>
        <v/>
      </c>
      <c r="H35" s="48" t="str">
        <f t="array" ref="H35">IFERROR(INDEX(WIP,SMALL(IF(('CURRENT WIP'!$D$1='CURRENT WIP'!$E$22:$E$148),MATCH(ROW(WIP),ROW(WIP)),""),ROW('CURRENT WIP'!D23)),COLUMN('CURRENT WIP'!D23)),"")</f>
        <v/>
      </c>
      <c r="I35" s="66" t="str">
        <f t="array" ref="I35">IFERROR(INDEX(WIP,SMALL(IF(('CURRENT WIP'!$D$1='CURRENT WIP'!$E$22:$E$148),MATCH(ROW(WIP),ROW(WIP)),""),ROW('CURRENT WIP'!E23)),COLUMN('CURRENT WIP'!E23)),"")</f>
        <v/>
      </c>
      <c r="J35" s="66" t="str">
        <f t="array" ref="J35">IFERROR(INDEX(WIP,SMALL(IF(('CURRENT WIP'!$D$1='CURRENT WIP'!$E$22:$E$148),MATCH(ROW(WIP),ROW(WIP)),""),ROW('CURRENT WIP'!F23)),COLUMN('CURRENT WIP'!F23)),"")</f>
        <v/>
      </c>
      <c r="K35" s="48" t="str">
        <f t="array" ref="K35">IFERROR(INDEX(WIP,SMALL(IF(('CURRENT WIP'!$D$1='CURRENT WIP'!$E$22:$E$148),MATCH(ROW(WIP),ROW(WIP)),""),ROW('CURRENT WIP'!G23)),COLUMN('CURRENT WIP'!G23)),"")</f>
        <v/>
      </c>
      <c r="L35" s="66" t="str">
        <f t="array" ref="L35">IFERROR(INDEX(WIP,SMALL(IF(('CURRENT WIP'!$D$1='CURRENT WIP'!$E$22:$E$148),MATCH(ROW(WIP),ROW(WIP)),""),ROW('CURRENT WIP'!H23)),COLUMN('CURRENT WIP'!H23)),"")</f>
        <v/>
      </c>
      <c r="M35" s="48" t="str">
        <f t="array" ref="M35">IFERROR(INDEX(WIP,SMALL(IF(('CURRENT WIP'!$D$1='CURRENT WIP'!$E$22:$E$148),MATCH(ROW(WIP),ROW(WIP)),""),ROW('CURRENT WIP'!I23)),COLUMN('CURRENT WIP'!I23)),"")</f>
        <v/>
      </c>
      <c r="N35" s="67" t="str">
        <f t="array" ref="N35">IFERROR(INDEX(WIP,SMALL(IF(('CURRENT WIP'!$D$1='CURRENT WIP'!$E$22:$E$148),MATCH(ROW(WIP),ROW(WIP)),""),ROW('CURRENT WIP'!J23)),COLUMN('CURRENT WIP'!J23)),"")</f>
        <v/>
      </c>
      <c r="O35" s="48" t="str">
        <f t="array" ref="O35">IFERROR(INDEX(WIP,SMALL(IF(('CURRENT WIP'!$D$1='CURRENT WIP'!$E$22:$E$148),MATCH(ROW(WIP),ROW(WIP)),""),ROW('CURRENT WIP'!K23)),COLUMN('CURRENT WIP'!K23)),"")</f>
        <v/>
      </c>
      <c r="P35" s="48" t="str">
        <f t="array" ref="P35">IFERROR(INDEX(WIP,SMALL(IF(('CURRENT WIP'!$D$1='CURRENT WIP'!$E$22:$E$148),MATCH(ROW(WIP),ROW(WIP)),""),ROW('CURRENT WIP'!L23)),COLUMN('CURRENT WIP'!L23)),"")</f>
        <v/>
      </c>
      <c r="Q35" s="48" t="str">
        <f t="array" ref="Q35">IFERROR(INDEX(WIP,SMALL(IF(('CURRENT WIP'!$D$1='CURRENT WIP'!$E$22:$E$148),MATCH(ROW(WIP),ROW(WIP)),""),ROW('CURRENT WIP'!M23)),COLUMN('CURRENT WIP'!M23)),"")</f>
        <v/>
      </c>
      <c r="R35" s="68" t="str">
        <f t="array" ref="R35">IFERROR(INDEX(WIP,SMALL(IF(('CURRENT WIP'!$D$1='CURRENT WIP'!$E$22:$E$148),MATCH(ROW(WIP),ROW(WIP)),""),ROW('CURRENT WIP'!N23)),COLUMN('CURRENT WIP'!N23)),"")</f>
        <v/>
      </c>
      <c r="S35" s="48" t="str">
        <f t="array" ref="S35">IFERROR(INDEX(WIP,SMALL(IF(('CURRENT WIP'!$D$1='CURRENT WIP'!$E$22:$E$148),MATCH(ROW(WIP),ROW(WIP)),""),ROW('CURRENT WIP'!O23)),COLUMN('CURRENT WIP'!O23)),"")</f>
        <v/>
      </c>
      <c r="T35" s="48" t="str">
        <f t="array" ref="T35">IFERROR(INDEX(WIP,SMALL(IF(('CURRENT WIP'!$D$1='CURRENT WIP'!$E$22:$E$148),MATCH(ROW(WIP),ROW(WIP)),""),ROW('CURRENT WIP'!P23)),COLUMN('CURRENT WIP'!P23)),"")</f>
        <v/>
      </c>
      <c r="U35" s="68" t="str">
        <f t="array" ref="U35">IFERROR(INDEX(WIP,SMALL(IF(('CURRENT WIP'!$D$1='CURRENT WIP'!$E$22:$E$148),MATCH(ROW(WIP),ROW(WIP)),""),ROW('CURRENT WIP'!Q23)),COLUMN('CURRENT WIP'!Q23)),"")</f>
        <v/>
      </c>
      <c r="V35" s="48" t="str">
        <f t="array" ref="V35">IFERROR(INDEX(WIP,SMALL(IF(('CURRENT WIP'!$D$1='CURRENT WIP'!$E$22:$E$148),MATCH(ROW(WIP),ROW(WIP)),""),ROW('CURRENT WIP'!R23)),COLUMN('CURRENT WIP'!R23)),"")</f>
        <v/>
      </c>
      <c r="W35" s="48" t="str">
        <f t="array" ref="W35">IFERROR(INDEX(WIP,SMALL(IF(('CURRENT WIP'!$D$1='CURRENT WIP'!$E$22:$E$148),MATCH(ROW(WIP),ROW(WIP)),""),ROW('CURRENT WIP'!S23)),COLUMN('CURRENT WIP'!S23)),"")</f>
        <v/>
      </c>
      <c r="X35" s="48" t="str">
        <f t="array" ref="X35">IFERROR(INDEX(WIP,SMALL(IF(('CURRENT WIP'!$D$1='CURRENT WIP'!$E$22:$E$148),MATCH(ROW(WIP),ROW(WIP)),""),ROW('CURRENT WIP'!T23)),COLUMN('CURRENT WIP'!T23)),"")</f>
        <v/>
      </c>
      <c r="Y35" s="88" t="str">
        <f t="array" ref="Y35">IFERROR(INDEX(WIP,SMALL(IF(('CURRENT WIP'!$D$1='CURRENT WIP'!$E$22:$E$148),MATCH(ROW(WIP),ROW(WIP)),""),ROW('CURRENT WIP'!U23)),COLUMN('CURRENT WIP'!U23)),"")</f>
        <v/>
      </c>
      <c r="Z35" s="476"/>
      <c r="AA35" s="476"/>
      <c r="AB35" s="476"/>
      <c r="AC35" s="476"/>
      <c r="AD35" s="476"/>
      <c r="AE35" s="476"/>
      <c r="AF35" s="476"/>
      <c r="AG35" s="476"/>
      <c r="AH35" s="476"/>
      <c r="AI35" s="476"/>
      <c r="AJ35" s="483"/>
      <c r="AK35" s="478"/>
      <c r="AL35" s="476"/>
      <c r="AM35" s="87"/>
      <c r="AN35" s="48"/>
      <c r="AO35" s="48"/>
      <c r="AP35" s="48"/>
      <c r="AQ35" s="66"/>
      <c r="AR35" s="66"/>
      <c r="AS35" s="48"/>
      <c r="AT35" s="66"/>
      <c r="AU35" s="48"/>
      <c r="AV35" s="67"/>
      <c r="AW35" s="48"/>
      <c r="AX35" s="48"/>
      <c r="AY35" s="48"/>
      <c r="AZ35" s="68"/>
      <c r="BA35" s="48"/>
      <c r="BB35" s="48"/>
      <c r="BC35" s="68"/>
      <c r="BD35" s="48"/>
      <c r="BE35" s="48"/>
      <c r="BF35" s="48"/>
      <c r="BG35" s="88"/>
      <c r="BH35" s="476"/>
      <c r="BI35" s="476"/>
      <c r="BJ35" s="476"/>
      <c r="BK35" s="476"/>
      <c r="BL35" s="476"/>
      <c r="BN35" s="476"/>
      <c r="BO35" s="476"/>
      <c r="BP35" s="484"/>
      <c r="BQ35" s="476"/>
      <c r="BR35" s="476"/>
      <c r="BS35" s="476"/>
      <c r="BT35" s="476"/>
      <c r="BU35" s="476"/>
      <c r="BV35" s="476"/>
      <c r="BW35" s="476"/>
      <c r="BX35" s="476"/>
    </row>
    <row r="36" spans="1:76" hidden="1">
      <c r="A36" s="476"/>
      <c r="B36" s="476"/>
      <c r="C36" s="476"/>
      <c r="D36" s="476"/>
      <c r="E36" s="87" t="str">
        <f t="array" ref="E36">IFERROR(INDEX(WIP,SMALL(IF(('CURRENT WIP'!$D$1='CURRENT WIP'!$E$22:E171),MATCH(ROW(WIP),ROW(WIP)),""),ROW('CURRENT WIP'!A24)),COLUMN('CURRENT WIP'!A24)),"")</f>
        <v/>
      </c>
      <c r="F36" s="48" t="str">
        <f t="array" ref="F36">IFERROR(INDEX(WIP,SMALL(IF(('CURRENT WIP'!$D$1='CURRENT WIP'!$E$22:$E$148),MATCH(ROW(WIP),ROW(WIP)),""),ROW('CURRENT WIP'!B24)),COLUMN('CURRENT WIP'!B24)),"")</f>
        <v/>
      </c>
      <c r="G36" s="48" t="str">
        <f t="array" ref="G36">IFERROR(INDEX(WIP,SMALL(IF(('CURRENT WIP'!$D$1='CURRENT WIP'!$E$22:$E$148),MATCH(ROW(WIP),ROW(WIP)),""),ROW('CURRENT WIP'!C24)),COLUMN('CURRENT WIP'!C24)),"")</f>
        <v/>
      </c>
      <c r="H36" s="48" t="str">
        <f t="array" ref="H36">IFERROR(INDEX(WIP,SMALL(IF(('CURRENT WIP'!$D$1='CURRENT WIP'!$E$22:$E$148),MATCH(ROW(WIP),ROW(WIP)),""),ROW('CURRENT WIP'!D24)),COLUMN('CURRENT WIP'!D24)),"")</f>
        <v/>
      </c>
      <c r="I36" s="66" t="str">
        <f t="array" ref="I36">IFERROR(INDEX(WIP,SMALL(IF(('CURRENT WIP'!$D$1='CURRENT WIP'!$E$22:$E$148),MATCH(ROW(WIP),ROW(WIP)),""),ROW('CURRENT WIP'!E24)),COLUMN('CURRENT WIP'!E24)),"")</f>
        <v/>
      </c>
      <c r="J36" s="66" t="str">
        <f t="array" ref="J36">IFERROR(INDEX(WIP,SMALL(IF(('CURRENT WIP'!$D$1='CURRENT WIP'!$E$22:$E$148),MATCH(ROW(WIP),ROW(WIP)),""),ROW('CURRENT WIP'!F24)),COLUMN('CURRENT WIP'!F24)),"")</f>
        <v/>
      </c>
      <c r="K36" s="48" t="str">
        <f t="array" ref="K36">IFERROR(INDEX(WIP,SMALL(IF(('CURRENT WIP'!$D$1='CURRENT WIP'!$E$22:$E$148),MATCH(ROW(WIP),ROW(WIP)),""),ROW('CURRENT WIP'!G24)),COLUMN('CURRENT WIP'!G24)),"")</f>
        <v/>
      </c>
      <c r="L36" s="66" t="str">
        <f t="array" ref="L36">IFERROR(INDEX(WIP,SMALL(IF(('CURRENT WIP'!$D$1='CURRENT WIP'!$E$22:$E$148),MATCH(ROW(WIP),ROW(WIP)),""),ROW('CURRENT WIP'!H24)),COLUMN('CURRENT WIP'!H24)),"")</f>
        <v/>
      </c>
      <c r="M36" s="48" t="str">
        <f t="array" ref="M36">IFERROR(INDEX(WIP,SMALL(IF(('CURRENT WIP'!$D$1='CURRENT WIP'!$E$22:$E$148),MATCH(ROW(WIP),ROW(WIP)),""),ROW('CURRENT WIP'!I24)),COLUMN('CURRENT WIP'!I24)),"")</f>
        <v/>
      </c>
      <c r="N36" s="67" t="str">
        <f t="array" ref="N36">IFERROR(INDEX(WIP,SMALL(IF(('CURRENT WIP'!$D$1='CURRENT WIP'!$E$22:$E$148),MATCH(ROW(WIP),ROW(WIP)),""),ROW('CURRENT WIP'!J24)),COLUMN('CURRENT WIP'!J24)),"")</f>
        <v/>
      </c>
      <c r="O36" s="48" t="str">
        <f t="array" ref="O36">IFERROR(INDEX(WIP,SMALL(IF(('CURRENT WIP'!$D$1='CURRENT WIP'!$E$22:$E$148),MATCH(ROW(WIP),ROW(WIP)),""),ROW('CURRENT WIP'!K24)),COLUMN('CURRENT WIP'!K24)),"")</f>
        <v/>
      </c>
      <c r="P36" s="48" t="str">
        <f t="array" ref="P36">IFERROR(INDEX(WIP,SMALL(IF(('CURRENT WIP'!$D$1='CURRENT WIP'!$E$22:$E$148),MATCH(ROW(WIP),ROW(WIP)),""),ROW('CURRENT WIP'!L24)),COLUMN('CURRENT WIP'!L24)),"")</f>
        <v/>
      </c>
      <c r="Q36" s="48" t="str">
        <f t="array" ref="Q36">IFERROR(INDEX(WIP,SMALL(IF(('CURRENT WIP'!$D$1='CURRENT WIP'!$E$22:$E$148),MATCH(ROW(WIP),ROW(WIP)),""),ROW('CURRENT WIP'!M24)),COLUMN('CURRENT WIP'!M24)),"")</f>
        <v/>
      </c>
      <c r="R36" s="68" t="str">
        <f t="array" ref="R36">IFERROR(INDEX(WIP,SMALL(IF(('CURRENT WIP'!$D$1='CURRENT WIP'!$E$22:$E$148),MATCH(ROW(WIP),ROW(WIP)),""),ROW('CURRENT WIP'!N24)),COLUMN('CURRENT WIP'!N24)),"")</f>
        <v/>
      </c>
      <c r="S36" s="48" t="str">
        <f t="array" ref="S36">IFERROR(INDEX(WIP,SMALL(IF(('CURRENT WIP'!$D$1='CURRENT WIP'!$E$22:$E$148),MATCH(ROW(WIP),ROW(WIP)),""),ROW('CURRENT WIP'!O24)),COLUMN('CURRENT WIP'!O24)),"")</f>
        <v/>
      </c>
      <c r="T36" s="48" t="str">
        <f t="array" ref="T36">IFERROR(INDEX(WIP,SMALL(IF(('CURRENT WIP'!$D$1='CURRENT WIP'!$E$22:$E$148),MATCH(ROW(WIP),ROW(WIP)),""),ROW('CURRENT WIP'!P24)),COLUMN('CURRENT WIP'!P24)),"")</f>
        <v/>
      </c>
      <c r="U36" s="68" t="str">
        <f t="array" ref="U36">IFERROR(INDEX(WIP,SMALL(IF(('CURRENT WIP'!$D$1='CURRENT WIP'!$E$22:$E$148),MATCH(ROW(WIP),ROW(WIP)),""),ROW('CURRENT WIP'!Q24)),COLUMN('CURRENT WIP'!Q24)),"")</f>
        <v/>
      </c>
      <c r="V36" s="48" t="str">
        <f t="array" ref="V36">IFERROR(INDEX(WIP,SMALL(IF(('CURRENT WIP'!$D$1='CURRENT WIP'!$E$22:$E$148),MATCH(ROW(WIP),ROW(WIP)),""),ROW('CURRENT WIP'!R24)),COLUMN('CURRENT WIP'!R24)),"")</f>
        <v/>
      </c>
      <c r="W36" s="48" t="str">
        <f t="array" ref="W36">IFERROR(INDEX(WIP,SMALL(IF(('CURRENT WIP'!$D$1='CURRENT WIP'!$E$22:$E$148),MATCH(ROW(WIP),ROW(WIP)),""),ROW('CURRENT WIP'!S24)),COLUMN('CURRENT WIP'!S24)),"")</f>
        <v/>
      </c>
      <c r="X36" s="48" t="str">
        <f t="array" ref="X36">IFERROR(INDEX(WIP,SMALL(IF(('CURRENT WIP'!$D$1='CURRENT WIP'!$E$22:$E$148),MATCH(ROW(WIP),ROW(WIP)),""),ROW('CURRENT WIP'!T24)),COLUMN('CURRENT WIP'!T24)),"")</f>
        <v/>
      </c>
      <c r="Y36" s="88" t="str">
        <f t="array" ref="Y36">IFERROR(INDEX(WIP,SMALL(IF(('CURRENT WIP'!$D$1='CURRENT WIP'!$E$22:$E$148),MATCH(ROW(WIP),ROW(WIP)),""),ROW('CURRENT WIP'!U24)),COLUMN('CURRENT WIP'!U24)),"")</f>
        <v/>
      </c>
      <c r="Z36" s="476"/>
      <c r="AA36" s="476"/>
      <c r="AB36" s="476"/>
      <c r="AC36" s="476"/>
      <c r="AD36" s="476"/>
      <c r="AE36" s="476"/>
      <c r="AF36" s="476"/>
      <c r="AG36" s="476"/>
      <c r="AH36" s="476"/>
      <c r="AI36" s="476"/>
      <c r="AJ36" s="483"/>
      <c r="AK36" s="478"/>
      <c r="AL36" s="476"/>
      <c r="AM36" s="87"/>
      <c r="AN36" s="48"/>
      <c r="AO36" s="48"/>
      <c r="AP36" s="48"/>
      <c r="AQ36" s="66"/>
      <c r="AR36" s="66"/>
      <c r="AS36" s="48"/>
      <c r="AT36" s="66"/>
      <c r="AU36" s="48"/>
      <c r="AV36" s="67"/>
      <c r="AW36" s="48"/>
      <c r="AX36" s="48"/>
      <c r="AY36" s="48"/>
      <c r="AZ36" s="68"/>
      <c r="BA36" s="48"/>
      <c r="BB36" s="48"/>
      <c r="BC36" s="68"/>
      <c r="BD36" s="48"/>
      <c r="BE36" s="48"/>
      <c r="BF36" s="48"/>
      <c r="BG36" s="88"/>
      <c r="BH36" s="476"/>
      <c r="BI36" s="476"/>
      <c r="BJ36" s="476"/>
      <c r="BK36" s="476"/>
      <c r="BL36" s="476"/>
      <c r="BN36" s="476"/>
      <c r="BO36" s="476"/>
      <c r="BP36" s="484"/>
      <c r="BQ36" s="476"/>
      <c r="BR36" s="476"/>
      <c r="BS36" s="476"/>
      <c r="BT36" s="476"/>
      <c r="BU36" s="476"/>
      <c r="BV36" s="476"/>
      <c r="BW36" s="476"/>
      <c r="BX36" s="476"/>
    </row>
    <row r="37" spans="1:76" hidden="1">
      <c r="A37" s="476"/>
      <c r="B37" s="476"/>
      <c r="C37" s="476"/>
      <c r="D37" s="476"/>
      <c r="E37" s="87" t="str">
        <f t="array" ref="E37">IFERROR(INDEX(WIP,SMALL(IF(('CURRENT WIP'!$D$1='CURRENT WIP'!$E$22:E172),MATCH(ROW(WIP),ROW(WIP)),""),ROW('CURRENT WIP'!A25)),COLUMN('CURRENT WIP'!A25)),"")</f>
        <v/>
      </c>
      <c r="F37" s="48" t="str">
        <f t="array" ref="F37">IFERROR(INDEX(WIP,SMALL(IF(('CURRENT WIP'!$D$1='CURRENT WIP'!$E$22:$E$148),MATCH(ROW(WIP),ROW(WIP)),""),ROW('CURRENT WIP'!B25)),COLUMN('CURRENT WIP'!B25)),"")</f>
        <v/>
      </c>
      <c r="G37" s="48" t="str">
        <f t="array" ref="G37">IFERROR(INDEX(WIP,SMALL(IF(('CURRENT WIP'!$D$1='CURRENT WIP'!$E$22:$E$148),MATCH(ROW(WIP),ROW(WIP)),""),ROW('CURRENT WIP'!C25)),COLUMN('CURRENT WIP'!C25)),"")</f>
        <v/>
      </c>
      <c r="H37" s="48" t="str">
        <f t="array" ref="H37">IFERROR(INDEX(WIP,SMALL(IF(('CURRENT WIP'!$D$1='CURRENT WIP'!$E$22:$E$148),MATCH(ROW(WIP),ROW(WIP)),""),ROW('CURRENT WIP'!D25)),COLUMN('CURRENT WIP'!D25)),"")</f>
        <v/>
      </c>
      <c r="I37" s="66" t="str">
        <f t="array" ref="I37">IFERROR(INDEX(WIP,SMALL(IF(('CURRENT WIP'!$D$1='CURRENT WIP'!$E$22:$E$148),MATCH(ROW(WIP),ROW(WIP)),""),ROW('CURRENT WIP'!E25)),COLUMN('CURRENT WIP'!E25)),"")</f>
        <v/>
      </c>
      <c r="J37" s="66" t="str">
        <f t="array" ref="J37">IFERROR(INDEX(WIP,SMALL(IF(('CURRENT WIP'!$D$1='CURRENT WIP'!$E$22:$E$148),MATCH(ROW(WIP),ROW(WIP)),""),ROW('CURRENT WIP'!F25)),COLUMN('CURRENT WIP'!F25)),"")</f>
        <v/>
      </c>
      <c r="K37" s="48" t="str">
        <f t="array" ref="K37">IFERROR(INDEX(WIP,SMALL(IF(('CURRENT WIP'!$D$1='CURRENT WIP'!$E$22:$E$148),MATCH(ROW(WIP),ROW(WIP)),""),ROW('CURRENT WIP'!G25)),COLUMN('CURRENT WIP'!G25)),"")</f>
        <v/>
      </c>
      <c r="L37" s="66" t="str">
        <f t="array" ref="L37">IFERROR(INDEX(WIP,SMALL(IF(('CURRENT WIP'!$D$1='CURRENT WIP'!$E$22:$E$148),MATCH(ROW(WIP),ROW(WIP)),""),ROW('CURRENT WIP'!H25)),COLUMN('CURRENT WIP'!H25)),"")</f>
        <v/>
      </c>
      <c r="M37" s="48" t="str">
        <f t="array" ref="M37">IFERROR(INDEX(WIP,SMALL(IF(('CURRENT WIP'!$D$1='CURRENT WIP'!$E$22:$E$148),MATCH(ROW(WIP),ROW(WIP)),""),ROW('CURRENT WIP'!I25)),COLUMN('CURRENT WIP'!I25)),"")</f>
        <v/>
      </c>
      <c r="N37" s="67" t="str">
        <f t="array" ref="N37">IFERROR(INDEX(WIP,SMALL(IF(('CURRENT WIP'!$D$1='CURRENT WIP'!$E$22:$E$148),MATCH(ROW(WIP),ROW(WIP)),""),ROW('CURRENT WIP'!J25)),COLUMN('CURRENT WIP'!J25)),"")</f>
        <v/>
      </c>
      <c r="O37" s="48" t="str">
        <f t="array" ref="O37">IFERROR(INDEX(WIP,SMALL(IF(('CURRENT WIP'!$D$1='CURRENT WIP'!$E$22:$E$148),MATCH(ROW(WIP),ROW(WIP)),""),ROW('CURRENT WIP'!K25)),COLUMN('CURRENT WIP'!K25)),"")</f>
        <v/>
      </c>
      <c r="P37" s="48" t="str">
        <f t="array" ref="P37">IFERROR(INDEX(WIP,SMALL(IF(('CURRENT WIP'!$D$1='CURRENT WIP'!$E$22:$E$148),MATCH(ROW(WIP),ROW(WIP)),""),ROW('CURRENT WIP'!L25)),COLUMN('CURRENT WIP'!L25)),"")</f>
        <v/>
      </c>
      <c r="Q37" s="48" t="str">
        <f t="array" ref="Q37">IFERROR(INDEX(WIP,SMALL(IF(('CURRENT WIP'!$D$1='CURRENT WIP'!$E$22:$E$148),MATCH(ROW(WIP),ROW(WIP)),""),ROW('CURRENT WIP'!M25)),COLUMN('CURRENT WIP'!M25)),"")</f>
        <v/>
      </c>
      <c r="R37" s="68" t="str">
        <f t="array" ref="R37">IFERROR(INDEX(WIP,SMALL(IF(('CURRENT WIP'!$D$1='CURRENT WIP'!$E$22:$E$148),MATCH(ROW(WIP),ROW(WIP)),""),ROW('CURRENT WIP'!N25)),COLUMN('CURRENT WIP'!N25)),"")</f>
        <v/>
      </c>
      <c r="S37" s="48" t="str">
        <f t="array" ref="S37">IFERROR(INDEX(WIP,SMALL(IF(('CURRENT WIP'!$D$1='CURRENT WIP'!$E$22:$E$148),MATCH(ROW(WIP),ROW(WIP)),""),ROW('CURRENT WIP'!O25)),COLUMN('CURRENT WIP'!O25)),"")</f>
        <v/>
      </c>
      <c r="T37" s="48" t="str">
        <f t="array" ref="T37">IFERROR(INDEX(WIP,SMALL(IF(('CURRENT WIP'!$D$1='CURRENT WIP'!$E$22:$E$148),MATCH(ROW(WIP),ROW(WIP)),""),ROW('CURRENT WIP'!P25)),COLUMN('CURRENT WIP'!P25)),"")</f>
        <v/>
      </c>
      <c r="U37" s="68" t="str">
        <f t="array" ref="U37">IFERROR(INDEX(WIP,SMALL(IF(('CURRENT WIP'!$D$1='CURRENT WIP'!$E$22:$E$148),MATCH(ROW(WIP),ROW(WIP)),""),ROW('CURRENT WIP'!Q25)),COLUMN('CURRENT WIP'!Q25)),"")</f>
        <v/>
      </c>
      <c r="V37" s="48" t="str">
        <f t="array" ref="V37">IFERROR(INDEX(WIP,SMALL(IF(('CURRENT WIP'!$D$1='CURRENT WIP'!$E$22:$E$148),MATCH(ROW(WIP),ROW(WIP)),""),ROW('CURRENT WIP'!R25)),COLUMN('CURRENT WIP'!R25)),"")</f>
        <v/>
      </c>
      <c r="W37" s="48" t="str">
        <f t="array" ref="W37">IFERROR(INDEX(WIP,SMALL(IF(('CURRENT WIP'!$D$1='CURRENT WIP'!$E$22:$E$148),MATCH(ROW(WIP),ROW(WIP)),""),ROW('CURRENT WIP'!S25)),COLUMN('CURRENT WIP'!S25)),"")</f>
        <v/>
      </c>
      <c r="X37" s="48" t="str">
        <f t="array" ref="X37">IFERROR(INDEX(WIP,SMALL(IF(('CURRENT WIP'!$D$1='CURRENT WIP'!$E$22:$E$148),MATCH(ROW(WIP),ROW(WIP)),""),ROW('CURRENT WIP'!T25)),COLUMN('CURRENT WIP'!T25)),"")</f>
        <v/>
      </c>
      <c r="Y37" s="88" t="str">
        <f t="array" ref="Y37">IFERROR(INDEX(WIP,SMALL(IF(('CURRENT WIP'!$D$1='CURRENT WIP'!$E$22:$E$148),MATCH(ROW(WIP),ROW(WIP)),""),ROW('CURRENT WIP'!U25)),COLUMN('CURRENT WIP'!U25)),"")</f>
        <v/>
      </c>
      <c r="Z37" s="476"/>
      <c r="AA37" s="476"/>
      <c r="AB37" s="476"/>
      <c r="AC37" s="476"/>
      <c r="AD37" s="476"/>
      <c r="AE37" s="476"/>
      <c r="AF37" s="476"/>
      <c r="AG37" s="476"/>
      <c r="AH37" s="476"/>
      <c r="AI37" s="476"/>
      <c r="AJ37" s="483"/>
      <c r="AK37" s="478"/>
      <c r="AL37" s="476"/>
      <c r="AM37" s="87"/>
      <c r="AN37" s="48"/>
      <c r="AO37" s="48"/>
      <c r="AP37" s="48"/>
      <c r="AQ37" s="66"/>
      <c r="AR37" s="66"/>
      <c r="AS37" s="48"/>
      <c r="AT37" s="66"/>
      <c r="AU37" s="48"/>
      <c r="AV37" s="67"/>
      <c r="AW37" s="48"/>
      <c r="AX37" s="48"/>
      <c r="AY37" s="48"/>
      <c r="AZ37" s="68"/>
      <c r="BA37" s="48"/>
      <c r="BB37" s="48"/>
      <c r="BC37" s="68"/>
      <c r="BD37" s="48"/>
      <c r="BE37" s="48"/>
      <c r="BF37" s="48"/>
      <c r="BG37" s="88"/>
      <c r="BH37" s="476"/>
      <c r="BI37" s="476"/>
      <c r="BJ37" s="476"/>
      <c r="BK37" s="476"/>
      <c r="BL37" s="476"/>
      <c r="BN37" s="476"/>
      <c r="BO37" s="476"/>
      <c r="BP37" s="484"/>
      <c r="BQ37" s="476"/>
      <c r="BR37" s="476"/>
      <c r="BS37" s="476"/>
      <c r="BT37" s="476"/>
      <c r="BU37" s="476"/>
      <c r="BV37" s="476"/>
      <c r="BW37" s="476"/>
      <c r="BX37" s="476"/>
    </row>
    <row r="38" spans="1:76" hidden="1">
      <c r="A38" s="476"/>
      <c r="B38" s="476"/>
      <c r="C38" s="476"/>
      <c r="D38" s="476"/>
      <c r="E38" s="87" t="str">
        <f t="array" ref="E38">IFERROR(INDEX(WIP,SMALL(IF(('CURRENT WIP'!$D$1='CURRENT WIP'!$E$22:E173),MATCH(ROW(WIP),ROW(WIP)),""),ROW('CURRENT WIP'!A26)),COLUMN('CURRENT WIP'!A26)),"")</f>
        <v/>
      </c>
      <c r="F38" s="48" t="str">
        <f t="array" ref="F38">IFERROR(INDEX(WIP,SMALL(IF(('CURRENT WIP'!$D$1='CURRENT WIP'!$E$22:$E$148),MATCH(ROW(WIP),ROW(WIP)),""),ROW('CURRENT WIP'!B26)),COLUMN('CURRENT WIP'!B26)),"")</f>
        <v/>
      </c>
      <c r="G38" s="48" t="str">
        <f t="array" ref="G38">IFERROR(INDEX(WIP,SMALL(IF(('CURRENT WIP'!$D$1='CURRENT WIP'!$E$22:$E$148),MATCH(ROW(WIP),ROW(WIP)),""),ROW('CURRENT WIP'!C26)),COLUMN('CURRENT WIP'!C26)),"")</f>
        <v/>
      </c>
      <c r="H38" s="48" t="str">
        <f t="array" ref="H38">IFERROR(INDEX(WIP,SMALL(IF(('CURRENT WIP'!$D$1='CURRENT WIP'!$E$22:$E$148),MATCH(ROW(WIP),ROW(WIP)),""),ROW('CURRENT WIP'!D26)),COLUMN('CURRENT WIP'!D26)),"")</f>
        <v/>
      </c>
      <c r="I38" s="66" t="str">
        <f t="array" ref="I38">IFERROR(INDEX(WIP,SMALL(IF(('CURRENT WIP'!$D$1='CURRENT WIP'!$E$22:$E$148),MATCH(ROW(WIP),ROW(WIP)),""),ROW('CURRENT WIP'!E26)),COLUMN('CURRENT WIP'!E26)),"")</f>
        <v/>
      </c>
      <c r="J38" s="66" t="str">
        <f t="array" ref="J38">IFERROR(INDEX(WIP,SMALL(IF(('CURRENT WIP'!$D$1='CURRENT WIP'!$E$22:$E$148),MATCH(ROW(WIP),ROW(WIP)),""),ROW('CURRENT WIP'!F26)),COLUMN('CURRENT WIP'!F26)),"")</f>
        <v/>
      </c>
      <c r="K38" s="48" t="str">
        <f t="array" ref="K38">IFERROR(INDEX(WIP,SMALL(IF(('CURRENT WIP'!$D$1='CURRENT WIP'!$E$22:$E$148),MATCH(ROW(WIP),ROW(WIP)),""),ROW('CURRENT WIP'!G26)),COLUMN('CURRENT WIP'!G26)),"")</f>
        <v/>
      </c>
      <c r="L38" s="66" t="str">
        <f t="array" ref="L38">IFERROR(INDEX(WIP,SMALL(IF(('CURRENT WIP'!$D$1='CURRENT WIP'!$E$22:$E$148),MATCH(ROW(WIP),ROW(WIP)),""),ROW('CURRENT WIP'!H26)),COLUMN('CURRENT WIP'!H26)),"")</f>
        <v/>
      </c>
      <c r="M38" s="48" t="str">
        <f t="array" ref="M38">IFERROR(INDEX(WIP,SMALL(IF(('CURRENT WIP'!$D$1='CURRENT WIP'!$E$22:$E$148),MATCH(ROW(WIP),ROW(WIP)),""),ROW('CURRENT WIP'!I26)),COLUMN('CURRENT WIP'!I26)),"")</f>
        <v/>
      </c>
      <c r="N38" s="67" t="str">
        <f t="array" ref="N38">IFERROR(INDEX(WIP,SMALL(IF(('CURRENT WIP'!$D$1='CURRENT WIP'!$E$22:$E$148),MATCH(ROW(WIP),ROW(WIP)),""),ROW('CURRENT WIP'!J26)),COLUMN('CURRENT WIP'!J26)),"")</f>
        <v/>
      </c>
      <c r="O38" s="48" t="str">
        <f t="array" ref="O38">IFERROR(INDEX(WIP,SMALL(IF(('CURRENT WIP'!$D$1='CURRENT WIP'!$E$22:$E$148),MATCH(ROW(WIP),ROW(WIP)),""),ROW('CURRENT WIP'!K26)),COLUMN('CURRENT WIP'!K26)),"")</f>
        <v/>
      </c>
      <c r="P38" s="48" t="str">
        <f t="array" ref="P38">IFERROR(INDEX(WIP,SMALL(IF(('CURRENT WIP'!$D$1='CURRENT WIP'!$E$22:$E$148),MATCH(ROW(WIP),ROW(WIP)),""),ROW('CURRENT WIP'!L26)),COLUMN('CURRENT WIP'!L26)),"")</f>
        <v/>
      </c>
      <c r="Q38" s="48" t="str">
        <f t="array" ref="Q38">IFERROR(INDEX(WIP,SMALL(IF(('CURRENT WIP'!$D$1='CURRENT WIP'!$E$22:$E$148),MATCH(ROW(WIP),ROW(WIP)),""),ROW('CURRENT WIP'!M26)),COLUMN('CURRENT WIP'!M26)),"")</f>
        <v/>
      </c>
      <c r="R38" s="68" t="str">
        <f t="array" ref="R38">IFERROR(INDEX(WIP,SMALL(IF(('CURRENT WIP'!$D$1='CURRENT WIP'!$E$22:$E$148),MATCH(ROW(WIP),ROW(WIP)),""),ROW('CURRENT WIP'!N26)),COLUMN('CURRENT WIP'!N26)),"")</f>
        <v/>
      </c>
      <c r="S38" s="48" t="str">
        <f t="array" ref="S38">IFERROR(INDEX(WIP,SMALL(IF(('CURRENT WIP'!$D$1='CURRENT WIP'!$E$22:$E$148),MATCH(ROW(WIP),ROW(WIP)),""),ROW('CURRENT WIP'!O26)),COLUMN('CURRENT WIP'!O26)),"")</f>
        <v/>
      </c>
      <c r="T38" s="48" t="str">
        <f t="array" ref="T38">IFERROR(INDEX(WIP,SMALL(IF(('CURRENT WIP'!$D$1='CURRENT WIP'!$E$22:$E$148),MATCH(ROW(WIP),ROW(WIP)),""),ROW('CURRENT WIP'!P26)),COLUMN('CURRENT WIP'!P26)),"")</f>
        <v/>
      </c>
      <c r="U38" s="68" t="str">
        <f t="array" ref="U38">IFERROR(INDEX(WIP,SMALL(IF(('CURRENT WIP'!$D$1='CURRENT WIP'!$E$22:$E$148),MATCH(ROW(WIP),ROW(WIP)),""),ROW('CURRENT WIP'!Q26)),COLUMN('CURRENT WIP'!Q26)),"")</f>
        <v/>
      </c>
      <c r="V38" s="48" t="str">
        <f t="array" ref="V38">IFERROR(INDEX(WIP,SMALL(IF(('CURRENT WIP'!$D$1='CURRENT WIP'!$E$22:$E$148),MATCH(ROW(WIP),ROW(WIP)),""),ROW('CURRENT WIP'!R26)),COLUMN('CURRENT WIP'!R26)),"")</f>
        <v/>
      </c>
      <c r="W38" s="48" t="str">
        <f t="array" ref="W38">IFERROR(INDEX(WIP,SMALL(IF(('CURRENT WIP'!$D$1='CURRENT WIP'!$E$22:$E$148),MATCH(ROW(WIP),ROW(WIP)),""),ROW('CURRENT WIP'!S26)),COLUMN('CURRENT WIP'!S26)),"")</f>
        <v/>
      </c>
      <c r="X38" s="48" t="str">
        <f t="array" ref="X38">IFERROR(INDEX(WIP,SMALL(IF(('CURRENT WIP'!$D$1='CURRENT WIP'!$E$22:$E$148),MATCH(ROW(WIP),ROW(WIP)),""),ROW('CURRENT WIP'!T26)),COLUMN('CURRENT WIP'!T26)),"")</f>
        <v/>
      </c>
      <c r="Y38" s="88" t="str">
        <f t="array" ref="Y38">IFERROR(INDEX(WIP,SMALL(IF(('CURRENT WIP'!$D$1='CURRENT WIP'!$E$22:$E$148),MATCH(ROW(WIP),ROW(WIP)),""),ROW('CURRENT WIP'!U26)),COLUMN('CURRENT WIP'!U26)),"")</f>
        <v/>
      </c>
      <c r="Z38" s="476"/>
      <c r="AA38" s="476"/>
      <c r="AB38" s="476"/>
      <c r="AC38" s="476"/>
      <c r="AD38" s="476"/>
      <c r="AE38" s="476"/>
      <c r="AF38" s="476"/>
      <c r="AG38" s="476"/>
      <c r="AH38" s="476"/>
      <c r="AI38" s="476"/>
      <c r="AJ38" s="483"/>
      <c r="AK38" s="478"/>
      <c r="AL38" s="476"/>
      <c r="AM38" s="87"/>
      <c r="AN38" s="48"/>
      <c r="AO38" s="48"/>
      <c r="AP38" s="48"/>
      <c r="AQ38" s="66"/>
      <c r="AR38" s="66"/>
      <c r="AS38" s="48"/>
      <c r="AT38" s="66"/>
      <c r="AU38" s="48"/>
      <c r="AV38" s="67"/>
      <c r="AW38" s="48"/>
      <c r="AX38" s="48"/>
      <c r="AY38" s="48"/>
      <c r="AZ38" s="68"/>
      <c r="BA38" s="48"/>
      <c r="BB38" s="48"/>
      <c r="BC38" s="68"/>
      <c r="BD38" s="48"/>
      <c r="BE38" s="48"/>
      <c r="BF38" s="48"/>
      <c r="BG38" s="88"/>
      <c r="BH38" s="476"/>
      <c r="BI38" s="476"/>
      <c r="BJ38" s="476"/>
      <c r="BK38" s="476"/>
      <c r="BL38" s="476"/>
      <c r="BN38" s="476"/>
      <c r="BO38" s="476"/>
      <c r="BP38" s="484"/>
      <c r="BQ38" s="476"/>
      <c r="BR38" s="476"/>
      <c r="BS38" s="476"/>
      <c r="BT38" s="476"/>
      <c r="BU38" s="476"/>
      <c r="BV38" s="476"/>
      <c r="BW38" s="476"/>
      <c r="BX38" s="476"/>
    </row>
    <row r="39" spans="1:76" hidden="1">
      <c r="A39" s="476"/>
      <c r="B39" s="476"/>
      <c r="C39" s="476"/>
      <c r="D39" s="476"/>
      <c r="E39" s="87" t="str">
        <f t="array" ref="E39">IFERROR(INDEX(WIP,SMALL(IF(('CURRENT WIP'!$D$1='CURRENT WIP'!$E$22:E174),MATCH(ROW(WIP),ROW(WIP)),""),ROW('CURRENT WIP'!A27)),COLUMN('CURRENT WIP'!A27)),"")</f>
        <v/>
      </c>
      <c r="F39" s="48" t="str">
        <f t="array" ref="F39">IFERROR(INDEX(WIP,SMALL(IF(('CURRENT WIP'!$D$1='CURRENT WIP'!$E$22:$E$148),MATCH(ROW(WIP),ROW(WIP)),""),ROW('CURRENT WIP'!B27)),COLUMN('CURRENT WIP'!B27)),"")</f>
        <v/>
      </c>
      <c r="G39" s="48" t="str">
        <f t="array" ref="G39">IFERROR(INDEX(WIP,SMALL(IF(('CURRENT WIP'!$D$1='CURRENT WIP'!$E$22:$E$148),MATCH(ROW(WIP),ROW(WIP)),""),ROW('CURRENT WIP'!C27)),COLUMN('CURRENT WIP'!C27)),"")</f>
        <v/>
      </c>
      <c r="H39" s="48" t="str">
        <f t="array" ref="H39">IFERROR(INDEX(WIP,SMALL(IF(('CURRENT WIP'!$D$1='CURRENT WIP'!$E$22:$E$148),MATCH(ROW(WIP),ROW(WIP)),""),ROW('CURRENT WIP'!D27)),COLUMN('CURRENT WIP'!D27)),"")</f>
        <v/>
      </c>
      <c r="I39" s="66" t="str">
        <f t="array" ref="I39">IFERROR(INDEX(WIP,SMALL(IF(('CURRENT WIP'!$D$1='CURRENT WIP'!$E$22:$E$148),MATCH(ROW(WIP),ROW(WIP)),""),ROW('CURRENT WIP'!E27)),COLUMN('CURRENT WIP'!E27)),"")</f>
        <v/>
      </c>
      <c r="J39" s="66" t="str">
        <f t="array" ref="J39">IFERROR(INDEX(WIP,SMALL(IF(('CURRENT WIP'!$D$1='CURRENT WIP'!$E$22:$E$148),MATCH(ROW(WIP),ROW(WIP)),""),ROW('CURRENT WIP'!F27)),COLUMN('CURRENT WIP'!F27)),"")</f>
        <v/>
      </c>
      <c r="K39" s="48" t="str">
        <f t="array" ref="K39">IFERROR(INDEX(WIP,SMALL(IF(('CURRENT WIP'!$D$1='CURRENT WIP'!$E$22:$E$148),MATCH(ROW(WIP),ROW(WIP)),""),ROW('CURRENT WIP'!G27)),COLUMN('CURRENT WIP'!G27)),"")</f>
        <v/>
      </c>
      <c r="L39" s="66" t="str">
        <f t="array" ref="L39">IFERROR(INDEX(WIP,SMALL(IF(('CURRENT WIP'!$D$1='CURRENT WIP'!$E$22:$E$148),MATCH(ROW(WIP),ROW(WIP)),""),ROW('CURRENT WIP'!H27)),COLUMN('CURRENT WIP'!H27)),"")</f>
        <v/>
      </c>
      <c r="M39" s="48" t="str">
        <f t="array" ref="M39">IFERROR(INDEX(WIP,SMALL(IF(('CURRENT WIP'!$D$1='CURRENT WIP'!$E$22:$E$148),MATCH(ROW(WIP),ROW(WIP)),""),ROW('CURRENT WIP'!I27)),COLUMN('CURRENT WIP'!I27)),"")</f>
        <v/>
      </c>
      <c r="N39" s="67" t="str">
        <f t="array" ref="N39">IFERROR(INDEX(WIP,SMALL(IF(('CURRENT WIP'!$D$1='CURRENT WIP'!$E$22:$E$148),MATCH(ROW(WIP),ROW(WIP)),""),ROW('CURRENT WIP'!J27)),COLUMN('CURRENT WIP'!J27)),"")</f>
        <v/>
      </c>
      <c r="O39" s="48" t="str">
        <f t="array" ref="O39">IFERROR(INDEX(WIP,SMALL(IF(('CURRENT WIP'!$D$1='CURRENT WIP'!$E$22:$E$148),MATCH(ROW(WIP),ROW(WIP)),""),ROW('CURRENT WIP'!K27)),COLUMN('CURRENT WIP'!K27)),"")</f>
        <v/>
      </c>
      <c r="P39" s="48" t="str">
        <f t="array" ref="P39">IFERROR(INDEX(WIP,SMALL(IF(('CURRENT WIP'!$D$1='CURRENT WIP'!$E$22:$E$148),MATCH(ROW(WIP),ROW(WIP)),""),ROW('CURRENT WIP'!L27)),COLUMN('CURRENT WIP'!L27)),"")</f>
        <v/>
      </c>
      <c r="Q39" s="48" t="str">
        <f t="array" ref="Q39">IFERROR(INDEX(WIP,SMALL(IF(('CURRENT WIP'!$D$1='CURRENT WIP'!$E$22:$E$148),MATCH(ROW(WIP),ROW(WIP)),""),ROW('CURRENT WIP'!M27)),COLUMN('CURRENT WIP'!M27)),"")</f>
        <v/>
      </c>
      <c r="R39" s="68" t="str">
        <f t="array" ref="R39">IFERROR(INDEX(WIP,SMALL(IF(('CURRENT WIP'!$D$1='CURRENT WIP'!$E$22:$E$148),MATCH(ROW(WIP),ROW(WIP)),""),ROW('CURRENT WIP'!N27)),COLUMN('CURRENT WIP'!N27)),"")</f>
        <v/>
      </c>
      <c r="S39" s="48" t="str">
        <f t="array" ref="S39">IFERROR(INDEX(WIP,SMALL(IF(('CURRENT WIP'!$D$1='CURRENT WIP'!$E$22:$E$148),MATCH(ROW(WIP),ROW(WIP)),""),ROW('CURRENT WIP'!O27)),COLUMN('CURRENT WIP'!O27)),"")</f>
        <v/>
      </c>
      <c r="T39" s="48" t="str">
        <f t="array" ref="T39">IFERROR(INDEX(WIP,SMALL(IF(('CURRENT WIP'!$D$1='CURRENT WIP'!$E$22:$E$148),MATCH(ROW(WIP),ROW(WIP)),""),ROW('CURRENT WIP'!P27)),COLUMN('CURRENT WIP'!P27)),"")</f>
        <v/>
      </c>
      <c r="U39" s="68" t="str">
        <f t="array" ref="U39">IFERROR(INDEX(WIP,SMALL(IF(('CURRENT WIP'!$D$1='CURRENT WIP'!$E$22:$E$148),MATCH(ROW(WIP),ROW(WIP)),""),ROW('CURRENT WIP'!Q27)),COLUMN('CURRENT WIP'!Q27)),"")</f>
        <v/>
      </c>
      <c r="V39" s="48" t="str">
        <f t="array" ref="V39">IFERROR(INDEX(WIP,SMALL(IF(('CURRENT WIP'!$D$1='CURRENT WIP'!$E$22:$E$148),MATCH(ROW(WIP),ROW(WIP)),""),ROW('CURRENT WIP'!R27)),COLUMN('CURRENT WIP'!R27)),"")</f>
        <v/>
      </c>
      <c r="W39" s="48" t="str">
        <f t="array" ref="W39">IFERROR(INDEX(WIP,SMALL(IF(('CURRENT WIP'!$D$1='CURRENT WIP'!$E$22:$E$148),MATCH(ROW(WIP),ROW(WIP)),""),ROW('CURRENT WIP'!S27)),COLUMN('CURRENT WIP'!S27)),"")</f>
        <v/>
      </c>
      <c r="X39" s="48" t="str">
        <f t="array" ref="X39">IFERROR(INDEX(WIP,SMALL(IF(('CURRENT WIP'!$D$1='CURRENT WIP'!$E$22:$E$148),MATCH(ROW(WIP),ROW(WIP)),""),ROW('CURRENT WIP'!T27)),COLUMN('CURRENT WIP'!T27)),"")</f>
        <v/>
      </c>
      <c r="Y39" s="88" t="str">
        <f t="array" ref="Y39">IFERROR(INDEX(WIP,SMALL(IF(('CURRENT WIP'!$D$1='CURRENT WIP'!$E$22:$E$148),MATCH(ROW(WIP),ROW(WIP)),""),ROW('CURRENT WIP'!U27)),COLUMN('CURRENT WIP'!U27)),"")</f>
        <v/>
      </c>
      <c r="Z39" s="476"/>
      <c r="AA39" s="476"/>
      <c r="AB39" s="476"/>
      <c r="AC39" s="476"/>
      <c r="AD39" s="476"/>
      <c r="AE39" s="476"/>
      <c r="AF39" s="476"/>
      <c r="AG39" s="476"/>
      <c r="AH39" s="476"/>
      <c r="AI39" s="476"/>
      <c r="AJ39" s="483"/>
      <c r="AK39" s="478"/>
      <c r="AL39" s="476"/>
      <c r="AM39" s="87"/>
      <c r="AN39" s="48"/>
      <c r="AO39" s="48"/>
      <c r="AP39" s="48"/>
      <c r="AQ39" s="66"/>
      <c r="AR39" s="66"/>
      <c r="AS39" s="48"/>
      <c r="AT39" s="66"/>
      <c r="AU39" s="48"/>
      <c r="AV39" s="67"/>
      <c r="AW39" s="48"/>
      <c r="AX39" s="48"/>
      <c r="AY39" s="48"/>
      <c r="AZ39" s="68"/>
      <c r="BA39" s="48"/>
      <c r="BB39" s="48"/>
      <c r="BC39" s="68"/>
      <c r="BD39" s="48"/>
      <c r="BE39" s="48"/>
      <c r="BF39" s="48"/>
      <c r="BG39" s="88"/>
      <c r="BH39" s="476"/>
      <c r="BI39" s="476"/>
      <c r="BJ39" s="476"/>
      <c r="BK39" s="476"/>
      <c r="BL39" s="476"/>
      <c r="BN39" s="476"/>
      <c r="BO39" s="476"/>
      <c r="BP39" s="484"/>
      <c r="BQ39" s="476"/>
      <c r="BR39" s="476"/>
      <c r="BS39" s="476"/>
      <c r="BT39" s="476"/>
      <c r="BU39" s="476"/>
      <c r="BV39" s="476"/>
      <c r="BW39" s="476"/>
      <c r="BX39" s="476"/>
    </row>
    <row r="40" spans="1:76" hidden="1">
      <c r="A40" s="476"/>
      <c r="B40" s="476"/>
      <c r="C40" s="476"/>
      <c r="D40" s="476"/>
      <c r="E40" s="87" t="str">
        <f t="array" ref="E40">IFERROR(INDEX(WIP,SMALL(IF(('CURRENT WIP'!$D$1='CURRENT WIP'!$E$22:E175),MATCH(ROW(WIP),ROW(WIP)),""),ROW('CURRENT WIP'!A28)),COLUMN('CURRENT WIP'!A28)),"")</f>
        <v/>
      </c>
      <c r="F40" s="48" t="str">
        <f t="array" ref="F40">IFERROR(INDEX(WIP,SMALL(IF(('CURRENT WIP'!$D$1='CURRENT WIP'!$E$22:$E$148),MATCH(ROW(WIP),ROW(WIP)),""),ROW('CURRENT WIP'!B28)),COLUMN('CURRENT WIP'!B28)),"")</f>
        <v/>
      </c>
      <c r="G40" s="48" t="str">
        <f t="array" ref="G40">IFERROR(INDEX(WIP,SMALL(IF(('CURRENT WIP'!$D$1='CURRENT WIP'!$E$22:$E$148),MATCH(ROW(WIP),ROW(WIP)),""),ROW('CURRENT WIP'!C28)),COLUMN('CURRENT WIP'!C28)),"")</f>
        <v/>
      </c>
      <c r="H40" s="48" t="str">
        <f t="array" ref="H40">IFERROR(INDEX(WIP,SMALL(IF(('CURRENT WIP'!$D$1='CURRENT WIP'!$E$22:$E$148),MATCH(ROW(WIP),ROW(WIP)),""),ROW('CURRENT WIP'!D28)),COLUMN('CURRENT WIP'!D28)),"")</f>
        <v/>
      </c>
      <c r="I40" s="66" t="str">
        <f t="array" ref="I40">IFERROR(INDEX(WIP,SMALL(IF(('CURRENT WIP'!$D$1='CURRENT WIP'!$E$22:$E$148),MATCH(ROW(WIP),ROW(WIP)),""),ROW('CURRENT WIP'!E28)),COLUMN('CURRENT WIP'!E28)),"")</f>
        <v/>
      </c>
      <c r="J40" s="66" t="str">
        <f t="array" ref="J40">IFERROR(INDEX(WIP,SMALL(IF(('CURRENT WIP'!$D$1='CURRENT WIP'!$E$22:$E$148),MATCH(ROW(WIP),ROW(WIP)),""),ROW('CURRENT WIP'!F28)),COLUMN('CURRENT WIP'!F28)),"")</f>
        <v/>
      </c>
      <c r="K40" s="48" t="str">
        <f t="array" ref="K40">IFERROR(INDEX(WIP,SMALL(IF(('CURRENT WIP'!$D$1='CURRENT WIP'!$E$22:$E$148),MATCH(ROW(WIP),ROW(WIP)),""),ROW('CURRENT WIP'!G28)),COLUMN('CURRENT WIP'!G28)),"")</f>
        <v/>
      </c>
      <c r="L40" s="66" t="str">
        <f t="array" ref="L40">IFERROR(INDEX(WIP,SMALL(IF(('CURRENT WIP'!$D$1='CURRENT WIP'!$E$22:$E$148),MATCH(ROW(WIP),ROW(WIP)),""),ROW('CURRENT WIP'!H28)),COLUMN('CURRENT WIP'!H28)),"")</f>
        <v/>
      </c>
      <c r="M40" s="48" t="str">
        <f t="array" ref="M40">IFERROR(INDEX(WIP,SMALL(IF(('CURRENT WIP'!$D$1='CURRENT WIP'!$E$22:$E$148),MATCH(ROW(WIP),ROW(WIP)),""),ROW('CURRENT WIP'!I28)),COLUMN('CURRENT WIP'!I28)),"")</f>
        <v/>
      </c>
      <c r="N40" s="67" t="str">
        <f t="array" ref="N40">IFERROR(INDEX(WIP,SMALL(IF(('CURRENT WIP'!$D$1='CURRENT WIP'!$E$22:$E$148),MATCH(ROW(WIP),ROW(WIP)),""),ROW('CURRENT WIP'!J28)),COLUMN('CURRENT WIP'!J28)),"")</f>
        <v/>
      </c>
      <c r="O40" s="48" t="str">
        <f t="array" ref="O40">IFERROR(INDEX(WIP,SMALL(IF(('CURRENT WIP'!$D$1='CURRENT WIP'!$E$22:$E$148),MATCH(ROW(WIP),ROW(WIP)),""),ROW('CURRENT WIP'!K28)),COLUMN('CURRENT WIP'!K28)),"")</f>
        <v/>
      </c>
      <c r="P40" s="48" t="str">
        <f t="array" ref="P40">IFERROR(INDEX(WIP,SMALL(IF(('CURRENT WIP'!$D$1='CURRENT WIP'!$E$22:$E$148),MATCH(ROW(WIP),ROW(WIP)),""),ROW('CURRENT WIP'!L28)),COLUMN('CURRENT WIP'!L28)),"")</f>
        <v/>
      </c>
      <c r="Q40" s="48" t="str">
        <f t="array" ref="Q40">IFERROR(INDEX(WIP,SMALL(IF(('CURRENT WIP'!$D$1='CURRENT WIP'!$E$22:$E$148),MATCH(ROW(WIP),ROW(WIP)),""),ROW('CURRENT WIP'!M28)),COLUMN('CURRENT WIP'!M28)),"")</f>
        <v/>
      </c>
      <c r="R40" s="68" t="str">
        <f t="array" ref="R40">IFERROR(INDEX(WIP,SMALL(IF(('CURRENT WIP'!$D$1='CURRENT WIP'!$E$22:$E$148),MATCH(ROW(WIP),ROW(WIP)),""),ROW('CURRENT WIP'!N28)),COLUMN('CURRENT WIP'!N28)),"")</f>
        <v/>
      </c>
      <c r="S40" s="48" t="str">
        <f t="array" ref="S40">IFERROR(INDEX(WIP,SMALL(IF(('CURRENT WIP'!$D$1='CURRENT WIP'!$E$22:$E$148),MATCH(ROW(WIP),ROW(WIP)),""),ROW('CURRENT WIP'!O28)),COLUMN('CURRENT WIP'!O28)),"")</f>
        <v/>
      </c>
      <c r="T40" s="48" t="str">
        <f t="array" ref="T40">IFERROR(INDEX(WIP,SMALL(IF(('CURRENT WIP'!$D$1='CURRENT WIP'!$E$22:$E$148),MATCH(ROW(WIP),ROW(WIP)),""),ROW('CURRENT WIP'!P28)),COLUMN('CURRENT WIP'!P28)),"")</f>
        <v/>
      </c>
      <c r="U40" s="68" t="str">
        <f t="array" ref="U40">IFERROR(INDEX(WIP,SMALL(IF(('CURRENT WIP'!$D$1='CURRENT WIP'!$E$22:$E$148),MATCH(ROW(WIP),ROW(WIP)),""),ROW('CURRENT WIP'!Q28)),COLUMN('CURRENT WIP'!Q28)),"")</f>
        <v/>
      </c>
      <c r="V40" s="48" t="str">
        <f t="array" ref="V40">IFERROR(INDEX(WIP,SMALL(IF(('CURRENT WIP'!$D$1='CURRENT WIP'!$E$22:$E$148),MATCH(ROW(WIP),ROW(WIP)),""),ROW('CURRENT WIP'!R28)),COLUMN('CURRENT WIP'!R28)),"")</f>
        <v/>
      </c>
      <c r="W40" s="48" t="str">
        <f t="array" ref="W40">IFERROR(INDEX(WIP,SMALL(IF(('CURRENT WIP'!$D$1='CURRENT WIP'!$E$22:$E$148),MATCH(ROW(WIP),ROW(WIP)),""),ROW('CURRENT WIP'!S28)),COLUMN('CURRENT WIP'!S28)),"")</f>
        <v/>
      </c>
      <c r="X40" s="48" t="str">
        <f t="array" ref="X40">IFERROR(INDEX(WIP,SMALL(IF(('CURRENT WIP'!$D$1='CURRENT WIP'!$E$22:$E$148),MATCH(ROW(WIP),ROW(WIP)),""),ROW('CURRENT WIP'!T28)),COLUMN('CURRENT WIP'!T28)),"")</f>
        <v/>
      </c>
      <c r="Y40" s="88" t="str">
        <f t="array" ref="Y40">IFERROR(INDEX(WIP,SMALL(IF(('CURRENT WIP'!$D$1='CURRENT WIP'!$E$22:$E$148),MATCH(ROW(WIP),ROW(WIP)),""),ROW('CURRENT WIP'!U28)),COLUMN('CURRENT WIP'!U28)),"")</f>
        <v/>
      </c>
      <c r="Z40" s="476"/>
      <c r="AA40" s="476"/>
      <c r="AB40" s="476"/>
      <c r="AC40" s="476"/>
      <c r="AD40" s="476"/>
      <c r="AE40" s="476"/>
      <c r="AF40" s="476"/>
      <c r="AG40" s="476"/>
      <c r="AH40" s="476"/>
      <c r="AI40" s="476"/>
      <c r="AJ40" s="483"/>
      <c r="AK40" s="478"/>
      <c r="AL40" s="476"/>
      <c r="AM40" s="87"/>
      <c r="AN40" s="48"/>
      <c r="AO40" s="48"/>
      <c r="AP40" s="48"/>
      <c r="AQ40" s="66"/>
      <c r="AR40" s="66"/>
      <c r="AS40" s="48"/>
      <c r="AT40" s="66"/>
      <c r="AU40" s="48"/>
      <c r="AV40" s="67"/>
      <c r="AW40" s="48"/>
      <c r="AX40" s="48"/>
      <c r="AY40" s="48"/>
      <c r="AZ40" s="68"/>
      <c r="BA40" s="48"/>
      <c r="BB40" s="48"/>
      <c r="BC40" s="68"/>
      <c r="BD40" s="48"/>
      <c r="BE40" s="48"/>
      <c r="BF40" s="48"/>
      <c r="BG40" s="88"/>
      <c r="BH40" s="476"/>
      <c r="BI40" s="476"/>
      <c r="BJ40" s="476"/>
      <c r="BK40" s="476"/>
      <c r="BL40" s="476"/>
      <c r="BN40" s="476"/>
      <c r="BO40" s="476"/>
      <c r="BP40" s="484"/>
      <c r="BQ40" s="476"/>
      <c r="BR40" s="476"/>
      <c r="BS40" s="476"/>
      <c r="BT40" s="476"/>
      <c r="BU40" s="476"/>
      <c r="BV40" s="476"/>
      <c r="BW40" s="476"/>
      <c r="BX40" s="476"/>
    </row>
    <row r="41" spans="1:76" hidden="1">
      <c r="A41" s="476"/>
      <c r="B41" s="476"/>
      <c r="C41" s="476"/>
      <c r="D41" s="476"/>
      <c r="E41" s="87" t="str">
        <f t="array" ref="E41">IFERROR(INDEX(WIP,SMALL(IF(('CURRENT WIP'!$D$1='CURRENT WIP'!$E$22:E176),MATCH(ROW(WIP),ROW(WIP)),""),ROW('CURRENT WIP'!A29)),COLUMN('CURRENT WIP'!A29)),"")</f>
        <v/>
      </c>
      <c r="F41" s="48" t="str">
        <f t="array" ref="F41">IFERROR(INDEX(WIP,SMALL(IF(('CURRENT WIP'!$D$1='CURRENT WIP'!$E$22:$E$148),MATCH(ROW(WIP),ROW(WIP)),""),ROW('CURRENT WIP'!B29)),COLUMN('CURRENT WIP'!B29)),"")</f>
        <v/>
      </c>
      <c r="G41" s="48" t="str">
        <f t="array" ref="G41">IFERROR(INDEX(WIP,SMALL(IF(('CURRENT WIP'!$D$1='CURRENT WIP'!$E$22:$E$148),MATCH(ROW(WIP),ROW(WIP)),""),ROW('CURRENT WIP'!C29)),COLUMN('CURRENT WIP'!C29)),"")</f>
        <v/>
      </c>
      <c r="H41" s="48" t="str">
        <f t="array" ref="H41">IFERROR(INDEX(WIP,SMALL(IF(('CURRENT WIP'!$D$1='CURRENT WIP'!$E$22:$E$148),MATCH(ROW(WIP),ROW(WIP)),""),ROW('CURRENT WIP'!D29)),COLUMN('CURRENT WIP'!D29)),"")</f>
        <v/>
      </c>
      <c r="I41" s="66" t="str">
        <f t="array" ref="I41">IFERROR(INDEX(WIP,SMALL(IF(('CURRENT WIP'!$D$1='CURRENT WIP'!$E$22:$E$148),MATCH(ROW(WIP),ROW(WIP)),""),ROW('CURRENT WIP'!E29)),COLUMN('CURRENT WIP'!E29)),"")</f>
        <v/>
      </c>
      <c r="J41" s="66" t="str">
        <f t="array" ref="J41">IFERROR(INDEX(WIP,SMALL(IF(('CURRENT WIP'!$D$1='CURRENT WIP'!$E$22:$E$148),MATCH(ROW(WIP),ROW(WIP)),""),ROW('CURRENT WIP'!F29)),COLUMN('CURRENT WIP'!F29)),"")</f>
        <v/>
      </c>
      <c r="K41" s="48" t="str">
        <f t="array" ref="K41">IFERROR(INDEX(WIP,SMALL(IF(('CURRENT WIP'!$D$1='CURRENT WIP'!$E$22:$E$148),MATCH(ROW(WIP),ROW(WIP)),""),ROW('CURRENT WIP'!G29)),COLUMN('CURRENT WIP'!G29)),"")</f>
        <v/>
      </c>
      <c r="L41" s="66" t="str">
        <f t="array" ref="L41">IFERROR(INDEX(WIP,SMALL(IF(('CURRENT WIP'!$D$1='CURRENT WIP'!$E$22:$E$148),MATCH(ROW(WIP),ROW(WIP)),""),ROW('CURRENT WIP'!H29)),COLUMN('CURRENT WIP'!H29)),"")</f>
        <v/>
      </c>
      <c r="M41" s="48" t="str">
        <f t="array" ref="M41">IFERROR(INDEX(WIP,SMALL(IF(('CURRENT WIP'!$D$1='CURRENT WIP'!$E$22:$E$148),MATCH(ROW(WIP),ROW(WIP)),""),ROW('CURRENT WIP'!I29)),COLUMN('CURRENT WIP'!I29)),"")</f>
        <v/>
      </c>
      <c r="N41" s="67" t="str">
        <f t="array" ref="N41">IFERROR(INDEX(WIP,SMALL(IF(('CURRENT WIP'!$D$1='CURRENT WIP'!$E$22:$E$148),MATCH(ROW(WIP),ROW(WIP)),""),ROW('CURRENT WIP'!J29)),COLUMN('CURRENT WIP'!J29)),"")</f>
        <v/>
      </c>
      <c r="O41" s="48" t="str">
        <f t="array" ref="O41">IFERROR(INDEX(WIP,SMALL(IF(('CURRENT WIP'!$D$1='CURRENT WIP'!$E$22:$E$148),MATCH(ROW(WIP),ROW(WIP)),""),ROW('CURRENT WIP'!K29)),COLUMN('CURRENT WIP'!K29)),"")</f>
        <v/>
      </c>
      <c r="P41" s="48" t="str">
        <f t="array" ref="P41">IFERROR(INDEX(WIP,SMALL(IF(('CURRENT WIP'!$D$1='CURRENT WIP'!$E$22:$E$148),MATCH(ROW(WIP),ROW(WIP)),""),ROW('CURRENT WIP'!L29)),COLUMN('CURRENT WIP'!L29)),"")</f>
        <v/>
      </c>
      <c r="Q41" s="48" t="str">
        <f t="array" ref="Q41">IFERROR(INDEX(WIP,SMALL(IF(('CURRENT WIP'!$D$1='CURRENT WIP'!$E$22:$E$148),MATCH(ROW(WIP),ROW(WIP)),""),ROW('CURRENT WIP'!M29)),COLUMN('CURRENT WIP'!M29)),"")</f>
        <v/>
      </c>
      <c r="R41" s="68" t="str">
        <f t="array" ref="R41">IFERROR(INDEX(WIP,SMALL(IF(('CURRENT WIP'!$D$1='CURRENT WIP'!$E$22:$E$148),MATCH(ROW(WIP),ROW(WIP)),""),ROW('CURRENT WIP'!N29)),COLUMN('CURRENT WIP'!N29)),"")</f>
        <v/>
      </c>
      <c r="S41" s="48" t="str">
        <f t="array" ref="S41">IFERROR(INDEX(WIP,SMALL(IF(('CURRENT WIP'!$D$1='CURRENT WIP'!$E$22:$E$148),MATCH(ROW(WIP),ROW(WIP)),""),ROW('CURRENT WIP'!O29)),COLUMN('CURRENT WIP'!O29)),"")</f>
        <v/>
      </c>
      <c r="T41" s="48" t="str">
        <f t="array" ref="T41">IFERROR(INDEX(WIP,SMALL(IF(('CURRENT WIP'!$D$1='CURRENT WIP'!$E$22:$E$148),MATCH(ROW(WIP),ROW(WIP)),""),ROW('CURRENT WIP'!P29)),COLUMN('CURRENT WIP'!P29)),"")</f>
        <v/>
      </c>
      <c r="U41" s="68" t="str">
        <f t="array" ref="U41">IFERROR(INDEX(WIP,SMALL(IF(('CURRENT WIP'!$D$1='CURRENT WIP'!$E$22:$E$148),MATCH(ROW(WIP),ROW(WIP)),""),ROW('CURRENT WIP'!Q29)),COLUMN('CURRENT WIP'!Q29)),"")</f>
        <v/>
      </c>
      <c r="V41" s="48" t="str">
        <f t="array" ref="V41">IFERROR(INDEX(WIP,SMALL(IF(('CURRENT WIP'!$D$1='CURRENT WIP'!$E$22:$E$148),MATCH(ROW(WIP),ROW(WIP)),""),ROW('CURRENT WIP'!R29)),COLUMN('CURRENT WIP'!R29)),"")</f>
        <v/>
      </c>
      <c r="W41" s="48" t="str">
        <f t="array" ref="W41">IFERROR(INDEX(WIP,SMALL(IF(('CURRENT WIP'!$D$1='CURRENT WIP'!$E$22:$E$148),MATCH(ROW(WIP),ROW(WIP)),""),ROW('CURRENT WIP'!S29)),COLUMN('CURRENT WIP'!S29)),"")</f>
        <v/>
      </c>
      <c r="X41" s="48" t="str">
        <f t="array" ref="X41">IFERROR(INDEX(WIP,SMALL(IF(('CURRENT WIP'!$D$1='CURRENT WIP'!$E$22:$E$148),MATCH(ROW(WIP),ROW(WIP)),""),ROW('CURRENT WIP'!T29)),COLUMN('CURRENT WIP'!T29)),"")</f>
        <v/>
      </c>
      <c r="Y41" s="88" t="str">
        <f t="array" ref="Y41">IFERROR(INDEX(WIP,SMALL(IF(('CURRENT WIP'!$D$1='CURRENT WIP'!$E$22:$E$148),MATCH(ROW(WIP),ROW(WIP)),""),ROW('CURRENT WIP'!U29)),COLUMN('CURRENT WIP'!U29)),"")</f>
        <v/>
      </c>
      <c r="Z41" s="476"/>
      <c r="AA41" s="476"/>
      <c r="AB41" s="476"/>
      <c r="AC41" s="476"/>
      <c r="AD41" s="476"/>
      <c r="AE41" s="476"/>
      <c r="AF41" s="476"/>
      <c r="AG41" s="476"/>
      <c r="AH41" s="476"/>
      <c r="AI41" s="476"/>
      <c r="AJ41" s="483"/>
      <c r="AK41" s="478"/>
      <c r="AL41" s="476"/>
      <c r="AM41" s="87"/>
      <c r="AN41" s="48"/>
      <c r="AO41" s="48"/>
      <c r="AP41" s="48"/>
      <c r="AQ41" s="66"/>
      <c r="AR41" s="66"/>
      <c r="AS41" s="48"/>
      <c r="AT41" s="66"/>
      <c r="AU41" s="48"/>
      <c r="AV41" s="67"/>
      <c r="AW41" s="48"/>
      <c r="AX41" s="48"/>
      <c r="AY41" s="48"/>
      <c r="AZ41" s="68"/>
      <c r="BA41" s="48"/>
      <c r="BB41" s="48"/>
      <c r="BC41" s="68"/>
      <c r="BD41" s="48"/>
      <c r="BE41" s="48"/>
      <c r="BF41" s="48"/>
      <c r="BG41" s="88"/>
      <c r="BH41" s="476"/>
      <c r="BI41" s="476"/>
      <c r="BJ41" s="476"/>
      <c r="BK41" s="476"/>
      <c r="BL41" s="476"/>
      <c r="BN41" s="476"/>
      <c r="BO41" s="476"/>
      <c r="BP41" s="484"/>
      <c r="BQ41" s="476"/>
      <c r="BR41" s="476"/>
      <c r="BS41" s="476"/>
      <c r="BT41" s="476"/>
      <c r="BU41" s="476"/>
      <c r="BV41" s="476"/>
      <c r="BW41" s="476"/>
      <c r="BX41" s="476"/>
    </row>
    <row r="42" spans="1:76" hidden="1">
      <c r="A42" s="476"/>
      <c r="B42" s="476"/>
      <c r="C42" s="476"/>
      <c r="D42" s="476"/>
      <c r="E42" s="87" t="str">
        <f t="array" ref="E42">IFERROR(INDEX(WIP,SMALL(IF(('CURRENT WIP'!$D$1='CURRENT WIP'!$E$22:E177),MATCH(ROW(WIP),ROW(WIP)),""),ROW('CURRENT WIP'!A30)),COLUMN('CURRENT WIP'!A30)),"")</f>
        <v/>
      </c>
      <c r="F42" s="48" t="str">
        <f t="array" ref="F42">IFERROR(INDEX(WIP,SMALL(IF(('CURRENT WIP'!$D$1='CURRENT WIP'!$E$22:$E$148),MATCH(ROW(WIP),ROW(WIP)),""),ROW('CURRENT WIP'!B30)),COLUMN('CURRENT WIP'!B30)),"")</f>
        <v/>
      </c>
      <c r="G42" s="48" t="str">
        <f t="array" ref="G42">IFERROR(INDEX(WIP,SMALL(IF(('CURRENT WIP'!$D$1='CURRENT WIP'!$E$22:$E$148),MATCH(ROW(WIP),ROW(WIP)),""),ROW('CURRENT WIP'!C30)),COLUMN('CURRENT WIP'!C30)),"")</f>
        <v/>
      </c>
      <c r="H42" s="48" t="str">
        <f t="array" ref="H42">IFERROR(INDEX(WIP,SMALL(IF(('CURRENT WIP'!$D$1='CURRENT WIP'!$E$22:$E$148),MATCH(ROW(WIP),ROW(WIP)),""),ROW('CURRENT WIP'!D30)),COLUMN('CURRENT WIP'!D30)),"")</f>
        <v/>
      </c>
      <c r="I42" s="66" t="str">
        <f t="array" ref="I42">IFERROR(INDEX(WIP,SMALL(IF(('CURRENT WIP'!$D$1='CURRENT WIP'!$E$22:$E$148),MATCH(ROW(WIP),ROW(WIP)),""),ROW('CURRENT WIP'!E30)),COLUMN('CURRENT WIP'!E30)),"")</f>
        <v/>
      </c>
      <c r="J42" s="66" t="str">
        <f t="array" ref="J42">IFERROR(INDEX(WIP,SMALL(IF(('CURRENT WIP'!$D$1='CURRENT WIP'!$E$22:$E$148),MATCH(ROW(WIP),ROW(WIP)),""),ROW('CURRENT WIP'!F30)),COLUMN('CURRENT WIP'!F30)),"")</f>
        <v/>
      </c>
      <c r="K42" s="48" t="str">
        <f t="array" ref="K42">IFERROR(INDEX(WIP,SMALL(IF(('CURRENT WIP'!$D$1='CURRENT WIP'!$E$22:$E$148),MATCH(ROW(WIP),ROW(WIP)),""),ROW('CURRENT WIP'!G30)),COLUMN('CURRENT WIP'!G30)),"")</f>
        <v/>
      </c>
      <c r="L42" s="66" t="str">
        <f t="array" ref="L42">IFERROR(INDEX(WIP,SMALL(IF(('CURRENT WIP'!$D$1='CURRENT WIP'!$E$22:$E$148),MATCH(ROW(WIP),ROW(WIP)),""),ROW('CURRENT WIP'!H30)),COLUMN('CURRENT WIP'!H30)),"")</f>
        <v/>
      </c>
      <c r="M42" s="48" t="str">
        <f t="array" ref="M42">IFERROR(INDEX(WIP,SMALL(IF(('CURRENT WIP'!$D$1='CURRENT WIP'!$E$22:$E$148),MATCH(ROW(WIP),ROW(WIP)),""),ROW('CURRENT WIP'!I30)),COLUMN('CURRENT WIP'!I30)),"")</f>
        <v/>
      </c>
      <c r="N42" s="67" t="str">
        <f t="array" ref="N42">IFERROR(INDEX(WIP,SMALL(IF(('CURRENT WIP'!$D$1='CURRENT WIP'!$E$22:$E$148),MATCH(ROW(WIP),ROW(WIP)),""),ROW('CURRENT WIP'!J30)),COLUMN('CURRENT WIP'!J30)),"")</f>
        <v/>
      </c>
      <c r="O42" s="48" t="str">
        <f t="array" ref="O42">IFERROR(INDEX(WIP,SMALL(IF(('CURRENT WIP'!$D$1='CURRENT WIP'!$E$22:$E$148),MATCH(ROW(WIP),ROW(WIP)),""),ROW('CURRENT WIP'!K30)),COLUMN('CURRENT WIP'!K30)),"")</f>
        <v/>
      </c>
      <c r="P42" s="48" t="str">
        <f t="array" ref="P42">IFERROR(INDEX(WIP,SMALL(IF(('CURRENT WIP'!$D$1='CURRENT WIP'!$E$22:$E$148),MATCH(ROW(WIP),ROW(WIP)),""),ROW('CURRENT WIP'!L30)),COLUMN('CURRENT WIP'!L30)),"")</f>
        <v/>
      </c>
      <c r="Q42" s="48" t="str">
        <f t="array" ref="Q42">IFERROR(INDEX(WIP,SMALL(IF(('CURRENT WIP'!$D$1='CURRENT WIP'!$E$22:$E$148),MATCH(ROW(WIP),ROW(WIP)),""),ROW('CURRENT WIP'!M30)),COLUMN('CURRENT WIP'!M30)),"")</f>
        <v/>
      </c>
      <c r="R42" s="68" t="str">
        <f t="array" ref="R42">IFERROR(INDEX(WIP,SMALL(IF(('CURRENT WIP'!$D$1='CURRENT WIP'!$E$22:$E$148),MATCH(ROW(WIP),ROW(WIP)),""),ROW('CURRENT WIP'!N30)),COLUMN('CURRENT WIP'!N30)),"")</f>
        <v/>
      </c>
      <c r="S42" s="48" t="str">
        <f t="array" ref="S42">IFERROR(INDEX(WIP,SMALL(IF(('CURRENT WIP'!$D$1='CURRENT WIP'!$E$22:$E$148),MATCH(ROW(WIP),ROW(WIP)),""),ROW('CURRENT WIP'!O30)),COLUMN('CURRENT WIP'!O30)),"")</f>
        <v/>
      </c>
      <c r="T42" s="48" t="str">
        <f t="array" ref="T42">IFERROR(INDEX(WIP,SMALL(IF(('CURRENT WIP'!$D$1='CURRENT WIP'!$E$22:$E$148),MATCH(ROW(WIP),ROW(WIP)),""),ROW('CURRENT WIP'!P30)),COLUMN('CURRENT WIP'!P30)),"")</f>
        <v/>
      </c>
      <c r="U42" s="68" t="str">
        <f t="array" ref="U42">IFERROR(INDEX(WIP,SMALL(IF(('CURRENT WIP'!$D$1='CURRENT WIP'!$E$22:$E$148),MATCH(ROW(WIP),ROW(WIP)),""),ROW('CURRENT WIP'!Q30)),COLUMN('CURRENT WIP'!Q30)),"")</f>
        <v/>
      </c>
      <c r="V42" s="48" t="str">
        <f t="array" ref="V42">IFERROR(INDEX(WIP,SMALL(IF(('CURRENT WIP'!$D$1='CURRENT WIP'!$E$22:$E$148),MATCH(ROW(WIP),ROW(WIP)),""),ROW('CURRENT WIP'!R30)),COLUMN('CURRENT WIP'!R30)),"")</f>
        <v/>
      </c>
      <c r="W42" s="48" t="str">
        <f t="array" ref="W42">IFERROR(INDEX(WIP,SMALL(IF(('CURRENT WIP'!$D$1='CURRENT WIP'!$E$22:$E$148),MATCH(ROW(WIP),ROW(WIP)),""),ROW('CURRENT WIP'!S30)),COLUMN('CURRENT WIP'!S30)),"")</f>
        <v/>
      </c>
      <c r="X42" s="48" t="str">
        <f t="array" ref="X42">IFERROR(INDEX(WIP,SMALL(IF(('CURRENT WIP'!$D$1='CURRENT WIP'!$E$22:$E$148),MATCH(ROW(WIP),ROW(WIP)),""),ROW('CURRENT WIP'!T30)),COLUMN('CURRENT WIP'!T30)),"")</f>
        <v/>
      </c>
      <c r="Y42" s="88" t="str">
        <f t="array" ref="Y42">IFERROR(INDEX(WIP,SMALL(IF(('CURRENT WIP'!$D$1='CURRENT WIP'!$E$22:$E$148),MATCH(ROW(WIP),ROW(WIP)),""),ROW('CURRENT WIP'!U30)),COLUMN('CURRENT WIP'!U30)),"")</f>
        <v/>
      </c>
      <c r="Z42" s="476"/>
      <c r="AA42" s="476"/>
      <c r="AB42" s="476"/>
      <c r="AC42" s="476"/>
      <c r="AD42" s="476"/>
      <c r="AE42" s="476"/>
      <c r="AF42" s="476"/>
      <c r="AG42" s="476"/>
      <c r="AH42" s="476"/>
      <c r="AI42" s="476"/>
      <c r="AJ42" s="483"/>
      <c r="AK42" s="478"/>
      <c r="AL42" s="476"/>
      <c r="AM42" s="87"/>
      <c r="AN42" s="48"/>
      <c r="AO42" s="48"/>
      <c r="AP42" s="48"/>
      <c r="AQ42" s="66"/>
      <c r="AR42" s="66"/>
      <c r="AS42" s="48"/>
      <c r="AT42" s="66"/>
      <c r="AU42" s="48"/>
      <c r="AV42" s="67"/>
      <c r="AW42" s="48"/>
      <c r="AX42" s="48"/>
      <c r="AY42" s="48"/>
      <c r="AZ42" s="68"/>
      <c r="BA42" s="48"/>
      <c r="BB42" s="48"/>
      <c r="BC42" s="68"/>
      <c r="BD42" s="48"/>
      <c r="BE42" s="48"/>
      <c r="BF42" s="48"/>
      <c r="BG42" s="88"/>
      <c r="BH42" s="476"/>
      <c r="BI42" s="476"/>
      <c r="BJ42" s="476"/>
      <c r="BK42" s="476"/>
      <c r="BL42" s="476"/>
      <c r="BN42" s="476"/>
      <c r="BO42" s="476"/>
      <c r="BP42" s="484"/>
      <c r="BQ42" s="476"/>
      <c r="BR42" s="476"/>
      <c r="BS42" s="476"/>
      <c r="BT42" s="476"/>
      <c r="BU42" s="476"/>
      <c r="BV42" s="476"/>
      <c r="BW42" s="476"/>
      <c r="BX42" s="476"/>
    </row>
    <row r="43" spans="1:76" s="2" customFormat="1" hidden="1">
      <c r="A43" s="476"/>
      <c r="B43" s="476"/>
      <c r="C43" s="476"/>
      <c r="D43" s="476"/>
      <c r="E43" s="87" t="str">
        <f t="array" ref="E43">IFERROR(INDEX(WIP,SMALL(IF(('CURRENT WIP'!$D$1='CURRENT WIP'!$E$22:E178),MATCH(ROW(WIP),ROW(WIP)),""),ROW('CURRENT WIP'!A31)),COLUMN('CURRENT WIP'!A31)),"")</f>
        <v/>
      </c>
      <c r="F43" s="48" t="str">
        <f t="array" ref="F43">IFERROR(INDEX(WIP,SMALL(IF(('CURRENT WIP'!$D$1='CURRENT WIP'!$E$22:$E$148),MATCH(ROW(WIP),ROW(WIP)),""),ROW('CURRENT WIP'!B31)),COLUMN('CURRENT WIP'!B31)),"")</f>
        <v/>
      </c>
      <c r="G43" s="48" t="str">
        <f t="array" ref="G43">IFERROR(INDEX(WIP,SMALL(IF(('CURRENT WIP'!$D$1='CURRENT WIP'!$E$22:$E$148),MATCH(ROW(WIP),ROW(WIP)),""),ROW('CURRENT WIP'!C31)),COLUMN('CURRENT WIP'!C31)),"")</f>
        <v/>
      </c>
      <c r="H43" s="48" t="str">
        <f t="array" ref="H43">IFERROR(INDEX(WIP,SMALL(IF(('CURRENT WIP'!$D$1='CURRENT WIP'!$E$22:$E$148),MATCH(ROW(WIP),ROW(WIP)),""),ROW('CURRENT WIP'!D31)),COLUMN('CURRENT WIP'!D31)),"")</f>
        <v/>
      </c>
      <c r="I43" s="66" t="str">
        <f t="array" ref="I43">IFERROR(INDEX(WIP,SMALL(IF(('CURRENT WIP'!$D$1='CURRENT WIP'!$E$22:$E$148),MATCH(ROW(WIP),ROW(WIP)),""),ROW('CURRENT WIP'!E31)),COLUMN('CURRENT WIP'!E31)),"")</f>
        <v/>
      </c>
      <c r="J43" s="66" t="str">
        <f t="array" ref="J43">IFERROR(INDEX(WIP,SMALL(IF(('CURRENT WIP'!$D$1='CURRENT WIP'!$E$22:$E$148),MATCH(ROW(WIP),ROW(WIP)),""),ROW('CURRENT WIP'!F31)),COLUMN('CURRENT WIP'!F31)),"")</f>
        <v/>
      </c>
      <c r="K43" s="48" t="str">
        <f t="array" ref="K43">IFERROR(INDEX(WIP,SMALL(IF(('CURRENT WIP'!$D$1='CURRENT WIP'!$E$22:$E$148),MATCH(ROW(WIP),ROW(WIP)),""),ROW('CURRENT WIP'!G31)),COLUMN('CURRENT WIP'!G31)),"")</f>
        <v/>
      </c>
      <c r="L43" s="66" t="str">
        <f t="array" ref="L43">IFERROR(INDEX(WIP,SMALL(IF(('CURRENT WIP'!$D$1='CURRENT WIP'!$E$22:$E$148),MATCH(ROW(WIP),ROW(WIP)),""),ROW('CURRENT WIP'!H31)),COLUMN('CURRENT WIP'!H31)),"")</f>
        <v/>
      </c>
      <c r="M43" s="48" t="str">
        <f t="array" ref="M43">IFERROR(INDEX(WIP,SMALL(IF(('CURRENT WIP'!$D$1='CURRENT WIP'!$E$22:$E$148),MATCH(ROW(WIP),ROW(WIP)),""),ROW('CURRENT WIP'!I31)),COLUMN('CURRENT WIP'!I31)),"")</f>
        <v/>
      </c>
      <c r="N43" s="67" t="str">
        <f t="array" ref="N43">IFERROR(INDEX(WIP,SMALL(IF(('CURRENT WIP'!$D$1='CURRENT WIP'!$E$22:$E$148),MATCH(ROW(WIP),ROW(WIP)),""),ROW('CURRENT WIP'!J31)),COLUMN('CURRENT WIP'!J31)),"")</f>
        <v/>
      </c>
      <c r="O43" s="48" t="str">
        <f t="array" ref="O43">IFERROR(INDEX(WIP,SMALL(IF(('CURRENT WIP'!$D$1='CURRENT WIP'!$E$22:$E$148),MATCH(ROW(WIP),ROW(WIP)),""),ROW('CURRENT WIP'!K31)),COLUMN('CURRENT WIP'!K31)),"")</f>
        <v/>
      </c>
      <c r="P43" s="48" t="str">
        <f t="array" ref="P43">IFERROR(INDEX(WIP,SMALL(IF(('CURRENT WIP'!$D$1='CURRENT WIP'!$E$22:$E$148),MATCH(ROW(WIP),ROW(WIP)),""),ROW('CURRENT WIP'!L31)),COLUMN('CURRENT WIP'!L31)),"")</f>
        <v/>
      </c>
      <c r="Q43" s="48" t="str">
        <f t="array" ref="Q43">IFERROR(INDEX(WIP,SMALL(IF(('CURRENT WIP'!$D$1='CURRENT WIP'!$E$22:$E$148),MATCH(ROW(WIP),ROW(WIP)),""),ROW('CURRENT WIP'!M31)),COLUMN('CURRENT WIP'!M31)),"")</f>
        <v/>
      </c>
      <c r="R43" s="68" t="str">
        <f t="array" ref="R43">IFERROR(INDEX(WIP,SMALL(IF(('CURRENT WIP'!$D$1='CURRENT WIP'!$E$22:$E$148),MATCH(ROW(WIP),ROW(WIP)),""),ROW('CURRENT WIP'!N31)),COLUMN('CURRENT WIP'!N31)),"")</f>
        <v/>
      </c>
      <c r="S43" s="48" t="str">
        <f t="array" ref="S43">IFERROR(INDEX(WIP,SMALL(IF(('CURRENT WIP'!$D$1='CURRENT WIP'!$E$22:$E$148),MATCH(ROW(WIP),ROW(WIP)),""),ROW('CURRENT WIP'!O31)),COLUMN('CURRENT WIP'!O31)),"")</f>
        <v/>
      </c>
      <c r="T43" s="48" t="str">
        <f t="array" ref="T43">IFERROR(INDEX(WIP,SMALL(IF(('CURRENT WIP'!$D$1='CURRENT WIP'!$E$22:$E$148),MATCH(ROW(WIP),ROW(WIP)),""),ROW('CURRENT WIP'!P31)),COLUMN('CURRENT WIP'!P31)),"")</f>
        <v/>
      </c>
      <c r="U43" s="68" t="str">
        <f t="array" ref="U43">IFERROR(INDEX(WIP,SMALL(IF(('CURRENT WIP'!$D$1='CURRENT WIP'!$E$22:$E$148),MATCH(ROW(WIP),ROW(WIP)),""),ROW('CURRENT WIP'!Q31)),COLUMN('CURRENT WIP'!Q31)),"")</f>
        <v/>
      </c>
      <c r="V43" s="48" t="str">
        <f t="array" ref="V43">IFERROR(INDEX(WIP,SMALL(IF(('CURRENT WIP'!$D$1='CURRENT WIP'!$E$22:$E$148),MATCH(ROW(WIP),ROW(WIP)),""),ROW('CURRENT WIP'!R31)),COLUMN('CURRENT WIP'!R31)),"")</f>
        <v/>
      </c>
      <c r="W43" s="48" t="str">
        <f t="array" ref="W43">IFERROR(INDEX(WIP,SMALL(IF(('CURRENT WIP'!$D$1='CURRENT WIP'!$E$22:$E$148),MATCH(ROW(WIP),ROW(WIP)),""),ROW('CURRENT WIP'!S31)),COLUMN('CURRENT WIP'!S31)),"")</f>
        <v/>
      </c>
      <c r="X43" s="48" t="str">
        <f t="array" ref="X43">IFERROR(INDEX(WIP,SMALL(IF(('CURRENT WIP'!$D$1='CURRENT WIP'!$E$22:$E$148),MATCH(ROW(WIP),ROW(WIP)),""),ROW('CURRENT WIP'!T31)),COLUMN('CURRENT WIP'!T31)),"")</f>
        <v/>
      </c>
      <c r="Y43" s="88" t="str">
        <f t="array" ref="Y43">IFERROR(INDEX(WIP,SMALL(IF(('CURRENT WIP'!$D$1='CURRENT WIP'!$E$22:$E$148),MATCH(ROW(WIP),ROW(WIP)),""),ROW('CURRENT WIP'!U31)),COLUMN('CURRENT WIP'!U31)),"")</f>
        <v/>
      </c>
      <c r="Z43" s="476"/>
      <c r="AA43" s="476"/>
      <c r="AB43" s="476"/>
      <c r="AC43" s="476"/>
      <c r="AD43" s="476"/>
      <c r="AE43" s="476"/>
      <c r="AF43" s="476"/>
      <c r="AG43" s="476"/>
      <c r="AH43" s="476"/>
      <c r="AI43" s="476"/>
      <c r="AJ43" s="483"/>
      <c r="AK43" s="478"/>
      <c r="AL43" s="476"/>
      <c r="AM43" s="87"/>
      <c r="AN43" s="48"/>
      <c r="AO43" s="48"/>
      <c r="AP43" s="48"/>
      <c r="AQ43" s="66"/>
      <c r="AR43" s="66"/>
      <c r="AS43" s="48"/>
      <c r="AT43" s="66"/>
      <c r="AU43" s="48"/>
      <c r="AV43" s="67"/>
      <c r="AW43" s="48"/>
      <c r="AX43" s="48"/>
      <c r="AY43" s="48"/>
      <c r="AZ43" s="68"/>
      <c r="BA43" s="48"/>
      <c r="BB43" s="48"/>
      <c r="BC43" s="68"/>
      <c r="BD43" s="48"/>
      <c r="BE43" s="48"/>
      <c r="BF43" s="48"/>
      <c r="BG43" s="88"/>
      <c r="BH43" s="476"/>
      <c r="BI43" s="476"/>
      <c r="BJ43" s="476"/>
      <c r="BK43" s="476"/>
      <c r="BL43" s="476"/>
      <c r="BM43" s="7"/>
      <c r="BN43" s="476"/>
      <c r="BO43" s="476"/>
      <c r="BP43" s="484"/>
      <c r="BQ43" s="476"/>
      <c r="BR43" s="476"/>
      <c r="BS43" s="476"/>
      <c r="BT43" s="476"/>
      <c r="BU43" s="476"/>
      <c r="BV43" s="476"/>
      <c r="BW43" s="476"/>
      <c r="BX43" s="476"/>
    </row>
    <row r="44" spans="1:76" s="2" customFormat="1" hidden="1">
      <c r="A44" s="476"/>
      <c r="B44" s="476"/>
      <c r="C44" s="476"/>
      <c r="D44" s="476"/>
      <c r="E44" s="87" t="str">
        <f t="array" ref="E44">IFERROR(INDEX(WIP,SMALL(IF(('CURRENT WIP'!$D$1='CURRENT WIP'!$E$22:E179),MATCH(ROW(WIP),ROW(WIP)),""),ROW('CURRENT WIP'!A32)),COLUMN('CURRENT WIP'!A32)),"")</f>
        <v/>
      </c>
      <c r="F44" s="48" t="str">
        <f t="array" ref="F44">IFERROR(INDEX(WIP,SMALL(IF(('CURRENT WIP'!$D$1='CURRENT WIP'!$E$22:$E$148),MATCH(ROW(WIP),ROW(WIP)),""),ROW('CURRENT WIP'!B32)),COLUMN('CURRENT WIP'!B32)),"")</f>
        <v/>
      </c>
      <c r="G44" s="48" t="str">
        <f t="array" ref="G44">IFERROR(INDEX(WIP,SMALL(IF(('CURRENT WIP'!$D$1='CURRENT WIP'!$E$22:$E$148),MATCH(ROW(WIP),ROW(WIP)),""),ROW('CURRENT WIP'!C32)),COLUMN('CURRENT WIP'!C32)),"")</f>
        <v/>
      </c>
      <c r="H44" s="48" t="str">
        <f t="array" ref="H44">IFERROR(INDEX(WIP,SMALL(IF(('CURRENT WIP'!$D$1='CURRENT WIP'!$E$22:$E$148),MATCH(ROW(WIP),ROW(WIP)),""),ROW('CURRENT WIP'!D32)),COLUMN('CURRENT WIP'!D32)),"")</f>
        <v/>
      </c>
      <c r="I44" s="66" t="str">
        <f t="array" ref="I44">IFERROR(INDEX(WIP,SMALL(IF(('CURRENT WIP'!$D$1='CURRENT WIP'!$E$22:$E$148),MATCH(ROW(WIP),ROW(WIP)),""),ROW('CURRENT WIP'!E32)),COLUMN('CURRENT WIP'!E32)),"")</f>
        <v/>
      </c>
      <c r="J44" s="66" t="str">
        <f t="array" ref="J44">IFERROR(INDEX(WIP,SMALL(IF(('CURRENT WIP'!$D$1='CURRENT WIP'!$E$22:$E$148),MATCH(ROW(WIP),ROW(WIP)),""),ROW('CURRENT WIP'!F32)),COLUMN('CURRENT WIP'!F32)),"")</f>
        <v/>
      </c>
      <c r="K44" s="48" t="str">
        <f t="array" ref="K44">IFERROR(INDEX(WIP,SMALL(IF(('CURRENT WIP'!$D$1='CURRENT WIP'!$E$22:$E$148),MATCH(ROW(WIP),ROW(WIP)),""),ROW('CURRENT WIP'!G32)),COLUMN('CURRENT WIP'!G32)),"")</f>
        <v/>
      </c>
      <c r="L44" s="66" t="str">
        <f t="array" ref="L44">IFERROR(INDEX(WIP,SMALL(IF(('CURRENT WIP'!$D$1='CURRENT WIP'!$E$22:$E$148),MATCH(ROW(WIP),ROW(WIP)),""),ROW('CURRENT WIP'!H32)),COLUMN('CURRENT WIP'!H32)),"")</f>
        <v/>
      </c>
      <c r="M44" s="48" t="str">
        <f t="array" ref="M44">IFERROR(INDEX(WIP,SMALL(IF(('CURRENT WIP'!$D$1='CURRENT WIP'!$E$22:$E$148),MATCH(ROW(WIP),ROW(WIP)),""),ROW('CURRENT WIP'!I32)),COLUMN('CURRENT WIP'!I32)),"")</f>
        <v/>
      </c>
      <c r="N44" s="67" t="str">
        <f t="array" ref="N44">IFERROR(INDEX(WIP,SMALL(IF(('CURRENT WIP'!$D$1='CURRENT WIP'!$E$22:$E$148),MATCH(ROW(WIP),ROW(WIP)),""),ROW('CURRENT WIP'!J32)),COLUMN('CURRENT WIP'!J32)),"")</f>
        <v/>
      </c>
      <c r="O44" s="48" t="str">
        <f t="array" ref="O44">IFERROR(INDEX(WIP,SMALL(IF(('CURRENT WIP'!$D$1='CURRENT WIP'!$E$22:$E$148),MATCH(ROW(WIP),ROW(WIP)),""),ROW('CURRENT WIP'!K32)),COLUMN('CURRENT WIP'!K32)),"")</f>
        <v/>
      </c>
      <c r="P44" s="48" t="str">
        <f t="array" ref="P44">IFERROR(INDEX(WIP,SMALL(IF(('CURRENT WIP'!$D$1='CURRENT WIP'!$E$22:$E$148),MATCH(ROW(WIP),ROW(WIP)),""),ROW('CURRENT WIP'!L32)),COLUMN('CURRENT WIP'!L32)),"")</f>
        <v/>
      </c>
      <c r="Q44" s="48" t="str">
        <f t="array" ref="Q44">IFERROR(INDEX(WIP,SMALL(IF(('CURRENT WIP'!$D$1='CURRENT WIP'!$E$22:$E$148),MATCH(ROW(WIP),ROW(WIP)),""),ROW('CURRENT WIP'!M32)),COLUMN('CURRENT WIP'!M32)),"")</f>
        <v/>
      </c>
      <c r="R44" s="68" t="str">
        <f t="array" ref="R44">IFERROR(INDEX(WIP,SMALL(IF(('CURRENT WIP'!$D$1='CURRENT WIP'!$E$22:$E$148),MATCH(ROW(WIP),ROW(WIP)),""),ROW('CURRENT WIP'!N32)),COLUMN('CURRENT WIP'!N32)),"")</f>
        <v/>
      </c>
      <c r="S44" s="48" t="str">
        <f t="array" ref="S44">IFERROR(INDEX(WIP,SMALL(IF(('CURRENT WIP'!$D$1='CURRENT WIP'!$E$22:$E$148),MATCH(ROW(WIP),ROW(WIP)),""),ROW('CURRENT WIP'!O32)),COLUMN('CURRENT WIP'!O32)),"")</f>
        <v/>
      </c>
      <c r="T44" s="48" t="str">
        <f t="array" ref="T44">IFERROR(INDEX(WIP,SMALL(IF(('CURRENT WIP'!$D$1='CURRENT WIP'!$E$22:$E$148),MATCH(ROW(WIP),ROW(WIP)),""),ROW('CURRENT WIP'!P32)),COLUMN('CURRENT WIP'!P32)),"")</f>
        <v/>
      </c>
      <c r="U44" s="68" t="str">
        <f t="array" ref="U44">IFERROR(INDEX(WIP,SMALL(IF(('CURRENT WIP'!$D$1='CURRENT WIP'!$E$22:$E$148),MATCH(ROW(WIP),ROW(WIP)),""),ROW('CURRENT WIP'!Q32)),COLUMN('CURRENT WIP'!Q32)),"")</f>
        <v/>
      </c>
      <c r="V44" s="48" t="str">
        <f t="array" ref="V44">IFERROR(INDEX(WIP,SMALL(IF(('CURRENT WIP'!$D$1='CURRENT WIP'!$E$22:$E$148),MATCH(ROW(WIP),ROW(WIP)),""),ROW('CURRENT WIP'!R32)),COLUMN('CURRENT WIP'!R32)),"")</f>
        <v/>
      </c>
      <c r="W44" s="48" t="str">
        <f t="array" ref="W44">IFERROR(INDEX(WIP,SMALL(IF(('CURRENT WIP'!$D$1='CURRENT WIP'!$E$22:$E$148),MATCH(ROW(WIP),ROW(WIP)),""),ROW('CURRENT WIP'!S32)),COLUMN('CURRENT WIP'!S32)),"")</f>
        <v/>
      </c>
      <c r="X44" s="48" t="str">
        <f t="array" ref="X44">IFERROR(INDEX(WIP,SMALL(IF(('CURRENT WIP'!$D$1='CURRENT WIP'!$E$22:$E$148),MATCH(ROW(WIP),ROW(WIP)),""),ROW('CURRENT WIP'!T32)),COLUMN('CURRENT WIP'!T32)),"")</f>
        <v/>
      </c>
      <c r="Y44" s="88" t="str">
        <f t="array" ref="Y44">IFERROR(INDEX(WIP,SMALL(IF(('CURRENT WIP'!$D$1='CURRENT WIP'!$E$22:$E$148),MATCH(ROW(WIP),ROW(WIP)),""),ROW('CURRENT WIP'!U32)),COLUMN('CURRENT WIP'!U32)),"")</f>
        <v/>
      </c>
      <c r="Z44" s="476"/>
      <c r="AA44" s="476"/>
      <c r="AB44" s="476"/>
      <c r="AC44" s="476"/>
      <c r="AD44" s="476"/>
      <c r="AE44" s="476"/>
      <c r="AF44" s="476"/>
      <c r="AG44" s="476"/>
      <c r="AH44" s="476"/>
      <c r="AI44" s="476"/>
      <c r="AJ44" s="483"/>
      <c r="AK44" s="478"/>
      <c r="AL44" s="476"/>
      <c r="AM44" s="87"/>
      <c r="AN44" s="48"/>
      <c r="AO44" s="48"/>
      <c r="AP44" s="48"/>
      <c r="AQ44" s="66"/>
      <c r="AR44" s="66"/>
      <c r="AS44" s="48"/>
      <c r="AT44" s="66"/>
      <c r="AU44" s="48"/>
      <c r="AV44" s="67"/>
      <c r="AW44" s="48"/>
      <c r="AX44" s="48"/>
      <c r="AY44" s="48"/>
      <c r="AZ44" s="68"/>
      <c r="BA44" s="48"/>
      <c r="BB44" s="48"/>
      <c r="BC44" s="68"/>
      <c r="BD44" s="48"/>
      <c r="BE44" s="48"/>
      <c r="BF44" s="48"/>
      <c r="BG44" s="88"/>
      <c r="BH44" s="476"/>
      <c r="BI44" s="476"/>
      <c r="BJ44" s="476"/>
      <c r="BK44" s="476"/>
      <c r="BL44" s="476"/>
      <c r="BM44" s="7"/>
      <c r="BN44" s="476"/>
      <c r="BO44" s="476"/>
      <c r="BP44" s="484"/>
      <c r="BQ44" s="476"/>
      <c r="BR44" s="476"/>
      <c r="BS44" s="476"/>
      <c r="BT44" s="476"/>
      <c r="BU44" s="476"/>
      <c r="BV44" s="476"/>
      <c r="BW44" s="476"/>
      <c r="BX44" s="476"/>
    </row>
    <row r="45" spans="1:76" s="2" customFormat="1" hidden="1">
      <c r="A45" s="476"/>
      <c r="B45" s="476"/>
      <c r="C45" s="476"/>
      <c r="D45" s="476"/>
      <c r="E45" s="87" t="str">
        <f t="array" ref="E45">IFERROR(INDEX(WIP,SMALL(IF(('CURRENT WIP'!$D$1='CURRENT WIP'!$E$22:E180),MATCH(ROW(WIP),ROW(WIP)),""),ROW('CURRENT WIP'!A33)),COLUMN('CURRENT WIP'!A33)),"")</f>
        <v/>
      </c>
      <c r="F45" s="48" t="str">
        <f t="array" ref="F45">IFERROR(INDEX(WIP,SMALL(IF(('CURRENT WIP'!$D$1='CURRENT WIP'!$E$22:$E$148),MATCH(ROW(WIP),ROW(WIP)),""),ROW('CURRENT WIP'!B33)),COLUMN('CURRENT WIP'!B33)),"")</f>
        <v/>
      </c>
      <c r="G45" s="48" t="str">
        <f t="array" ref="G45">IFERROR(INDEX(WIP,SMALL(IF(('CURRENT WIP'!$D$1='CURRENT WIP'!$E$22:$E$148),MATCH(ROW(WIP),ROW(WIP)),""),ROW('CURRENT WIP'!C33)),COLUMN('CURRENT WIP'!C33)),"")</f>
        <v/>
      </c>
      <c r="H45" s="48" t="str">
        <f t="array" ref="H45">IFERROR(INDEX(WIP,SMALL(IF(('CURRENT WIP'!$D$1='CURRENT WIP'!$E$22:$E$148),MATCH(ROW(WIP),ROW(WIP)),""),ROW('CURRENT WIP'!D33)),COLUMN('CURRENT WIP'!D33)),"")</f>
        <v/>
      </c>
      <c r="I45" s="66" t="str">
        <f t="array" ref="I45">IFERROR(INDEX(WIP,SMALL(IF(('CURRENT WIP'!$D$1='CURRENT WIP'!$E$22:$E$148),MATCH(ROW(WIP),ROW(WIP)),""),ROW('CURRENT WIP'!E33)),COLUMN('CURRENT WIP'!E33)),"")</f>
        <v/>
      </c>
      <c r="J45" s="66" t="str">
        <f t="array" ref="J45">IFERROR(INDEX(WIP,SMALL(IF(('CURRENT WIP'!$D$1='CURRENT WIP'!$E$22:$E$148),MATCH(ROW(WIP),ROW(WIP)),""),ROW('CURRENT WIP'!F33)),COLUMN('CURRENT WIP'!F33)),"")</f>
        <v/>
      </c>
      <c r="K45" s="48" t="str">
        <f t="array" ref="K45">IFERROR(INDEX(WIP,SMALL(IF(('CURRENT WIP'!$D$1='CURRENT WIP'!$E$22:$E$148),MATCH(ROW(WIP),ROW(WIP)),""),ROW('CURRENT WIP'!G33)),COLUMN('CURRENT WIP'!G33)),"")</f>
        <v/>
      </c>
      <c r="L45" s="66" t="str">
        <f t="array" ref="L45">IFERROR(INDEX(WIP,SMALL(IF(('CURRENT WIP'!$D$1='CURRENT WIP'!$E$22:$E$148),MATCH(ROW(WIP),ROW(WIP)),""),ROW('CURRENT WIP'!H33)),COLUMN('CURRENT WIP'!H33)),"")</f>
        <v/>
      </c>
      <c r="M45" s="48" t="str">
        <f t="array" ref="M45">IFERROR(INDEX(WIP,SMALL(IF(('CURRENT WIP'!$D$1='CURRENT WIP'!$E$22:$E$148),MATCH(ROW(WIP),ROW(WIP)),""),ROW('CURRENT WIP'!I33)),COLUMN('CURRENT WIP'!I33)),"")</f>
        <v/>
      </c>
      <c r="N45" s="67" t="str">
        <f t="array" ref="N45">IFERROR(INDEX(WIP,SMALL(IF(('CURRENT WIP'!$D$1='CURRENT WIP'!$E$22:$E$148),MATCH(ROW(WIP),ROW(WIP)),""),ROW('CURRENT WIP'!J33)),COLUMN('CURRENT WIP'!J33)),"")</f>
        <v/>
      </c>
      <c r="O45" s="48" t="str">
        <f t="array" ref="O45">IFERROR(INDEX(WIP,SMALL(IF(('CURRENT WIP'!$D$1='CURRENT WIP'!$E$22:$E$148),MATCH(ROW(WIP),ROW(WIP)),""),ROW('CURRENT WIP'!K33)),COLUMN('CURRENT WIP'!K33)),"")</f>
        <v/>
      </c>
      <c r="P45" s="48" t="str">
        <f t="array" ref="P45">IFERROR(INDEX(WIP,SMALL(IF(('CURRENT WIP'!$D$1='CURRENT WIP'!$E$22:$E$148),MATCH(ROW(WIP),ROW(WIP)),""),ROW('CURRENT WIP'!L33)),COLUMN('CURRENT WIP'!L33)),"")</f>
        <v/>
      </c>
      <c r="Q45" s="48" t="str">
        <f t="array" ref="Q45">IFERROR(INDEX(WIP,SMALL(IF(('CURRENT WIP'!$D$1='CURRENT WIP'!$E$22:$E$148),MATCH(ROW(WIP),ROW(WIP)),""),ROW('CURRENT WIP'!M33)),COLUMN('CURRENT WIP'!M33)),"")</f>
        <v/>
      </c>
      <c r="R45" s="68" t="str">
        <f t="array" ref="R45">IFERROR(INDEX(WIP,SMALL(IF(('CURRENT WIP'!$D$1='CURRENT WIP'!$E$22:$E$148),MATCH(ROW(WIP),ROW(WIP)),""),ROW('CURRENT WIP'!N33)),COLUMN('CURRENT WIP'!N33)),"")</f>
        <v/>
      </c>
      <c r="S45" s="48" t="str">
        <f t="array" ref="S45">IFERROR(INDEX(WIP,SMALL(IF(('CURRENT WIP'!$D$1='CURRENT WIP'!$E$22:$E$148),MATCH(ROW(WIP),ROW(WIP)),""),ROW('CURRENT WIP'!O33)),COLUMN('CURRENT WIP'!O33)),"")</f>
        <v/>
      </c>
      <c r="T45" s="48" t="str">
        <f t="array" ref="T45">IFERROR(INDEX(WIP,SMALL(IF(('CURRENT WIP'!$D$1='CURRENT WIP'!$E$22:$E$148),MATCH(ROW(WIP),ROW(WIP)),""),ROW('CURRENT WIP'!P33)),COLUMN('CURRENT WIP'!P33)),"")</f>
        <v/>
      </c>
      <c r="U45" s="68" t="str">
        <f t="array" ref="U45">IFERROR(INDEX(WIP,SMALL(IF(('CURRENT WIP'!$D$1='CURRENT WIP'!$E$22:$E$148),MATCH(ROW(WIP),ROW(WIP)),""),ROW('CURRENT WIP'!Q33)),COLUMN('CURRENT WIP'!Q33)),"")</f>
        <v/>
      </c>
      <c r="V45" s="48" t="str">
        <f t="array" ref="V45">IFERROR(INDEX(WIP,SMALL(IF(('CURRENT WIP'!$D$1='CURRENT WIP'!$E$22:$E$148),MATCH(ROW(WIP),ROW(WIP)),""),ROW('CURRENT WIP'!R33)),COLUMN('CURRENT WIP'!R33)),"")</f>
        <v/>
      </c>
      <c r="W45" s="48" t="str">
        <f t="array" ref="W45">IFERROR(INDEX(WIP,SMALL(IF(('CURRENT WIP'!$D$1='CURRENT WIP'!$E$22:$E$148),MATCH(ROW(WIP),ROW(WIP)),""),ROW('CURRENT WIP'!S33)),COLUMN('CURRENT WIP'!S33)),"")</f>
        <v/>
      </c>
      <c r="X45" s="48" t="str">
        <f t="array" ref="X45">IFERROR(INDEX(WIP,SMALL(IF(('CURRENT WIP'!$D$1='CURRENT WIP'!$E$22:$E$148),MATCH(ROW(WIP),ROW(WIP)),""),ROW('CURRENT WIP'!T33)),COLUMN('CURRENT WIP'!T33)),"")</f>
        <v/>
      </c>
      <c r="Y45" s="88" t="str">
        <f t="array" ref="Y45">IFERROR(INDEX(WIP,SMALL(IF(('CURRENT WIP'!$D$1='CURRENT WIP'!$E$22:$E$148),MATCH(ROW(WIP),ROW(WIP)),""),ROW('CURRENT WIP'!U33)),COLUMN('CURRENT WIP'!U33)),"")</f>
        <v/>
      </c>
      <c r="Z45" s="476"/>
      <c r="AA45" s="476"/>
      <c r="AB45" s="476"/>
      <c r="AC45" s="476"/>
      <c r="AD45" s="476"/>
      <c r="AE45" s="476"/>
      <c r="AF45" s="476"/>
      <c r="AG45" s="476"/>
      <c r="AH45" s="476"/>
      <c r="AI45" s="476"/>
      <c r="AJ45" s="483"/>
      <c r="AK45" s="478"/>
      <c r="AL45" s="476"/>
      <c r="AM45" s="87"/>
      <c r="AN45" s="48"/>
      <c r="AO45" s="48"/>
      <c r="AP45" s="48"/>
      <c r="AQ45" s="66"/>
      <c r="AR45" s="66"/>
      <c r="AS45" s="48"/>
      <c r="AT45" s="66"/>
      <c r="AU45" s="48"/>
      <c r="AV45" s="67"/>
      <c r="AW45" s="48"/>
      <c r="AX45" s="48"/>
      <c r="AY45" s="48"/>
      <c r="AZ45" s="68"/>
      <c r="BA45" s="48"/>
      <c r="BB45" s="48"/>
      <c r="BC45" s="68"/>
      <c r="BD45" s="48"/>
      <c r="BE45" s="48"/>
      <c r="BF45" s="48"/>
      <c r="BG45" s="88"/>
      <c r="BH45" s="476"/>
      <c r="BI45" s="476"/>
      <c r="BJ45" s="476"/>
      <c r="BK45" s="476"/>
      <c r="BL45" s="476"/>
      <c r="BM45" s="7"/>
      <c r="BN45" s="476"/>
      <c r="BO45" s="476"/>
      <c r="BP45" s="484"/>
      <c r="BQ45" s="476"/>
      <c r="BR45" s="476"/>
      <c r="BS45" s="476"/>
      <c r="BT45" s="476"/>
      <c r="BU45" s="476"/>
      <c r="BV45" s="476"/>
      <c r="BW45" s="476"/>
      <c r="BX45" s="476"/>
    </row>
    <row r="46" spans="1:76" s="2" customFormat="1" hidden="1">
      <c r="A46" s="476"/>
      <c r="B46" s="476"/>
      <c r="C46" s="476"/>
      <c r="D46" s="476"/>
      <c r="E46" s="87" t="str">
        <f t="array" ref="E46">IFERROR(INDEX(WIP,SMALL(IF(('CURRENT WIP'!$D$1='CURRENT WIP'!$E$22:E181),MATCH(ROW(WIP),ROW(WIP)),""),ROW('CURRENT WIP'!A34)),COLUMN('CURRENT WIP'!A34)),"")</f>
        <v/>
      </c>
      <c r="F46" s="48" t="str">
        <f t="array" ref="F46">IFERROR(INDEX(WIP,SMALL(IF(('CURRENT WIP'!$D$1='CURRENT WIP'!$E$22:$E$148),MATCH(ROW(WIP),ROW(WIP)),""),ROW('CURRENT WIP'!B34)),COLUMN('CURRENT WIP'!B34)),"")</f>
        <v/>
      </c>
      <c r="G46" s="48" t="str">
        <f t="array" ref="G46">IFERROR(INDEX(WIP,SMALL(IF(('CURRENT WIP'!$D$1='CURRENT WIP'!$E$22:$E$148),MATCH(ROW(WIP),ROW(WIP)),""),ROW('CURRENT WIP'!C34)),COLUMN('CURRENT WIP'!C34)),"")</f>
        <v/>
      </c>
      <c r="H46" s="48" t="str">
        <f t="array" ref="H46">IFERROR(INDEX(WIP,SMALL(IF(('CURRENT WIP'!$D$1='CURRENT WIP'!$E$22:$E$148),MATCH(ROW(WIP),ROW(WIP)),""),ROW('CURRENT WIP'!D34)),COLUMN('CURRENT WIP'!D34)),"")</f>
        <v/>
      </c>
      <c r="I46" s="66" t="str">
        <f t="array" ref="I46">IFERROR(INDEX(WIP,SMALL(IF(('CURRENT WIP'!$D$1='CURRENT WIP'!$E$22:$E$148),MATCH(ROW(WIP),ROW(WIP)),""),ROW('CURRENT WIP'!E34)),COLUMN('CURRENT WIP'!E34)),"")</f>
        <v/>
      </c>
      <c r="J46" s="66" t="str">
        <f t="array" ref="J46">IFERROR(INDEX(WIP,SMALL(IF(('CURRENT WIP'!$D$1='CURRENT WIP'!$E$22:$E$148),MATCH(ROW(WIP),ROW(WIP)),""),ROW('CURRENT WIP'!F34)),COLUMN('CURRENT WIP'!F34)),"")</f>
        <v/>
      </c>
      <c r="K46" s="48" t="str">
        <f t="array" ref="K46">IFERROR(INDEX(WIP,SMALL(IF(('CURRENT WIP'!$D$1='CURRENT WIP'!$E$22:$E$148),MATCH(ROW(WIP),ROW(WIP)),""),ROW('CURRENT WIP'!G34)),COLUMN('CURRENT WIP'!G34)),"")</f>
        <v/>
      </c>
      <c r="L46" s="66" t="str">
        <f t="array" ref="L46">IFERROR(INDEX(WIP,SMALL(IF(('CURRENT WIP'!$D$1='CURRENT WIP'!$E$22:$E$148),MATCH(ROW(WIP),ROW(WIP)),""),ROW('CURRENT WIP'!H34)),COLUMN('CURRENT WIP'!H34)),"")</f>
        <v/>
      </c>
      <c r="M46" s="48" t="str">
        <f t="array" ref="M46">IFERROR(INDEX(WIP,SMALL(IF(('CURRENT WIP'!$D$1='CURRENT WIP'!$E$22:$E$148),MATCH(ROW(WIP),ROW(WIP)),""),ROW('CURRENT WIP'!I34)),COLUMN('CURRENT WIP'!I34)),"")</f>
        <v/>
      </c>
      <c r="N46" s="67" t="str">
        <f t="array" ref="N46">IFERROR(INDEX(WIP,SMALL(IF(('CURRENT WIP'!$D$1='CURRENT WIP'!$E$22:$E$148),MATCH(ROW(WIP),ROW(WIP)),""),ROW('CURRENT WIP'!J34)),COLUMN('CURRENT WIP'!J34)),"")</f>
        <v/>
      </c>
      <c r="O46" s="48" t="str">
        <f t="array" ref="O46">IFERROR(INDEX(WIP,SMALL(IF(('CURRENT WIP'!$D$1='CURRENT WIP'!$E$22:$E$148),MATCH(ROW(WIP),ROW(WIP)),""),ROW('CURRENT WIP'!K34)),COLUMN('CURRENT WIP'!K34)),"")</f>
        <v/>
      </c>
      <c r="P46" s="48" t="str">
        <f t="array" ref="P46">IFERROR(INDEX(WIP,SMALL(IF(('CURRENT WIP'!$D$1='CURRENT WIP'!$E$22:$E$148),MATCH(ROW(WIP),ROW(WIP)),""),ROW('CURRENT WIP'!L34)),COLUMN('CURRENT WIP'!L34)),"")</f>
        <v/>
      </c>
      <c r="Q46" s="48" t="str">
        <f t="array" ref="Q46">IFERROR(INDEX(WIP,SMALL(IF(('CURRENT WIP'!$D$1='CURRENT WIP'!$E$22:$E$148),MATCH(ROW(WIP),ROW(WIP)),""),ROW('CURRENT WIP'!M34)),COLUMN('CURRENT WIP'!M34)),"")</f>
        <v/>
      </c>
      <c r="R46" s="68" t="str">
        <f t="array" ref="R46">IFERROR(INDEX(WIP,SMALL(IF(('CURRENT WIP'!$D$1='CURRENT WIP'!$E$22:$E$148),MATCH(ROW(WIP),ROW(WIP)),""),ROW('CURRENT WIP'!N34)),COLUMN('CURRENT WIP'!N34)),"")</f>
        <v/>
      </c>
      <c r="S46" s="48" t="str">
        <f t="array" ref="S46">IFERROR(INDEX(WIP,SMALL(IF(('CURRENT WIP'!$D$1='CURRENT WIP'!$E$22:$E$148),MATCH(ROW(WIP),ROW(WIP)),""),ROW('CURRENT WIP'!O34)),COLUMN('CURRENT WIP'!O34)),"")</f>
        <v/>
      </c>
      <c r="T46" s="48" t="str">
        <f t="array" ref="T46">IFERROR(INDEX(WIP,SMALL(IF(('CURRENT WIP'!$D$1='CURRENT WIP'!$E$22:$E$148),MATCH(ROW(WIP),ROW(WIP)),""),ROW('CURRENT WIP'!P34)),COLUMN('CURRENT WIP'!P34)),"")</f>
        <v/>
      </c>
      <c r="U46" s="68" t="str">
        <f t="array" ref="U46">IFERROR(INDEX(WIP,SMALL(IF(('CURRENT WIP'!$D$1='CURRENT WIP'!$E$22:$E$148),MATCH(ROW(WIP),ROW(WIP)),""),ROW('CURRENT WIP'!Q34)),COLUMN('CURRENT WIP'!Q34)),"")</f>
        <v/>
      </c>
      <c r="V46" s="48" t="str">
        <f t="array" ref="V46">IFERROR(INDEX(WIP,SMALL(IF(('CURRENT WIP'!$D$1='CURRENT WIP'!$E$22:$E$148),MATCH(ROW(WIP),ROW(WIP)),""),ROW('CURRENT WIP'!R34)),COLUMN('CURRENT WIP'!R34)),"")</f>
        <v/>
      </c>
      <c r="W46" s="48" t="str">
        <f t="array" ref="W46">IFERROR(INDEX(WIP,SMALL(IF(('CURRENT WIP'!$D$1='CURRENT WIP'!$E$22:$E$148),MATCH(ROW(WIP),ROW(WIP)),""),ROW('CURRENT WIP'!S34)),COLUMN('CURRENT WIP'!S34)),"")</f>
        <v/>
      </c>
      <c r="X46" s="48" t="str">
        <f t="array" ref="X46">IFERROR(INDEX(WIP,SMALL(IF(('CURRENT WIP'!$D$1='CURRENT WIP'!$E$22:$E$148),MATCH(ROW(WIP),ROW(WIP)),""),ROW('CURRENT WIP'!T34)),COLUMN('CURRENT WIP'!T34)),"")</f>
        <v/>
      </c>
      <c r="Y46" s="88" t="str">
        <f t="array" ref="Y46">IFERROR(INDEX(WIP,SMALL(IF(('CURRENT WIP'!$D$1='CURRENT WIP'!$E$22:$E$148),MATCH(ROW(WIP),ROW(WIP)),""),ROW('CURRENT WIP'!U34)),COLUMN('CURRENT WIP'!U34)),"")</f>
        <v/>
      </c>
      <c r="Z46" s="476"/>
      <c r="AA46" s="476"/>
      <c r="AB46" s="476"/>
      <c r="AC46" s="476"/>
      <c r="AD46" s="476"/>
      <c r="AE46" s="476"/>
      <c r="AF46" s="476"/>
      <c r="AG46" s="476"/>
      <c r="AH46" s="476"/>
      <c r="AI46" s="476"/>
      <c r="AJ46" s="483"/>
      <c r="AK46" s="478"/>
      <c r="AL46" s="476"/>
      <c r="AM46" s="87"/>
      <c r="AN46" s="48"/>
      <c r="AO46" s="48"/>
      <c r="AP46" s="48"/>
      <c r="AQ46" s="66"/>
      <c r="AR46" s="66"/>
      <c r="AS46" s="48"/>
      <c r="AT46" s="66"/>
      <c r="AU46" s="48"/>
      <c r="AV46" s="67"/>
      <c r="AW46" s="48"/>
      <c r="AX46" s="48"/>
      <c r="AY46" s="48"/>
      <c r="AZ46" s="68"/>
      <c r="BA46" s="48"/>
      <c r="BB46" s="48"/>
      <c r="BC46" s="68"/>
      <c r="BD46" s="48"/>
      <c r="BE46" s="48"/>
      <c r="BF46" s="48"/>
      <c r="BG46" s="88"/>
      <c r="BH46" s="476"/>
      <c r="BI46" s="476"/>
      <c r="BJ46" s="476"/>
      <c r="BK46" s="476"/>
      <c r="BL46" s="476"/>
      <c r="BM46" s="7"/>
      <c r="BN46" s="476"/>
      <c r="BO46" s="476"/>
      <c r="BP46" s="484"/>
      <c r="BQ46" s="476"/>
      <c r="BR46" s="476"/>
      <c r="BS46" s="476"/>
      <c r="BT46" s="476"/>
      <c r="BU46" s="476"/>
      <c r="BV46" s="476"/>
      <c r="BW46" s="476"/>
      <c r="BX46" s="476"/>
    </row>
    <row r="47" spans="1:76" s="2" customFormat="1" hidden="1">
      <c r="A47" s="476"/>
      <c r="B47" s="476"/>
      <c r="C47" s="476"/>
      <c r="D47" s="476"/>
      <c r="E47" s="87" t="str">
        <f t="array" ref="E47">IFERROR(INDEX(WIP,SMALL(IF(('CURRENT WIP'!$D$1='CURRENT WIP'!$E$22:E182),MATCH(ROW(WIP),ROW(WIP)),""),ROW('CURRENT WIP'!A35)),COLUMN('CURRENT WIP'!A35)),"")</f>
        <v/>
      </c>
      <c r="F47" s="48" t="str">
        <f t="array" ref="F47">IFERROR(INDEX(WIP,SMALL(IF(('CURRENT WIP'!$D$1='CURRENT WIP'!$E$22:$E$148),MATCH(ROW(WIP),ROW(WIP)),""),ROW('CURRENT WIP'!B35)),COLUMN('CURRENT WIP'!B35)),"")</f>
        <v/>
      </c>
      <c r="G47" s="48" t="str">
        <f t="array" ref="G47">IFERROR(INDEX(WIP,SMALL(IF(('CURRENT WIP'!$D$1='CURRENT WIP'!$E$22:$E$148),MATCH(ROW(WIP),ROW(WIP)),""),ROW('CURRENT WIP'!C35)),COLUMN('CURRENT WIP'!C35)),"")</f>
        <v/>
      </c>
      <c r="H47" s="48" t="str">
        <f t="array" ref="H47">IFERROR(INDEX(WIP,SMALL(IF(('CURRENT WIP'!$D$1='CURRENT WIP'!$E$22:$E$148),MATCH(ROW(WIP),ROW(WIP)),""),ROW('CURRENT WIP'!D35)),COLUMN('CURRENT WIP'!D35)),"")</f>
        <v/>
      </c>
      <c r="I47" s="66" t="str">
        <f t="array" ref="I47">IFERROR(INDEX(WIP,SMALL(IF(('CURRENT WIP'!$D$1='CURRENT WIP'!$E$22:$E$148),MATCH(ROW(WIP),ROW(WIP)),""),ROW('CURRENT WIP'!E35)),COLUMN('CURRENT WIP'!E35)),"")</f>
        <v/>
      </c>
      <c r="J47" s="66" t="str">
        <f t="array" ref="J47">IFERROR(INDEX(WIP,SMALL(IF(('CURRENT WIP'!$D$1='CURRENT WIP'!$E$22:$E$148),MATCH(ROW(WIP),ROW(WIP)),""),ROW('CURRENT WIP'!F35)),COLUMN('CURRENT WIP'!F35)),"")</f>
        <v/>
      </c>
      <c r="K47" s="48" t="str">
        <f t="array" ref="K47">IFERROR(INDEX(WIP,SMALL(IF(('CURRENT WIP'!$D$1='CURRENT WIP'!$E$22:$E$148),MATCH(ROW(WIP),ROW(WIP)),""),ROW('CURRENT WIP'!G35)),COLUMN('CURRENT WIP'!G35)),"")</f>
        <v/>
      </c>
      <c r="L47" s="66" t="str">
        <f t="array" ref="L47">IFERROR(INDEX(WIP,SMALL(IF(('CURRENT WIP'!$D$1='CURRENT WIP'!$E$22:$E$148),MATCH(ROW(WIP),ROW(WIP)),""),ROW('CURRENT WIP'!H35)),COLUMN('CURRENT WIP'!H35)),"")</f>
        <v/>
      </c>
      <c r="M47" s="48" t="str">
        <f t="array" ref="M47">IFERROR(INDEX(WIP,SMALL(IF(('CURRENT WIP'!$D$1='CURRENT WIP'!$E$22:$E$148),MATCH(ROW(WIP),ROW(WIP)),""),ROW('CURRENT WIP'!I35)),COLUMN('CURRENT WIP'!I35)),"")</f>
        <v/>
      </c>
      <c r="N47" s="67" t="str">
        <f t="array" ref="N47">IFERROR(INDEX(WIP,SMALL(IF(('CURRENT WIP'!$D$1='CURRENT WIP'!$E$22:$E$148),MATCH(ROW(WIP),ROW(WIP)),""),ROW('CURRENT WIP'!J35)),COLUMN('CURRENT WIP'!J35)),"")</f>
        <v/>
      </c>
      <c r="O47" s="48" t="str">
        <f t="array" ref="O47">IFERROR(INDEX(WIP,SMALL(IF(('CURRENT WIP'!$D$1='CURRENT WIP'!$E$22:$E$148),MATCH(ROW(WIP),ROW(WIP)),""),ROW('CURRENT WIP'!K35)),COLUMN('CURRENT WIP'!K35)),"")</f>
        <v/>
      </c>
      <c r="P47" s="48" t="str">
        <f t="array" ref="P47">IFERROR(INDEX(WIP,SMALL(IF(('CURRENT WIP'!$D$1='CURRENT WIP'!$E$22:$E$148),MATCH(ROW(WIP),ROW(WIP)),""),ROW('CURRENT WIP'!L35)),COLUMN('CURRENT WIP'!L35)),"")</f>
        <v/>
      </c>
      <c r="Q47" s="48" t="str">
        <f t="array" ref="Q47">IFERROR(INDEX(WIP,SMALL(IF(('CURRENT WIP'!$D$1='CURRENT WIP'!$E$22:$E$148),MATCH(ROW(WIP),ROW(WIP)),""),ROW('CURRENT WIP'!M35)),COLUMN('CURRENT WIP'!M35)),"")</f>
        <v/>
      </c>
      <c r="R47" s="68" t="str">
        <f t="array" ref="R47">IFERROR(INDEX(WIP,SMALL(IF(('CURRENT WIP'!$D$1='CURRENT WIP'!$E$22:$E$148),MATCH(ROW(WIP),ROW(WIP)),""),ROW('CURRENT WIP'!N35)),COLUMN('CURRENT WIP'!N35)),"")</f>
        <v/>
      </c>
      <c r="S47" s="48" t="str">
        <f t="array" ref="S47">IFERROR(INDEX(WIP,SMALL(IF(('CURRENT WIP'!$D$1='CURRENT WIP'!$E$22:$E$148),MATCH(ROW(WIP),ROW(WIP)),""),ROW('CURRENT WIP'!O35)),COLUMN('CURRENT WIP'!O35)),"")</f>
        <v/>
      </c>
      <c r="T47" s="48" t="str">
        <f t="array" ref="T47">IFERROR(INDEX(WIP,SMALL(IF(('CURRENT WIP'!$D$1='CURRENT WIP'!$E$22:$E$148),MATCH(ROW(WIP),ROW(WIP)),""),ROW('CURRENT WIP'!P35)),COLUMN('CURRENT WIP'!P35)),"")</f>
        <v/>
      </c>
      <c r="U47" s="68" t="str">
        <f t="array" ref="U47">IFERROR(INDEX(WIP,SMALL(IF(('CURRENT WIP'!$D$1='CURRENT WIP'!$E$22:$E$148),MATCH(ROW(WIP),ROW(WIP)),""),ROW('CURRENT WIP'!Q35)),COLUMN('CURRENT WIP'!Q35)),"")</f>
        <v/>
      </c>
      <c r="V47" s="48" t="str">
        <f t="array" ref="V47">IFERROR(INDEX(WIP,SMALL(IF(('CURRENT WIP'!$D$1='CURRENT WIP'!$E$22:$E$148),MATCH(ROW(WIP),ROW(WIP)),""),ROW('CURRENT WIP'!R35)),COLUMN('CURRENT WIP'!R35)),"")</f>
        <v/>
      </c>
      <c r="W47" s="48" t="str">
        <f t="array" ref="W47">IFERROR(INDEX(WIP,SMALL(IF(('CURRENT WIP'!$D$1='CURRENT WIP'!$E$22:$E$148),MATCH(ROW(WIP),ROW(WIP)),""),ROW('CURRENT WIP'!S35)),COLUMN('CURRENT WIP'!S35)),"")</f>
        <v/>
      </c>
      <c r="X47" s="48" t="str">
        <f t="array" ref="X47">IFERROR(INDEX(WIP,SMALL(IF(('CURRENT WIP'!$D$1='CURRENT WIP'!$E$22:$E$148),MATCH(ROW(WIP),ROW(WIP)),""),ROW('CURRENT WIP'!T35)),COLUMN('CURRENT WIP'!T35)),"")</f>
        <v/>
      </c>
      <c r="Y47" s="88" t="str">
        <f t="array" ref="Y47">IFERROR(INDEX(WIP,SMALL(IF(('CURRENT WIP'!$D$1='CURRENT WIP'!$E$22:$E$148),MATCH(ROW(WIP),ROW(WIP)),""),ROW('CURRENT WIP'!U35)),COLUMN('CURRENT WIP'!U35)),"")</f>
        <v/>
      </c>
      <c r="Z47" s="476"/>
      <c r="AA47" s="476"/>
      <c r="AB47" s="476"/>
      <c r="AC47" s="476"/>
      <c r="AD47" s="476"/>
      <c r="AE47" s="476"/>
      <c r="AF47" s="476"/>
      <c r="AG47" s="476"/>
      <c r="AH47" s="476"/>
      <c r="AI47" s="476"/>
      <c r="AJ47" s="483"/>
      <c r="AK47" s="478"/>
      <c r="AL47" s="476"/>
      <c r="AM47" s="87"/>
      <c r="AN47" s="48"/>
      <c r="AO47" s="48"/>
      <c r="AP47" s="48"/>
      <c r="AQ47" s="66"/>
      <c r="AR47" s="66"/>
      <c r="AS47" s="48"/>
      <c r="AT47" s="66"/>
      <c r="AU47" s="48"/>
      <c r="AV47" s="67"/>
      <c r="AW47" s="48"/>
      <c r="AX47" s="48"/>
      <c r="AY47" s="48"/>
      <c r="AZ47" s="68"/>
      <c r="BA47" s="48"/>
      <c r="BB47" s="48"/>
      <c r="BC47" s="68"/>
      <c r="BD47" s="48"/>
      <c r="BE47" s="48"/>
      <c r="BF47" s="48"/>
      <c r="BG47" s="88"/>
      <c r="BH47" s="476"/>
      <c r="BI47" s="476"/>
      <c r="BJ47" s="476"/>
      <c r="BK47" s="476"/>
      <c r="BL47" s="476"/>
      <c r="BM47" s="7"/>
      <c r="BN47" s="476"/>
      <c r="BO47" s="476"/>
      <c r="BP47" s="484"/>
      <c r="BQ47" s="476"/>
      <c r="BR47" s="476"/>
      <c r="BS47" s="476"/>
      <c r="BT47" s="476"/>
      <c r="BU47" s="476"/>
      <c r="BV47" s="476"/>
      <c r="BW47" s="476"/>
      <c r="BX47" s="476"/>
    </row>
    <row r="48" spans="1:76" s="2" customFormat="1" hidden="1">
      <c r="A48" s="476"/>
      <c r="B48" s="476"/>
      <c r="C48" s="476"/>
      <c r="D48" s="476"/>
      <c r="E48" s="87" t="str">
        <f t="array" ref="E48">IFERROR(INDEX(WIP,SMALL(IF(('CURRENT WIP'!$D$1='CURRENT WIP'!$E$22:E183),MATCH(ROW(WIP),ROW(WIP)),""),ROW('CURRENT WIP'!A36)),COLUMN('CURRENT WIP'!A36)),"")</f>
        <v/>
      </c>
      <c r="F48" s="48" t="str">
        <f t="array" ref="F48">IFERROR(INDEX(WIP,SMALL(IF(('CURRENT WIP'!$D$1='CURRENT WIP'!$E$22:$E$148),MATCH(ROW(WIP),ROW(WIP)),""),ROW('CURRENT WIP'!B36)),COLUMN('CURRENT WIP'!B36)),"")</f>
        <v/>
      </c>
      <c r="G48" s="48" t="str">
        <f t="array" ref="G48">IFERROR(INDEX(WIP,SMALL(IF(('CURRENT WIP'!$D$1='CURRENT WIP'!$E$22:$E$148),MATCH(ROW(WIP),ROW(WIP)),""),ROW('CURRENT WIP'!C36)),COLUMN('CURRENT WIP'!C36)),"")</f>
        <v/>
      </c>
      <c r="H48" s="48" t="str">
        <f t="array" ref="H48">IFERROR(INDEX(WIP,SMALL(IF(('CURRENT WIP'!$D$1='CURRENT WIP'!$E$22:$E$148),MATCH(ROW(WIP),ROW(WIP)),""),ROW('CURRENT WIP'!D36)),COLUMN('CURRENT WIP'!D36)),"")</f>
        <v/>
      </c>
      <c r="I48" s="66" t="str">
        <f t="array" ref="I48">IFERROR(INDEX(WIP,SMALL(IF(('CURRENT WIP'!$D$1='CURRENT WIP'!$E$22:$E$148),MATCH(ROW(WIP),ROW(WIP)),""),ROW('CURRENT WIP'!E36)),COLUMN('CURRENT WIP'!E36)),"")</f>
        <v/>
      </c>
      <c r="J48" s="66" t="str">
        <f t="array" ref="J48">IFERROR(INDEX(WIP,SMALL(IF(('CURRENT WIP'!$D$1='CURRENT WIP'!$E$22:$E$148),MATCH(ROW(WIP),ROW(WIP)),""),ROW('CURRENT WIP'!F36)),COLUMN('CURRENT WIP'!F36)),"")</f>
        <v/>
      </c>
      <c r="K48" s="48" t="str">
        <f t="array" ref="K48">IFERROR(INDEX(WIP,SMALL(IF(('CURRENT WIP'!$D$1='CURRENT WIP'!$E$22:$E$148),MATCH(ROW(WIP),ROW(WIP)),""),ROW('CURRENT WIP'!G36)),COLUMN('CURRENT WIP'!G36)),"")</f>
        <v/>
      </c>
      <c r="L48" s="66" t="str">
        <f t="array" ref="L48">IFERROR(INDEX(WIP,SMALL(IF(('CURRENT WIP'!$D$1='CURRENT WIP'!$E$22:$E$148),MATCH(ROW(WIP),ROW(WIP)),""),ROW('CURRENT WIP'!H36)),COLUMN('CURRENT WIP'!H36)),"")</f>
        <v/>
      </c>
      <c r="M48" s="48" t="str">
        <f t="array" ref="M48">IFERROR(INDEX(WIP,SMALL(IF(('CURRENT WIP'!$D$1='CURRENT WIP'!$E$22:$E$148),MATCH(ROW(WIP),ROW(WIP)),""),ROW('CURRENT WIP'!I36)),COLUMN('CURRENT WIP'!I36)),"")</f>
        <v/>
      </c>
      <c r="N48" s="67" t="str">
        <f t="array" ref="N48">IFERROR(INDEX(WIP,SMALL(IF(('CURRENT WIP'!$D$1='CURRENT WIP'!$E$22:$E$148),MATCH(ROW(WIP),ROW(WIP)),""),ROW('CURRENT WIP'!J36)),COLUMN('CURRENT WIP'!J36)),"")</f>
        <v/>
      </c>
      <c r="O48" s="48" t="str">
        <f t="array" ref="O48">IFERROR(INDEX(WIP,SMALL(IF(('CURRENT WIP'!$D$1='CURRENT WIP'!$E$22:$E$148),MATCH(ROW(WIP),ROW(WIP)),""),ROW('CURRENT WIP'!K36)),COLUMN('CURRENT WIP'!K36)),"")</f>
        <v/>
      </c>
      <c r="P48" s="48" t="str">
        <f t="array" ref="P48">IFERROR(INDEX(WIP,SMALL(IF(('CURRENT WIP'!$D$1='CURRENT WIP'!$E$22:$E$148),MATCH(ROW(WIP),ROW(WIP)),""),ROW('CURRENT WIP'!L36)),COLUMN('CURRENT WIP'!L36)),"")</f>
        <v/>
      </c>
      <c r="Q48" s="48" t="str">
        <f t="array" ref="Q48">IFERROR(INDEX(WIP,SMALL(IF(('CURRENT WIP'!$D$1='CURRENT WIP'!$E$22:$E$148),MATCH(ROW(WIP),ROW(WIP)),""),ROW('CURRENT WIP'!M36)),COLUMN('CURRENT WIP'!M36)),"")</f>
        <v/>
      </c>
      <c r="R48" s="68" t="str">
        <f t="array" ref="R48">IFERROR(INDEX(WIP,SMALL(IF(('CURRENT WIP'!$D$1='CURRENT WIP'!$E$22:$E$148),MATCH(ROW(WIP),ROW(WIP)),""),ROW('CURRENT WIP'!N36)),COLUMN('CURRENT WIP'!N36)),"")</f>
        <v/>
      </c>
      <c r="S48" s="48" t="str">
        <f t="array" ref="S48">IFERROR(INDEX(WIP,SMALL(IF(('CURRENT WIP'!$D$1='CURRENT WIP'!$E$22:$E$148),MATCH(ROW(WIP),ROW(WIP)),""),ROW('CURRENT WIP'!O36)),COLUMN('CURRENT WIP'!O36)),"")</f>
        <v/>
      </c>
      <c r="T48" s="48" t="str">
        <f t="array" ref="T48">IFERROR(INDEX(WIP,SMALL(IF(('CURRENT WIP'!$D$1='CURRENT WIP'!$E$22:$E$148),MATCH(ROW(WIP),ROW(WIP)),""),ROW('CURRENT WIP'!P36)),COLUMN('CURRENT WIP'!P36)),"")</f>
        <v/>
      </c>
      <c r="U48" s="68" t="str">
        <f t="array" ref="U48">IFERROR(INDEX(WIP,SMALL(IF(('CURRENT WIP'!$D$1='CURRENT WIP'!$E$22:$E$148),MATCH(ROW(WIP),ROW(WIP)),""),ROW('CURRENT WIP'!Q36)),COLUMN('CURRENT WIP'!Q36)),"")</f>
        <v/>
      </c>
      <c r="V48" s="48" t="str">
        <f t="array" ref="V48">IFERROR(INDEX(WIP,SMALL(IF(('CURRENT WIP'!$D$1='CURRENT WIP'!$E$22:$E$148),MATCH(ROW(WIP),ROW(WIP)),""),ROW('CURRENT WIP'!R36)),COLUMN('CURRENT WIP'!R36)),"")</f>
        <v/>
      </c>
      <c r="W48" s="48" t="str">
        <f t="array" ref="W48">IFERROR(INDEX(WIP,SMALL(IF(('CURRENT WIP'!$D$1='CURRENT WIP'!$E$22:$E$148),MATCH(ROW(WIP),ROW(WIP)),""),ROW('CURRENT WIP'!S36)),COLUMN('CURRENT WIP'!S36)),"")</f>
        <v/>
      </c>
      <c r="X48" s="48" t="str">
        <f t="array" ref="X48">IFERROR(INDEX(WIP,SMALL(IF(('CURRENT WIP'!$D$1='CURRENT WIP'!$E$22:$E$148),MATCH(ROW(WIP),ROW(WIP)),""),ROW('CURRENT WIP'!T36)),COLUMN('CURRENT WIP'!T36)),"")</f>
        <v/>
      </c>
      <c r="Y48" s="88" t="str">
        <f t="array" ref="Y48">IFERROR(INDEX(WIP,SMALL(IF(('CURRENT WIP'!$D$1='CURRENT WIP'!$E$22:$E$148),MATCH(ROW(WIP),ROW(WIP)),""),ROW('CURRENT WIP'!U36)),COLUMN('CURRENT WIP'!U36)),"")</f>
        <v/>
      </c>
      <c r="Z48" s="476"/>
      <c r="AA48" s="476"/>
      <c r="AB48" s="476"/>
      <c r="AC48" s="476"/>
      <c r="AD48" s="476"/>
      <c r="AE48" s="476"/>
      <c r="AF48" s="476"/>
      <c r="AG48" s="476"/>
      <c r="AH48" s="476"/>
      <c r="AI48" s="476"/>
      <c r="AJ48" s="483"/>
      <c r="AK48" s="478"/>
      <c r="AL48" s="476"/>
      <c r="AM48" s="87"/>
      <c r="AN48" s="48"/>
      <c r="AO48" s="48"/>
      <c r="AP48" s="48"/>
      <c r="AQ48" s="66"/>
      <c r="AR48" s="66"/>
      <c r="AS48" s="48"/>
      <c r="AT48" s="66"/>
      <c r="AU48" s="48"/>
      <c r="AV48" s="67"/>
      <c r="AW48" s="48"/>
      <c r="AX48" s="48"/>
      <c r="AY48" s="48"/>
      <c r="AZ48" s="68"/>
      <c r="BA48" s="48"/>
      <c r="BB48" s="48"/>
      <c r="BC48" s="68"/>
      <c r="BD48" s="48"/>
      <c r="BE48" s="48"/>
      <c r="BF48" s="48"/>
      <c r="BG48" s="88"/>
      <c r="BH48" s="476"/>
      <c r="BI48" s="476"/>
      <c r="BJ48" s="476"/>
      <c r="BK48" s="476"/>
      <c r="BL48" s="476"/>
      <c r="BM48" s="7"/>
      <c r="BN48" s="476"/>
      <c r="BO48" s="476"/>
      <c r="BP48" s="484"/>
      <c r="BQ48" s="476"/>
      <c r="BR48" s="476"/>
      <c r="BS48" s="476"/>
      <c r="BT48" s="476"/>
      <c r="BU48" s="476"/>
      <c r="BV48" s="476"/>
      <c r="BW48" s="476"/>
      <c r="BX48" s="476"/>
    </row>
    <row r="49" spans="1:76" s="2" customFormat="1" hidden="1">
      <c r="A49" s="476"/>
      <c r="B49" s="476"/>
      <c r="C49" s="476"/>
      <c r="D49" s="476"/>
      <c r="E49" s="87" t="str">
        <f t="array" ref="E49">IFERROR(INDEX(WIP,SMALL(IF(('CURRENT WIP'!$D$1='CURRENT WIP'!$E$22:E184),MATCH(ROW(WIP),ROW(WIP)),""),ROW('CURRENT WIP'!A37)),COLUMN('CURRENT WIP'!A37)),"")</f>
        <v/>
      </c>
      <c r="F49" s="48" t="str">
        <f t="array" ref="F49">IFERROR(INDEX(WIP,SMALL(IF(('CURRENT WIP'!$D$1='CURRENT WIP'!$E$22:$E$148),MATCH(ROW(WIP),ROW(WIP)),""),ROW('CURRENT WIP'!B37)),COLUMN('CURRENT WIP'!B37)),"")</f>
        <v/>
      </c>
      <c r="G49" s="48" t="str">
        <f t="array" ref="G49">IFERROR(INDEX(WIP,SMALL(IF(('CURRENT WIP'!$D$1='CURRENT WIP'!$E$22:$E$148),MATCH(ROW(WIP),ROW(WIP)),""),ROW('CURRENT WIP'!C37)),COLUMN('CURRENT WIP'!C37)),"")</f>
        <v/>
      </c>
      <c r="H49" s="48" t="str">
        <f t="array" ref="H49">IFERROR(INDEX(WIP,SMALL(IF(('CURRENT WIP'!$D$1='CURRENT WIP'!$E$22:$E$148),MATCH(ROW(WIP),ROW(WIP)),""),ROW('CURRENT WIP'!D37)),COLUMN('CURRENT WIP'!D37)),"")</f>
        <v/>
      </c>
      <c r="I49" s="66" t="str">
        <f t="array" ref="I49">IFERROR(INDEX(WIP,SMALL(IF(('CURRENT WIP'!$D$1='CURRENT WIP'!$E$22:$E$148),MATCH(ROW(WIP),ROW(WIP)),""),ROW('CURRENT WIP'!E37)),COLUMN('CURRENT WIP'!E37)),"")</f>
        <v/>
      </c>
      <c r="J49" s="66" t="str">
        <f t="array" ref="J49">IFERROR(INDEX(WIP,SMALL(IF(('CURRENT WIP'!$D$1='CURRENT WIP'!$E$22:$E$148),MATCH(ROW(WIP),ROW(WIP)),""),ROW('CURRENT WIP'!F37)),COLUMN('CURRENT WIP'!F37)),"")</f>
        <v/>
      </c>
      <c r="K49" s="48" t="str">
        <f t="array" ref="K49">IFERROR(INDEX(WIP,SMALL(IF(('CURRENT WIP'!$D$1='CURRENT WIP'!$E$22:$E$148),MATCH(ROW(WIP),ROW(WIP)),""),ROW('CURRENT WIP'!G37)),COLUMN('CURRENT WIP'!G37)),"")</f>
        <v/>
      </c>
      <c r="L49" s="66" t="str">
        <f t="array" ref="L49">IFERROR(INDEX(WIP,SMALL(IF(('CURRENT WIP'!$D$1='CURRENT WIP'!$E$22:$E$148),MATCH(ROW(WIP),ROW(WIP)),""),ROW('CURRENT WIP'!H37)),COLUMN('CURRENT WIP'!H37)),"")</f>
        <v/>
      </c>
      <c r="M49" s="48" t="str">
        <f t="array" ref="M49">IFERROR(INDEX(WIP,SMALL(IF(('CURRENT WIP'!$D$1='CURRENT WIP'!$E$22:$E$148),MATCH(ROW(WIP),ROW(WIP)),""),ROW('CURRENT WIP'!I37)),COLUMN('CURRENT WIP'!I37)),"")</f>
        <v/>
      </c>
      <c r="N49" s="67" t="str">
        <f t="array" ref="N49">IFERROR(INDEX(WIP,SMALL(IF(('CURRENT WIP'!$D$1='CURRENT WIP'!$E$22:$E$148),MATCH(ROW(WIP),ROW(WIP)),""),ROW('CURRENT WIP'!J37)),COLUMN('CURRENT WIP'!J37)),"")</f>
        <v/>
      </c>
      <c r="O49" s="48" t="str">
        <f t="array" ref="O49">IFERROR(INDEX(WIP,SMALL(IF(('CURRENT WIP'!$D$1='CURRENT WIP'!$E$22:$E$148),MATCH(ROW(WIP),ROW(WIP)),""),ROW('CURRENT WIP'!K37)),COLUMN('CURRENT WIP'!K37)),"")</f>
        <v/>
      </c>
      <c r="P49" s="48" t="str">
        <f t="array" ref="P49">IFERROR(INDEX(WIP,SMALL(IF(('CURRENT WIP'!$D$1='CURRENT WIP'!$E$22:$E$148),MATCH(ROW(WIP),ROW(WIP)),""),ROW('CURRENT WIP'!L37)),COLUMN('CURRENT WIP'!L37)),"")</f>
        <v/>
      </c>
      <c r="Q49" s="48" t="str">
        <f t="array" ref="Q49">IFERROR(INDEX(WIP,SMALL(IF(('CURRENT WIP'!$D$1='CURRENT WIP'!$E$22:$E$148),MATCH(ROW(WIP),ROW(WIP)),""),ROW('CURRENT WIP'!M37)),COLUMN('CURRENT WIP'!M37)),"")</f>
        <v/>
      </c>
      <c r="R49" s="68" t="str">
        <f t="array" ref="R49">IFERROR(INDEX(WIP,SMALL(IF(('CURRENT WIP'!$D$1='CURRENT WIP'!$E$22:$E$148),MATCH(ROW(WIP),ROW(WIP)),""),ROW('CURRENT WIP'!N37)),COLUMN('CURRENT WIP'!N37)),"")</f>
        <v/>
      </c>
      <c r="S49" s="48" t="str">
        <f t="array" ref="S49">IFERROR(INDEX(WIP,SMALL(IF(('CURRENT WIP'!$D$1='CURRENT WIP'!$E$22:$E$148),MATCH(ROW(WIP),ROW(WIP)),""),ROW('CURRENT WIP'!O37)),COLUMN('CURRENT WIP'!O37)),"")</f>
        <v/>
      </c>
      <c r="T49" s="48" t="str">
        <f t="array" ref="T49">IFERROR(INDEX(WIP,SMALL(IF(('CURRENT WIP'!$D$1='CURRENT WIP'!$E$22:$E$148),MATCH(ROW(WIP),ROW(WIP)),""),ROW('CURRENT WIP'!P37)),COLUMN('CURRENT WIP'!P37)),"")</f>
        <v/>
      </c>
      <c r="U49" s="68" t="str">
        <f t="array" ref="U49">IFERROR(INDEX(WIP,SMALL(IF(('CURRENT WIP'!$D$1='CURRENT WIP'!$E$22:$E$148),MATCH(ROW(WIP),ROW(WIP)),""),ROW('CURRENT WIP'!Q37)),COLUMN('CURRENT WIP'!Q37)),"")</f>
        <v/>
      </c>
      <c r="V49" s="48" t="str">
        <f t="array" ref="V49">IFERROR(INDEX(WIP,SMALL(IF(('CURRENT WIP'!$D$1='CURRENT WIP'!$E$22:$E$148),MATCH(ROW(WIP),ROW(WIP)),""),ROW('CURRENT WIP'!R37)),COLUMN('CURRENT WIP'!R37)),"")</f>
        <v/>
      </c>
      <c r="W49" s="48" t="str">
        <f t="array" ref="W49">IFERROR(INDEX(WIP,SMALL(IF(('CURRENT WIP'!$D$1='CURRENT WIP'!$E$22:$E$148),MATCH(ROW(WIP),ROW(WIP)),""),ROW('CURRENT WIP'!S37)),COLUMN('CURRENT WIP'!S37)),"")</f>
        <v/>
      </c>
      <c r="X49" s="48" t="str">
        <f t="array" ref="X49">IFERROR(INDEX(WIP,SMALL(IF(('CURRENT WIP'!$D$1='CURRENT WIP'!$E$22:$E$148),MATCH(ROW(WIP),ROW(WIP)),""),ROW('CURRENT WIP'!T37)),COLUMN('CURRENT WIP'!T37)),"")</f>
        <v/>
      </c>
      <c r="Y49" s="88" t="str">
        <f t="array" ref="Y49">IFERROR(INDEX(WIP,SMALL(IF(('CURRENT WIP'!$D$1='CURRENT WIP'!$E$22:$E$148),MATCH(ROW(WIP),ROW(WIP)),""),ROW('CURRENT WIP'!U37)),COLUMN('CURRENT WIP'!U37)),"")</f>
        <v/>
      </c>
      <c r="Z49" s="476"/>
      <c r="AA49" s="476"/>
      <c r="AB49" s="476"/>
      <c r="AC49" s="476"/>
      <c r="AD49" s="476"/>
      <c r="AE49" s="476"/>
      <c r="AF49" s="476"/>
      <c r="AG49" s="476"/>
      <c r="AH49" s="476"/>
      <c r="AI49" s="476"/>
      <c r="AJ49" s="483"/>
      <c r="AK49" s="478"/>
      <c r="AL49" s="476"/>
      <c r="AM49" s="87"/>
      <c r="AN49" s="48"/>
      <c r="AO49" s="48"/>
      <c r="AP49" s="48"/>
      <c r="AQ49" s="66"/>
      <c r="AR49" s="66"/>
      <c r="AS49" s="48"/>
      <c r="AT49" s="66"/>
      <c r="AU49" s="48"/>
      <c r="AV49" s="67"/>
      <c r="AW49" s="48"/>
      <c r="AX49" s="48"/>
      <c r="AY49" s="48"/>
      <c r="AZ49" s="68"/>
      <c r="BA49" s="48"/>
      <c r="BB49" s="48"/>
      <c r="BC49" s="68"/>
      <c r="BD49" s="48"/>
      <c r="BE49" s="48"/>
      <c r="BF49" s="48"/>
      <c r="BG49" s="88"/>
      <c r="BH49" s="476"/>
      <c r="BI49" s="476"/>
      <c r="BJ49" s="476"/>
      <c r="BK49" s="476"/>
      <c r="BL49" s="476"/>
      <c r="BM49" s="7"/>
      <c r="BN49" s="476"/>
      <c r="BO49" s="476"/>
      <c r="BP49" s="484"/>
      <c r="BQ49" s="476"/>
      <c r="BR49" s="476"/>
      <c r="BS49" s="476"/>
      <c r="BT49" s="476"/>
      <c r="BU49" s="476"/>
      <c r="BV49" s="476"/>
      <c r="BW49" s="476"/>
      <c r="BX49" s="476"/>
    </row>
    <row r="50" spans="1:76" s="2" customFormat="1" hidden="1">
      <c r="A50" s="476"/>
      <c r="B50" s="476"/>
      <c r="C50" s="476"/>
      <c r="D50" s="476"/>
      <c r="E50" s="87" t="str">
        <f t="array" ref="E50">IFERROR(INDEX(WIP,SMALL(IF(('CURRENT WIP'!$D$1='CURRENT WIP'!$E$22:E185),MATCH(ROW(WIP),ROW(WIP)),""),ROW('CURRENT WIP'!A38)),COLUMN('CURRENT WIP'!A38)),"")</f>
        <v/>
      </c>
      <c r="F50" s="48" t="str">
        <f t="array" ref="F50">IFERROR(INDEX(WIP,SMALL(IF(('CURRENT WIP'!$D$1='CURRENT WIP'!$E$22:$E$148),MATCH(ROW(WIP),ROW(WIP)),""),ROW('CURRENT WIP'!B38)),COLUMN('CURRENT WIP'!B38)),"")</f>
        <v/>
      </c>
      <c r="G50" s="48" t="str">
        <f t="array" ref="G50">IFERROR(INDEX(WIP,SMALL(IF(('CURRENT WIP'!$D$1='CURRENT WIP'!$E$22:$E$148),MATCH(ROW(WIP),ROW(WIP)),""),ROW('CURRENT WIP'!C38)),COLUMN('CURRENT WIP'!C38)),"")</f>
        <v/>
      </c>
      <c r="H50" s="48" t="str">
        <f t="array" ref="H50">IFERROR(INDEX(WIP,SMALL(IF(('CURRENT WIP'!$D$1='CURRENT WIP'!$E$22:$E$148),MATCH(ROW(WIP),ROW(WIP)),""),ROW('CURRENT WIP'!D38)),COLUMN('CURRENT WIP'!D38)),"")</f>
        <v/>
      </c>
      <c r="I50" s="66" t="str">
        <f t="array" ref="I50">IFERROR(INDEX(WIP,SMALL(IF(('CURRENT WIP'!$D$1='CURRENT WIP'!$E$22:$E$148),MATCH(ROW(WIP),ROW(WIP)),""),ROW('CURRENT WIP'!E38)),COLUMN('CURRENT WIP'!E38)),"")</f>
        <v/>
      </c>
      <c r="J50" s="66" t="str">
        <f t="array" ref="J50">IFERROR(INDEX(WIP,SMALL(IF(('CURRENT WIP'!$D$1='CURRENT WIP'!$E$22:$E$148),MATCH(ROW(WIP),ROW(WIP)),""),ROW('CURRENT WIP'!F38)),COLUMN('CURRENT WIP'!F38)),"")</f>
        <v/>
      </c>
      <c r="K50" s="48" t="str">
        <f t="array" ref="K50">IFERROR(INDEX(WIP,SMALL(IF(('CURRENT WIP'!$D$1='CURRENT WIP'!$E$22:$E$148),MATCH(ROW(WIP),ROW(WIP)),""),ROW('CURRENT WIP'!G38)),COLUMN('CURRENT WIP'!G38)),"")</f>
        <v/>
      </c>
      <c r="L50" s="66" t="str">
        <f t="array" ref="L50">IFERROR(INDEX(WIP,SMALL(IF(('CURRENT WIP'!$D$1='CURRENT WIP'!$E$22:$E$148),MATCH(ROW(WIP),ROW(WIP)),""),ROW('CURRENT WIP'!H38)),COLUMN('CURRENT WIP'!H38)),"")</f>
        <v/>
      </c>
      <c r="M50" s="48" t="str">
        <f t="array" ref="M50">IFERROR(INDEX(WIP,SMALL(IF(('CURRENT WIP'!$D$1='CURRENT WIP'!$E$22:$E$148),MATCH(ROW(WIP),ROW(WIP)),""),ROW('CURRENT WIP'!I38)),COLUMN('CURRENT WIP'!I38)),"")</f>
        <v/>
      </c>
      <c r="N50" s="67" t="str">
        <f t="array" ref="N50">IFERROR(INDEX(WIP,SMALL(IF(('CURRENT WIP'!$D$1='CURRENT WIP'!$E$22:$E$148),MATCH(ROW(WIP),ROW(WIP)),""),ROW('CURRENT WIP'!J38)),COLUMN('CURRENT WIP'!J38)),"")</f>
        <v/>
      </c>
      <c r="O50" s="48" t="str">
        <f t="array" ref="O50">IFERROR(INDEX(WIP,SMALL(IF(('CURRENT WIP'!$D$1='CURRENT WIP'!$E$22:$E$148),MATCH(ROW(WIP),ROW(WIP)),""),ROW('CURRENT WIP'!K38)),COLUMN('CURRENT WIP'!K38)),"")</f>
        <v/>
      </c>
      <c r="P50" s="48" t="str">
        <f t="array" ref="P50">IFERROR(INDEX(WIP,SMALL(IF(('CURRENT WIP'!$D$1='CURRENT WIP'!$E$22:$E$148),MATCH(ROW(WIP),ROW(WIP)),""),ROW('CURRENT WIP'!L38)),COLUMN('CURRENT WIP'!L38)),"")</f>
        <v/>
      </c>
      <c r="Q50" s="48" t="str">
        <f t="array" ref="Q50">IFERROR(INDEX(WIP,SMALL(IF(('CURRENT WIP'!$D$1='CURRENT WIP'!$E$22:$E$148),MATCH(ROW(WIP),ROW(WIP)),""),ROW('CURRENT WIP'!M38)),COLUMN('CURRENT WIP'!M38)),"")</f>
        <v/>
      </c>
      <c r="R50" s="68" t="str">
        <f t="array" ref="R50">IFERROR(INDEX(WIP,SMALL(IF(('CURRENT WIP'!$D$1='CURRENT WIP'!$E$22:$E$148),MATCH(ROW(WIP),ROW(WIP)),""),ROW('CURRENT WIP'!N38)),COLUMN('CURRENT WIP'!N38)),"")</f>
        <v/>
      </c>
      <c r="S50" s="48" t="str">
        <f t="array" ref="S50">IFERROR(INDEX(WIP,SMALL(IF(('CURRENT WIP'!$D$1='CURRENT WIP'!$E$22:$E$148),MATCH(ROW(WIP),ROW(WIP)),""),ROW('CURRENT WIP'!O38)),COLUMN('CURRENT WIP'!O38)),"")</f>
        <v/>
      </c>
      <c r="T50" s="48" t="str">
        <f t="array" ref="T50">IFERROR(INDEX(WIP,SMALL(IF(('CURRENT WIP'!$D$1='CURRENT WIP'!$E$22:$E$148),MATCH(ROW(WIP),ROW(WIP)),""),ROW('CURRENT WIP'!P38)),COLUMN('CURRENT WIP'!P38)),"")</f>
        <v/>
      </c>
      <c r="U50" s="68" t="str">
        <f t="array" ref="U50">IFERROR(INDEX(WIP,SMALL(IF(('CURRENT WIP'!$D$1='CURRENT WIP'!$E$22:$E$148),MATCH(ROW(WIP),ROW(WIP)),""),ROW('CURRENT WIP'!Q38)),COLUMN('CURRENT WIP'!Q38)),"")</f>
        <v/>
      </c>
      <c r="V50" s="48" t="str">
        <f t="array" ref="V50">IFERROR(INDEX(WIP,SMALL(IF(('CURRENT WIP'!$D$1='CURRENT WIP'!$E$22:$E$148),MATCH(ROW(WIP),ROW(WIP)),""),ROW('CURRENT WIP'!R38)),COLUMN('CURRENT WIP'!R38)),"")</f>
        <v/>
      </c>
      <c r="W50" s="48" t="str">
        <f t="array" ref="W50">IFERROR(INDEX(WIP,SMALL(IF(('CURRENT WIP'!$D$1='CURRENT WIP'!$E$22:$E$148),MATCH(ROW(WIP),ROW(WIP)),""),ROW('CURRENT WIP'!S38)),COLUMN('CURRENT WIP'!S38)),"")</f>
        <v/>
      </c>
      <c r="X50" s="48" t="str">
        <f t="array" ref="X50">IFERROR(INDEX(WIP,SMALL(IF(('CURRENT WIP'!$D$1='CURRENT WIP'!$E$22:$E$148),MATCH(ROW(WIP),ROW(WIP)),""),ROW('CURRENT WIP'!T38)),COLUMN('CURRENT WIP'!T38)),"")</f>
        <v/>
      </c>
      <c r="Y50" s="88" t="str">
        <f t="array" ref="Y50">IFERROR(INDEX(WIP,SMALL(IF(('CURRENT WIP'!$D$1='CURRENT WIP'!$E$22:$E$148),MATCH(ROW(WIP),ROW(WIP)),""),ROW('CURRENT WIP'!U38)),COLUMN('CURRENT WIP'!U38)),"")</f>
        <v/>
      </c>
      <c r="Z50" s="476"/>
      <c r="AA50" s="476"/>
      <c r="AB50" s="476"/>
      <c r="AC50" s="476"/>
      <c r="AD50" s="476"/>
      <c r="AE50" s="476"/>
      <c r="AF50" s="476"/>
      <c r="AG50" s="476"/>
      <c r="AH50" s="476"/>
      <c r="AI50" s="476"/>
      <c r="AJ50" s="483"/>
      <c r="AK50" s="478"/>
      <c r="AL50" s="476"/>
      <c r="AM50" s="87"/>
      <c r="AN50" s="48"/>
      <c r="AO50" s="48"/>
      <c r="AP50" s="48"/>
      <c r="AQ50" s="66"/>
      <c r="AR50" s="66"/>
      <c r="AS50" s="48"/>
      <c r="AT50" s="66"/>
      <c r="AU50" s="48"/>
      <c r="AV50" s="67"/>
      <c r="AW50" s="48"/>
      <c r="AX50" s="48"/>
      <c r="AY50" s="48"/>
      <c r="AZ50" s="68"/>
      <c r="BA50" s="48"/>
      <c r="BB50" s="48"/>
      <c r="BC50" s="68"/>
      <c r="BD50" s="48"/>
      <c r="BE50" s="48"/>
      <c r="BF50" s="48"/>
      <c r="BG50" s="88"/>
      <c r="BH50" s="476"/>
      <c r="BI50" s="476"/>
      <c r="BJ50" s="476"/>
      <c r="BK50" s="476"/>
      <c r="BL50" s="476"/>
      <c r="BM50" s="7"/>
      <c r="BN50" s="476"/>
      <c r="BO50" s="476"/>
      <c r="BP50" s="484"/>
      <c r="BQ50" s="476"/>
      <c r="BR50" s="476"/>
      <c r="BS50" s="476"/>
      <c r="BT50" s="476"/>
      <c r="BU50" s="476"/>
      <c r="BV50" s="476"/>
      <c r="BW50" s="476"/>
      <c r="BX50" s="476"/>
    </row>
    <row r="51" spans="1:76" s="2" customFormat="1" hidden="1">
      <c r="A51" s="476"/>
      <c r="B51" s="476"/>
      <c r="C51" s="476"/>
      <c r="D51" s="476"/>
      <c r="E51" s="87" t="str">
        <f t="array" ref="E51">IFERROR(INDEX(WIP,SMALL(IF(('CURRENT WIP'!$D$1='CURRENT WIP'!$E$22:E186),MATCH(ROW(WIP),ROW(WIP)),""),ROW('CURRENT WIP'!A39)),COLUMN('CURRENT WIP'!A39)),"")</f>
        <v/>
      </c>
      <c r="F51" s="48" t="str">
        <f t="array" ref="F51">IFERROR(INDEX(WIP,SMALL(IF(('CURRENT WIP'!$D$1='CURRENT WIP'!$E$22:$E$148),MATCH(ROW(WIP),ROW(WIP)),""),ROW('CURRENT WIP'!B39)),COLUMN('CURRENT WIP'!B39)),"")</f>
        <v/>
      </c>
      <c r="G51" s="48" t="str">
        <f t="array" ref="G51">IFERROR(INDEX(WIP,SMALL(IF(('CURRENT WIP'!$D$1='CURRENT WIP'!$E$22:$E$148),MATCH(ROW(WIP),ROW(WIP)),""),ROW('CURRENT WIP'!C39)),COLUMN('CURRENT WIP'!C39)),"")</f>
        <v/>
      </c>
      <c r="H51" s="48" t="str">
        <f t="array" ref="H51">IFERROR(INDEX(WIP,SMALL(IF(('CURRENT WIP'!$D$1='CURRENT WIP'!$E$22:$E$148),MATCH(ROW(WIP),ROW(WIP)),""),ROW('CURRENT WIP'!D39)),COLUMN('CURRENT WIP'!D39)),"")</f>
        <v/>
      </c>
      <c r="I51" s="66" t="str">
        <f t="array" ref="I51">IFERROR(INDEX(WIP,SMALL(IF(('CURRENT WIP'!$D$1='CURRENT WIP'!$E$22:$E$148),MATCH(ROW(WIP),ROW(WIP)),""),ROW('CURRENT WIP'!E39)),COLUMN('CURRENT WIP'!E39)),"")</f>
        <v/>
      </c>
      <c r="J51" s="66" t="str">
        <f t="array" ref="J51">IFERROR(INDEX(WIP,SMALL(IF(('CURRENT WIP'!$D$1='CURRENT WIP'!$E$22:$E$148),MATCH(ROW(WIP),ROW(WIP)),""),ROW('CURRENT WIP'!F39)),COLUMN('CURRENT WIP'!F39)),"")</f>
        <v/>
      </c>
      <c r="K51" s="48" t="str">
        <f t="array" ref="K51">IFERROR(INDEX(WIP,SMALL(IF(('CURRENT WIP'!$D$1='CURRENT WIP'!$E$22:$E$148),MATCH(ROW(WIP),ROW(WIP)),""),ROW('CURRENT WIP'!G39)),COLUMN('CURRENT WIP'!G39)),"")</f>
        <v/>
      </c>
      <c r="L51" s="66" t="str">
        <f t="array" ref="L51">IFERROR(INDEX(WIP,SMALL(IF(('CURRENT WIP'!$D$1='CURRENT WIP'!$E$22:$E$148),MATCH(ROW(WIP),ROW(WIP)),""),ROW('CURRENT WIP'!H39)),COLUMN('CURRENT WIP'!H39)),"")</f>
        <v/>
      </c>
      <c r="M51" s="48" t="str">
        <f t="array" ref="M51">IFERROR(INDEX(WIP,SMALL(IF(('CURRENT WIP'!$D$1='CURRENT WIP'!$E$22:$E$148),MATCH(ROW(WIP),ROW(WIP)),""),ROW('CURRENT WIP'!I39)),COLUMN('CURRENT WIP'!I39)),"")</f>
        <v/>
      </c>
      <c r="N51" s="67" t="str">
        <f t="array" ref="N51">IFERROR(INDEX(WIP,SMALL(IF(('CURRENT WIP'!$D$1='CURRENT WIP'!$E$22:$E$148),MATCH(ROW(WIP),ROW(WIP)),""),ROW('CURRENT WIP'!J39)),COLUMN('CURRENT WIP'!J39)),"")</f>
        <v/>
      </c>
      <c r="O51" s="48" t="str">
        <f t="array" ref="O51">IFERROR(INDEX(WIP,SMALL(IF(('CURRENT WIP'!$D$1='CURRENT WIP'!$E$22:$E$148),MATCH(ROW(WIP),ROW(WIP)),""),ROW('CURRENT WIP'!K39)),COLUMN('CURRENT WIP'!K39)),"")</f>
        <v/>
      </c>
      <c r="P51" s="48" t="str">
        <f t="array" ref="P51">IFERROR(INDEX(WIP,SMALL(IF(('CURRENT WIP'!$D$1='CURRENT WIP'!$E$22:$E$148),MATCH(ROW(WIP),ROW(WIP)),""),ROW('CURRENT WIP'!L39)),COLUMN('CURRENT WIP'!L39)),"")</f>
        <v/>
      </c>
      <c r="Q51" s="48" t="str">
        <f t="array" ref="Q51">IFERROR(INDEX(WIP,SMALL(IF(('CURRENT WIP'!$D$1='CURRENT WIP'!$E$22:$E$148),MATCH(ROW(WIP),ROW(WIP)),""),ROW('CURRENT WIP'!M39)),COLUMN('CURRENT WIP'!M39)),"")</f>
        <v/>
      </c>
      <c r="R51" s="68" t="str">
        <f t="array" ref="R51">IFERROR(INDEX(WIP,SMALL(IF(('CURRENT WIP'!$D$1='CURRENT WIP'!$E$22:$E$148),MATCH(ROW(WIP),ROW(WIP)),""),ROW('CURRENT WIP'!N39)),COLUMN('CURRENT WIP'!N39)),"")</f>
        <v/>
      </c>
      <c r="S51" s="48" t="str">
        <f t="array" ref="S51">IFERROR(INDEX(WIP,SMALL(IF(('CURRENT WIP'!$D$1='CURRENT WIP'!$E$22:$E$148),MATCH(ROW(WIP),ROW(WIP)),""),ROW('CURRENT WIP'!O39)),COLUMN('CURRENT WIP'!O39)),"")</f>
        <v/>
      </c>
      <c r="T51" s="48" t="str">
        <f t="array" ref="T51">IFERROR(INDEX(WIP,SMALL(IF(('CURRENT WIP'!$D$1='CURRENT WIP'!$E$22:$E$148),MATCH(ROW(WIP),ROW(WIP)),""),ROW('CURRENT WIP'!P39)),COLUMN('CURRENT WIP'!P39)),"")</f>
        <v/>
      </c>
      <c r="U51" s="68" t="str">
        <f t="array" ref="U51">IFERROR(INDEX(WIP,SMALL(IF(('CURRENT WIP'!$D$1='CURRENT WIP'!$E$22:$E$148),MATCH(ROW(WIP),ROW(WIP)),""),ROW('CURRENT WIP'!Q39)),COLUMN('CURRENT WIP'!Q39)),"")</f>
        <v/>
      </c>
      <c r="V51" s="48" t="str">
        <f t="array" ref="V51">IFERROR(INDEX(WIP,SMALL(IF(('CURRENT WIP'!$D$1='CURRENT WIP'!$E$22:$E$148),MATCH(ROW(WIP),ROW(WIP)),""),ROW('CURRENT WIP'!R39)),COLUMN('CURRENT WIP'!R39)),"")</f>
        <v/>
      </c>
      <c r="W51" s="48" t="str">
        <f t="array" ref="W51">IFERROR(INDEX(WIP,SMALL(IF(('CURRENT WIP'!$D$1='CURRENT WIP'!$E$22:$E$148),MATCH(ROW(WIP),ROW(WIP)),""),ROW('CURRENT WIP'!S39)),COLUMN('CURRENT WIP'!S39)),"")</f>
        <v/>
      </c>
      <c r="X51" s="48" t="str">
        <f t="array" ref="X51">IFERROR(INDEX(WIP,SMALL(IF(('CURRENT WIP'!$D$1='CURRENT WIP'!$E$22:$E$148),MATCH(ROW(WIP),ROW(WIP)),""),ROW('CURRENT WIP'!T39)),COLUMN('CURRENT WIP'!T39)),"")</f>
        <v/>
      </c>
      <c r="Y51" s="88" t="str">
        <f t="array" ref="Y51">IFERROR(INDEX(WIP,SMALL(IF(('CURRENT WIP'!$D$1='CURRENT WIP'!$E$22:$E$148),MATCH(ROW(WIP),ROW(WIP)),""),ROW('CURRENT WIP'!U39)),COLUMN('CURRENT WIP'!U39)),"")</f>
        <v/>
      </c>
      <c r="Z51" s="476"/>
      <c r="AA51" s="476"/>
      <c r="AB51" s="476"/>
      <c r="AC51" s="476"/>
      <c r="AD51" s="476"/>
      <c r="AE51" s="476"/>
      <c r="AF51" s="476"/>
      <c r="AG51" s="476"/>
      <c r="AH51" s="476"/>
      <c r="AI51" s="476"/>
      <c r="AJ51" s="483"/>
      <c r="AK51" s="478"/>
      <c r="AL51" s="476"/>
      <c r="AM51" s="87"/>
      <c r="AN51" s="48"/>
      <c r="AO51" s="48"/>
      <c r="AP51" s="48"/>
      <c r="AQ51" s="66"/>
      <c r="AR51" s="66"/>
      <c r="AS51" s="48"/>
      <c r="AT51" s="66"/>
      <c r="AU51" s="48"/>
      <c r="AV51" s="67"/>
      <c r="AW51" s="48"/>
      <c r="AX51" s="48"/>
      <c r="AY51" s="48"/>
      <c r="AZ51" s="68"/>
      <c r="BA51" s="48"/>
      <c r="BB51" s="48"/>
      <c r="BC51" s="68"/>
      <c r="BD51" s="48"/>
      <c r="BE51" s="48"/>
      <c r="BF51" s="48"/>
      <c r="BG51" s="88"/>
      <c r="BH51" s="476"/>
      <c r="BI51" s="476"/>
      <c r="BJ51" s="476"/>
      <c r="BK51" s="476"/>
      <c r="BL51" s="476"/>
      <c r="BM51" s="7"/>
      <c r="BN51" s="476"/>
      <c r="BO51" s="476"/>
      <c r="BP51" s="484"/>
      <c r="BQ51" s="476"/>
      <c r="BR51" s="476"/>
      <c r="BS51" s="476"/>
      <c r="BT51" s="476"/>
      <c r="BU51" s="476"/>
      <c r="BV51" s="476"/>
      <c r="BW51" s="476"/>
      <c r="BX51" s="476"/>
    </row>
    <row r="52" spans="1:76" s="2" customFormat="1" ht="15.75" hidden="1" thickBot="1">
      <c r="A52" s="476"/>
      <c r="B52" s="476"/>
      <c r="C52" s="476"/>
      <c r="D52" s="476"/>
      <c r="E52" s="89" t="str">
        <f t="array" ref="E52">IFERROR(INDEX(WIP,SMALL(IF(('CURRENT WIP'!$D$1='CURRENT WIP'!$E$22:E187),MATCH(ROW(WIP),ROW(WIP)),""),ROW('CURRENT WIP'!A40)),COLUMN('CURRENT WIP'!A40)),"")</f>
        <v/>
      </c>
      <c r="F52" s="90" t="str">
        <f t="array" ref="F52">IFERROR(INDEX(WIP,SMALL(IF(('CURRENT WIP'!$D$1='CURRENT WIP'!$E$22:$E$148),MATCH(ROW(WIP),ROW(WIP)),""),ROW('CURRENT WIP'!B40)),COLUMN('CURRENT WIP'!B40)),"")</f>
        <v/>
      </c>
      <c r="G52" s="90" t="str">
        <f t="array" ref="G52">IFERROR(INDEX(WIP,SMALL(IF(('CURRENT WIP'!$D$1='CURRENT WIP'!$E$22:$E$148),MATCH(ROW(WIP),ROW(WIP)),""),ROW('CURRENT WIP'!C40)),COLUMN('CURRENT WIP'!C40)),"")</f>
        <v/>
      </c>
      <c r="H52" s="90" t="str">
        <f t="array" ref="H52">IFERROR(INDEX(WIP,SMALL(IF(('CURRENT WIP'!$D$1='CURRENT WIP'!$E$22:$E$148),MATCH(ROW(WIP),ROW(WIP)),""),ROW('CURRENT WIP'!D40)),COLUMN('CURRENT WIP'!D40)),"")</f>
        <v/>
      </c>
      <c r="I52" s="472" t="str">
        <f t="array" ref="I52">IFERROR(INDEX(WIP,SMALL(IF(('CURRENT WIP'!$D$1='CURRENT WIP'!$E$22:$E$148),MATCH(ROW(WIP),ROW(WIP)),""),ROW('CURRENT WIP'!E40)),COLUMN('CURRENT WIP'!E40)),"")</f>
        <v/>
      </c>
      <c r="J52" s="472" t="str">
        <f t="array" ref="J52">IFERROR(INDEX(WIP,SMALL(IF(('CURRENT WIP'!$D$1='CURRENT WIP'!$E$22:$E$148),MATCH(ROW(WIP),ROW(WIP)),""),ROW('CURRENT WIP'!F40)),COLUMN('CURRENT WIP'!F40)),"")</f>
        <v/>
      </c>
      <c r="K52" s="90" t="str">
        <f t="array" ref="K52">IFERROR(INDEX(WIP,SMALL(IF(('CURRENT WIP'!$D$1='CURRENT WIP'!$E$22:$E$148),MATCH(ROW(WIP),ROW(WIP)),""),ROW('CURRENT WIP'!G40)),COLUMN('CURRENT WIP'!G40)),"")</f>
        <v/>
      </c>
      <c r="L52" s="472" t="str">
        <f t="array" ref="L52">IFERROR(INDEX(WIP,SMALL(IF(('CURRENT WIP'!$D$1='CURRENT WIP'!$E$22:$E$148),MATCH(ROW(WIP),ROW(WIP)),""),ROW('CURRENT WIP'!H40)),COLUMN('CURRENT WIP'!H40)),"")</f>
        <v/>
      </c>
      <c r="M52" s="90" t="str">
        <f t="array" ref="M52">IFERROR(INDEX(WIP,SMALL(IF(('CURRENT WIP'!$D$1='CURRENT WIP'!$E$22:$E$148),MATCH(ROW(WIP),ROW(WIP)),""),ROW('CURRENT WIP'!I40)),COLUMN('CURRENT WIP'!I40)),"")</f>
        <v/>
      </c>
      <c r="N52" s="473" t="str">
        <f t="array" ref="N52">IFERROR(INDEX(WIP,SMALL(IF(('CURRENT WIP'!$D$1='CURRENT WIP'!$E$22:$E$148),MATCH(ROW(WIP),ROW(WIP)),""),ROW('CURRENT WIP'!J40)),COLUMN('CURRENT WIP'!J40)),"")</f>
        <v/>
      </c>
      <c r="O52" s="90" t="str">
        <f t="array" ref="O52">IFERROR(INDEX(WIP,SMALL(IF(('CURRENT WIP'!$D$1='CURRENT WIP'!$E$22:$E$148),MATCH(ROW(WIP),ROW(WIP)),""),ROW('CURRENT WIP'!K40)),COLUMN('CURRENT WIP'!K40)),"")</f>
        <v/>
      </c>
      <c r="P52" s="90" t="str">
        <f t="array" ref="P52">IFERROR(INDEX(WIP,SMALL(IF(('CURRENT WIP'!$D$1='CURRENT WIP'!$E$22:$E$148),MATCH(ROW(WIP),ROW(WIP)),""),ROW('CURRENT WIP'!L40)),COLUMN('CURRENT WIP'!L40)),"")</f>
        <v/>
      </c>
      <c r="Q52" s="90" t="str">
        <f t="array" ref="Q52">IFERROR(INDEX(WIP,SMALL(IF(('CURRENT WIP'!$D$1='CURRENT WIP'!$E$22:$E$148),MATCH(ROW(WIP),ROW(WIP)),""),ROW('CURRENT WIP'!M40)),COLUMN('CURRENT WIP'!M40)),"")</f>
        <v/>
      </c>
      <c r="R52" s="474" t="str">
        <f t="array" ref="R52">IFERROR(INDEX(WIP,SMALL(IF(('CURRENT WIP'!$D$1='CURRENT WIP'!$E$22:$E$148),MATCH(ROW(WIP),ROW(WIP)),""),ROW('CURRENT WIP'!N40)),COLUMN('CURRENT WIP'!N40)),"")</f>
        <v/>
      </c>
      <c r="S52" s="90" t="str">
        <f t="array" ref="S52">IFERROR(INDEX(WIP,SMALL(IF(('CURRENT WIP'!$D$1='CURRENT WIP'!$E$22:$E$148),MATCH(ROW(WIP),ROW(WIP)),""),ROW('CURRENT WIP'!O40)),COLUMN('CURRENT WIP'!O40)),"")</f>
        <v/>
      </c>
      <c r="T52" s="90" t="str">
        <f t="array" ref="T52">IFERROR(INDEX(WIP,SMALL(IF(('CURRENT WIP'!$D$1='CURRENT WIP'!$E$22:$E$148),MATCH(ROW(WIP),ROW(WIP)),""),ROW('CURRENT WIP'!P40)),COLUMN('CURRENT WIP'!P40)),"")</f>
        <v/>
      </c>
      <c r="U52" s="474" t="str">
        <f t="array" ref="U52">IFERROR(INDEX(WIP,SMALL(IF(('CURRENT WIP'!$D$1='CURRENT WIP'!$E$22:$E$148),MATCH(ROW(WIP),ROW(WIP)),""),ROW('CURRENT WIP'!Q40)),COLUMN('CURRENT WIP'!Q40)),"")</f>
        <v/>
      </c>
      <c r="V52" s="90" t="str">
        <f t="array" ref="V52">IFERROR(INDEX(WIP,SMALL(IF(('CURRENT WIP'!$D$1='CURRENT WIP'!$E$22:$E$148),MATCH(ROW(WIP),ROW(WIP)),""),ROW('CURRENT WIP'!R40)),COLUMN('CURRENT WIP'!R40)),"")</f>
        <v/>
      </c>
      <c r="W52" s="90" t="str">
        <f t="array" ref="W52">IFERROR(INDEX(WIP,SMALL(IF(('CURRENT WIP'!$D$1='CURRENT WIP'!$E$22:$E$148),MATCH(ROW(WIP),ROW(WIP)),""),ROW('CURRENT WIP'!S40)),COLUMN('CURRENT WIP'!S40)),"")</f>
        <v/>
      </c>
      <c r="X52" s="90" t="str">
        <f t="array" ref="X52">IFERROR(INDEX(WIP,SMALL(IF(('CURRENT WIP'!$D$1='CURRENT WIP'!$E$22:$E$148),MATCH(ROW(WIP),ROW(WIP)),""),ROW('CURRENT WIP'!T40)),COLUMN('CURRENT WIP'!T40)),"")</f>
        <v/>
      </c>
      <c r="Y52" s="94" t="str">
        <f t="array" ref="Y52">IFERROR(INDEX(WIP,SMALL(IF(('CURRENT WIP'!$D$1='CURRENT WIP'!$E$22:$E$148),MATCH(ROW(WIP),ROW(WIP)),""),ROW('CURRENT WIP'!U40)),COLUMN('CURRENT WIP'!U40)),"")</f>
        <v/>
      </c>
      <c r="Z52" s="476"/>
      <c r="AA52" s="476"/>
      <c r="AB52" s="476"/>
      <c r="AC52" s="476"/>
      <c r="AD52" s="476"/>
      <c r="AE52" s="476"/>
      <c r="AF52" s="476"/>
      <c r="AG52" s="476"/>
      <c r="AH52" s="476"/>
      <c r="AI52" s="476"/>
      <c r="AJ52" s="483"/>
      <c r="AK52" s="478"/>
      <c r="AL52" s="476"/>
      <c r="AM52" s="89"/>
      <c r="AN52" s="90"/>
      <c r="AO52" s="90"/>
      <c r="AP52" s="90"/>
      <c r="AQ52" s="472"/>
      <c r="AR52" s="472"/>
      <c r="AS52" s="90"/>
      <c r="AT52" s="472"/>
      <c r="AU52" s="90"/>
      <c r="AV52" s="473"/>
      <c r="AW52" s="90"/>
      <c r="AX52" s="90"/>
      <c r="AY52" s="90"/>
      <c r="AZ52" s="474"/>
      <c r="BA52" s="90"/>
      <c r="BB52" s="90"/>
      <c r="BC52" s="474"/>
      <c r="BD52" s="90"/>
      <c r="BE52" s="90"/>
      <c r="BF52" s="90"/>
      <c r="BG52" s="94"/>
      <c r="BH52" s="476"/>
      <c r="BI52" s="476"/>
      <c r="BJ52" s="476"/>
      <c r="BK52" s="476"/>
      <c r="BL52" s="476"/>
      <c r="BM52" s="7"/>
      <c r="BN52" s="476"/>
      <c r="BO52" s="476"/>
      <c r="BP52" s="484"/>
      <c r="BQ52" s="476"/>
      <c r="BR52" s="476"/>
      <c r="BS52" s="476"/>
      <c r="BT52" s="476"/>
      <c r="BU52" s="476"/>
      <c r="BV52" s="476"/>
      <c r="BW52" s="476"/>
      <c r="BX52" s="476"/>
    </row>
    <row r="53" spans="1:76" s="2" customFormat="1">
      <c r="A53" s="476"/>
      <c r="B53" s="476"/>
      <c r="C53" s="476"/>
      <c r="D53" s="476"/>
      <c r="E53" s="478"/>
      <c r="F53" s="478"/>
      <c r="G53" s="478"/>
      <c r="H53" s="478"/>
      <c r="I53" s="478"/>
      <c r="J53" s="479"/>
      <c r="K53" s="479"/>
      <c r="L53" s="478"/>
      <c r="M53" s="479"/>
      <c r="N53" s="478"/>
      <c r="O53" s="67"/>
      <c r="P53" s="478"/>
      <c r="Q53" s="478"/>
      <c r="R53" s="478"/>
      <c r="S53" s="480"/>
      <c r="T53" s="478"/>
      <c r="U53" s="478"/>
      <c r="V53" s="480"/>
      <c r="W53" s="478"/>
      <c r="X53" s="478"/>
      <c r="Y53" s="478"/>
      <c r="Z53" s="476"/>
      <c r="AA53" s="476"/>
      <c r="AB53" s="476"/>
      <c r="AC53" s="476"/>
      <c r="AD53" s="476"/>
      <c r="AE53" s="476"/>
      <c r="AF53" s="476"/>
      <c r="AG53" s="476"/>
      <c r="AH53" s="476"/>
      <c r="AI53" s="476"/>
      <c r="AJ53" s="483"/>
      <c r="AK53" s="478"/>
      <c r="AL53" s="476"/>
      <c r="AM53" s="478"/>
      <c r="AN53" s="478"/>
      <c r="AO53" s="478"/>
      <c r="AP53" s="478"/>
      <c r="AQ53" s="478"/>
      <c r="AR53" s="479"/>
      <c r="AS53" s="479"/>
      <c r="AT53" s="478"/>
      <c r="AU53" s="479"/>
      <c r="AV53" s="478"/>
      <c r="AW53" s="67"/>
      <c r="AX53" s="478"/>
      <c r="AY53" s="478"/>
      <c r="AZ53" s="478"/>
      <c r="BA53" s="480"/>
      <c r="BB53" s="478"/>
      <c r="BC53" s="478"/>
      <c r="BD53" s="480"/>
      <c r="BE53" s="478"/>
      <c r="BF53" s="478"/>
      <c r="BG53" s="478"/>
      <c r="BH53" s="476"/>
      <c r="BI53" s="476"/>
      <c r="BJ53" s="476"/>
      <c r="BK53" s="476"/>
      <c r="BL53" s="476"/>
      <c r="BM53" s="7"/>
      <c r="BN53" s="476"/>
      <c r="BO53" s="476"/>
      <c r="BP53" s="484"/>
      <c r="BQ53" s="476"/>
      <c r="BR53" s="476"/>
      <c r="BS53" s="476"/>
      <c r="BT53" s="476"/>
      <c r="BU53" s="476"/>
      <c r="BV53" s="476"/>
      <c r="BW53" s="476"/>
      <c r="BX53" s="476"/>
    </row>
    <row r="54" spans="1:76" ht="15.75" thickBot="1">
      <c r="AJ54" s="475"/>
      <c r="AK54" s="48"/>
      <c r="AL54" s="2"/>
      <c r="BH54" s="2"/>
      <c r="BI54" s="2"/>
      <c r="BJ54" s="2"/>
      <c r="BN54" s="2"/>
      <c r="BO54" s="2"/>
      <c r="BQ54" s="2"/>
      <c r="BR54" s="2"/>
      <c r="BS54" s="2"/>
    </row>
    <row r="55" spans="1:76" ht="15.75" thickBot="1">
      <c r="AK55" s="586" t="s">
        <v>164</v>
      </c>
      <c r="AL55" s="587"/>
      <c r="AM55" s="587"/>
      <c r="AN55" s="587"/>
      <c r="AO55" s="587"/>
      <c r="AP55" s="587"/>
      <c r="AQ55" s="587"/>
      <c r="AR55" s="587"/>
      <c r="AS55" s="587"/>
      <c r="AT55" s="587"/>
      <c r="AU55" s="587"/>
      <c r="AV55" s="587"/>
      <c r="AW55" s="587"/>
      <c r="AX55" s="587"/>
      <c r="AY55" s="587"/>
      <c r="AZ55" s="587"/>
      <c r="BA55" s="587"/>
      <c r="BB55" s="587"/>
      <c r="BC55" s="587"/>
      <c r="BD55" s="587"/>
      <c r="BE55" s="587"/>
      <c r="BF55" s="587"/>
      <c r="BG55" s="587"/>
      <c r="BH55" s="587"/>
      <c r="BI55" s="587"/>
      <c r="BJ55" s="587"/>
      <c r="BK55" s="587"/>
      <c r="BL55" s="588"/>
      <c r="BN55" s="2"/>
      <c r="BO55" s="2"/>
    </row>
    <row r="56" spans="1:76" ht="18.75" customHeight="1">
      <c r="AJ56" s="475">
        <v>1</v>
      </c>
      <c r="AK56" s="96"/>
      <c r="AL56" s="97"/>
      <c r="AM56" s="463"/>
      <c r="AN56" s="464"/>
      <c r="AO56" s="464"/>
      <c r="AP56" s="464"/>
      <c r="AQ56" s="465"/>
      <c r="AR56" s="466"/>
      <c r="AS56" s="464"/>
      <c r="AT56" s="465"/>
      <c r="AU56" s="467"/>
      <c r="AV56" s="468"/>
      <c r="AW56" s="468"/>
      <c r="AX56" s="468"/>
      <c r="AY56" s="468"/>
      <c r="AZ56" s="469"/>
      <c r="BA56" s="470"/>
      <c r="BB56" s="470"/>
      <c r="BC56" s="469"/>
      <c r="BD56" s="470"/>
      <c r="BE56" s="468"/>
      <c r="BF56" s="470"/>
      <c r="BG56" s="471"/>
      <c r="BH56" s="83"/>
      <c r="BI56" s="83"/>
      <c r="BJ56" s="84"/>
      <c r="BK56" s="85"/>
      <c r="BL56" s="86"/>
      <c r="BM56" s="110"/>
      <c r="BN56" s="109"/>
      <c r="BO56" s="109"/>
      <c r="BP56" s="121"/>
      <c r="BQ56" s="109"/>
    </row>
    <row r="57" spans="1:76">
      <c r="AK57" s="87"/>
      <c r="AL57" s="48"/>
      <c r="AM57" s="87"/>
      <c r="AN57" s="48"/>
      <c r="AO57" s="48"/>
      <c r="AP57" s="48"/>
      <c r="AQ57" s="48"/>
      <c r="AR57" s="66"/>
      <c r="AS57" s="66"/>
      <c r="AT57" s="48"/>
      <c r="AU57" s="66"/>
      <c r="AV57" s="48"/>
      <c r="AW57" s="67"/>
      <c r="AX57" s="48"/>
      <c r="AY57" s="48"/>
      <c r="AZ57" s="48"/>
      <c r="BA57" s="68"/>
      <c r="BB57" s="48"/>
      <c r="BC57" s="48"/>
      <c r="BD57" s="68"/>
      <c r="BE57" s="48"/>
      <c r="BF57" s="48"/>
      <c r="BG57" s="88"/>
      <c r="BH57" s="44"/>
      <c r="BI57" s="45"/>
      <c r="BJ57" s="48"/>
      <c r="BK57" s="48"/>
      <c r="BL57" s="88"/>
      <c r="BM57" s="108" t="str">
        <f ca="1">IF(BJ57="","",IF(BM57="",NOW(),BM57))</f>
        <v/>
      </c>
      <c r="BN57" s="109"/>
      <c r="BO57" s="109" t="str">
        <f>BO13</f>
        <v>DAY SHIFT</v>
      </c>
      <c r="BP57" s="121"/>
      <c r="BQ57" s="109"/>
    </row>
    <row r="58" spans="1:76">
      <c r="AK58" s="87"/>
      <c r="AL58" s="48"/>
      <c r="AM58" s="87"/>
      <c r="AN58" s="48"/>
      <c r="AO58" s="48"/>
      <c r="AP58" s="48"/>
      <c r="AQ58" s="48"/>
      <c r="AR58" s="66"/>
      <c r="AS58" s="66"/>
      <c r="AT58" s="48"/>
      <c r="AU58" s="66"/>
      <c r="AV58" s="48"/>
      <c r="AW58" s="67"/>
      <c r="AX58" s="48"/>
      <c r="AY58" s="48"/>
      <c r="AZ58" s="48"/>
      <c r="BA58" s="68"/>
      <c r="BB58" s="48"/>
      <c r="BC58" s="48"/>
      <c r="BD58" s="68"/>
      <c r="BE58" s="48"/>
      <c r="BF58" s="48"/>
      <c r="BG58" s="88"/>
      <c r="BH58" s="48"/>
      <c r="BI58" s="49"/>
      <c r="BJ58" s="48"/>
      <c r="BK58" s="48"/>
      <c r="BL58" s="88"/>
      <c r="BM58" s="110"/>
      <c r="BN58" s="111"/>
      <c r="BO58" s="111"/>
      <c r="BP58" s="121"/>
      <c r="BQ58" s="109"/>
    </row>
    <row r="59" spans="1:76">
      <c r="AK59" s="87"/>
      <c r="AL59" s="48"/>
      <c r="AM59" s="87"/>
      <c r="AN59" s="48"/>
      <c r="AO59" s="48"/>
      <c r="AP59" s="48"/>
      <c r="AQ59" s="48"/>
      <c r="AR59" s="66"/>
      <c r="AS59" s="66"/>
      <c r="AT59" s="48"/>
      <c r="AU59" s="66"/>
      <c r="AV59" s="48"/>
      <c r="AW59" s="67"/>
      <c r="AX59" s="48"/>
      <c r="AY59" s="48"/>
      <c r="AZ59" s="48"/>
      <c r="BA59" s="68"/>
      <c r="BB59" s="48"/>
      <c r="BC59" s="48"/>
      <c r="BD59" s="68"/>
      <c r="BE59" s="48"/>
      <c r="BF59" s="48"/>
      <c r="BG59" s="88"/>
      <c r="BH59" s="44"/>
      <c r="BI59" s="45"/>
      <c r="BJ59" s="48"/>
      <c r="BK59" s="48"/>
      <c r="BL59" s="88"/>
      <c r="BM59" s="110"/>
      <c r="BN59" s="109"/>
      <c r="BO59" s="112"/>
      <c r="BP59" s="121"/>
      <c r="BQ59" s="109"/>
    </row>
    <row r="60" spans="1:76">
      <c r="AK60" s="87"/>
      <c r="AL60" s="48"/>
      <c r="AM60" s="87"/>
      <c r="AN60" s="48"/>
      <c r="AO60" s="48"/>
      <c r="AP60" s="48"/>
      <c r="AQ60" s="48"/>
      <c r="AR60" s="66"/>
      <c r="AS60" s="66"/>
      <c r="AT60" s="48"/>
      <c r="AU60" s="66"/>
      <c r="AV60" s="48"/>
      <c r="AW60" s="67"/>
      <c r="AX60" s="48"/>
      <c r="AY60" s="48"/>
      <c r="AZ60" s="48"/>
      <c r="BA60" s="68"/>
      <c r="BB60" s="48"/>
      <c r="BC60" s="48"/>
      <c r="BD60" s="68"/>
      <c r="BE60" s="48"/>
      <c r="BF60" s="48"/>
      <c r="BG60" s="88"/>
      <c r="BH60" s="48"/>
      <c r="BI60" s="438"/>
      <c r="BJ60" s="48"/>
      <c r="BK60" s="48"/>
      <c r="BL60" s="88"/>
      <c r="BM60" s="110"/>
      <c r="BN60" s="109"/>
      <c r="BO60" s="109"/>
      <c r="BP60" s="121"/>
      <c r="BQ60" s="109"/>
    </row>
    <row r="61" spans="1:76">
      <c r="AK61" s="87"/>
      <c r="AL61" s="48"/>
      <c r="AM61" s="87"/>
      <c r="AN61" s="48"/>
      <c r="AO61" s="48"/>
      <c r="AP61" s="48"/>
      <c r="AQ61" s="48"/>
      <c r="AR61" s="66"/>
      <c r="AS61" s="66"/>
      <c r="AT61" s="48"/>
      <c r="AU61" s="66"/>
      <c r="AV61" s="48"/>
      <c r="AW61" s="67"/>
      <c r="AX61" s="48"/>
      <c r="AY61" s="48"/>
      <c r="AZ61" s="48"/>
      <c r="BA61" s="68"/>
      <c r="BB61" s="48"/>
      <c r="BC61" s="48"/>
      <c r="BD61" s="68"/>
      <c r="BE61" s="48"/>
      <c r="BF61" s="48"/>
      <c r="BG61" s="88"/>
      <c r="BH61" s="48"/>
      <c r="BI61" s="48"/>
      <c r="BJ61" s="48"/>
      <c r="BK61" s="48"/>
      <c r="BL61" s="88"/>
      <c r="BM61" s="110"/>
      <c r="BN61" s="113"/>
      <c r="BO61" s="112"/>
      <c r="BP61" s="121"/>
      <c r="BQ61" s="109"/>
    </row>
    <row r="62" spans="1:76">
      <c r="AK62" s="87"/>
      <c r="AL62" s="48"/>
      <c r="AM62" s="491"/>
      <c r="AN62" s="48"/>
      <c r="AO62" s="48"/>
      <c r="AP62" s="48"/>
      <c r="AQ62" s="48"/>
      <c r="AR62" s="66"/>
      <c r="AS62" s="66"/>
      <c r="AT62" s="48"/>
      <c r="AU62" s="66"/>
      <c r="AV62" s="48"/>
      <c r="AW62" s="67"/>
      <c r="AX62" s="48"/>
      <c r="AY62" s="48"/>
      <c r="AZ62" s="48"/>
      <c r="BA62" s="68"/>
      <c r="BB62" s="48"/>
      <c r="BC62" s="48"/>
      <c r="BD62" s="68"/>
      <c r="BE62" s="48"/>
      <c r="BF62" s="48"/>
      <c r="BG62" s="88"/>
      <c r="BH62" s="79"/>
      <c r="BI62" s="81"/>
      <c r="BJ62" s="48"/>
      <c r="BK62" s="76"/>
      <c r="BL62" s="88"/>
      <c r="BM62" s="110"/>
      <c r="BN62" s="109"/>
      <c r="BO62" s="109"/>
      <c r="BP62" s="121"/>
      <c r="BQ62" s="109"/>
    </row>
    <row r="63" spans="1:76">
      <c r="AK63" s="87"/>
      <c r="AL63" s="48"/>
      <c r="AM63" s="87"/>
      <c r="AN63" s="48"/>
      <c r="AO63" s="48"/>
      <c r="AP63" s="48"/>
      <c r="AQ63" s="48"/>
      <c r="AR63" s="66"/>
      <c r="AS63" s="66"/>
      <c r="AT63" s="48"/>
      <c r="AU63" s="66"/>
      <c r="AV63" s="48"/>
      <c r="AW63" s="67"/>
      <c r="AX63" s="48"/>
      <c r="AY63" s="48"/>
      <c r="AZ63" s="48"/>
      <c r="BA63" s="68"/>
      <c r="BB63" s="48"/>
      <c r="BC63" s="48"/>
      <c r="BD63" s="68"/>
      <c r="BE63" s="48"/>
      <c r="BF63" s="48"/>
      <c r="BG63" s="88"/>
      <c r="BH63" s="80"/>
      <c r="BI63" s="82"/>
      <c r="BJ63" s="48"/>
      <c r="BK63" s="76"/>
      <c r="BL63" s="88"/>
      <c r="BM63" s="110"/>
      <c r="BN63" s="113"/>
      <c r="BO63" s="112"/>
      <c r="BP63" s="121"/>
      <c r="BQ63" s="109"/>
    </row>
    <row r="64" spans="1:76" ht="15.75" thickBot="1">
      <c r="AK64" s="89"/>
      <c r="AL64" s="90"/>
      <c r="AM64" s="89"/>
      <c r="AN64" s="90"/>
      <c r="AO64" s="90"/>
      <c r="AP64" s="90"/>
      <c r="AQ64" s="90"/>
      <c r="AR64" s="472"/>
      <c r="AS64" s="472"/>
      <c r="AT64" s="90"/>
      <c r="AU64" s="472"/>
      <c r="AV64" s="90"/>
      <c r="AW64" s="473"/>
      <c r="AX64" s="90"/>
      <c r="AY64" s="90"/>
      <c r="AZ64" s="90"/>
      <c r="BA64" s="474"/>
      <c r="BB64" s="90"/>
      <c r="BC64" s="90"/>
      <c r="BD64" s="474"/>
      <c r="BE64" s="90"/>
      <c r="BF64" s="90"/>
      <c r="BG64" s="94"/>
      <c r="BH64" s="91"/>
      <c r="BI64" s="92"/>
      <c r="BJ64" s="90"/>
      <c r="BK64" s="93"/>
      <c r="BL64" s="94"/>
      <c r="BM64" s="110"/>
      <c r="BN64" s="109"/>
      <c r="BO64" s="109"/>
      <c r="BP64" s="121"/>
      <c r="BQ64" s="109"/>
    </row>
    <row r="65" spans="36:69" s="2" customFormat="1" hidden="1">
      <c r="AJ65" s="123"/>
      <c r="AK65" s="48"/>
      <c r="AL65" s="48"/>
      <c r="AM65" s="87"/>
      <c r="AN65" s="48"/>
      <c r="AO65" s="48"/>
      <c r="AP65" s="48"/>
      <c r="AQ65" s="48"/>
      <c r="AR65" s="66"/>
      <c r="AS65" s="66"/>
      <c r="AT65" s="48"/>
      <c r="AU65" s="66"/>
      <c r="AV65" s="48"/>
      <c r="AW65" s="67"/>
      <c r="AX65" s="48"/>
      <c r="AY65" s="48"/>
      <c r="AZ65" s="48"/>
      <c r="BA65" s="68"/>
      <c r="BB65" s="48"/>
      <c r="BC65" s="48"/>
      <c r="BD65" s="68"/>
      <c r="BE65" s="48"/>
      <c r="BF65" s="48"/>
      <c r="BG65" s="88"/>
      <c r="BH65" s="79"/>
      <c r="BI65" s="81"/>
      <c r="BJ65" s="48"/>
      <c r="BK65" s="76"/>
      <c r="BL65" s="48"/>
      <c r="BM65" s="110"/>
      <c r="BN65" s="109"/>
      <c r="BO65" s="109"/>
      <c r="BP65" s="121"/>
      <c r="BQ65" s="109"/>
    </row>
    <row r="66" spans="36:69" s="2" customFormat="1" hidden="1">
      <c r="AJ66" s="123"/>
      <c r="AK66" s="48"/>
      <c r="AL66" s="48"/>
      <c r="AM66" s="87"/>
      <c r="AN66" s="48"/>
      <c r="AO66" s="48"/>
      <c r="AP66" s="48"/>
      <c r="AQ66" s="48"/>
      <c r="AR66" s="66"/>
      <c r="AS66" s="66"/>
      <c r="AT66" s="48"/>
      <c r="AU66" s="66"/>
      <c r="AV66" s="48"/>
      <c r="AW66" s="67"/>
      <c r="AX66" s="48"/>
      <c r="AY66" s="48"/>
      <c r="AZ66" s="48"/>
      <c r="BA66" s="68"/>
      <c r="BB66" s="48"/>
      <c r="BC66" s="48"/>
      <c r="BD66" s="68"/>
      <c r="BE66" s="48"/>
      <c r="BF66" s="48"/>
      <c r="BG66" s="88"/>
      <c r="BH66" s="79"/>
      <c r="BI66" s="81"/>
      <c r="BJ66" s="48"/>
      <c r="BK66" s="76"/>
      <c r="BL66" s="48"/>
      <c r="BM66" s="110"/>
      <c r="BN66" s="109"/>
      <c r="BO66" s="109"/>
      <c r="BP66" s="121"/>
      <c r="BQ66" s="109"/>
    </row>
    <row r="67" spans="36:69" s="2" customFormat="1" hidden="1">
      <c r="AJ67" s="123"/>
      <c r="AK67" s="48"/>
      <c r="AL67" s="48"/>
      <c r="AM67" s="87"/>
      <c r="AN67" s="48"/>
      <c r="AO67" s="48"/>
      <c r="AP67" s="48"/>
      <c r="AQ67" s="48"/>
      <c r="AR67" s="66"/>
      <c r="AS67" s="66"/>
      <c r="AT67" s="48"/>
      <c r="AU67" s="66"/>
      <c r="AV67" s="48"/>
      <c r="AW67" s="67"/>
      <c r="AX67" s="48"/>
      <c r="AY67" s="48"/>
      <c r="AZ67" s="48"/>
      <c r="BA67" s="68"/>
      <c r="BB67" s="48"/>
      <c r="BC67" s="48"/>
      <c r="BD67" s="68"/>
      <c r="BE67" s="48"/>
      <c r="BF67" s="48"/>
      <c r="BG67" s="88"/>
      <c r="BH67" s="79"/>
      <c r="BI67" s="81"/>
      <c r="BJ67" s="48"/>
      <c r="BK67" s="76"/>
      <c r="BL67" s="48"/>
      <c r="BM67" s="110"/>
      <c r="BN67" s="109"/>
      <c r="BO67" s="109"/>
      <c r="BP67" s="121"/>
      <c r="BQ67" s="109"/>
    </row>
    <row r="68" spans="36:69" s="2" customFormat="1" hidden="1">
      <c r="AJ68" s="123"/>
      <c r="AK68" s="48"/>
      <c r="AL68" s="48"/>
      <c r="AM68" s="87"/>
      <c r="AN68" s="48"/>
      <c r="AO68" s="48"/>
      <c r="AP68" s="48"/>
      <c r="AQ68" s="48"/>
      <c r="AR68" s="66"/>
      <c r="AS68" s="66"/>
      <c r="AT68" s="48"/>
      <c r="AU68" s="66"/>
      <c r="AV68" s="48"/>
      <c r="AW68" s="67"/>
      <c r="AX68" s="48"/>
      <c r="AY68" s="48"/>
      <c r="AZ68" s="48"/>
      <c r="BA68" s="68"/>
      <c r="BB68" s="48"/>
      <c r="BC68" s="48"/>
      <c r="BD68" s="68"/>
      <c r="BE68" s="48"/>
      <c r="BF68" s="48"/>
      <c r="BG68" s="88"/>
      <c r="BH68" s="79"/>
      <c r="BI68" s="81"/>
      <c r="BJ68" s="48"/>
      <c r="BK68" s="76"/>
      <c r="BL68" s="48"/>
      <c r="BM68" s="110"/>
      <c r="BN68" s="109"/>
      <c r="BO68" s="109"/>
      <c r="BP68" s="121"/>
      <c r="BQ68" s="109"/>
    </row>
    <row r="69" spans="36:69" s="2" customFormat="1" hidden="1">
      <c r="AJ69" s="123"/>
      <c r="AK69" s="48"/>
      <c r="AL69" s="48"/>
      <c r="AM69" s="87"/>
      <c r="AN69" s="48"/>
      <c r="AO69" s="48"/>
      <c r="AP69" s="48"/>
      <c r="AQ69" s="48"/>
      <c r="AR69" s="66"/>
      <c r="AS69" s="66"/>
      <c r="AT69" s="48"/>
      <c r="AU69" s="66"/>
      <c r="AV69" s="48"/>
      <c r="AW69" s="67"/>
      <c r="AX69" s="48"/>
      <c r="AY69" s="48"/>
      <c r="AZ69" s="48"/>
      <c r="BA69" s="68"/>
      <c r="BB69" s="48"/>
      <c r="BC69" s="48"/>
      <c r="BD69" s="68"/>
      <c r="BE69" s="48"/>
      <c r="BF69" s="48"/>
      <c r="BG69" s="88"/>
      <c r="BH69" s="79"/>
      <c r="BI69" s="81"/>
      <c r="BJ69" s="48"/>
      <c r="BK69" s="76"/>
      <c r="BL69" s="48"/>
      <c r="BM69" s="110"/>
      <c r="BN69" s="109"/>
      <c r="BO69" s="109"/>
      <c r="BP69" s="121"/>
      <c r="BQ69" s="109"/>
    </row>
    <row r="70" spans="36:69" s="2" customFormat="1" hidden="1">
      <c r="AJ70" s="123"/>
      <c r="AK70" s="48"/>
      <c r="AL70" s="48"/>
      <c r="AM70" s="87"/>
      <c r="AN70" s="48"/>
      <c r="AO70" s="48"/>
      <c r="AP70" s="48"/>
      <c r="AQ70" s="48"/>
      <c r="AR70" s="66"/>
      <c r="AS70" s="66"/>
      <c r="AT70" s="48"/>
      <c r="AU70" s="66"/>
      <c r="AV70" s="48"/>
      <c r="AW70" s="67"/>
      <c r="AX70" s="48"/>
      <c r="AY70" s="48"/>
      <c r="AZ70" s="48"/>
      <c r="BA70" s="68"/>
      <c r="BB70" s="48"/>
      <c r="BC70" s="48"/>
      <c r="BD70" s="68"/>
      <c r="BE70" s="48"/>
      <c r="BF70" s="48"/>
      <c r="BG70" s="88"/>
      <c r="BH70" s="79"/>
      <c r="BI70" s="81"/>
      <c r="BJ70" s="48"/>
      <c r="BK70" s="76"/>
      <c r="BL70" s="48"/>
      <c r="BM70" s="110"/>
      <c r="BN70" s="109"/>
      <c r="BO70" s="109"/>
      <c r="BP70" s="121"/>
      <c r="BQ70" s="109"/>
    </row>
    <row r="71" spans="36:69" s="2" customFormat="1" hidden="1">
      <c r="AJ71" s="123"/>
      <c r="AK71" s="48"/>
      <c r="AL71" s="48"/>
      <c r="AM71" s="87"/>
      <c r="AN71" s="48"/>
      <c r="AO71" s="48"/>
      <c r="AP71" s="48"/>
      <c r="AQ71" s="48"/>
      <c r="AR71" s="66"/>
      <c r="AS71" s="66"/>
      <c r="AT71" s="48"/>
      <c r="AU71" s="66"/>
      <c r="AV71" s="48"/>
      <c r="AW71" s="67"/>
      <c r="AX71" s="48"/>
      <c r="AY71" s="48"/>
      <c r="AZ71" s="48"/>
      <c r="BA71" s="68"/>
      <c r="BB71" s="48"/>
      <c r="BC71" s="48"/>
      <c r="BD71" s="68"/>
      <c r="BE71" s="48"/>
      <c r="BF71" s="48"/>
      <c r="BG71" s="88"/>
      <c r="BH71" s="79"/>
      <c r="BI71" s="81"/>
      <c r="BJ71" s="48"/>
      <c r="BK71" s="76"/>
      <c r="BL71" s="48"/>
      <c r="BM71" s="110"/>
      <c r="BN71" s="109"/>
      <c r="BO71" s="109"/>
      <c r="BP71" s="121"/>
      <c r="BQ71" s="109"/>
    </row>
    <row r="72" spans="36:69" s="2" customFormat="1" hidden="1">
      <c r="AJ72" s="123"/>
      <c r="AK72" s="48"/>
      <c r="AL72" s="48"/>
      <c r="AM72" s="87"/>
      <c r="AN72" s="48"/>
      <c r="AO72" s="48"/>
      <c r="AP72" s="48"/>
      <c r="AQ72" s="48"/>
      <c r="AR72" s="66"/>
      <c r="AS72" s="66"/>
      <c r="AT72" s="48"/>
      <c r="AU72" s="66"/>
      <c r="AV72" s="48"/>
      <c r="AW72" s="67"/>
      <c r="AX72" s="48"/>
      <c r="AY72" s="48"/>
      <c r="AZ72" s="48"/>
      <c r="BA72" s="68"/>
      <c r="BB72" s="48"/>
      <c r="BC72" s="48"/>
      <c r="BD72" s="68"/>
      <c r="BE72" s="48"/>
      <c r="BF72" s="48"/>
      <c r="BG72" s="88"/>
      <c r="BH72" s="79"/>
      <c r="BI72" s="81"/>
      <c r="BJ72" s="48"/>
      <c r="BK72" s="76"/>
      <c r="BL72" s="48"/>
      <c r="BM72" s="110"/>
      <c r="BN72" s="109"/>
      <c r="BO72" s="109"/>
      <c r="BP72" s="121"/>
      <c r="BQ72" s="109"/>
    </row>
    <row r="73" spans="36:69" s="2" customFormat="1" hidden="1">
      <c r="AJ73" s="123"/>
      <c r="AK73" s="48"/>
      <c r="AL73" s="48"/>
      <c r="AM73" s="87"/>
      <c r="AN73" s="48"/>
      <c r="AO73" s="48"/>
      <c r="AP73" s="48"/>
      <c r="AQ73" s="48"/>
      <c r="AR73" s="66"/>
      <c r="AS73" s="66"/>
      <c r="AT73" s="48"/>
      <c r="AU73" s="66"/>
      <c r="AV73" s="48"/>
      <c r="AW73" s="67"/>
      <c r="AX73" s="48"/>
      <c r="AY73" s="48"/>
      <c r="AZ73" s="48"/>
      <c r="BA73" s="68"/>
      <c r="BB73" s="48"/>
      <c r="BC73" s="48"/>
      <c r="BD73" s="68"/>
      <c r="BE73" s="48"/>
      <c r="BF73" s="48"/>
      <c r="BG73" s="88"/>
      <c r="BH73" s="79"/>
      <c r="BI73" s="81"/>
      <c r="BJ73" s="48"/>
      <c r="BK73" s="76"/>
      <c r="BL73" s="48"/>
      <c r="BM73" s="110"/>
      <c r="BN73" s="109"/>
      <c r="BO73" s="109"/>
      <c r="BP73" s="121"/>
      <c r="BQ73" s="109"/>
    </row>
    <row r="74" spans="36:69" s="2" customFormat="1" hidden="1">
      <c r="AJ74" s="123"/>
      <c r="AK74" s="48"/>
      <c r="AL74" s="48"/>
      <c r="AM74" s="87"/>
      <c r="AN74" s="48"/>
      <c r="AO74" s="48"/>
      <c r="AP74" s="48"/>
      <c r="AQ74" s="48"/>
      <c r="AR74" s="66"/>
      <c r="AS74" s="66"/>
      <c r="AT74" s="48"/>
      <c r="AU74" s="66"/>
      <c r="AV74" s="48"/>
      <c r="AW74" s="67"/>
      <c r="AX74" s="48"/>
      <c r="AY74" s="48"/>
      <c r="AZ74" s="48"/>
      <c r="BA74" s="68"/>
      <c r="BB74" s="48"/>
      <c r="BC74" s="48"/>
      <c r="BD74" s="68"/>
      <c r="BE74" s="48"/>
      <c r="BF74" s="48"/>
      <c r="BG74" s="88"/>
      <c r="BH74" s="79"/>
      <c r="BI74" s="81"/>
      <c r="BJ74" s="48"/>
      <c r="BK74" s="76"/>
      <c r="BL74" s="48"/>
      <c r="BM74" s="110"/>
      <c r="BN74" s="109"/>
      <c r="BO74" s="109"/>
      <c r="BP74" s="121"/>
      <c r="BQ74" s="109"/>
    </row>
    <row r="75" spans="36:69" s="2" customFormat="1" hidden="1">
      <c r="AJ75" s="123"/>
      <c r="AK75" s="48"/>
      <c r="AL75" s="48"/>
      <c r="AM75" s="87"/>
      <c r="AN75" s="48"/>
      <c r="AO75" s="48"/>
      <c r="AP75" s="48"/>
      <c r="AQ75" s="48"/>
      <c r="AR75" s="66"/>
      <c r="AS75" s="66"/>
      <c r="AT75" s="48"/>
      <c r="AU75" s="66"/>
      <c r="AV75" s="48"/>
      <c r="AW75" s="67"/>
      <c r="AX75" s="48"/>
      <c r="AY75" s="48"/>
      <c r="AZ75" s="48"/>
      <c r="BA75" s="68"/>
      <c r="BB75" s="48"/>
      <c r="BC75" s="48"/>
      <c r="BD75" s="68"/>
      <c r="BE75" s="48"/>
      <c r="BF75" s="48"/>
      <c r="BG75" s="88"/>
      <c r="BH75" s="79"/>
      <c r="BI75" s="81"/>
      <c r="BJ75" s="48"/>
      <c r="BK75" s="76"/>
      <c r="BL75" s="48"/>
      <c r="BM75" s="110"/>
      <c r="BN75" s="109"/>
      <c r="BO75" s="109"/>
      <c r="BP75" s="121"/>
      <c r="BQ75" s="109"/>
    </row>
    <row r="76" spans="36:69" s="2" customFormat="1" hidden="1">
      <c r="AJ76" s="123"/>
      <c r="AK76" s="48"/>
      <c r="AL76" s="48"/>
      <c r="AM76" s="87"/>
      <c r="AN76" s="48"/>
      <c r="AO76" s="48"/>
      <c r="AP76" s="48"/>
      <c r="AQ76" s="48"/>
      <c r="AR76" s="66"/>
      <c r="AS76" s="66"/>
      <c r="AT76" s="48"/>
      <c r="AU76" s="66"/>
      <c r="AV76" s="48"/>
      <c r="AW76" s="67"/>
      <c r="AX76" s="48"/>
      <c r="AY76" s="48"/>
      <c r="AZ76" s="48"/>
      <c r="BA76" s="68"/>
      <c r="BB76" s="48"/>
      <c r="BC76" s="48"/>
      <c r="BD76" s="68"/>
      <c r="BE76" s="48"/>
      <c r="BF76" s="48"/>
      <c r="BG76" s="88"/>
      <c r="BH76" s="79"/>
      <c r="BI76" s="81"/>
      <c r="BJ76" s="48"/>
      <c r="BK76" s="76"/>
      <c r="BL76" s="48"/>
      <c r="BM76" s="110"/>
      <c r="BN76" s="109"/>
      <c r="BO76" s="109"/>
      <c r="BP76" s="121"/>
      <c r="BQ76" s="109"/>
    </row>
    <row r="77" spans="36:69" s="2" customFormat="1" hidden="1">
      <c r="AJ77" s="123"/>
      <c r="AK77" s="48"/>
      <c r="AL77" s="48"/>
      <c r="AM77" s="87"/>
      <c r="AN77" s="48"/>
      <c r="AO77" s="48"/>
      <c r="AP77" s="48"/>
      <c r="AQ77" s="48"/>
      <c r="AR77" s="66"/>
      <c r="AS77" s="66"/>
      <c r="AT77" s="48"/>
      <c r="AU77" s="66"/>
      <c r="AV77" s="48"/>
      <c r="AW77" s="67"/>
      <c r="AX77" s="48"/>
      <c r="AY77" s="48"/>
      <c r="AZ77" s="48"/>
      <c r="BA77" s="68"/>
      <c r="BB77" s="48"/>
      <c r="BC77" s="48"/>
      <c r="BD77" s="68"/>
      <c r="BE77" s="48"/>
      <c r="BF77" s="48"/>
      <c r="BG77" s="88"/>
      <c r="BH77" s="79"/>
      <c r="BI77" s="81"/>
      <c r="BJ77" s="48"/>
      <c r="BK77" s="76"/>
      <c r="BL77" s="48"/>
      <c r="BM77" s="110"/>
      <c r="BN77" s="109"/>
      <c r="BO77" s="109"/>
      <c r="BP77" s="121"/>
      <c r="BQ77" s="109"/>
    </row>
    <row r="78" spans="36:69" s="2" customFormat="1" hidden="1">
      <c r="AJ78" s="123"/>
      <c r="AK78" s="48"/>
      <c r="AL78" s="48"/>
      <c r="AM78" s="87"/>
      <c r="AN78" s="48"/>
      <c r="AO78" s="48"/>
      <c r="AP78" s="48"/>
      <c r="AQ78" s="48"/>
      <c r="AR78" s="66"/>
      <c r="AS78" s="66"/>
      <c r="AT78" s="48"/>
      <c r="AU78" s="66"/>
      <c r="AV78" s="48"/>
      <c r="AW78" s="67"/>
      <c r="AX78" s="48"/>
      <c r="AY78" s="48"/>
      <c r="AZ78" s="48"/>
      <c r="BA78" s="68"/>
      <c r="BB78" s="48"/>
      <c r="BC78" s="48"/>
      <c r="BD78" s="68"/>
      <c r="BE78" s="48"/>
      <c r="BF78" s="48"/>
      <c r="BG78" s="88"/>
      <c r="BH78" s="79"/>
      <c r="BI78" s="81"/>
      <c r="BJ78" s="48"/>
      <c r="BK78" s="76"/>
      <c r="BL78" s="48"/>
      <c r="BM78" s="110"/>
      <c r="BN78" s="109"/>
      <c r="BO78" s="109"/>
      <c r="BP78" s="121"/>
      <c r="BQ78" s="109"/>
    </row>
    <row r="79" spans="36:69" s="2" customFormat="1" hidden="1">
      <c r="AJ79" s="123"/>
      <c r="AK79" s="48"/>
      <c r="AL79" s="48"/>
      <c r="AM79" s="87"/>
      <c r="AN79" s="48"/>
      <c r="AO79" s="48"/>
      <c r="AP79" s="48"/>
      <c r="AQ79" s="48"/>
      <c r="AR79" s="66"/>
      <c r="AS79" s="66"/>
      <c r="AT79" s="48"/>
      <c r="AU79" s="66"/>
      <c r="AV79" s="48"/>
      <c r="AW79" s="67"/>
      <c r="AX79" s="48"/>
      <c r="AY79" s="48"/>
      <c r="AZ79" s="48"/>
      <c r="BA79" s="68"/>
      <c r="BB79" s="48"/>
      <c r="BC79" s="48"/>
      <c r="BD79" s="68"/>
      <c r="BE79" s="48"/>
      <c r="BF79" s="48"/>
      <c r="BG79" s="88"/>
      <c r="BH79" s="79"/>
      <c r="BI79" s="81"/>
      <c r="BJ79" s="48"/>
      <c r="BK79" s="76"/>
      <c r="BL79" s="48"/>
      <c r="BM79" s="110"/>
      <c r="BN79" s="109"/>
      <c r="BO79" s="109"/>
      <c r="BP79" s="121"/>
      <c r="BQ79" s="109"/>
    </row>
    <row r="80" spans="36:69" s="2" customFormat="1" hidden="1">
      <c r="AJ80" s="123"/>
      <c r="AK80" s="48"/>
      <c r="AL80" s="48"/>
      <c r="AM80" s="87"/>
      <c r="AN80" s="48"/>
      <c r="AO80" s="48"/>
      <c r="AP80" s="48"/>
      <c r="AQ80" s="48"/>
      <c r="AR80" s="66"/>
      <c r="AS80" s="66"/>
      <c r="AT80" s="48"/>
      <c r="AU80" s="66"/>
      <c r="AV80" s="48"/>
      <c r="AW80" s="67"/>
      <c r="AX80" s="48"/>
      <c r="AY80" s="48"/>
      <c r="AZ80" s="48"/>
      <c r="BA80" s="68"/>
      <c r="BB80" s="48"/>
      <c r="BC80" s="48"/>
      <c r="BD80" s="68"/>
      <c r="BE80" s="48"/>
      <c r="BF80" s="48"/>
      <c r="BG80" s="88"/>
      <c r="BH80" s="79"/>
      <c r="BI80" s="81"/>
      <c r="BJ80" s="48"/>
      <c r="BK80" s="76"/>
      <c r="BL80" s="48"/>
      <c r="BM80" s="110"/>
      <c r="BN80" s="109"/>
      <c r="BO80" s="109"/>
      <c r="BP80" s="121"/>
      <c r="BQ80" s="109"/>
    </row>
    <row r="81" spans="36:69" s="2" customFormat="1" hidden="1">
      <c r="AJ81" s="123"/>
      <c r="AK81" s="48"/>
      <c r="AL81" s="48"/>
      <c r="AM81" s="87"/>
      <c r="AN81" s="48"/>
      <c r="AO81" s="48"/>
      <c r="AP81" s="48"/>
      <c r="AQ81" s="48"/>
      <c r="AR81" s="66"/>
      <c r="AS81" s="66"/>
      <c r="AT81" s="48"/>
      <c r="AU81" s="66"/>
      <c r="AV81" s="48"/>
      <c r="AW81" s="67"/>
      <c r="AX81" s="48"/>
      <c r="AY81" s="48"/>
      <c r="AZ81" s="48"/>
      <c r="BA81" s="68"/>
      <c r="BB81" s="48"/>
      <c r="BC81" s="48"/>
      <c r="BD81" s="68"/>
      <c r="BE81" s="48"/>
      <c r="BF81" s="48"/>
      <c r="BG81" s="88"/>
      <c r="BH81" s="79"/>
      <c r="BI81" s="81"/>
      <c r="BJ81" s="48"/>
      <c r="BK81" s="76"/>
      <c r="BL81" s="48"/>
      <c r="BM81" s="110"/>
      <c r="BN81" s="109"/>
      <c r="BO81" s="109"/>
      <c r="BP81" s="121"/>
      <c r="BQ81" s="109"/>
    </row>
    <row r="82" spans="36:69" s="2" customFormat="1" hidden="1">
      <c r="AJ82" s="123"/>
      <c r="AK82" s="48"/>
      <c r="AL82" s="48"/>
      <c r="AM82" s="87"/>
      <c r="AN82" s="48"/>
      <c r="AO82" s="48"/>
      <c r="AP82" s="48"/>
      <c r="AQ82" s="48"/>
      <c r="AR82" s="66"/>
      <c r="AS82" s="66"/>
      <c r="AT82" s="48"/>
      <c r="AU82" s="66"/>
      <c r="AV82" s="48"/>
      <c r="AW82" s="67"/>
      <c r="AX82" s="48"/>
      <c r="AY82" s="48"/>
      <c r="AZ82" s="48"/>
      <c r="BA82" s="68"/>
      <c r="BB82" s="48"/>
      <c r="BC82" s="48"/>
      <c r="BD82" s="68"/>
      <c r="BE82" s="48"/>
      <c r="BF82" s="48"/>
      <c r="BG82" s="88"/>
      <c r="BH82" s="79"/>
      <c r="BI82" s="81"/>
      <c r="BJ82" s="48"/>
      <c r="BK82" s="76"/>
      <c r="BL82" s="48"/>
      <c r="BM82" s="110"/>
      <c r="BN82" s="109"/>
      <c r="BO82" s="109"/>
      <c r="BP82" s="121"/>
      <c r="BQ82" s="109"/>
    </row>
    <row r="83" spans="36:69" s="2" customFormat="1" hidden="1">
      <c r="AJ83" s="123"/>
      <c r="AK83" s="48"/>
      <c r="AL83" s="48"/>
      <c r="AM83" s="87"/>
      <c r="AN83" s="48"/>
      <c r="AO83" s="48"/>
      <c r="AP83" s="48"/>
      <c r="AQ83" s="48"/>
      <c r="AR83" s="66"/>
      <c r="AS83" s="66"/>
      <c r="AT83" s="48"/>
      <c r="AU83" s="66"/>
      <c r="AV83" s="48"/>
      <c r="AW83" s="67"/>
      <c r="AX83" s="48"/>
      <c r="AY83" s="48"/>
      <c r="AZ83" s="48"/>
      <c r="BA83" s="68"/>
      <c r="BB83" s="48"/>
      <c r="BC83" s="48"/>
      <c r="BD83" s="68"/>
      <c r="BE83" s="48"/>
      <c r="BF83" s="48"/>
      <c r="BG83" s="88"/>
      <c r="BH83" s="79"/>
      <c r="BI83" s="81"/>
      <c r="BJ83" s="48"/>
      <c r="BK83" s="76"/>
      <c r="BL83" s="48"/>
      <c r="BM83" s="110"/>
      <c r="BN83" s="109"/>
      <c r="BO83" s="109"/>
      <c r="BP83" s="121"/>
      <c r="BQ83" s="109"/>
    </row>
    <row r="84" spans="36:69" s="2" customFormat="1" hidden="1">
      <c r="AJ84" s="123"/>
      <c r="AK84" s="48"/>
      <c r="AL84" s="48"/>
      <c r="AM84" s="87"/>
      <c r="AN84" s="48"/>
      <c r="AO84" s="48"/>
      <c r="AP84" s="48"/>
      <c r="AQ84" s="48"/>
      <c r="AR84" s="66"/>
      <c r="AS84" s="66"/>
      <c r="AT84" s="48"/>
      <c r="AU84" s="66"/>
      <c r="AV84" s="48"/>
      <c r="AW84" s="67"/>
      <c r="AX84" s="48"/>
      <c r="AY84" s="48"/>
      <c r="AZ84" s="48"/>
      <c r="BA84" s="68"/>
      <c r="BB84" s="48"/>
      <c r="BC84" s="48"/>
      <c r="BD84" s="68"/>
      <c r="BE84" s="48"/>
      <c r="BF84" s="48"/>
      <c r="BG84" s="88"/>
      <c r="BH84" s="79"/>
      <c r="BI84" s="81"/>
      <c r="BJ84" s="48"/>
      <c r="BK84" s="76"/>
      <c r="BL84" s="48"/>
      <c r="BM84" s="110"/>
      <c r="BN84" s="109"/>
      <c r="BO84" s="109"/>
      <c r="BP84" s="121"/>
      <c r="BQ84" s="109"/>
    </row>
    <row r="85" spans="36:69" s="2" customFormat="1" hidden="1">
      <c r="AJ85" s="123"/>
      <c r="AK85" s="48"/>
      <c r="AL85" s="48"/>
      <c r="AM85" s="87"/>
      <c r="AN85" s="48"/>
      <c r="AO85" s="48"/>
      <c r="AP85" s="48"/>
      <c r="AQ85" s="48"/>
      <c r="AR85" s="66"/>
      <c r="AS85" s="66"/>
      <c r="AT85" s="48"/>
      <c r="AU85" s="66"/>
      <c r="AV85" s="48"/>
      <c r="AW85" s="67"/>
      <c r="AX85" s="48"/>
      <c r="AY85" s="48"/>
      <c r="AZ85" s="48"/>
      <c r="BA85" s="68"/>
      <c r="BB85" s="48"/>
      <c r="BC85" s="48"/>
      <c r="BD85" s="68"/>
      <c r="BE85" s="48"/>
      <c r="BF85" s="48"/>
      <c r="BG85" s="88"/>
      <c r="BH85" s="79"/>
      <c r="BI85" s="81"/>
      <c r="BJ85" s="48"/>
      <c r="BK85" s="76"/>
      <c r="BL85" s="48"/>
      <c r="BM85" s="110"/>
      <c r="BN85" s="109"/>
      <c r="BO85" s="109"/>
      <c r="BP85" s="121"/>
      <c r="BQ85" s="109"/>
    </row>
    <row r="86" spans="36:69" s="2" customFormat="1" hidden="1">
      <c r="AJ86" s="123"/>
      <c r="AK86" s="48"/>
      <c r="AL86" s="48"/>
      <c r="AM86" s="87"/>
      <c r="AN86" s="48"/>
      <c r="AO86" s="48"/>
      <c r="AP86" s="48"/>
      <c r="AQ86" s="48"/>
      <c r="AR86" s="66"/>
      <c r="AS86" s="66"/>
      <c r="AT86" s="48"/>
      <c r="AU86" s="66"/>
      <c r="AV86" s="48"/>
      <c r="AW86" s="67"/>
      <c r="AX86" s="48"/>
      <c r="AY86" s="48"/>
      <c r="AZ86" s="48"/>
      <c r="BA86" s="68"/>
      <c r="BB86" s="48"/>
      <c r="BC86" s="48"/>
      <c r="BD86" s="68"/>
      <c r="BE86" s="48"/>
      <c r="BF86" s="48"/>
      <c r="BG86" s="88"/>
      <c r="BH86" s="79"/>
      <c r="BI86" s="81"/>
      <c r="BJ86" s="48"/>
      <c r="BK86" s="76"/>
      <c r="BL86" s="48"/>
      <c r="BM86" s="110"/>
      <c r="BN86" s="109"/>
      <c r="BO86" s="109"/>
      <c r="BP86" s="121"/>
      <c r="BQ86" s="109"/>
    </row>
    <row r="87" spans="36:69" s="2" customFormat="1" hidden="1">
      <c r="AJ87" s="123"/>
      <c r="AK87" s="48"/>
      <c r="AL87" s="48"/>
      <c r="AM87" s="87"/>
      <c r="AN87" s="48"/>
      <c r="AO87" s="48"/>
      <c r="AP87" s="48"/>
      <c r="AQ87" s="48"/>
      <c r="AR87" s="66"/>
      <c r="AS87" s="66"/>
      <c r="AT87" s="48"/>
      <c r="AU87" s="66"/>
      <c r="AV87" s="48"/>
      <c r="AW87" s="67"/>
      <c r="AX87" s="48"/>
      <c r="AY87" s="48"/>
      <c r="AZ87" s="48"/>
      <c r="BA87" s="68"/>
      <c r="BB87" s="48"/>
      <c r="BC87" s="48"/>
      <c r="BD87" s="68"/>
      <c r="BE87" s="48"/>
      <c r="BF87" s="48"/>
      <c r="BG87" s="88"/>
      <c r="BH87" s="79"/>
      <c r="BI87" s="81"/>
      <c r="BJ87" s="48"/>
      <c r="BK87" s="76"/>
      <c r="BL87" s="48"/>
      <c r="BM87" s="110"/>
      <c r="BN87" s="109"/>
      <c r="BO87" s="109"/>
      <c r="BP87" s="121"/>
      <c r="BQ87" s="109"/>
    </row>
    <row r="88" spans="36:69" s="2" customFormat="1" hidden="1">
      <c r="AJ88" s="123"/>
      <c r="AK88" s="48"/>
      <c r="AL88" s="48"/>
      <c r="AM88" s="87"/>
      <c r="AN88" s="48"/>
      <c r="AO88" s="48"/>
      <c r="AP88" s="48"/>
      <c r="AQ88" s="48"/>
      <c r="AR88" s="66"/>
      <c r="AS88" s="66"/>
      <c r="AT88" s="48"/>
      <c r="AU88" s="66"/>
      <c r="AV88" s="48"/>
      <c r="AW88" s="67"/>
      <c r="AX88" s="48"/>
      <c r="AY88" s="48"/>
      <c r="AZ88" s="48"/>
      <c r="BA88" s="68"/>
      <c r="BB88" s="48"/>
      <c r="BC88" s="48"/>
      <c r="BD88" s="68"/>
      <c r="BE88" s="48"/>
      <c r="BF88" s="48"/>
      <c r="BG88" s="88"/>
      <c r="BH88" s="79"/>
      <c r="BI88" s="81"/>
      <c r="BJ88" s="48"/>
      <c r="BK88" s="76"/>
      <c r="BL88" s="48"/>
      <c r="BM88" s="110"/>
      <c r="BN88" s="109"/>
      <c r="BO88" s="109"/>
      <c r="BP88" s="121"/>
      <c r="BQ88" s="109"/>
    </row>
    <row r="89" spans="36:69" s="2" customFormat="1" hidden="1">
      <c r="AJ89" s="123"/>
      <c r="AK89" s="48"/>
      <c r="AL89" s="48"/>
      <c r="AM89" s="87"/>
      <c r="AN89" s="48"/>
      <c r="AO89" s="48"/>
      <c r="AP89" s="48"/>
      <c r="AQ89" s="48"/>
      <c r="AR89" s="66"/>
      <c r="AS89" s="66"/>
      <c r="AT89" s="48"/>
      <c r="AU89" s="66"/>
      <c r="AV89" s="48"/>
      <c r="AW89" s="67"/>
      <c r="AX89" s="48"/>
      <c r="AY89" s="48"/>
      <c r="AZ89" s="48"/>
      <c r="BA89" s="68"/>
      <c r="BB89" s="48"/>
      <c r="BC89" s="48"/>
      <c r="BD89" s="68"/>
      <c r="BE89" s="48"/>
      <c r="BF89" s="48"/>
      <c r="BG89" s="88"/>
      <c r="BH89" s="79"/>
      <c r="BI89" s="81"/>
      <c r="BJ89" s="48"/>
      <c r="BK89" s="76"/>
      <c r="BL89" s="48"/>
      <c r="BM89" s="110"/>
      <c r="BN89" s="109"/>
      <c r="BO89" s="109"/>
      <c r="BP89" s="121"/>
      <c r="BQ89" s="109"/>
    </row>
    <row r="90" spans="36:69" s="2" customFormat="1" hidden="1">
      <c r="AJ90" s="123"/>
      <c r="AK90" s="48"/>
      <c r="AL90" s="48"/>
      <c r="AM90" s="87"/>
      <c r="AN90" s="48"/>
      <c r="AO90" s="48"/>
      <c r="AP90" s="48"/>
      <c r="AQ90" s="48"/>
      <c r="AR90" s="66"/>
      <c r="AS90" s="66"/>
      <c r="AT90" s="48"/>
      <c r="AU90" s="66"/>
      <c r="AV90" s="48"/>
      <c r="AW90" s="67"/>
      <c r="AX90" s="48"/>
      <c r="AY90" s="48"/>
      <c r="AZ90" s="48"/>
      <c r="BA90" s="68"/>
      <c r="BB90" s="48"/>
      <c r="BC90" s="48"/>
      <c r="BD90" s="68"/>
      <c r="BE90" s="48"/>
      <c r="BF90" s="48"/>
      <c r="BG90" s="88"/>
      <c r="BH90" s="79"/>
      <c r="BI90" s="81"/>
      <c r="BJ90" s="48"/>
      <c r="BK90" s="76"/>
      <c r="BL90" s="48"/>
      <c r="BM90" s="110"/>
      <c r="BN90" s="109"/>
      <c r="BO90" s="109"/>
      <c r="BP90" s="121"/>
      <c r="BQ90" s="109"/>
    </row>
    <row r="91" spans="36:69" s="2" customFormat="1" hidden="1">
      <c r="AJ91" s="123"/>
      <c r="AK91" s="48"/>
      <c r="AL91" s="48"/>
      <c r="AM91" s="87"/>
      <c r="AN91" s="48"/>
      <c r="AO91" s="48"/>
      <c r="AP91" s="48"/>
      <c r="AQ91" s="48"/>
      <c r="AR91" s="66"/>
      <c r="AS91" s="66"/>
      <c r="AT91" s="48"/>
      <c r="AU91" s="66"/>
      <c r="AV91" s="48"/>
      <c r="AW91" s="67"/>
      <c r="AX91" s="48"/>
      <c r="AY91" s="48"/>
      <c r="AZ91" s="48"/>
      <c r="BA91" s="68"/>
      <c r="BB91" s="48"/>
      <c r="BC91" s="48"/>
      <c r="BD91" s="68"/>
      <c r="BE91" s="48"/>
      <c r="BF91" s="48"/>
      <c r="BG91" s="88"/>
      <c r="BH91" s="79"/>
      <c r="BI91" s="81"/>
      <c r="BJ91" s="48"/>
      <c r="BK91" s="76"/>
      <c r="BL91" s="48"/>
      <c r="BM91" s="110"/>
      <c r="BN91" s="109"/>
      <c r="BO91" s="109"/>
      <c r="BP91" s="121"/>
      <c r="BQ91" s="109"/>
    </row>
    <row r="92" spans="36:69" s="2" customFormat="1" hidden="1">
      <c r="AJ92" s="123"/>
      <c r="AK92" s="48"/>
      <c r="AL92" s="48"/>
      <c r="AM92" s="87"/>
      <c r="AN92" s="48"/>
      <c r="AO92" s="48"/>
      <c r="AP92" s="48"/>
      <c r="AQ92" s="48"/>
      <c r="AR92" s="66"/>
      <c r="AS92" s="66"/>
      <c r="AT92" s="48"/>
      <c r="AU92" s="66"/>
      <c r="AV92" s="48"/>
      <c r="AW92" s="67"/>
      <c r="AX92" s="48"/>
      <c r="AY92" s="48"/>
      <c r="AZ92" s="48"/>
      <c r="BA92" s="68"/>
      <c r="BB92" s="48"/>
      <c r="BC92" s="48"/>
      <c r="BD92" s="68"/>
      <c r="BE92" s="48"/>
      <c r="BF92" s="48"/>
      <c r="BG92" s="88"/>
      <c r="BH92" s="79"/>
      <c r="BI92" s="81"/>
      <c r="BJ92" s="48"/>
      <c r="BK92" s="76"/>
      <c r="BL92" s="48"/>
      <c r="BM92" s="110"/>
      <c r="BN92" s="109"/>
      <c r="BO92" s="109"/>
      <c r="BP92" s="121"/>
      <c r="BQ92" s="109"/>
    </row>
    <row r="93" spans="36:69" s="2" customFormat="1" hidden="1">
      <c r="AJ93" s="123"/>
      <c r="AK93" s="48"/>
      <c r="AL93" s="48"/>
      <c r="AM93" s="87"/>
      <c r="AN93" s="48"/>
      <c r="AO93" s="48"/>
      <c r="AP93" s="48"/>
      <c r="AQ93" s="48"/>
      <c r="AR93" s="66"/>
      <c r="AS93" s="66"/>
      <c r="AT93" s="48"/>
      <c r="AU93" s="66"/>
      <c r="AV93" s="48"/>
      <c r="AW93" s="67"/>
      <c r="AX93" s="48"/>
      <c r="AY93" s="48"/>
      <c r="AZ93" s="48"/>
      <c r="BA93" s="68"/>
      <c r="BB93" s="48"/>
      <c r="BC93" s="48"/>
      <c r="BD93" s="68"/>
      <c r="BE93" s="48"/>
      <c r="BF93" s="48"/>
      <c r="BG93" s="88"/>
      <c r="BH93" s="79"/>
      <c r="BI93" s="81"/>
      <c r="BJ93" s="48"/>
      <c r="BK93" s="76"/>
      <c r="BL93" s="48"/>
      <c r="BM93" s="110"/>
      <c r="BN93" s="109"/>
      <c r="BO93" s="109"/>
      <c r="BP93" s="121"/>
      <c r="BQ93" s="109"/>
    </row>
    <row r="94" spans="36:69" s="2" customFormat="1" hidden="1">
      <c r="AJ94" s="123"/>
      <c r="AK94" s="48"/>
      <c r="AL94" s="48"/>
      <c r="AM94" s="87"/>
      <c r="AN94" s="48"/>
      <c r="AO94" s="48"/>
      <c r="AP94" s="48"/>
      <c r="AQ94" s="48"/>
      <c r="AR94" s="66"/>
      <c r="AS94" s="66"/>
      <c r="AT94" s="48"/>
      <c r="AU94" s="66"/>
      <c r="AV94" s="48"/>
      <c r="AW94" s="67"/>
      <c r="AX94" s="48"/>
      <c r="AY94" s="48"/>
      <c r="AZ94" s="48"/>
      <c r="BA94" s="68"/>
      <c r="BB94" s="48"/>
      <c r="BC94" s="48"/>
      <c r="BD94" s="68"/>
      <c r="BE94" s="48"/>
      <c r="BF94" s="48"/>
      <c r="BG94" s="88"/>
      <c r="BH94" s="79"/>
      <c r="BI94" s="81"/>
      <c r="BJ94" s="48"/>
      <c r="BK94" s="76"/>
      <c r="BL94" s="48"/>
      <c r="BM94" s="110"/>
      <c r="BN94" s="109"/>
      <c r="BO94" s="109"/>
      <c r="BP94" s="121"/>
      <c r="BQ94" s="109"/>
    </row>
    <row r="95" spans="36:69" s="2" customFormat="1" hidden="1">
      <c r="AJ95" s="123"/>
      <c r="AK95" s="48"/>
      <c r="AL95" s="48"/>
      <c r="AM95" s="87"/>
      <c r="AN95" s="48"/>
      <c r="AO95" s="48"/>
      <c r="AP95" s="48"/>
      <c r="AQ95" s="48"/>
      <c r="AR95" s="66"/>
      <c r="AS95" s="66"/>
      <c r="AT95" s="48"/>
      <c r="AU95" s="66"/>
      <c r="AV95" s="48"/>
      <c r="AW95" s="67"/>
      <c r="AX95" s="48"/>
      <c r="AY95" s="48"/>
      <c r="AZ95" s="48"/>
      <c r="BA95" s="68"/>
      <c r="BB95" s="48"/>
      <c r="BC95" s="48"/>
      <c r="BD95" s="68"/>
      <c r="BE95" s="48"/>
      <c r="BF95" s="48"/>
      <c r="BG95" s="88"/>
      <c r="BH95" s="79"/>
      <c r="BI95" s="81"/>
      <c r="BJ95" s="48"/>
      <c r="BK95" s="76"/>
      <c r="BL95" s="48"/>
      <c r="BM95" s="110"/>
      <c r="BN95" s="109"/>
      <c r="BO95" s="109"/>
      <c r="BP95" s="121"/>
      <c r="BQ95" s="109"/>
    </row>
    <row r="96" spans="36:69" s="2" customFormat="1" ht="15.75" hidden="1" thickBot="1">
      <c r="AJ96" s="123"/>
      <c r="AK96" s="48"/>
      <c r="AL96" s="48"/>
      <c r="AM96" s="89"/>
      <c r="AN96" s="90"/>
      <c r="AO96" s="90"/>
      <c r="AP96" s="90"/>
      <c r="AQ96" s="90"/>
      <c r="AR96" s="472"/>
      <c r="AS96" s="472"/>
      <c r="AT96" s="90"/>
      <c r="AU96" s="472"/>
      <c r="AV96" s="90"/>
      <c r="AW96" s="473"/>
      <c r="AX96" s="90"/>
      <c r="AY96" s="90"/>
      <c r="AZ96" s="90"/>
      <c r="BA96" s="474"/>
      <c r="BB96" s="90"/>
      <c r="BC96" s="90"/>
      <c r="BD96" s="474"/>
      <c r="BE96" s="90"/>
      <c r="BF96" s="90"/>
      <c r="BG96" s="94"/>
      <c r="BH96" s="79"/>
      <c r="BI96" s="81"/>
      <c r="BJ96" s="48"/>
      <c r="BK96" s="76"/>
      <c r="BL96" s="48"/>
      <c r="BM96" s="110"/>
      <c r="BN96" s="109"/>
      <c r="BO96" s="109"/>
      <c r="BP96" s="121"/>
      <c r="BQ96" s="109"/>
    </row>
    <row r="97" spans="3:69" s="2" customFormat="1">
      <c r="AJ97" s="123"/>
      <c r="AK97" s="48"/>
      <c r="AL97" s="48"/>
      <c r="AM97" s="48"/>
      <c r="AN97" s="48"/>
      <c r="AO97" s="48"/>
      <c r="AP97" s="48"/>
      <c r="AQ97" s="48"/>
      <c r="AR97" s="66"/>
      <c r="AS97" s="66"/>
      <c r="AT97" s="48"/>
      <c r="AU97" s="66"/>
      <c r="AV97" s="48"/>
      <c r="AW97" s="67"/>
      <c r="AX97" s="48"/>
      <c r="AY97" s="48"/>
      <c r="AZ97" s="48"/>
      <c r="BA97" s="68"/>
      <c r="BB97" s="48"/>
      <c r="BC97" s="48"/>
      <c r="BD97" s="68"/>
      <c r="BE97" s="48"/>
      <c r="BF97" s="48"/>
      <c r="BG97" s="48"/>
      <c r="BH97" s="79"/>
      <c r="BI97" s="81"/>
      <c r="BJ97" s="48"/>
      <c r="BK97" s="76"/>
      <c r="BL97" s="48"/>
      <c r="BM97" s="110"/>
      <c r="BN97" s="109"/>
      <c r="BO97" s="109"/>
      <c r="BP97" s="121"/>
      <c r="BQ97" s="109"/>
    </row>
    <row r="98" spans="3:69">
      <c r="AK98" s="98"/>
      <c r="AL98" s="98"/>
      <c r="AM98" s="98"/>
      <c r="AN98" s="98"/>
      <c r="AO98" s="98"/>
      <c r="AP98" s="98"/>
      <c r="AQ98" s="98"/>
      <c r="AR98" s="98"/>
      <c r="AS98" s="98"/>
      <c r="AT98" s="98"/>
      <c r="AU98" s="98"/>
      <c r="AV98" s="98"/>
      <c r="AW98" s="98"/>
      <c r="AX98" s="98"/>
      <c r="AY98" s="98"/>
      <c r="AZ98" s="98"/>
      <c r="BA98" s="98"/>
      <c r="BB98" s="98"/>
      <c r="BC98" s="98"/>
      <c r="BD98" s="98"/>
      <c r="BE98" s="98"/>
      <c r="BF98" s="98"/>
      <c r="BG98" s="98"/>
      <c r="BH98" s="98"/>
      <c r="BI98" s="98"/>
      <c r="BJ98" s="95"/>
      <c r="BK98" s="95"/>
      <c r="BL98" s="95"/>
      <c r="BM98" s="99"/>
      <c r="BN98" s="100"/>
      <c r="BO98" s="100"/>
      <c r="BP98" s="116"/>
    </row>
    <row r="99" spans="3:69" ht="15.75" thickBot="1">
      <c r="AK99" s="101"/>
      <c r="AL99" s="101"/>
      <c r="AM99" s="101"/>
      <c r="AN99" s="101"/>
      <c r="AO99" s="101"/>
      <c r="AP99" s="101"/>
      <c r="AQ99" s="101"/>
      <c r="AR99" s="101"/>
      <c r="AS99" s="101"/>
      <c r="AT99" s="101"/>
      <c r="AU99" s="101"/>
      <c r="AV99" s="101"/>
      <c r="AW99" s="101"/>
      <c r="AX99" s="101"/>
      <c r="AY99" s="101"/>
      <c r="AZ99" s="101"/>
      <c r="BA99" s="101"/>
      <c r="BB99" s="101"/>
      <c r="BC99" s="101"/>
      <c r="BD99" s="101"/>
      <c r="BE99" s="101"/>
      <c r="BF99" s="101"/>
      <c r="BG99" s="101"/>
      <c r="BH99" s="98"/>
      <c r="BI99" s="4"/>
      <c r="BJ99" s="98"/>
      <c r="BK99" s="98"/>
      <c r="BL99" s="98"/>
      <c r="BM99" s="99"/>
      <c r="BN99" s="100"/>
      <c r="BO99" s="100"/>
      <c r="BP99" s="116"/>
    </row>
    <row r="100" spans="3:69">
      <c r="AJ100" s="123">
        <v>2</v>
      </c>
      <c r="AK100" s="96"/>
      <c r="AL100" s="97"/>
      <c r="AM100" s="463"/>
      <c r="AN100" s="464"/>
      <c r="AO100" s="464"/>
      <c r="AP100" s="464"/>
      <c r="AQ100" s="465"/>
      <c r="AR100" s="466"/>
      <c r="AS100" s="464"/>
      <c r="AT100" s="465"/>
      <c r="AU100" s="467"/>
      <c r="AV100" s="468"/>
      <c r="AW100" s="468"/>
      <c r="AX100" s="468"/>
      <c r="AY100" s="468"/>
      <c r="AZ100" s="469"/>
      <c r="BA100" s="470"/>
      <c r="BB100" s="470"/>
      <c r="BC100" s="469"/>
      <c r="BD100" s="470"/>
      <c r="BE100" s="468"/>
      <c r="BF100" s="470"/>
      <c r="BG100" s="471"/>
      <c r="BH100" s="83"/>
      <c r="BI100" s="83"/>
      <c r="BJ100" s="84"/>
      <c r="BK100" s="85"/>
      <c r="BL100" s="86"/>
      <c r="BM100" s="102"/>
      <c r="BN100" s="100"/>
      <c r="BO100" s="100"/>
      <c r="BP100" s="116"/>
    </row>
    <row r="101" spans="3:69">
      <c r="AK101" s="87"/>
      <c r="AL101" s="48"/>
      <c r="AM101" s="87"/>
      <c r="AN101" s="48"/>
      <c r="AO101" s="48"/>
      <c r="AP101" s="48"/>
      <c r="AQ101" s="48"/>
      <c r="AR101" s="66"/>
      <c r="AS101" s="66"/>
      <c r="AT101" s="48"/>
      <c r="AU101" s="66"/>
      <c r="AV101" s="48"/>
      <c r="AW101" s="67"/>
      <c r="AX101" s="48"/>
      <c r="AY101" s="48"/>
      <c r="AZ101" s="48"/>
      <c r="BA101" s="68"/>
      <c r="BB101" s="48"/>
      <c r="BC101" s="48"/>
      <c r="BD101" s="68"/>
      <c r="BE101" s="48"/>
      <c r="BF101" s="48"/>
      <c r="BG101" s="88"/>
      <c r="BH101" s="44"/>
      <c r="BI101" s="45"/>
      <c r="BJ101" s="48"/>
      <c r="BK101" s="48"/>
      <c r="BL101" s="88"/>
      <c r="BM101" s="118" t="str">
        <f ca="1">IF(BJ101="","",IF(BM101="",NOW(),BM101))</f>
        <v/>
      </c>
      <c r="BN101" s="110"/>
      <c r="BO101" s="109" t="s">
        <v>83</v>
      </c>
      <c r="BP101" s="116"/>
    </row>
    <row r="102" spans="3:69">
      <c r="AK102" s="87"/>
      <c r="AL102" s="48"/>
      <c r="AM102" s="87"/>
      <c r="AN102" s="48"/>
      <c r="AO102" s="48"/>
      <c r="AP102" s="48"/>
      <c r="AQ102" s="48"/>
      <c r="AR102" s="66"/>
      <c r="AS102" s="66"/>
      <c r="AT102" s="48"/>
      <c r="AU102" s="66"/>
      <c r="AV102" s="48"/>
      <c r="AW102" s="67"/>
      <c r="AX102" s="48"/>
      <c r="AY102" s="48"/>
      <c r="AZ102" s="48"/>
      <c r="BA102" s="68"/>
      <c r="BB102" s="48"/>
      <c r="BC102" s="48"/>
      <c r="BD102" s="68"/>
      <c r="BE102" s="48"/>
      <c r="BF102" s="48"/>
      <c r="BG102" s="88"/>
      <c r="BH102" s="48"/>
      <c r="BI102" s="49"/>
      <c r="BJ102" s="48"/>
      <c r="BK102" s="48"/>
      <c r="BL102" s="88"/>
      <c r="BM102" s="110"/>
      <c r="BN102" s="111" t="s">
        <v>4</v>
      </c>
      <c r="BO102" s="111" t="s">
        <v>58</v>
      </c>
    </row>
    <row r="103" spans="3:69">
      <c r="AK103" s="87"/>
      <c r="AL103" s="48"/>
      <c r="AM103" s="87"/>
      <c r="AN103" s="48"/>
      <c r="AO103" s="48"/>
      <c r="AP103" s="48"/>
      <c r="AQ103" s="48"/>
      <c r="AR103" s="66"/>
      <c r="AS103" s="66"/>
      <c r="AT103" s="48"/>
      <c r="AU103" s="66"/>
      <c r="AV103" s="48"/>
      <c r="AW103" s="67"/>
      <c r="AX103" s="48"/>
      <c r="AY103" s="48"/>
      <c r="AZ103" s="48"/>
      <c r="BA103" s="68"/>
      <c r="BB103" s="48"/>
      <c r="BC103" s="48"/>
      <c r="BD103" s="68"/>
      <c r="BE103" s="48"/>
      <c r="BF103" s="48"/>
      <c r="BG103" s="88"/>
      <c r="BH103" s="44"/>
      <c r="BI103" s="45"/>
      <c r="BJ103" s="48"/>
      <c r="BK103" s="48"/>
      <c r="BL103" s="88"/>
      <c r="BM103" s="110" t="s">
        <v>51</v>
      </c>
      <c r="BN103" s="109">
        <f>BL106-BL62</f>
        <v>0</v>
      </c>
      <c r="BO103" s="112" t="e">
        <f>(BN103)/BL62</f>
        <v>#DIV/0!</v>
      </c>
    </row>
    <row r="104" spans="3:69">
      <c r="AK104" s="87"/>
      <c r="AL104" s="48"/>
      <c r="AM104" s="87"/>
      <c r="AN104" s="48"/>
      <c r="AO104" s="48"/>
      <c r="AP104" s="48"/>
      <c r="AQ104" s="48"/>
      <c r="AR104" s="66"/>
      <c r="AS104" s="66"/>
      <c r="AT104" s="48"/>
      <c r="AU104" s="66"/>
      <c r="AV104" s="48"/>
      <c r="AW104" s="67"/>
      <c r="AX104" s="48"/>
      <c r="AY104" s="48"/>
      <c r="AZ104" s="48"/>
      <c r="BA104" s="68"/>
      <c r="BB104" s="48"/>
      <c r="BC104" s="48"/>
      <c r="BD104" s="68"/>
      <c r="BE104" s="48"/>
      <c r="BF104" s="48"/>
      <c r="BG104" s="88"/>
      <c r="BH104" s="48"/>
      <c r="BI104" s="438"/>
      <c r="BJ104" s="48"/>
      <c r="BK104" s="48"/>
      <c r="BL104" s="88"/>
      <c r="BM104" s="110"/>
      <c r="BN104" s="109"/>
      <c r="BO104" s="109"/>
    </row>
    <row r="105" spans="3:69">
      <c r="AK105" s="87"/>
      <c r="AL105" s="48"/>
      <c r="AM105" s="87"/>
      <c r="AN105" s="48"/>
      <c r="AO105" s="48"/>
      <c r="AP105" s="48"/>
      <c r="AQ105" s="48"/>
      <c r="AR105" s="66"/>
      <c r="AS105" s="66"/>
      <c r="AT105" s="48"/>
      <c r="AU105" s="66"/>
      <c r="AV105" s="48"/>
      <c r="AW105" s="67"/>
      <c r="AX105" s="48"/>
      <c r="AY105" s="48"/>
      <c r="AZ105" s="48"/>
      <c r="BA105" s="68"/>
      <c r="BB105" s="48"/>
      <c r="BC105" s="48"/>
      <c r="BD105" s="68"/>
      <c r="BE105" s="48"/>
      <c r="BF105" s="48"/>
      <c r="BG105" s="88"/>
      <c r="BH105" s="48"/>
      <c r="BI105" s="48"/>
      <c r="BJ105" s="48"/>
      <c r="BK105" s="48"/>
      <c r="BL105" s="88"/>
      <c r="BM105" s="110" t="s">
        <v>80</v>
      </c>
      <c r="BN105" s="113">
        <f>BI106-BI62</f>
        <v>0</v>
      </c>
      <c r="BO105" s="112" t="e">
        <f>(BN105)/BI62</f>
        <v>#DIV/0!</v>
      </c>
    </row>
    <row r="106" spans="3:69">
      <c r="AK106" s="87"/>
      <c r="AL106" s="48"/>
      <c r="AM106" s="491"/>
      <c r="AN106" s="48"/>
      <c r="AO106" s="48"/>
      <c r="AP106" s="48"/>
      <c r="AQ106" s="48"/>
      <c r="AR106" s="66"/>
      <c r="AS106" s="66"/>
      <c r="AT106" s="48"/>
      <c r="AU106" s="66"/>
      <c r="AV106" s="48"/>
      <c r="AW106" s="67"/>
      <c r="AX106" s="48"/>
      <c r="AY106" s="48"/>
      <c r="AZ106" s="48"/>
      <c r="BA106" s="68"/>
      <c r="BB106" s="48"/>
      <c r="BC106" s="48"/>
      <c r="BD106" s="68"/>
      <c r="BE106" s="48"/>
      <c r="BF106" s="48"/>
      <c r="BG106" s="88"/>
      <c r="BH106" s="79"/>
      <c r="BI106" s="81"/>
      <c r="BJ106" s="48"/>
      <c r="BK106" s="76"/>
      <c r="BL106" s="88"/>
      <c r="BM106" s="110"/>
      <c r="BN106" s="109"/>
      <c r="BO106" s="109"/>
    </row>
    <row r="107" spans="3:69">
      <c r="AK107" s="87"/>
      <c r="AL107" s="48"/>
      <c r="AM107" s="87"/>
      <c r="AN107" s="48"/>
      <c r="AO107" s="48"/>
      <c r="AP107" s="48"/>
      <c r="AQ107" s="48"/>
      <c r="AR107" s="66"/>
      <c r="AS107" s="66"/>
      <c r="AT107" s="48"/>
      <c r="AU107" s="66"/>
      <c r="AV107" s="48"/>
      <c r="AW107" s="67"/>
      <c r="AX107" s="48"/>
      <c r="AY107" s="48"/>
      <c r="AZ107" s="48"/>
      <c r="BA107" s="68"/>
      <c r="BB107" s="48"/>
      <c r="BC107" s="48"/>
      <c r="BD107" s="68"/>
      <c r="BE107" s="48"/>
      <c r="BF107" s="48"/>
      <c r="BG107" s="88"/>
      <c r="BH107" s="80"/>
      <c r="BI107" s="82"/>
      <c r="BJ107" s="48"/>
      <c r="BK107" s="76"/>
      <c r="BL107" s="88"/>
      <c r="BM107" s="110" t="s">
        <v>77</v>
      </c>
      <c r="BN107" s="113">
        <f>BI108-BI64</f>
        <v>0</v>
      </c>
      <c r="BO107" s="112" t="e">
        <f>(BN107)/BI64</f>
        <v>#DIV/0!</v>
      </c>
    </row>
    <row r="108" spans="3:69" ht="15.75" thickBot="1">
      <c r="AK108" s="89"/>
      <c r="AL108" s="90"/>
      <c r="AM108" s="89"/>
      <c r="AN108" s="90"/>
      <c r="AO108" s="90"/>
      <c r="AP108" s="90"/>
      <c r="AQ108" s="90"/>
      <c r="AR108" s="472"/>
      <c r="AS108" s="472"/>
      <c r="AT108" s="90"/>
      <c r="AU108" s="472"/>
      <c r="AV108" s="90"/>
      <c r="AW108" s="473"/>
      <c r="AX108" s="90"/>
      <c r="AY108" s="90"/>
      <c r="AZ108" s="90"/>
      <c r="BA108" s="474"/>
      <c r="BB108" s="90"/>
      <c r="BC108" s="90"/>
      <c r="BD108" s="474"/>
      <c r="BE108" s="90"/>
      <c r="BF108" s="90"/>
      <c r="BG108" s="94"/>
      <c r="BH108" s="91"/>
      <c r="BI108" s="92"/>
      <c r="BJ108" s="90"/>
      <c r="BK108" s="93"/>
      <c r="BL108" s="94"/>
      <c r="BM108" s="104"/>
      <c r="BN108" s="98"/>
      <c r="BO108" s="103"/>
    </row>
    <row r="109" spans="3:69" s="2" customFormat="1" ht="15.75" hidden="1" customHeight="1">
      <c r="C109" s="98"/>
      <c r="D109" s="98"/>
      <c r="E109" s="98"/>
      <c r="F109" s="98"/>
      <c r="G109" s="98"/>
      <c r="H109" s="98"/>
      <c r="I109" s="98"/>
      <c r="J109" s="98"/>
      <c r="K109" s="98"/>
      <c r="L109" s="98"/>
      <c r="M109" s="98"/>
      <c r="N109" s="98"/>
      <c r="O109" s="98"/>
      <c r="P109" s="98"/>
      <c r="Q109" s="98"/>
      <c r="R109" s="98"/>
      <c r="S109" s="98"/>
      <c r="T109" s="98"/>
      <c r="U109" s="98"/>
      <c r="V109" s="98"/>
      <c r="W109" s="98"/>
      <c r="X109" s="98"/>
      <c r="Y109" s="98"/>
      <c r="Z109" s="98"/>
      <c r="AA109" s="98"/>
      <c r="AB109" s="98"/>
      <c r="AC109" s="98"/>
      <c r="AD109" s="98"/>
      <c r="AE109" s="98"/>
      <c r="AF109" s="98"/>
      <c r="AG109" s="98"/>
      <c r="AH109" s="98"/>
      <c r="AJ109" s="123"/>
      <c r="AK109" s="48"/>
      <c r="AL109" s="48"/>
      <c r="AM109" s="87"/>
      <c r="AN109" s="48"/>
      <c r="AO109" s="48"/>
      <c r="AP109" s="48"/>
      <c r="AQ109" s="48"/>
      <c r="AR109" s="66"/>
      <c r="AS109" s="66"/>
      <c r="AT109" s="48"/>
      <c r="AU109" s="66"/>
      <c r="AV109" s="48"/>
      <c r="AW109" s="67"/>
      <c r="AX109" s="48"/>
      <c r="AY109" s="48"/>
      <c r="AZ109" s="48"/>
      <c r="BA109" s="68"/>
      <c r="BB109" s="48"/>
      <c r="BC109" s="48"/>
      <c r="BD109" s="68"/>
      <c r="BE109" s="48"/>
      <c r="BF109" s="48"/>
      <c r="BG109" s="88"/>
      <c r="BH109" s="79"/>
      <c r="BI109" s="81"/>
      <c r="BJ109" s="48"/>
      <c r="BK109" s="76"/>
      <c r="BL109" s="48"/>
      <c r="BM109" s="104"/>
      <c r="BN109" s="98"/>
      <c r="BO109" s="103"/>
      <c r="BP109" s="115"/>
    </row>
    <row r="110" spans="3:69" s="2" customFormat="1" ht="15.75" hidden="1" customHeight="1">
      <c r="C110" s="98"/>
      <c r="D110" s="98"/>
      <c r="E110" s="98"/>
      <c r="F110" s="98"/>
      <c r="G110" s="98"/>
      <c r="H110" s="98"/>
      <c r="I110" s="98"/>
      <c r="J110" s="98"/>
      <c r="K110" s="98"/>
      <c r="L110" s="98"/>
      <c r="M110" s="98"/>
      <c r="N110" s="98"/>
      <c r="O110" s="98"/>
      <c r="P110" s="98"/>
      <c r="Q110" s="98"/>
      <c r="R110" s="98"/>
      <c r="S110" s="98"/>
      <c r="T110" s="98"/>
      <c r="U110" s="98"/>
      <c r="V110" s="98"/>
      <c r="W110" s="98"/>
      <c r="X110" s="98"/>
      <c r="Y110" s="98"/>
      <c r="Z110" s="98"/>
      <c r="AA110" s="98"/>
      <c r="AB110" s="98"/>
      <c r="AC110" s="98"/>
      <c r="AD110" s="98"/>
      <c r="AE110" s="98"/>
      <c r="AF110" s="98"/>
      <c r="AG110" s="98"/>
      <c r="AH110" s="98"/>
      <c r="AJ110" s="123"/>
      <c r="AK110" s="48"/>
      <c r="AL110" s="48"/>
      <c r="AM110" s="87"/>
      <c r="AN110" s="48"/>
      <c r="AO110" s="48"/>
      <c r="AP110" s="48"/>
      <c r="AQ110" s="48"/>
      <c r="AR110" s="66"/>
      <c r="AS110" s="66"/>
      <c r="AT110" s="48"/>
      <c r="AU110" s="66"/>
      <c r="AV110" s="48"/>
      <c r="AW110" s="67"/>
      <c r="AX110" s="48"/>
      <c r="AY110" s="48"/>
      <c r="AZ110" s="48"/>
      <c r="BA110" s="68"/>
      <c r="BB110" s="48"/>
      <c r="BC110" s="48"/>
      <c r="BD110" s="68"/>
      <c r="BE110" s="48"/>
      <c r="BF110" s="48"/>
      <c r="BG110" s="88"/>
      <c r="BH110" s="79"/>
      <c r="BI110" s="81"/>
      <c r="BJ110" s="48"/>
      <c r="BK110" s="76"/>
      <c r="BL110" s="48"/>
      <c r="BM110" s="104"/>
      <c r="BN110" s="98"/>
      <c r="BO110" s="103"/>
      <c r="BP110" s="115"/>
    </row>
    <row r="111" spans="3:69" s="2" customFormat="1" ht="15.75" hidden="1" customHeight="1">
      <c r="C111" s="98"/>
      <c r="D111" s="98"/>
      <c r="E111" s="98"/>
      <c r="F111" s="98"/>
      <c r="G111" s="98"/>
      <c r="H111" s="98"/>
      <c r="I111" s="98"/>
      <c r="J111" s="98"/>
      <c r="K111" s="98"/>
      <c r="L111" s="98"/>
      <c r="M111" s="98"/>
      <c r="N111" s="98"/>
      <c r="O111" s="98"/>
      <c r="P111" s="98"/>
      <c r="Q111" s="98"/>
      <c r="R111" s="98"/>
      <c r="S111" s="98"/>
      <c r="T111" s="98"/>
      <c r="U111" s="98"/>
      <c r="V111" s="98"/>
      <c r="W111" s="98"/>
      <c r="X111" s="98"/>
      <c r="Y111" s="98"/>
      <c r="Z111" s="98"/>
      <c r="AA111" s="98"/>
      <c r="AB111" s="98"/>
      <c r="AC111" s="98"/>
      <c r="AD111" s="98"/>
      <c r="AE111" s="98"/>
      <c r="AF111" s="98"/>
      <c r="AG111" s="98"/>
      <c r="AH111" s="98"/>
      <c r="AJ111" s="123"/>
      <c r="AK111" s="48"/>
      <c r="AL111" s="48"/>
      <c r="AM111" s="87"/>
      <c r="AN111" s="48"/>
      <c r="AO111" s="48"/>
      <c r="AP111" s="48"/>
      <c r="AQ111" s="48"/>
      <c r="AR111" s="66"/>
      <c r="AS111" s="66"/>
      <c r="AT111" s="48"/>
      <c r="AU111" s="66"/>
      <c r="AV111" s="48"/>
      <c r="AW111" s="67"/>
      <c r="AX111" s="48"/>
      <c r="AY111" s="48"/>
      <c r="AZ111" s="48"/>
      <c r="BA111" s="68"/>
      <c r="BB111" s="48"/>
      <c r="BC111" s="48"/>
      <c r="BD111" s="68"/>
      <c r="BE111" s="48"/>
      <c r="BF111" s="48"/>
      <c r="BG111" s="88"/>
      <c r="BH111" s="79"/>
      <c r="BI111" s="81"/>
      <c r="BJ111" s="48"/>
      <c r="BK111" s="76"/>
      <c r="BL111" s="48"/>
      <c r="BM111" s="104"/>
      <c r="BN111" s="98"/>
      <c r="BO111" s="103"/>
      <c r="BP111" s="115"/>
    </row>
    <row r="112" spans="3:69" s="2" customFormat="1" ht="15.75" hidden="1" customHeight="1">
      <c r="C112" s="98"/>
      <c r="D112" s="98"/>
      <c r="E112" s="98"/>
      <c r="F112" s="98"/>
      <c r="G112" s="98"/>
      <c r="H112" s="98"/>
      <c r="I112" s="98"/>
      <c r="J112" s="98"/>
      <c r="K112" s="98"/>
      <c r="L112" s="98"/>
      <c r="M112" s="98"/>
      <c r="N112" s="98"/>
      <c r="O112" s="98"/>
      <c r="P112" s="98"/>
      <c r="Q112" s="98"/>
      <c r="R112" s="98"/>
      <c r="S112" s="98"/>
      <c r="T112" s="98"/>
      <c r="U112" s="98"/>
      <c r="V112" s="98"/>
      <c r="W112" s="98"/>
      <c r="X112" s="98"/>
      <c r="Y112" s="98"/>
      <c r="Z112" s="98"/>
      <c r="AA112" s="98"/>
      <c r="AB112" s="98"/>
      <c r="AC112" s="98"/>
      <c r="AD112" s="98"/>
      <c r="AE112" s="98"/>
      <c r="AF112" s="98"/>
      <c r="AG112" s="98"/>
      <c r="AH112" s="98"/>
      <c r="AJ112" s="123"/>
      <c r="AK112" s="48"/>
      <c r="AL112" s="48"/>
      <c r="AM112" s="87"/>
      <c r="AN112" s="48"/>
      <c r="AO112" s="48"/>
      <c r="AP112" s="48"/>
      <c r="AQ112" s="48"/>
      <c r="AR112" s="66"/>
      <c r="AS112" s="66"/>
      <c r="AT112" s="48"/>
      <c r="AU112" s="66"/>
      <c r="AV112" s="48"/>
      <c r="AW112" s="67"/>
      <c r="AX112" s="48"/>
      <c r="AY112" s="48"/>
      <c r="AZ112" s="48"/>
      <c r="BA112" s="68"/>
      <c r="BB112" s="48"/>
      <c r="BC112" s="48"/>
      <c r="BD112" s="68"/>
      <c r="BE112" s="48"/>
      <c r="BF112" s="48"/>
      <c r="BG112" s="88"/>
      <c r="BH112" s="79"/>
      <c r="BI112" s="81"/>
      <c r="BJ112" s="48"/>
      <c r="BK112" s="76"/>
      <c r="BL112" s="48"/>
      <c r="BM112" s="104"/>
      <c r="BN112" s="98"/>
      <c r="BO112" s="103"/>
      <c r="BP112" s="115"/>
    </row>
    <row r="113" spans="3:68" s="2" customFormat="1" ht="15.75" hidden="1" customHeight="1">
      <c r="C113" s="98"/>
      <c r="D113" s="98"/>
      <c r="E113" s="98"/>
      <c r="F113" s="98"/>
      <c r="G113" s="98"/>
      <c r="H113" s="98"/>
      <c r="I113" s="98"/>
      <c r="J113" s="98"/>
      <c r="K113" s="98"/>
      <c r="L113" s="98"/>
      <c r="M113" s="98"/>
      <c r="N113" s="98"/>
      <c r="O113" s="98"/>
      <c r="P113" s="98"/>
      <c r="Q113" s="98"/>
      <c r="R113" s="98"/>
      <c r="S113" s="98"/>
      <c r="T113" s="98"/>
      <c r="U113" s="98"/>
      <c r="V113" s="98"/>
      <c r="W113" s="98"/>
      <c r="X113" s="98"/>
      <c r="Y113" s="98"/>
      <c r="Z113" s="98"/>
      <c r="AA113" s="98"/>
      <c r="AB113" s="98"/>
      <c r="AC113" s="98"/>
      <c r="AD113" s="98"/>
      <c r="AE113" s="98"/>
      <c r="AF113" s="98"/>
      <c r="AG113" s="98"/>
      <c r="AH113" s="98"/>
      <c r="AJ113" s="123"/>
      <c r="AK113" s="48"/>
      <c r="AL113" s="48"/>
      <c r="AM113" s="87"/>
      <c r="AN113" s="48"/>
      <c r="AO113" s="48"/>
      <c r="AP113" s="48"/>
      <c r="AQ113" s="48"/>
      <c r="AR113" s="66"/>
      <c r="AS113" s="66"/>
      <c r="AT113" s="48"/>
      <c r="AU113" s="66"/>
      <c r="AV113" s="48"/>
      <c r="AW113" s="67"/>
      <c r="AX113" s="48"/>
      <c r="AY113" s="48"/>
      <c r="AZ113" s="48"/>
      <c r="BA113" s="68"/>
      <c r="BB113" s="48"/>
      <c r="BC113" s="48"/>
      <c r="BD113" s="68"/>
      <c r="BE113" s="48"/>
      <c r="BF113" s="48"/>
      <c r="BG113" s="88"/>
      <c r="BH113" s="79"/>
      <c r="BI113" s="81"/>
      <c r="BJ113" s="48"/>
      <c r="BK113" s="76"/>
      <c r="BL113" s="48"/>
      <c r="BM113" s="104"/>
      <c r="BN113" s="98"/>
      <c r="BO113" s="103"/>
      <c r="BP113" s="115"/>
    </row>
    <row r="114" spans="3:68" s="2" customFormat="1" ht="15.75" hidden="1" customHeight="1">
      <c r="C114" s="98"/>
      <c r="D114" s="98"/>
      <c r="E114" s="98"/>
      <c r="F114" s="98"/>
      <c r="G114" s="98"/>
      <c r="H114" s="98"/>
      <c r="I114" s="98"/>
      <c r="J114" s="98"/>
      <c r="K114" s="98"/>
      <c r="L114" s="98"/>
      <c r="M114" s="98"/>
      <c r="N114" s="98"/>
      <c r="O114" s="98"/>
      <c r="P114" s="98"/>
      <c r="Q114" s="98"/>
      <c r="R114" s="98"/>
      <c r="S114" s="98"/>
      <c r="T114" s="98"/>
      <c r="U114" s="98"/>
      <c r="V114" s="98"/>
      <c r="W114" s="98"/>
      <c r="X114" s="98"/>
      <c r="Y114" s="98"/>
      <c r="Z114" s="98"/>
      <c r="AA114" s="98"/>
      <c r="AB114" s="98"/>
      <c r="AC114" s="98"/>
      <c r="AD114" s="98"/>
      <c r="AE114" s="98"/>
      <c r="AF114" s="98"/>
      <c r="AG114" s="98"/>
      <c r="AH114" s="98"/>
      <c r="AJ114" s="123"/>
      <c r="AK114" s="48"/>
      <c r="AL114" s="48"/>
      <c r="AM114" s="87"/>
      <c r="AN114" s="48"/>
      <c r="AO114" s="48"/>
      <c r="AP114" s="48"/>
      <c r="AQ114" s="48"/>
      <c r="AR114" s="66"/>
      <c r="AS114" s="66"/>
      <c r="AT114" s="48"/>
      <c r="AU114" s="66"/>
      <c r="AV114" s="48"/>
      <c r="AW114" s="67"/>
      <c r="AX114" s="48"/>
      <c r="AY114" s="48"/>
      <c r="AZ114" s="48"/>
      <c r="BA114" s="68"/>
      <c r="BB114" s="48"/>
      <c r="BC114" s="48"/>
      <c r="BD114" s="68"/>
      <c r="BE114" s="48"/>
      <c r="BF114" s="48"/>
      <c r="BG114" s="88"/>
      <c r="BH114" s="79"/>
      <c r="BI114" s="81"/>
      <c r="BJ114" s="48"/>
      <c r="BK114" s="76"/>
      <c r="BL114" s="48"/>
      <c r="BM114" s="104"/>
      <c r="BN114" s="98"/>
      <c r="BO114" s="103"/>
      <c r="BP114" s="115"/>
    </row>
    <row r="115" spans="3:68" s="2" customFormat="1" ht="15.75" hidden="1" customHeight="1">
      <c r="C115" s="98"/>
      <c r="D115" s="98"/>
      <c r="E115" s="98"/>
      <c r="F115" s="98"/>
      <c r="G115" s="98"/>
      <c r="H115" s="98"/>
      <c r="I115" s="98"/>
      <c r="J115" s="98"/>
      <c r="K115" s="98"/>
      <c r="L115" s="98"/>
      <c r="M115" s="98"/>
      <c r="N115" s="98"/>
      <c r="O115" s="98"/>
      <c r="P115" s="98"/>
      <c r="Q115" s="98"/>
      <c r="R115" s="98"/>
      <c r="S115" s="98"/>
      <c r="T115" s="98"/>
      <c r="U115" s="98"/>
      <c r="V115" s="98"/>
      <c r="W115" s="98"/>
      <c r="X115" s="98"/>
      <c r="Y115" s="98"/>
      <c r="Z115" s="98"/>
      <c r="AA115" s="98"/>
      <c r="AB115" s="98"/>
      <c r="AC115" s="98"/>
      <c r="AD115" s="98"/>
      <c r="AE115" s="98"/>
      <c r="AF115" s="98"/>
      <c r="AG115" s="98"/>
      <c r="AH115" s="98"/>
      <c r="AJ115" s="123"/>
      <c r="AK115" s="48"/>
      <c r="AL115" s="48"/>
      <c r="AM115" s="87"/>
      <c r="AN115" s="48"/>
      <c r="AO115" s="48"/>
      <c r="AP115" s="48"/>
      <c r="AQ115" s="48"/>
      <c r="AR115" s="66"/>
      <c r="AS115" s="66"/>
      <c r="AT115" s="48"/>
      <c r="AU115" s="66"/>
      <c r="AV115" s="48"/>
      <c r="AW115" s="67"/>
      <c r="AX115" s="48"/>
      <c r="AY115" s="48"/>
      <c r="AZ115" s="48"/>
      <c r="BA115" s="68"/>
      <c r="BB115" s="48"/>
      <c r="BC115" s="48"/>
      <c r="BD115" s="68"/>
      <c r="BE115" s="48"/>
      <c r="BF115" s="48"/>
      <c r="BG115" s="88"/>
      <c r="BH115" s="79"/>
      <c r="BI115" s="81"/>
      <c r="BJ115" s="48"/>
      <c r="BK115" s="76"/>
      <c r="BL115" s="48"/>
      <c r="BM115" s="104"/>
      <c r="BN115" s="98"/>
      <c r="BO115" s="103"/>
      <c r="BP115" s="115"/>
    </row>
    <row r="116" spans="3:68" s="2" customFormat="1" ht="15.75" hidden="1" customHeight="1">
      <c r="C116" s="98"/>
      <c r="D116" s="98"/>
      <c r="E116" s="98"/>
      <c r="F116" s="98"/>
      <c r="G116" s="98"/>
      <c r="H116" s="98"/>
      <c r="I116" s="98"/>
      <c r="J116" s="98"/>
      <c r="K116" s="98"/>
      <c r="L116" s="98"/>
      <c r="M116" s="98"/>
      <c r="N116" s="98"/>
      <c r="O116" s="98"/>
      <c r="P116" s="98"/>
      <c r="Q116" s="98"/>
      <c r="R116" s="98"/>
      <c r="S116" s="98"/>
      <c r="T116" s="98"/>
      <c r="U116" s="98"/>
      <c r="V116" s="98"/>
      <c r="W116" s="98"/>
      <c r="X116" s="98"/>
      <c r="Y116" s="98"/>
      <c r="Z116" s="98"/>
      <c r="AA116" s="98"/>
      <c r="AB116" s="98"/>
      <c r="AC116" s="98"/>
      <c r="AD116" s="98"/>
      <c r="AE116" s="98"/>
      <c r="AF116" s="98"/>
      <c r="AG116" s="98"/>
      <c r="AH116" s="98"/>
      <c r="AJ116" s="123"/>
      <c r="AK116" s="48"/>
      <c r="AL116" s="48"/>
      <c r="AM116" s="87"/>
      <c r="AN116" s="48"/>
      <c r="AO116" s="48"/>
      <c r="AP116" s="48"/>
      <c r="AQ116" s="48"/>
      <c r="AR116" s="66"/>
      <c r="AS116" s="66"/>
      <c r="AT116" s="48"/>
      <c r="AU116" s="66"/>
      <c r="AV116" s="48"/>
      <c r="AW116" s="67"/>
      <c r="AX116" s="48"/>
      <c r="AY116" s="48"/>
      <c r="AZ116" s="48"/>
      <c r="BA116" s="68"/>
      <c r="BB116" s="48"/>
      <c r="BC116" s="48"/>
      <c r="BD116" s="68"/>
      <c r="BE116" s="48"/>
      <c r="BF116" s="48"/>
      <c r="BG116" s="88"/>
      <c r="BH116" s="79"/>
      <c r="BI116" s="81"/>
      <c r="BJ116" s="48"/>
      <c r="BK116" s="76"/>
      <c r="BL116" s="48"/>
      <c r="BM116" s="104"/>
      <c r="BN116" s="98"/>
      <c r="BO116" s="103"/>
      <c r="BP116" s="115"/>
    </row>
    <row r="117" spans="3:68" s="2" customFormat="1" ht="15.75" hidden="1" customHeight="1">
      <c r="C117" s="98"/>
      <c r="D117" s="98"/>
      <c r="E117" s="98"/>
      <c r="F117" s="98"/>
      <c r="G117" s="98"/>
      <c r="H117" s="98"/>
      <c r="I117" s="98"/>
      <c r="J117" s="98"/>
      <c r="K117" s="98"/>
      <c r="L117" s="98"/>
      <c r="M117" s="98"/>
      <c r="N117" s="98"/>
      <c r="O117" s="98"/>
      <c r="P117" s="98"/>
      <c r="Q117" s="98"/>
      <c r="R117" s="98"/>
      <c r="S117" s="98"/>
      <c r="T117" s="98"/>
      <c r="U117" s="98"/>
      <c r="V117" s="98"/>
      <c r="W117" s="98"/>
      <c r="X117" s="98"/>
      <c r="Y117" s="98"/>
      <c r="Z117" s="98"/>
      <c r="AA117" s="98"/>
      <c r="AB117" s="98"/>
      <c r="AC117" s="98"/>
      <c r="AD117" s="98"/>
      <c r="AE117" s="98"/>
      <c r="AF117" s="98"/>
      <c r="AG117" s="98"/>
      <c r="AH117" s="98"/>
      <c r="AJ117" s="123"/>
      <c r="AK117" s="48"/>
      <c r="AL117" s="48"/>
      <c r="AM117" s="87"/>
      <c r="AN117" s="48"/>
      <c r="AO117" s="48"/>
      <c r="AP117" s="48"/>
      <c r="AQ117" s="48"/>
      <c r="AR117" s="66"/>
      <c r="AS117" s="66"/>
      <c r="AT117" s="48"/>
      <c r="AU117" s="66"/>
      <c r="AV117" s="48"/>
      <c r="AW117" s="67"/>
      <c r="AX117" s="48"/>
      <c r="AY117" s="48"/>
      <c r="AZ117" s="48"/>
      <c r="BA117" s="68"/>
      <c r="BB117" s="48"/>
      <c r="BC117" s="48"/>
      <c r="BD117" s="68"/>
      <c r="BE117" s="48"/>
      <c r="BF117" s="48"/>
      <c r="BG117" s="88"/>
      <c r="BH117" s="79"/>
      <c r="BI117" s="81"/>
      <c r="BJ117" s="48"/>
      <c r="BK117" s="76"/>
      <c r="BL117" s="48"/>
      <c r="BM117" s="104"/>
      <c r="BN117" s="98"/>
      <c r="BO117" s="103"/>
      <c r="BP117" s="115"/>
    </row>
    <row r="118" spans="3:68" s="2" customFormat="1" ht="15.75" hidden="1" customHeight="1">
      <c r="C118" s="98"/>
      <c r="D118" s="98"/>
      <c r="E118" s="98"/>
      <c r="F118" s="98"/>
      <c r="G118" s="98"/>
      <c r="H118" s="98"/>
      <c r="I118" s="98"/>
      <c r="J118" s="98"/>
      <c r="K118" s="98"/>
      <c r="L118" s="98"/>
      <c r="M118" s="98"/>
      <c r="N118" s="98"/>
      <c r="O118" s="98"/>
      <c r="P118" s="98"/>
      <c r="Q118" s="98"/>
      <c r="R118" s="98"/>
      <c r="S118" s="98"/>
      <c r="T118" s="98"/>
      <c r="U118" s="98"/>
      <c r="V118" s="98"/>
      <c r="W118" s="98"/>
      <c r="X118" s="98"/>
      <c r="Y118" s="98"/>
      <c r="Z118" s="98"/>
      <c r="AA118" s="98"/>
      <c r="AB118" s="98"/>
      <c r="AC118" s="98"/>
      <c r="AD118" s="98"/>
      <c r="AE118" s="98"/>
      <c r="AF118" s="98"/>
      <c r="AG118" s="98"/>
      <c r="AH118" s="98"/>
      <c r="AJ118" s="123"/>
      <c r="AK118" s="48"/>
      <c r="AL118" s="48"/>
      <c r="AM118" s="87"/>
      <c r="AN118" s="48"/>
      <c r="AO118" s="48"/>
      <c r="AP118" s="48"/>
      <c r="AQ118" s="48"/>
      <c r="AR118" s="66"/>
      <c r="AS118" s="66"/>
      <c r="AT118" s="48"/>
      <c r="AU118" s="66"/>
      <c r="AV118" s="48"/>
      <c r="AW118" s="67"/>
      <c r="AX118" s="48"/>
      <c r="AY118" s="48"/>
      <c r="AZ118" s="48"/>
      <c r="BA118" s="68"/>
      <c r="BB118" s="48"/>
      <c r="BC118" s="48"/>
      <c r="BD118" s="68"/>
      <c r="BE118" s="48"/>
      <c r="BF118" s="48"/>
      <c r="BG118" s="88"/>
      <c r="BH118" s="79"/>
      <c r="BI118" s="81"/>
      <c r="BJ118" s="48"/>
      <c r="BK118" s="76"/>
      <c r="BL118" s="48"/>
      <c r="BM118" s="104"/>
      <c r="BN118" s="98"/>
      <c r="BO118" s="103"/>
      <c r="BP118" s="115"/>
    </row>
    <row r="119" spans="3:68" s="2" customFormat="1" ht="15.75" hidden="1" customHeight="1">
      <c r="C119" s="98"/>
      <c r="D119" s="98"/>
      <c r="E119" s="98"/>
      <c r="F119" s="98"/>
      <c r="G119" s="98"/>
      <c r="H119" s="98"/>
      <c r="I119" s="98"/>
      <c r="J119" s="98"/>
      <c r="K119" s="98"/>
      <c r="L119" s="98"/>
      <c r="M119" s="98"/>
      <c r="N119" s="98"/>
      <c r="O119" s="98"/>
      <c r="P119" s="98"/>
      <c r="Q119" s="98"/>
      <c r="R119" s="98"/>
      <c r="S119" s="98"/>
      <c r="T119" s="98"/>
      <c r="U119" s="98"/>
      <c r="V119" s="98"/>
      <c r="W119" s="98"/>
      <c r="X119" s="98"/>
      <c r="Y119" s="98"/>
      <c r="Z119" s="98"/>
      <c r="AA119" s="98"/>
      <c r="AB119" s="98"/>
      <c r="AC119" s="98"/>
      <c r="AD119" s="98"/>
      <c r="AE119" s="98"/>
      <c r="AF119" s="98"/>
      <c r="AG119" s="98"/>
      <c r="AH119" s="98"/>
      <c r="AJ119" s="123"/>
      <c r="AK119" s="48"/>
      <c r="AL119" s="48"/>
      <c r="AM119" s="87"/>
      <c r="AN119" s="48"/>
      <c r="AO119" s="48"/>
      <c r="AP119" s="48"/>
      <c r="AQ119" s="48"/>
      <c r="AR119" s="66"/>
      <c r="AS119" s="66"/>
      <c r="AT119" s="48"/>
      <c r="AU119" s="66"/>
      <c r="AV119" s="48"/>
      <c r="AW119" s="67"/>
      <c r="AX119" s="48"/>
      <c r="AY119" s="48"/>
      <c r="AZ119" s="48"/>
      <c r="BA119" s="68"/>
      <c r="BB119" s="48"/>
      <c r="BC119" s="48"/>
      <c r="BD119" s="68"/>
      <c r="BE119" s="48"/>
      <c r="BF119" s="48"/>
      <c r="BG119" s="88"/>
      <c r="BH119" s="79"/>
      <c r="BI119" s="81"/>
      <c r="BJ119" s="48"/>
      <c r="BK119" s="76"/>
      <c r="BL119" s="48"/>
      <c r="BM119" s="104"/>
      <c r="BN119" s="98"/>
      <c r="BO119" s="103"/>
      <c r="BP119" s="115"/>
    </row>
    <row r="120" spans="3:68" s="2" customFormat="1" ht="15.75" hidden="1" customHeight="1">
      <c r="C120" s="98"/>
      <c r="D120" s="98"/>
      <c r="E120" s="98"/>
      <c r="F120" s="98"/>
      <c r="G120" s="98"/>
      <c r="H120" s="98"/>
      <c r="I120" s="98"/>
      <c r="J120" s="98"/>
      <c r="K120" s="98"/>
      <c r="L120" s="98"/>
      <c r="M120" s="98"/>
      <c r="N120" s="98"/>
      <c r="O120" s="98"/>
      <c r="P120" s="98"/>
      <c r="Q120" s="98"/>
      <c r="R120" s="98"/>
      <c r="S120" s="98"/>
      <c r="T120" s="98"/>
      <c r="U120" s="98"/>
      <c r="V120" s="98"/>
      <c r="W120" s="98"/>
      <c r="X120" s="98"/>
      <c r="Y120" s="98"/>
      <c r="Z120" s="98"/>
      <c r="AA120" s="98"/>
      <c r="AB120" s="98"/>
      <c r="AC120" s="98"/>
      <c r="AD120" s="98"/>
      <c r="AE120" s="98"/>
      <c r="AF120" s="98"/>
      <c r="AG120" s="98"/>
      <c r="AH120" s="98"/>
      <c r="AJ120" s="123"/>
      <c r="AK120" s="48"/>
      <c r="AL120" s="48"/>
      <c r="AM120" s="87"/>
      <c r="AN120" s="48"/>
      <c r="AO120" s="48"/>
      <c r="AP120" s="48"/>
      <c r="AQ120" s="48"/>
      <c r="AR120" s="66"/>
      <c r="AS120" s="66"/>
      <c r="AT120" s="48"/>
      <c r="AU120" s="66"/>
      <c r="AV120" s="48"/>
      <c r="AW120" s="67"/>
      <c r="AX120" s="48"/>
      <c r="AY120" s="48"/>
      <c r="AZ120" s="48"/>
      <c r="BA120" s="68"/>
      <c r="BB120" s="48"/>
      <c r="BC120" s="48"/>
      <c r="BD120" s="68"/>
      <c r="BE120" s="48"/>
      <c r="BF120" s="48"/>
      <c r="BG120" s="88"/>
      <c r="BH120" s="79"/>
      <c r="BI120" s="81"/>
      <c r="BJ120" s="48"/>
      <c r="BK120" s="76"/>
      <c r="BL120" s="48"/>
      <c r="BM120" s="104"/>
      <c r="BN120" s="98"/>
      <c r="BO120" s="103"/>
      <c r="BP120" s="115"/>
    </row>
    <row r="121" spans="3:68" s="2" customFormat="1" ht="15.75" hidden="1" customHeight="1">
      <c r="C121" s="98"/>
      <c r="D121" s="98"/>
      <c r="E121" s="98"/>
      <c r="F121" s="98"/>
      <c r="G121" s="98"/>
      <c r="H121" s="98"/>
      <c r="I121" s="98"/>
      <c r="J121" s="98"/>
      <c r="K121" s="98"/>
      <c r="L121" s="98"/>
      <c r="M121" s="98"/>
      <c r="N121" s="98"/>
      <c r="O121" s="98"/>
      <c r="P121" s="98"/>
      <c r="Q121" s="98"/>
      <c r="R121" s="98"/>
      <c r="S121" s="98"/>
      <c r="T121" s="98"/>
      <c r="U121" s="98"/>
      <c r="V121" s="98"/>
      <c r="W121" s="98"/>
      <c r="X121" s="98"/>
      <c r="Y121" s="98"/>
      <c r="Z121" s="98"/>
      <c r="AA121" s="98"/>
      <c r="AB121" s="98"/>
      <c r="AC121" s="98"/>
      <c r="AD121" s="98"/>
      <c r="AE121" s="98"/>
      <c r="AF121" s="98"/>
      <c r="AG121" s="98"/>
      <c r="AH121" s="98"/>
      <c r="AJ121" s="123"/>
      <c r="AK121" s="48"/>
      <c r="AL121" s="48"/>
      <c r="AM121" s="87"/>
      <c r="AN121" s="48"/>
      <c r="AO121" s="48"/>
      <c r="AP121" s="48"/>
      <c r="AQ121" s="48"/>
      <c r="AR121" s="66"/>
      <c r="AS121" s="66"/>
      <c r="AT121" s="48"/>
      <c r="AU121" s="66"/>
      <c r="AV121" s="48"/>
      <c r="AW121" s="67"/>
      <c r="AX121" s="48"/>
      <c r="AY121" s="48"/>
      <c r="AZ121" s="48"/>
      <c r="BA121" s="68"/>
      <c r="BB121" s="48"/>
      <c r="BC121" s="48"/>
      <c r="BD121" s="68"/>
      <c r="BE121" s="48"/>
      <c r="BF121" s="48"/>
      <c r="BG121" s="88"/>
      <c r="BH121" s="79"/>
      <c r="BI121" s="81"/>
      <c r="BJ121" s="48"/>
      <c r="BK121" s="76"/>
      <c r="BL121" s="48"/>
      <c r="BM121" s="104"/>
      <c r="BN121" s="98"/>
      <c r="BO121" s="103"/>
      <c r="BP121" s="115"/>
    </row>
    <row r="122" spans="3:68" s="2" customFormat="1" ht="15.75" hidden="1" customHeight="1">
      <c r="C122" s="98"/>
      <c r="D122" s="98"/>
      <c r="E122" s="98"/>
      <c r="F122" s="98"/>
      <c r="G122" s="98"/>
      <c r="H122" s="98"/>
      <c r="I122" s="98"/>
      <c r="J122" s="98"/>
      <c r="K122" s="98"/>
      <c r="L122" s="98"/>
      <c r="M122" s="98"/>
      <c r="N122" s="98"/>
      <c r="O122" s="98"/>
      <c r="P122" s="98"/>
      <c r="Q122" s="98"/>
      <c r="R122" s="98"/>
      <c r="S122" s="98"/>
      <c r="T122" s="98"/>
      <c r="U122" s="98"/>
      <c r="V122" s="98"/>
      <c r="W122" s="98"/>
      <c r="X122" s="98"/>
      <c r="Y122" s="98"/>
      <c r="Z122" s="98"/>
      <c r="AA122" s="98"/>
      <c r="AB122" s="98"/>
      <c r="AC122" s="98"/>
      <c r="AD122" s="98"/>
      <c r="AE122" s="98"/>
      <c r="AF122" s="98"/>
      <c r="AG122" s="98"/>
      <c r="AH122" s="98"/>
      <c r="AJ122" s="123"/>
      <c r="AK122" s="48"/>
      <c r="AL122" s="48"/>
      <c r="AM122" s="87"/>
      <c r="AN122" s="48"/>
      <c r="AO122" s="48"/>
      <c r="AP122" s="48"/>
      <c r="AQ122" s="48"/>
      <c r="AR122" s="66"/>
      <c r="AS122" s="66"/>
      <c r="AT122" s="48"/>
      <c r="AU122" s="66"/>
      <c r="AV122" s="48"/>
      <c r="AW122" s="67"/>
      <c r="AX122" s="48"/>
      <c r="AY122" s="48"/>
      <c r="AZ122" s="48"/>
      <c r="BA122" s="68"/>
      <c r="BB122" s="48"/>
      <c r="BC122" s="48"/>
      <c r="BD122" s="68"/>
      <c r="BE122" s="48"/>
      <c r="BF122" s="48"/>
      <c r="BG122" s="88"/>
      <c r="BH122" s="79"/>
      <c r="BI122" s="81"/>
      <c r="BJ122" s="48"/>
      <c r="BK122" s="76"/>
      <c r="BL122" s="48"/>
      <c r="BM122" s="104"/>
      <c r="BN122" s="98"/>
      <c r="BO122" s="103"/>
      <c r="BP122" s="115"/>
    </row>
    <row r="123" spans="3:68" s="2" customFormat="1" ht="15.75" hidden="1" customHeight="1">
      <c r="C123" s="98"/>
      <c r="D123" s="98"/>
      <c r="E123" s="98"/>
      <c r="F123" s="98"/>
      <c r="G123" s="98"/>
      <c r="H123" s="98"/>
      <c r="I123" s="98"/>
      <c r="J123" s="98"/>
      <c r="K123" s="98"/>
      <c r="L123" s="98"/>
      <c r="M123" s="98"/>
      <c r="N123" s="98"/>
      <c r="O123" s="98"/>
      <c r="P123" s="98"/>
      <c r="Q123" s="98"/>
      <c r="R123" s="98"/>
      <c r="S123" s="98"/>
      <c r="T123" s="98"/>
      <c r="U123" s="98"/>
      <c r="V123" s="98"/>
      <c r="W123" s="98"/>
      <c r="X123" s="98"/>
      <c r="Y123" s="98"/>
      <c r="Z123" s="98"/>
      <c r="AA123" s="98"/>
      <c r="AB123" s="98"/>
      <c r="AC123" s="98"/>
      <c r="AD123" s="98"/>
      <c r="AE123" s="98"/>
      <c r="AF123" s="98"/>
      <c r="AG123" s="98"/>
      <c r="AH123" s="98"/>
      <c r="AJ123" s="123"/>
      <c r="AK123" s="48"/>
      <c r="AL123" s="48"/>
      <c r="AM123" s="87"/>
      <c r="AN123" s="48"/>
      <c r="AO123" s="48"/>
      <c r="AP123" s="48"/>
      <c r="AQ123" s="48"/>
      <c r="AR123" s="66"/>
      <c r="AS123" s="66"/>
      <c r="AT123" s="48"/>
      <c r="AU123" s="66"/>
      <c r="AV123" s="48"/>
      <c r="AW123" s="67"/>
      <c r="AX123" s="48"/>
      <c r="AY123" s="48"/>
      <c r="AZ123" s="48"/>
      <c r="BA123" s="68"/>
      <c r="BB123" s="48"/>
      <c r="BC123" s="48"/>
      <c r="BD123" s="68"/>
      <c r="BE123" s="48"/>
      <c r="BF123" s="48"/>
      <c r="BG123" s="88"/>
      <c r="BH123" s="79"/>
      <c r="BI123" s="81"/>
      <c r="BJ123" s="48"/>
      <c r="BK123" s="76"/>
      <c r="BL123" s="48"/>
      <c r="BM123" s="104"/>
      <c r="BN123" s="98"/>
      <c r="BO123" s="103"/>
      <c r="BP123" s="115"/>
    </row>
    <row r="124" spans="3:68" s="2" customFormat="1" ht="15.75" hidden="1" customHeight="1">
      <c r="C124" s="98"/>
      <c r="D124" s="98"/>
      <c r="E124" s="98"/>
      <c r="F124" s="98"/>
      <c r="G124" s="98"/>
      <c r="H124" s="98"/>
      <c r="I124" s="98"/>
      <c r="J124" s="98"/>
      <c r="K124" s="98"/>
      <c r="L124" s="98"/>
      <c r="M124" s="98"/>
      <c r="N124" s="98"/>
      <c r="O124" s="98"/>
      <c r="P124" s="98"/>
      <c r="Q124" s="98"/>
      <c r="R124" s="98"/>
      <c r="S124" s="98"/>
      <c r="T124" s="98"/>
      <c r="U124" s="98"/>
      <c r="V124" s="98"/>
      <c r="W124" s="98"/>
      <c r="X124" s="98"/>
      <c r="Y124" s="98"/>
      <c r="Z124" s="98"/>
      <c r="AA124" s="98"/>
      <c r="AB124" s="98"/>
      <c r="AC124" s="98"/>
      <c r="AD124" s="98"/>
      <c r="AE124" s="98"/>
      <c r="AF124" s="98"/>
      <c r="AG124" s="98"/>
      <c r="AH124" s="98"/>
      <c r="AJ124" s="123"/>
      <c r="AK124" s="48"/>
      <c r="AL124" s="48"/>
      <c r="AM124" s="87"/>
      <c r="AN124" s="48"/>
      <c r="AO124" s="48"/>
      <c r="AP124" s="48"/>
      <c r="AQ124" s="48"/>
      <c r="AR124" s="66"/>
      <c r="AS124" s="66"/>
      <c r="AT124" s="48"/>
      <c r="AU124" s="66"/>
      <c r="AV124" s="48"/>
      <c r="AW124" s="67"/>
      <c r="AX124" s="48"/>
      <c r="AY124" s="48"/>
      <c r="AZ124" s="48"/>
      <c r="BA124" s="68"/>
      <c r="BB124" s="48"/>
      <c r="BC124" s="48"/>
      <c r="BD124" s="68"/>
      <c r="BE124" s="48"/>
      <c r="BF124" s="48"/>
      <c r="BG124" s="88"/>
      <c r="BH124" s="79"/>
      <c r="BI124" s="81"/>
      <c r="BJ124" s="48"/>
      <c r="BK124" s="76"/>
      <c r="BL124" s="48"/>
      <c r="BM124" s="104"/>
      <c r="BN124" s="98"/>
      <c r="BO124" s="103"/>
      <c r="BP124" s="115"/>
    </row>
    <row r="125" spans="3:68" s="2" customFormat="1" ht="15.75" hidden="1" customHeight="1">
      <c r="C125" s="98"/>
      <c r="D125" s="98"/>
      <c r="E125" s="98"/>
      <c r="F125" s="98"/>
      <c r="G125" s="98"/>
      <c r="H125" s="98"/>
      <c r="I125" s="98"/>
      <c r="J125" s="98"/>
      <c r="K125" s="98"/>
      <c r="L125" s="98"/>
      <c r="M125" s="98"/>
      <c r="N125" s="98"/>
      <c r="O125" s="98"/>
      <c r="P125" s="98"/>
      <c r="Q125" s="98"/>
      <c r="R125" s="98"/>
      <c r="S125" s="98"/>
      <c r="T125" s="98"/>
      <c r="U125" s="98"/>
      <c r="V125" s="98"/>
      <c r="W125" s="98"/>
      <c r="X125" s="98"/>
      <c r="Y125" s="98"/>
      <c r="Z125" s="98"/>
      <c r="AA125" s="98"/>
      <c r="AB125" s="98"/>
      <c r="AC125" s="98"/>
      <c r="AD125" s="98"/>
      <c r="AE125" s="98"/>
      <c r="AF125" s="98"/>
      <c r="AG125" s="98"/>
      <c r="AH125" s="98"/>
      <c r="AJ125" s="123"/>
      <c r="AK125" s="48"/>
      <c r="AL125" s="48"/>
      <c r="AM125" s="87"/>
      <c r="AN125" s="48"/>
      <c r="AO125" s="48"/>
      <c r="AP125" s="48"/>
      <c r="AQ125" s="48"/>
      <c r="AR125" s="66"/>
      <c r="AS125" s="66"/>
      <c r="AT125" s="48"/>
      <c r="AU125" s="66"/>
      <c r="AV125" s="48"/>
      <c r="AW125" s="67"/>
      <c r="AX125" s="48"/>
      <c r="AY125" s="48"/>
      <c r="AZ125" s="48"/>
      <c r="BA125" s="68"/>
      <c r="BB125" s="48"/>
      <c r="BC125" s="48"/>
      <c r="BD125" s="68"/>
      <c r="BE125" s="48"/>
      <c r="BF125" s="48"/>
      <c r="BG125" s="88"/>
      <c r="BH125" s="79"/>
      <c r="BI125" s="81"/>
      <c r="BJ125" s="48"/>
      <c r="BK125" s="76"/>
      <c r="BL125" s="48"/>
      <c r="BM125" s="104"/>
      <c r="BN125" s="98"/>
      <c r="BO125" s="103"/>
      <c r="BP125" s="115"/>
    </row>
    <row r="126" spans="3:68" s="2" customFormat="1" ht="15.75" hidden="1" customHeight="1">
      <c r="C126" s="98"/>
      <c r="D126" s="98"/>
      <c r="E126" s="98"/>
      <c r="F126" s="98"/>
      <c r="G126" s="98"/>
      <c r="H126" s="98"/>
      <c r="I126" s="98"/>
      <c r="J126" s="98"/>
      <c r="K126" s="98"/>
      <c r="L126" s="98"/>
      <c r="M126" s="98"/>
      <c r="N126" s="98"/>
      <c r="O126" s="98"/>
      <c r="P126" s="98"/>
      <c r="Q126" s="98"/>
      <c r="R126" s="98"/>
      <c r="S126" s="98"/>
      <c r="T126" s="98"/>
      <c r="U126" s="98"/>
      <c r="V126" s="98"/>
      <c r="W126" s="98"/>
      <c r="X126" s="98"/>
      <c r="Y126" s="98"/>
      <c r="Z126" s="98"/>
      <c r="AA126" s="98"/>
      <c r="AB126" s="98"/>
      <c r="AC126" s="98"/>
      <c r="AD126" s="98"/>
      <c r="AE126" s="98"/>
      <c r="AF126" s="98"/>
      <c r="AG126" s="98"/>
      <c r="AH126" s="98"/>
      <c r="AJ126" s="123"/>
      <c r="AK126" s="48"/>
      <c r="AL126" s="48"/>
      <c r="AM126" s="87"/>
      <c r="AN126" s="48"/>
      <c r="AO126" s="48"/>
      <c r="AP126" s="48"/>
      <c r="AQ126" s="48"/>
      <c r="AR126" s="66"/>
      <c r="AS126" s="66"/>
      <c r="AT126" s="48"/>
      <c r="AU126" s="66"/>
      <c r="AV126" s="48"/>
      <c r="AW126" s="67"/>
      <c r="AX126" s="48"/>
      <c r="AY126" s="48"/>
      <c r="AZ126" s="48"/>
      <c r="BA126" s="68"/>
      <c r="BB126" s="48"/>
      <c r="BC126" s="48"/>
      <c r="BD126" s="68"/>
      <c r="BE126" s="48"/>
      <c r="BF126" s="48"/>
      <c r="BG126" s="88"/>
      <c r="BH126" s="79"/>
      <c r="BI126" s="81"/>
      <c r="BJ126" s="48"/>
      <c r="BK126" s="76"/>
      <c r="BL126" s="48"/>
      <c r="BM126" s="104"/>
      <c r="BN126" s="98"/>
      <c r="BO126" s="103"/>
      <c r="BP126" s="115"/>
    </row>
    <row r="127" spans="3:68" s="2" customFormat="1" ht="15.75" hidden="1" customHeight="1">
      <c r="C127" s="98"/>
      <c r="D127" s="98"/>
      <c r="E127" s="98"/>
      <c r="F127" s="98"/>
      <c r="G127" s="98"/>
      <c r="H127" s="98"/>
      <c r="I127" s="98"/>
      <c r="J127" s="98"/>
      <c r="K127" s="98"/>
      <c r="L127" s="98"/>
      <c r="M127" s="98"/>
      <c r="N127" s="98"/>
      <c r="O127" s="98"/>
      <c r="P127" s="98"/>
      <c r="Q127" s="98"/>
      <c r="R127" s="98"/>
      <c r="S127" s="98"/>
      <c r="T127" s="98"/>
      <c r="U127" s="98"/>
      <c r="V127" s="98"/>
      <c r="W127" s="98"/>
      <c r="X127" s="98"/>
      <c r="Y127" s="98"/>
      <c r="Z127" s="98"/>
      <c r="AA127" s="98"/>
      <c r="AB127" s="98"/>
      <c r="AC127" s="98"/>
      <c r="AD127" s="98"/>
      <c r="AE127" s="98"/>
      <c r="AF127" s="98"/>
      <c r="AG127" s="98"/>
      <c r="AH127" s="98"/>
      <c r="AJ127" s="123"/>
      <c r="AK127" s="48"/>
      <c r="AL127" s="48"/>
      <c r="AM127" s="87"/>
      <c r="AN127" s="48"/>
      <c r="AO127" s="48"/>
      <c r="AP127" s="48"/>
      <c r="AQ127" s="48"/>
      <c r="AR127" s="66"/>
      <c r="AS127" s="66"/>
      <c r="AT127" s="48"/>
      <c r="AU127" s="66"/>
      <c r="AV127" s="48"/>
      <c r="AW127" s="67"/>
      <c r="AX127" s="48"/>
      <c r="AY127" s="48"/>
      <c r="AZ127" s="48"/>
      <c r="BA127" s="68"/>
      <c r="BB127" s="48"/>
      <c r="BC127" s="48"/>
      <c r="BD127" s="68"/>
      <c r="BE127" s="48"/>
      <c r="BF127" s="48"/>
      <c r="BG127" s="88"/>
      <c r="BH127" s="79"/>
      <c r="BI127" s="81"/>
      <c r="BJ127" s="48"/>
      <c r="BK127" s="76"/>
      <c r="BL127" s="48"/>
      <c r="BM127" s="104"/>
      <c r="BN127" s="98"/>
      <c r="BO127" s="103"/>
      <c r="BP127" s="115"/>
    </row>
    <row r="128" spans="3:68" s="2" customFormat="1" hidden="1">
      <c r="C128" s="98"/>
      <c r="D128" s="98"/>
      <c r="E128" s="98"/>
      <c r="F128" s="98"/>
      <c r="G128" s="98"/>
      <c r="H128" s="98"/>
      <c r="I128" s="98"/>
      <c r="J128" s="98"/>
      <c r="K128" s="98"/>
      <c r="L128" s="98"/>
      <c r="M128" s="98"/>
      <c r="N128" s="98"/>
      <c r="O128" s="98"/>
      <c r="P128" s="98"/>
      <c r="Q128" s="98"/>
      <c r="R128" s="98"/>
      <c r="S128" s="98"/>
      <c r="T128" s="98"/>
      <c r="U128" s="98"/>
      <c r="V128" s="98"/>
      <c r="W128" s="98"/>
      <c r="X128" s="98"/>
      <c r="Y128" s="98"/>
      <c r="Z128" s="98"/>
      <c r="AA128" s="98"/>
      <c r="AB128" s="98"/>
      <c r="AC128" s="98"/>
      <c r="AD128" s="98"/>
      <c r="AE128" s="98"/>
      <c r="AF128" s="98"/>
      <c r="AG128" s="98"/>
      <c r="AH128" s="98"/>
      <c r="AJ128" s="123"/>
      <c r="AK128" s="48"/>
      <c r="AL128" s="48"/>
      <c r="AM128" s="87"/>
      <c r="AN128" s="48"/>
      <c r="AO128" s="48"/>
      <c r="AP128" s="48"/>
      <c r="AQ128" s="48"/>
      <c r="AR128" s="66"/>
      <c r="AS128" s="66"/>
      <c r="AT128" s="48"/>
      <c r="AU128" s="66"/>
      <c r="AV128" s="48"/>
      <c r="AW128" s="67"/>
      <c r="AX128" s="48"/>
      <c r="AY128" s="48"/>
      <c r="AZ128" s="48"/>
      <c r="BA128" s="68"/>
      <c r="BB128" s="48"/>
      <c r="BC128" s="48"/>
      <c r="BD128" s="68"/>
      <c r="BE128" s="48"/>
      <c r="BF128" s="48"/>
      <c r="BG128" s="88"/>
      <c r="BH128" s="79"/>
      <c r="BI128" s="81"/>
      <c r="BJ128" s="48"/>
      <c r="BK128" s="76"/>
      <c r="BL128" s="48"/>
      <c r="BM128" s="104"/>
      <c r="BN128" s="98"/>
      <c r="BO128" s="103"/>
      <c r="BP128" s="115"/>
    </row>
    <row r="129" spans="3:68" s="2" customFormat="1" hidden="1">
      <c r="C129" s="98"/>
      <c r="D129" s="98"/>
      <c r="E129" s="98"/>
      <c r="F129" s="98"/>
      <c r="G129" s="98"/>
      <c r="H129" s="98"/>
      <c r="I129" s="98"/>
      <c r="J129" s="98"/>
      <c r="K129" s="98"/>
      <c r="L129" s="98"/>
      <c r="M129" s="98"/>
      <c r="N129" s="98"/>
      <c r="O129" s="98"/>
      <c r="P129" s="98"/>
      <c r="Q129" s="98"/>
      <c r="R129" s="98"/>
      <c r="S129" s="98"/>
      <c r="T129" s="98"/>
      <c r="U129" s="98"/>
      <c r="V129" s="98"/>
      <c r="W129" s="98"/>
      <c r="X129" s="98"/>
      <c r="Y129" s="98"/>
      <c r="Z129" s="98"/>
      <c r="AA129" s="98"/>
      <c r="AB129" s="98"/>
      <c r="AC129" s="98"/>
      <c r="AD129" s="98"/>
      <c r="AE129" s="98"/>
      <c r="AF129" s="98"/>
      <c r="AG129" s="98"/>
      <c r="AH129" s="98"/>
      <c r="AJ129" s="123"/>
      <c r="AK129" s="48"/>
      <c r="AL129" s="48"/>
      <c r="AM129" s="87"/>
      <c r="AN129" s="48"/>
      <c r="AO129" s="48"/>
      <c r="AP129" s="48"/>
      <c r="AQ129" s="48"/>
      <c r="AR129" s="66"/>
      <c r="AS129" s="66"/>
      <c r="AT129" s="48"/>
      <c r="AU129" s="66"/>
      <c r="AV129" s="48"/>
      <c r="AW129" s="67"/>
      <c r="AX129" s="48"/>
      <c r="AY129" s="48"/>
      <c r="AZ129" s="48"/>
      <c r="BA129" s="68"/>
      <c r="BB129" s="48"/>
      <c r="BC129" s="48"/>
      <c r="BD129" s="68"/>
      <c r="BE129" s="48"/>
      <c r="BF129" s="48"/>
      <c r="BG129" s="88"/>
      <c r="BH129" s="79"/>
      <c r="BI129" s="81"/>
      <c r="BJ129" s="48"/>
      <c r="BK129" s="76"/>
      <c r="BL129" s="48"/>
      <c r="BM129" s="104"/>
      <c r="BN129" s="98"/>
      <c r="BO129" s="103"/>
      <c r="BP129" s="115"/>
    </row>
    <row r="130" spans="3:68" s="2" customFormat="1" hidden="1">
      <c r="C130" s="98"/>
      <c r="D130" s="98"/>
      <c r="E130" s="98"/>
      <c r="F130" s="98"/>
      <c r="G130" s="98"/>
      <c r="H130" s="98"/>
      <c r="I130" s="98"/>
      <c r="J130" s="98"/>
      <c r="K130" s="98"/>
      <c r="L130" s="98"/>
      <c r="M130" s="98"/>
      <c r="N130" s="98"/>
      <c r="O130" s="98"/>
      <c r="P130" s="98"/>
      <c r="Q130" s="98"/>
      <c r="R130" s="98"/>
      <c r="S130" s="98"/>
      <c r="T130" s="98"/>
      <c r="U130" s="98"/>
      <c r="V130" s="98"/>
      <c r="W130" s="98"/>
      <c r="X130" s="98"/>
      <c r="Y130" s="98"/>
      <c r="Z130" s="98"/>
      <c r="AA130" s="98"/>
      <c r="AB130" s="98"/>
      <c r="AC130" s="98"/>
      <c r="AD130" s="98"/>
      <c r="AE130" s="98"/>
      <c r="AF130" s="98"/>
      <c r="AG130" s="98"/>
      <c r="AH130" s="98"/>
      <c r="AJ130" s="123"/>
      <c r="AK130" s="48"/>
      <c r="AL130" s="48"/>
      <c r="AM130" s="87"/>
      <c r="AN130" s="48"/>
      <c r="AO130" s="48"/>
      <c r="AP130" s="48"/>
      <c r="AQ130" s="48"/>
      <c r="AR130" s="66"/>
      <c r="AS130" s="66"/>
      <c r="AT130" s="48"/>
      <c r="AU130" s="66"/>
      <c r="AV130" s="48"/>
      <c r="AW130" s="67"/>
      <c r="AX130" s="48"/>
      <c r="AY130" s="48"/>
      <c r="AZ130" s="48"/>
      <c r="BA130" s="68"/>
      <c r="BB130" s="48"/>
      <c r="BC130" s="48"/>
      <c r="BD130" s="68"/>
      <c r="BE130" s="48"/>
      <c r="BF130" s="48"/>
      <c r="BG130" s="88"/>
      <c r="BH130" s="79"/>
      <c r="BI130" s="81"/>
      <c r="BJ130" s="48"/>
      <c r="BK130" s="76"/>
      <c r="BL130" s="48"/>
      <c r="BM130" s="104"/>
      <c r="BN130" s="98"/>
      <c r="BO130" s="103"/>
      <c r="BP130" s="115"/>
    </row>
    <row r="131" spans="3:68" s="2" customFormat="1" hidden="1">
      <c r="C131" s="98"/>
      <c r="D131" s="98"/>
      <c r="E131" s="98"/>
      <c r="F131" s="98"/>
      <c r="G131" s="98"/>
      <c r="H131" s="98"/>
      <c r="I131" s="98"/>
      <c r="J131" s="98"/>
      <c r="K131" s="98"/>
      <c r="L131" s="98"/>
      <c r="M131" s="98"/>
      <c r="N131" s="98"/>
      <c r="O131" s="98"/>
      <c r="P131" s="98"/>
      <c r="Q131" s="98"/>
      <c r="R131" s="98"/>
      <c r="S131" s="98"/>
      <c r="T131" s="98"/>
      <c r="U131" s="98"/>
      <c r="V131" s="98"/>
      <c r="W131" s="98"/>
      <c r="X131" s="98"/>
      <c r="Y131" s="98"/>
      <c r="Z131" s="98"/>
      <c r="AA131" s="98"/>
      <c r="AB131" s="98"/>
      <c r="AC131" s="98"/>
      <c r="AD131" s="98"/>
      <c r="AE131" s="98"/>
      <c r="AF131" s="98"/>
      <c r="AG131" s="98"/>
      <c r="AH131" s="98"/>
      <c r="AJ131" s="123"/>
      <c r="AK131" s="48"/>
      <c r="AL131" s="48"/>
      <c r="AM131" s="87"/>
      <c r="AN131" s="48"/>
      <c r="AO131" s="48"/>
      <c r="AP131" s="48"/>
      <c r="AQ131" s="48"/>
      <c r="AR131" s="66"/>
      <c r="AS131" s="66"/>
      <c r="AT131" s="48"/>
      <c r="AU131" s="66"/>
      <c r="AV131" s="48"/>
      <c r="AW131" s="67"/>
      <c r="AX131" s="48"/>
      <c r="AY131" s="48"/>
      <c r="AZ131" s="48"/>
      <c r="BA131" s="68"/>
      <c r="BB131" s="48"/>
      <c r="BC131" s="48"/>
      <c r="BD131" s="68"/>
      <c r="BE131" s="48"/>
      <c r="BF131" s="48"/>
      <c r="BG131" s="88"/>
      <c r="BH131" s="79"/>
      <c r="BI131" s="81"/>
      <c r="BJ131" s="48"/>
      <c r="BK131" s="76"/>
      <c r="BL131" s="48"/>
      <c r="BM131" s="104"/>
      <c r="BN131" s="98"/>
      <c r="BO131" s="103"/>
      <c r="BP131" s="115"/>
    </row>
    <row r="132" spans="3:68" s="2" customFormat="1" hidden="1">
      <c r="C132" s="98"/>
      <c r="D132" s="98"/>
      <c r="E132" s="98"/>
      <c r="F132" s="98"/>
      <c r="G132" s="98"/>
      <c r="H132" s="98"/>
      <c r="I132" s="98"/>
      <c r="J132" s="98"/>
      <c r="K132" s="98"/>
      <c r="L132" s="98"/>
      <c r="M132" s="98"/>
      <c r="N132" s="98"/>
      <c r="O132" s="98"/>
      <c r="P132" s="98"/>
      <c r="Q132" s="98"/>
      <c r="R132" s="98"/>
      <c r="S132" s="98"/>
      <c r="T132" s="98"/>
      <c r="U132" s="98"/>
      <c r="V132" s="98"/>
      <c r="W132" s="98"/>
      <c r="X132" s="98"/>
      <c r="Y132" s="98"/>
      <c r="Z132" s="98"/>
      <c r="AA132" s="98"/>
      <c r="AB132" s="98"/>
      <c r="AC132" s="98"/>
      <c r="AD132" s="98"/>
      <c r="AE132" s="98"/>
      <c r="AF132" s="98"/>
      <c r="AG132" s="98"/>
      <c r="AH132" s="98"/>
      <c r="AJ132" s="123"/>
      <c r="AK132" s="48"/>
      <c r="AL132" s="48"/>
      <c r="AM132" s="87"/>
      <c r="AN132" s="48"/>
      <c r="AO132" s="48"/>
      <c r="AP132" s="48"/>
      <c r="AQ132" s="48"/>
      <c r="AR132" s="66"/>
      <c r="AS132" s="66"/>
      <c r="AT132" s="48"/>
      <c r="AU132" s="66"/>
      <c r="AV132" s="48"/>
      <c r="AW132" s="67"/>
      <c r="AX132" s="48"/>
      <c r="AY132" s="48"/>
      <c r="AZ132" s="48"/>
      <c r="BA132" s="68"/>
      <c r="BB132" s="48"/>
      <c r="BC132" s="48"/>
      <c r="BD132" s="68"/>
      <c r="BE132" s="48"/>
      <c r="BF132" s="48"/>
      <c r="BG132" s="88"/>
      <c r="BH132" s="79"/>
      <c r="BI132" s="81"/>
      <c r="BJ132" s="48"/>
      <c r="BK132" s="76"/>
      <c r="BL132" s="48"/>
      <c r="BM132" s="104"/>
      <c r="BN132" s="98"/>
      <c r="BO132" s="103"/>
      <c r="BP132" s="115"/>
    </row>
    <row r="133" spans="3:68" s="2" customFormat="1" hidden="1">
      <c r="C133" s="98"/>
      <c r="D133" s="98"/>
      <c r="E133" s="98"/>
      <c r="F133" s="98"/>
      <c r="G133" s="98"/>
      <c r="H133" s="98"/>
      <c r="I133" s="98"/>
      <c r="J133" s="98"/>
      <c r="K133" s="98"/>
      <c r="L133" s="98"/>
      <c r="M133" s="98"/>
      <c r="N133" s="98"/>
      <c r="O133" s="98"/>
      <c r="P133" s="98"/>
      <c r="Q133" s="98"/>
      <c r="R133" s="98"/>
      <c r="S133" s="98"/>
      <c r="T133" s="98"/>
      <c r="U133" s="98"/>
      <c r="V133" s="98"/>
      <c r="W133" s="98"/>
      <c r="X133" s="98"/>
      <c r="Y133" s="98"/>
      <c r="Z133" s="98"/>
      <c r="AA133" s="98"/>
      <c r="AB133" s="98"/>
      <c r="AC133" s="98"/>
      <c r="AD133" s="98"/>
      <c r="AE133" s="98"/>
      <c r="AF133" s="98"/>
      <c r="AG133" s="98"/>
      <c r="AH133" s="98"/>
      <c r="AJ133" s="123"/>
      <c r="AK133" s="48"/>
      <c r="AL133" s="48"/>
      <c r="AM133" s="87"/>
      <c r="AN133" s="48"/>
      <c r="AO133" s="48"/>
      <c r="AP133" s="48"/>
      <c r="AQ133" s="48"/>
      <c r="AR133" s="66"/>
      <c r="AS133" s="66"/>
      <c r="AT133" s="48"/>
      <c r="AU133" s="66"/>
      <c r="AV133" s="48"/>
      <c r="AW133" s="67"/>
      <c r="AX133" s="48"/>
      <c r="AY133" s="48"/>
      <c r="AZ133" s="48"/>
      <c r="BA133" s="68"/>
      <c r="BB133" s="48"/>
      <c r="BC133" s="48"/>
      <c r="BD133" s="68"/>
      <c r="BE133" s="48"/>
      <c r="BF133" s="48"/>
      <c r="BG133" s="88"/>
      <c r="BH133" s="79"/>
      <c r="BI133" s="81"/>
      <c r="BJ133" s="48"/>
      <c r="BK133" s="76"/>
      <c r="BL133" s="48"/>
      <c r="BM133" s="104"/>
      <c r="BN133" s="98"/>
      <c r="BO133" s="103"/>
      <c r="BP133" s="115"/>
    </row>
    <row r="134" spans="3:68" s="2" customFormat="1" hidden="1">
      <c r="C134" s="98"/>
      <c r="D134" s="98"/>
      <c r="E134" s="98"/>
      <c r="F134" s="98"/>
      <c r="G134" s="98"/>
      <c r="H134" s="98"/>
      <c r="I134" s="98"/>
      <c r="J134" s="98"/>
      <c r="K134" s="98"/>
      <c r="L134" s="98"/>
      <c r="M134" s="98"/>
      <c r="N134" s="98"/>
      <c r="O134" s="98"/>
      <c r="P134" s="98"/>
      <c r="Q134" s="98"/>
      <c r="R134" s="98"/>
      <c r="S134" s="98"/>
      <c r="T134" s="98"/>
      <c r="U134" s="98"/>
      <c r="V134" s="98"/>
      <c r="W134" s="98"/>
      <c r="X134" s="98"/>
      <c r="Y134" s="98"/>
      <c r="Z134" s="98"/>
      <c r="AA134" s="98"/>
      <c r="AB134" s="98"/>
      <c r="AC134" s="98"/>
      <c r="AD134" s="98"/>
      <c r="AE134" s="98"/>
      <c r="AF134" s="98"/>
      <c r="AG134" s="98"/>
      <c r="AH134" s="98"/>
      <c r="AJ134" s="123"/>
      <c r="AK134" s="48"/>
      <c r="AL134" s="48"/>
      <c r="AM134" s="87"/>
      <c r="AN134" s="48"/>
      <c r="AO134" s="48"/>
      <c r="AP134" s="48"/>
      <c r="AQ134" s="48"/>
      <c r="AR134" s="66"/>
      <c r="AS134" s="66"/>
      <c r="AT134" s="48"/>
      <c r="AU134" s="66"/>
      <c r="AV134" s="48"/>
      <c r="AW134" s="67"/>
      <c r="AX134" s="48"/>
      <c r="AY134" s="48"/>
      <c r="AZ134" s="48"/>
      <c r="BA134" s="68"/>
      <c r="BB134" s="48"/>
      <c r="BC134" s="48"/>
      <c r="BD134" s="68"/>
      <c r="BE134" s="48"/>
      <c r="BF134" s="48"/>
      <c r="BG134" s="88"/>
      <c r="BH134" s="79"/>
      <c r="BI134" s="81"/>
      <c r="BJ134" s="48"/>
      <c r="BK134" s="76"/>
      <c r="BL134" s="48"/>
      <c r="BM134" s="104"/>
      <c r="BN134" s="98"/>
      <c r="BO134" s="103"/>
      <c r="BP134" s="115"/>
    </row>
    <row r="135" spans="3:68" s="2" customFormat="1" hidden="1">
      <c r="C135" s="98"/>
      <c r="D135" s="98"/>
      <c r="E135" s="98"/>
      <c r="F135" s="98"/>
      <c r="G135" s="98"/>
      <c r="H135" s="98"/>
      <c r="I135" s="98"/>
      <c r="J135" s="98"/>
      <c r="K135" s="98"/>
      <c r="L135" s="98"/>
      <c r="M135" s="98"/>
      <c r="N135" s="98"/>
      <c r="O135" s="98"/>
      <c r="P135" s="98"/>
      <c r="Q135" s="98"/>
      <c r="R135" s="98"/>
      <c r="S135" s="98"/>
      <c r="T135" s="98"/>
      <c r="U135" s="98"/>
      <c r="V135" s="98"/>
      <c r="W135" s="98"/>
      <c r="X135" s="98"/>
      <c r="Y135" s="98"/>
      <c r="Z135" s="98"/>
      <c r="AA135" s="98"/>
      <c r="AB135" s="98"/>
      <c r="AC135" s="98"/>
      <c r="AD135" s="98"/>
      <c r="AE135" s="98"/>
      <c r="AF135" s="98"/>
      <c r="AG135" s="98"/>
      <c r="AH135" s="98"/>
      <c r="AJ135" s="123"/>
      <c r="AK135" s="48"/>
      <c r="AL135" s="48"/>
      <c r="AM135" s="87"/>
      <c r="AN135" s="48"/>
      <c r="AO135" s="48"/>
      <c r="AP135" s="48"/>
      <c r="AQ135" s="48"/>
      <c r="AR135" s="66"/>
      <c r="AS135" s="66"/>
      <c r="AT135" s="48"/>
      <c r="AU135" s="66"/>
      <c r="AV135" s="48"/>
      <c r="AW135" s="67"/>
      <c r="AX135" s="48"/>
      <c r="AY135" s="48"/>
      <c r="AZ135" s="48"/>
      <c r="BA135" s="68"/>
      <c r="BB135" s="48"/>
      <c r="BC135" s="48"/>
      <c r="BD135" s="68"/>
      <c r="BE135" s="48"/>
      <c r="BF135" s="48"/>
      <c r="BG135" s="88"/>
      <c r="BH135" s="79"/>
      <c r="BI135" s="81"/>
      <c r="BJ135" s="48"/>
      <c r="BK135" s="76"/>
      <c r="BL135" s="48"/>
      <c r="BM135" s="104"/>
      <c r="BN135" s="98"/>
      <c r="BO135" s="103"/>
      <c r="BP135" s="115"/>
    </row>
    <row r="136" spans="3:68" s="2" customFormat="1" hidden="1">
      <c r="C136" s="98"/>
      <c r="D136" s="98"/>
      <c r="E136" s="98"/>
      <c r="F136" s="98"/>
      <c r="G136" s="98"/>
      <c r="H136" s="98"/>
      <c r="I136" s="98"/>
      <c r="J136" s="98"/>
      <c r="K136" s="98"/>
      <c r="L136" s="98"/>
      <c r="M136" s="98"/>
      <c r="N136" s="98"/>
      <c r="O136" s="98"/>
      <c r="P136" s="98"/>
      <c r="Q136" s="98"/>
      <c r="R136" s="98"/>
      <c r="S136" s="98"/>
      <c r="T136" s="98"/>
      <c r="U136" s="98"/>
      <c r="V136" s="98"/>
      <c r="W136" s="98"/>
      <c r="X136" s="98"/>
      <c r="Y136" s="98"/>
      <c r="Z136" s="98"/>
      <c r="AA136" s="98"/>
      <c r="AB136" s="98"/>
      <c r="AC136" s="98"/>
      <c r="AD136" s="98"/>
      <c r="AE136" s="98"/>
      <c r="AF136" s="98"/>
      <c r="AG136" s="98"/>
      <c r="AH136" s="98"/>
      <c r="AJ136" s="123"/>
      <c r="AK136" s="48"/>
      <c r="AL136" s="48"/>
      <c r="AM136" s="87"/>
      <c r="AN136" s="48"/>
      <c r="AO136" s="48"/>
      <c r="AP136" s="48"/>
      <c r="AQ136" s="48"/>
      <c r="AR136" s="66"/>
      <c r="AS136" s="66"/>
      <c r="AT136" s="48"/>
      <c r="AU136" s="66"/>
      <c r="AV136" s="48"/>
      <c r="AW136" s="67"/>
      <c r="AX136" s="48"/>
      <c r="AY136" s="48"/>
      <c r="AZ136" s="48"/>
      <c r="BA136" s="68"/>
      <c r="BB136" s="48"/>
      <c r="BC136" s="48"/>
      <c r="BD136" s="68"/>
      <c r="BE136" s="48"/>
      <c r="BF136" s="48"/>
      <c r="BG136" s="88"/>
      <c r="BH136" s="79"/>
      <c r="BI136" s="81"/>
      <c r="BJ136" s="48"/>
      <c r="BK136" s="76"/>
      <c r="BL136" s="48"/>
      <c r="BM136" s="104"/>
      <c r="BN136" s="98"/>
      <c r="BO136" s="103"/>
      <c r="BP136" s="115"/>
    </row>
    <row r="137" spans="3:68" s="2" customFormat="1" hidden="1">
      <c r="C137" s="98"/>
      <c r="D137" s="98"/>
      <c r="E137" s="98"/>
      <c r="F137" s="98"/>
      <c r="G137" s="98"/>
      <c r="H137" s="98"/>
      <c r="I137" s="98"/>
      <c r="J137" s="98"/>
      <c r="K137" s="98"/>
      <c r="L137" s="98"/>
      <c r="M137" s="98"/>
      <c r="N137" s="98"/>
      <c r="O137" s="98"/>
      <c r="P137" s="98"/>
      <c r="Q137" s="98"/>
      <c r="R137" s="98"/>
      <c r="S137" s="98"/>
      <c r="T137" s="98"/>
      <c r="U137" s="98"/>
      <c r="V137" s="98"/>
      <c r="W137" s="98"/>
      <c r="X137" s="98"/>
      <c r="Y137" s="98"/>
      <c r="Z137" s="98"/>
      <c r="AA137" s="98"/>
      <c r="AB137" s="98"/>
      <c r="AC137" s="98"/>
      <c r="AD137" s="98"/>
      <c r="AE137" s="98"/>
      <c r="AF137" s="98"/>
      <c r="AG137" s="98"/>
      <c r="AH137" s="98"/>
      <c r="AJ137" s="123"/>
      <c r="AK137" s="48"/>
      <c r="AL137" s="48"/>
      <c r="AM137" s="87"/>
      <c r="AN137" s="48"/>
      <c r="AO137" s="48"/>
      <c r="AP137" s="48"/>
      <c r="AQ137" s="48"/>
      <c r="AR137" s="66"/>
      <c r="AS137" s="66"/>
      <c r="AT137" s="48"/>
      <c r="AU137" s="66"/>
      <c r="AV137" s="48"/>
      <c r="AW137" s="67"/>
      <c r="AX137" s="48"/>
      <c r="AY137" s="48"/>
      <c r="AZ137" s="48"/>
      <c r="BA137" s="68"/>
      <c r="BB137" s="48"/>
      <c r="BC137" s="48"/>
      <c r="BD137" s="68"/>
      <c r="BE137" s="48"/>
      <c r="BF137" s="48"/>
      <c r="BG137" s="88"/>
      <c r="BH137" s="79"/>
      <c r="BI137" s="81"/>
      <c r="BJ137" s="48"/>
      <c r="BK137" s="76"/>
      <c r="BL137" s="48"/>
      <c r="BM137" s="104"/>
      <c r="BN137" s="98"/>
      <c r="BO137" s="103"/>
      <c r="BP137" s="115"/>
    </row>
    <row r="138" spans="3:68" s="2" customFormat="1" hidden="1">
      <c r="C138" s="98"/>
      <c r="D138" s="98"/>
      <c r="E138" s="98"/>
      <c r="F138" s="98"/>
      <c r="G138" s="98"/>
      <c r="H138" s="98"/>
      <c r="I138" s="98"/>
      <c r="J138" s="98"/>
      <c r="K138" s="98"/>
      <c r="L138" s="98"/>
      <c r="M138" s="98"/>
      <c r="N138" s="98"/>
      <c r="O138" s="98"/>
      <c r="P138" s="98"/>
      <c r="Q138" s="98"/>
      <c r="R138" s="98"/>
      <c r="S138" s="98"/>
      <c r="T138" s="98"/>
      <c r="U138" s="98"/>
      <c r="V138" s="98"/>
      <c r="W138" s="98"/>
      <c r="X138" s="98"/>
      <c r="Y138" s="98"/>
      <c r="Z138" s="98"/>
      <c r="AA138" s="98"/>
      <c r="AB138" s="98"/>
      <c r="AC138" s="98"/>
      <c r="AD138" s="98"/>
      <c r="AE138" s="98"/>
      <c r="AF138" s="98"/>
      <c r="AG138" s="98"/>
      <c r="AH138" s="98"/>
      <c r="AJ138" s="123"/>
      <c r="AK138" s="48"/>
      <c r="AL138" s="48"/>
      <c r="AM138" s="87"/>
      <c r="AN138" s="48"/>
      <c r="AO138" s="48"/>
      <c r="AP138" s="48"/>
      <c r="AQ138" s="48"/>
      <c r="AR138" s="66"/>
      <c r="AS138" s="66"/>
      <c r="AT138" s="48"/>
      <c r="AU138" s="66"/>
      <c r="AV138" s="48"/>
      <c r="AW138" s="67"/>
      <c r="AX138" s="48"/>
      <c r="AY138" s="48"/>
      <c r="AZ138" s="48"/>
      <c r="BA138" s="68"/>
      <c r="BB138" s="48"/>
      <c r="BC138" s="48"/>
      <c r="BD138" s="68"/>
      <c r="BE138" s="48"/>
      <c r="BF138" s="48"/>
      <c r="BG138" s="88"/>
      <c r="BH138" s="79"/>
      <c r="BI138" s="81"/>
      <c r="BJ138" s="48"/>
      <c r="BK138" s="76"/>
      <c r="BL138" s="48"/>
      <c r="BM138" s="104"/>
      <c r="BN138" s="98"/>
      <c r="BO138" s="103"/>
      <c r="BP138" s="115"/>
    </row>
    <row r="139" spans="3:68" s="2" customFormat="1" hidden="1">
      <c r="C139" s="98"/>
      <c r="D139" s="98"/>
      <c r="E139" s="98"/>
      <c r="F139" s="98"/>
      <c r="G139" s="98"/>
      <c r="H139" s="98"/>
      <c r="I139" s="98"/>
      <c r="J139" s="98"/>
      <c r="K139" s="98"/>
      <c r="L139" s="98"/>
      <c r="M139" s="98"/>
      <c r="N139" s="98"/>
      <c r="O139" s="98"/>
      <c r="P139" s="98"/>
      <c r="Q139" s="98"/>
      <c r="R139" s="98"/>
      <c r="S139" s="98"/>
      <c r="T139" s="98"/>
      <c r="U139" s="98"/>
      <c r="V139" s="98"/>
      <c r="W139" s="98"/>
      <c r="X139" s="98"/>
      <c r="Y139" s="98"/>
      <c r="Z139" s="98"/>
      <c r="AA139" s="98"/>
      <c r="AB139" s="98"/>
      <c r="AC139" s="98"/>
      <c r="AD139" s="98"/>
      <c r="AE139" s="98"/>
      <c r="AF139" s="98"/>
      <c r="AG139" s="98"/>
      <c r="AH139" s="98"/>
      <c r="AJ139" s="123"/>
      <c r="AK139" s="48"/>
      <c r="AL139" s="48"/>
      <c r="AM139" s="87"/>
      <c r="AN139" s="48"/>
      <c r="AO139" s="48"/>
      <c r="AP139" s="48"/>
      <c r="AQ139" s="48"/>
      <c r="AR139" s="66"/>
      <c r="AS139" s="66"/>
      <c r="AT139" s="48"/>
      <c r="AU139" s="66"/>
      <c r="AV139" s="48"/>
      <c r="AW139" s="67"/>
      <c r="AX139" s="48"/>
      <c r="AY139" s="48"/>
      <c r="AZ139" s="48"/>
      <c r="BA139" s="68"/>
      <c r="BB139" s="48"/>
      <c r="BC139" s="48"/>
      <c r="BD139" s="68"/>
      <c r="BE139" s="48"/>
      <c r="BF139" s="48"/>
      <c r="BG139" s="88"/>
      <c r="BH139" s="79"/>
      <c r="BI139" s="81"/>
      <c r="BJ139" s="48"/>
      <c r="BK139" s="76"/>
      <c r="BL139" s="48"/>
      <c r="BM139" s="104"/>
      <c r="BN139" s="98"/>
      <c r="BO139" s="103"/>
      <c r="BP139" s="115"/>
    </row>
    <row r="140" spans="3:68" s="2" customFormat="1" ht="15.75" hidden="1" thickBot="1">
      <c r="C140" s="98"/>
      <c r="D140" s="98"/>
      <c r="E140" s="98"/>
      <c r="F140" s="98"/>
      <c r="G140" s="98"/>
      <c r="H140" s="98"/>
      <c r="I140" s="98"/>
      <c r="J140" s="98"/>
      <c r="K140" s="98"/>
      <c r="L140" s="98"/>
      <c r="M140" s="98"/>
      <c r="N140" s="98"/>
      <c r="O140" s="98"/>
      <c r="P140" s="98"/>
      <c r="Q140" s="98"/>
      <c r="R140" s="98"/>
      <c r="S140" s="98"/>
      <c r="T140" s="98"/>
      <c r="U140" s="98"/>
      <c r="V140" s="98"/>
      <c r="W140" s="98"/>
      <c r="X140" s="98"/>
      <c r="Y140" s="98"/>
      <c r="Z140" s="98"/>
      <c r="AA140" s="98"/>
      <c r="AB140" s="98"/>
      <c r="AC140" s="98"/>
      <c r="AD140" s="98"/>
      <c r="AE140" s="98"/>
      <c r="AF140" s="98"/>
      <c r="AG140" s="98"/>
      <c r="AH140" s="98"/>
      <c r="AJ140" s="123"/>
      <c r="AK140" s="48"/>
      <c r="AL140" s="48"/>
      <c r="AM140" s="89"/>
      <c r="AN140" s="90"/>
      <c r="AO140" s="90"/>
      <c r="AP140" s="90"/>
      <c r="AQ140" s="90"/>
      <c r="AR140" s="472"/>
      <c r="AS140" s="472"/>
      <c r="AT140" s="90"/>
      <c r="AU140" s="472"/>
      <c r="AV140" s="90"/>
      <c r="AW140" s="473"/>
      <c r="AX140" s="90"/>
      <c r="AY140" s="90"/>
      <c r="AZ140" s="90"/>
      <c r="BA140" s="474"/>
      <c r="BB140" s="90"/>
      <c r="BC140" s="90"/>
      <c r="BD140" s="474"/>
      <c r="BE140" s="90"/>
      <c r="BF140" s="90"/>
      <c r="BG140" s="94"/>
      <c r="BH140" s="79"/>
      <c r="BI140" s="81"/>
      <c r="BJ140" s="48"/>
      <c r="BK140" s="76"/>
      <c r="BL140" s="48"/>
      <c r="BM140" s="104"/>
      <c r="BN140" s="98"/>
      <c r="BO140" s="103"/>
      <c r="BP140" s="115"/>
    </row>
    <row r="141" spans="3:68" s="2" customFormat="1">
      <c r="C141" s="98"/>
      <c r="D141" s="98"/>
      <c r="E141" s="98"/>
      <c r="F141" s="98"/>
      <c r="G141" s="98"/>
      <c r="H141" s="98"/>
      <c r="I141" s="98"/>
      <c r="J141" s="98"/>
      <c r="K141" s="98"/>
      <c r="L141" s="98"/>
      <c r="M141" s="98"/>
      <c r="N141" s="98"/>
      <c r="O141" s="98"/>
      <c r="P141" s="98"/>
      <c r="Q141" s="98"/>
      <c r="R141" s="98"/>
      <c r="S141" s="98"/>
      <c r="T141" s="98"/>
      <c r="U141" s="98"/>
      <c r="V141" s="98"/>
      <c r="W141" s="98"/>
      <c r="X141" s="98"/>
      <c r="Y141" s="98"/>
      <c r="Z141" s="98"/>
      <c r="AA141" s="98"/>
      <c r="AB141" s="98"/>
      <c r="AC141" s="98"/>
      <c r="AD141" s="98"/>
      <c r="AE141" s="98"/>
      <c r="AF141" s="98"/>
      <c r="AG141" s="98"/>
      <c r="AH141" s="98"/>
      <c r="AJ141" s="123"/>
      <c r="AK141" s="48"/>
      <c r="AL141" s="48"/>
      <c r="AM141" s="48"/>
      <c r="AN141" s="48"/>
      <c r="AO141" s="48"/>
      <c r="AP141" s="48"/>
      <c r="AQ141" s="48"/>
      <c r="AR141" s="66"/>
      <c r="AS141" s="66"/>
      <c r="AT141" s="48"/>
      <c r="AU141" s="66"/>
      <c r="AV141" s="48"/>
      <c r="AW141" s="67"/>
      <c r="AX141" s="48"/>
      <c r="AY141" s="48"/>
      <c r="AZ141" s="48"/>
      <c r="BA141" s="68"/>
      <c r="BB141" s="48"/>
      <c r="BC141" s="48"/>
      <c r="BD141" s="68"/>
      <c r="BE141" s="48"/>
      <c r="BF141" s="48"/>
      <c r="BG141" s="48"/>
      <c r="BH141" s="79"/>
      <c r="BI141" s="81"/>
      <c r="BJ141" s="48"/>
      <c r="BK141" s="76"/>
      <c r="BL141" s="48"/>
      <c r="BM141" s="104"/>
      <c r="BN141" s="98"/>
      <c r="BO141" s="103"/>
      <c r="BP141" s="115"/>
    </row>
    <row r="142" spans="3:68">
      <c r="C142" s="18"/>
      <c r="D142" s="18"/>
      <c r="E142" s="18"/>
      <c r="F142" s="18"/>
      <c r="G142" s="18"/>
      <c r="H142" s="18"/>
      <c r="I142" s="18"/>
      <c r="J142" s="18"/>
      <c r="K142" s="18"/>
      <c r="L142" s="18"/>
      <c r="M142" s="18"/>
      <c r="N142" s="18"/>
      <c r="O142" s="18"/>
      <c r="P142" s="18"/>
      <c r="Q142" s="18"/>
      <c r="R142" s="18"/>
      <c r="S142" s="18"/>
      <c r="T142" s="18"/>
      <c r="U142" s="18"/>
      <c r="V142" s="18"/>
      <c r="W142" s="18"/>
      <c r="X142" s="18"/>
      <c r="Y142" s="18"/>
      <c r="Z142" s="18"/>
      <c r="AA142" s="18"/>
      <c r="AB142" s="18"/>
      <c r="AC142" s="18"/>
      <c r="AD142" s="18"/>
      <c r="AE142" s="18"/>
      <c r="AF142" s="18"/>
      <c r="AG142" s="18"/>
      <c r="AH142" s="18"/>
      <c r="AK142" s="98"/>
      <c r="AL142" s="98"/>
      <c r="AM142" s="98"/>
      <c r="AN142" s="98"/>
      <c r="AO142" s="98"/>
      <c r="AP142" s="98"/>
      <c r="AQ142" s="98"/>
      <c r="AR142" s="98"/>
      <c r="AS142" s="98"/>
      <c r="AT142" s="98"/>
      <c r="AU142" s="98"/>
      <c r="AV142" s="98"/>
      <c r="AW142" s="98"/>
      <c r="AX142" s="98"/>
      <c r="AY142" s="98"/>
      <c r="AZ142" s="98"/>
      <c r="BA142" s="98"/>
      <c r="BB142" s="98"/>
      <c r="BC142" s="98"/>
      <c r="BD142" s="98"/>
      <c r="BE142" s="98"/>
      <c r="BF142" s="98"/>
      <c r="BG142" s="98"/>
      <c r="BH142" s="98"/>
      <c r="BI142" s="4"/>
      <c r="BJ142" s="98"/>
      <c r="BK142" s="98"/>
      <c r="BL142" s="98"/>
      <c r="BM142" s="99"/>
      <c r="BN142" s="100"/>
      <c r="BO142" s="100"/>
      <c r="BP142" s="114" t="str">
        <f ca="1">IF(BJ13="","",IF(BP142="",NOW(),BP142))</f>
        <v/>
      </c>
    </row>
    <row r="143" spans="3:68" ht="15.75" thickBot="1">
      <c r="AK143" s="98"/>
      <c r="AL143" s="98"/>
      <c r="AM143" s="98"/>
      <c r="AN143" s="98"/>
      <c r="AO143" s="98"/>
      <c r="AP143" s="98"/>
      <c r="AQ143" s="98"/>
      <c r="AR143" s="98"/>
      <c r="AS143" s="98"/>
      <c r="AT143" s="98"/>
      <c r="AU143" s="98"/>
      <c r="AV143" s="98"/>
      <c r="AW143" s="98"/>
      <c r="AX143" s="98"/>
      <c r="AY143" s="98"/>
      <c r="AZ143" s="98"/>
      <c r="BA143" s="98"/>
      <c r="BB143" s="98"/>
      <c r="BC143" s="98"/>
      <c r="BD143" s="98"/>
      <c r="BE143" s="98"/>
      <c r="BF143" s="98"/>
      <c r="BG143" s="98"/>
      <c r="BH143" s="98"/>
      <c r="BI143" s="98"/>
      <c r="BJ143" s="98"/>
      <c r="BK143" s="98"/>
      <c r="BL143" s="98"/>
      <c r="BM143" s="99"/>
      <c r="BN143" s="100"/>
      <c r="BO143" s="100"/>
    </row>
    <row r="144" spans="3:68">
      <c r="AJ144" s="123">
        <v>3</v>
      </c>
      <c r="AK144" s="96"/>
      <c r="AL144" s="97"/>
      <c r="AM144" s="463"/>
      <c r="AN144" s="464"/>
      <c r="AO144" s="464"/>
      <c r="AP144" s="464"/>
      <c r="AQ144" s="465"/>
      <c r="AR144" s="466"/>
      <c r="AS144" s="464"/>
      <c r="AT144" s="465"/>
      <c r="AU144" s="467"/>
      <c r="AV144" s="468"/>
      <c r="AW144" s="468"/>
      <c r="AX144" s="468"/>
      <c r="AY144" s="468"/>
      <c r="AZ144" s="469"/>
      <c r="BA144" s="470"/>
      <c r="BB144" s="470"/>
      <c r="BC144" s="469"/>
      <c r="BD144" s="470"/>
      <c r="BE144" s="468"/>
      <c r="BF144" s="470"/>
      <c r="BG144" s="471"/>
      <c r="BH144" s="83"/>
      <c r="BI144" s="83"/>
      <c r="BJ144" s="84"/>
      <c r="BK144" s="85"/>
      <c r="BL144" s="86"/>
      <c r="BM144" s="99"/>
      <c r="BN144" s="100"/>
      <c r="BO144" s="100"/>
    </row>
    <row r="145" spans="36:68">
      <c r="AK145" s="87"/>
      <c r="AL145" s="48"/>
      <c r="AM145" s="87"/>
      <c r="AN145" s="48"/>
      <c r="AO145" s="48"/>
      <c r="AP145" s="48"/>
      <c r="AQ145" s="48"/>
      <c r="AR145" s="66"/>
      <c r="AS145" s="66"/>
      <c r="AT145" s="48"/>
      <c r="AU145" s="66"/>
      <c r="AV145" s="48"/>
      <c r="AW145" s="67"/>
      <c r="AX145" s="48"/>
      <c r="AY145" s="48"/>
      <c r="AZ145" s="48"/>
      <c r="BA145" s="68"/>
      <c r="BB145" s="48"/>
      <c r="BC145" s="48"/>
      <c r="BD145" s="68"/>
      <c r="BE145" s="48"/>
      <c r="BF145" s="48"/>
      <c r="BG145" s="88"/>
      <c r="BH145" s="44"/>
      <c r="BI145" s="45"/>
      <c r="BJ145" s="48"/>
      <c r="BK145" s="48"/>
      <c r="BL145" s="88"/>
      <c r="BM145" s="118" t="str">
        <f ca="1">IF(BJ145="","",IF(BM145="",NOW(),BM145))</f>
        <v/>
      </c>
      <c r="BN145" s="110"/>
      <c r="BO145" s="110" t="str">
        <f ca="1">IF(AND(BP274&gt;TIME(6,0,0),BP274&lt;TIME(9,0,0)),"NIGHT SHIFT","DAY SHIFT")</f>
        <v>DAY SHIFT</v>
      </c>
    </row>
    <row r="146" spans="36:68">
      <c r="AK146" s="87"/>
      <c r="AL146" s="48"/>
      <c r="AM146" s="87"/>
      <c r="AN146" s="48"/>
      <c r="AO146" s="48"/>
      <c r="AP146" s="48"/>
      <c r="AQ146" s="48"/>
      <c r="AR146" s="66"/>
      <c r="AS146" s="66"/>
      <c r="AT146" s="48"/>
      <c r="AU146" s="66"/>
      <c r="AV146" s="48"/>
      <c r="AW146" s="67"/>
      <c r="AX146" s="48"/>
      <c r="AY146" s="48"/>
      <c r="AZ146" s="48"/>
      <c r="BA146" s="68"/>
      <c r="BB146" s="48"/>
      <c r="BC146" s="48"/>
      <c r="BD146" s="68"/>
      <c r="BE146" s="48"/>
      <c r="BF146" s="48"/>
      <c r="BG146" s="88"/>
      <c r="BH146" s="48"/>
      <c r="BI146" s="49"/>
      <c r="BJ146" s="48"/>
      <c r="BK146" s="48"/>
      <c r="BL146" s="88"/>
      <c r="BM146" s="110"/>
      <c r="BN146" s="111" t="s">
        <v>4</v>
      </c>
      <c r="BO146" s="111" t="s">
        <v>58</v>
      </c>
    </row>
    <row r="147" spans="36:68">
      <c r="AK147" s="87"/>
      <c r="AL147" s="48"/>
      <c r="AM147" s="87"/>
      <c r="AN147" s="48"/>
      <c r="AO147" s="48"/>
      <c r="AP147" s="48"/>
      <c r="AQ147" s="48"/>
      <c r="AR147" s="66"/>
      <c r="AS147" s="66"/>
      <c r="AT147" s="48"/>
      <c r="AU147" s="66"/>
      <c r="AV147" s="48"/>
      <c r="AW147" s="67"/>
      <c r="AX147" s="48"/>
      <c r="AY147" s="48"/>
      <c r="AZ147" s="48"/>
      <c r="BA147" s="68"/>
      <c r="BB147" s="48"/>
      <c r="BC147" s="48"/>
      <c r="BD147" s="68"/>
      <c r="BE147" s="48"/>
      <c r="BF147" s="48"/>
      <c r="BG147" s="88"/>
      <c r="BH147" s="44"/>
      <c r="BI147" s="45"/>
      <c r="BJ147" s="48"/>
      <c r="BK147" s="48"/>
      <c r="BL147" s="88"/>
      <c r="BM147" s="110" t="s">
        <v>51</v>
      </c>
      <c r="BN147" s="109">
        <f>BL150-BL106</f>
        <v>0</v>
      </c>
      <c r="BO147" s="112" t="e">
        <f>(BN147)/BL106</f>
        <v>#DIV/0!</v>
      </c>
    </row>
    <row r="148" spans="36:68">
      <c r="AK148" s="87"/>
      <c r="AL148" s="48"/>
      <c r="AM148" s="87"/>
      <c r="AN148" s="48"/>
      <c r="AO148" s="48"/>
      <c r="AP148" s="48"/>
      <c r="AQ148" s="48"/>
      <c r="AR148" s="66"/>
      <c r="AS148" s="66"/>
      <c r="AT148" s="48"/>
      <c r="AU148" s="66"/>
      <c r="AV148" s="48"/>
      <c r="AW148" s="67"/>
      <c r="AX148" s="48"/>
      <c r="AY148" s="48"/>
      <c r="AZ148" s="48"/>
      <c r="BA148" s="68"/>
      <c r="BB148" s="48"/>
      <c r="BC148" s="48"/>
      <c r="BD148" s="68"/>
      <c r="BE148" s="48"/>
      <c r="BF148" s="48"/>
      <c r="BG148" s="88"/>
      <c r="BH148" s="48"/>
      <c r="BI148" s="438"/>
      <c r="BJ148" s="48"/>
      <c r="BK148" s="48"/>
      <c r="BL148" s="88"/>
      <c r="BM148" s="110"/>
      <c r="BN148" s="109"/>
      <c r="BO148" s="109"/>
    </row>
    <row r="149" spans="36:68">
      <c r="AK149" s="87"/>
      <c r="AL149" s="48"/>
      <c r="AM149" s="87"/>
      <c r="AN149" s="48"/>
      <c r="AO149" s="48"/>
      <c r="AP149" s="48"/>
      <c r="AQ149" s="48"/>
      <c r="AR149" s="66"/>
      <c r="AS149" s="66"/>
      <c r="AT149" s="48"/>
      <c r="AU149" s="66"/>
      <c r="AV149" s="48"/>
      <c r="AW149" s="67"/>
      <c r="AX149" s="48"/>
      <c r="AY149" s="48"/>
      <c r="AZ149" s="48"/>
      <c r="BA149" s="68"/>
      <c r="BB149" s="48"/>
      <c r="BC149" s="48"/>
      <c r="BD149" s="68"/>
      <c r="BE149" s="48"/>
      <c r="BF149" s="48"/>
      <c r="BG149" s="88"/>
      <c r="BH149" s="48"/>
      <c r="BI149" s="48"/>
      <c r="BJ149" s="48"/>
      <c r="BK149" s="48"/>
      <c r="BL149" s="88"/>
      <c r="BM149" s="110" t="s">
        <v>80</v>
      </c>
      <c r="BN149" s="113">
        <f>BI150-BI106</f>
        <v>0</v>
      </c>
      <c r="BO149" s="112" t="e">
        <f>(BN149)/BI106</f>
        <v>#DIV/0!</v>
      </c>
    </row>
    <row r="150" spans="36:68">
      <c r="AK150" s="87"/>
      <c r="AL150" s="48"/>
      <c r="AM150" s="491"/>
      <c r="AN150" s="48"/>
      <c r="AO150" s="48"/>
      <c r="AP150" s="48"/>
      <c r="AQ150" s="48"/>
      <c r="AR150" s="66"/>
      <c r="AS150" s="66"/>
      <c r="AT150" s="48"/>
      <c r="AU150" s="66"/>
      <c r="AV150" s="48"/>
      <c r="AW150" s="67"/>
      <c r="AX150" s="48"/>
      <c r="AY150" s="48"/>
      <c r="AZ150" s="48"/>
      <c r="BA150" s="68"/>
      <c r="BB150" s="48"/>
      <c r="BC150" s="48"/>
      <c r="BD150" s="68"/>
      <c r="BE150" s="48"/>
      <c r="BF150" s="48"/>
      <c r="BG150" s="88"/>
      <c r="BH150" s="79"/>
      <c r="BI150" s="81"/>
      <c r="BJ150" s="48"/>
      <c r="BK150" s="76"/>
      <c r="BL150" s="88"/>
      <c r="BM150" s="110"/>
      <c r="BN150" s="109"/>
      <c r="BO150" s="109"/>
    </row>
    <row r="151" spans="36:68">
      <c r="AK151" s="87"/>
      <c r="AL151" s="48"/>
      <c r="AM151" s="87"/>
      <c r="AN151" s="48"/>
      <c r="AO151" s="48"/>
      <c r="AP151" s="48"/>
      <c r="AQ151" s="48"/>
      <c r="AR151" s="66"/>
      <c r="AS151" s="66"/>
      <c r="AT151" s="48"/>
      <c r="AU151" s="66"/>
      <c r="AV151" s="48"/>
      <c r="AW151" s="67"/>
      <c r="AX151" s="48"/>
      <c r="AY151" s="48"/>
      <c r="AZ151" s="48"/>
      <c r="BA151" s="68"/>
      <c r="BB151" s="48"/>
      <c r="BC151" s="48"/>
      <c r="BD151" s="68"/>
      <c r="BE151" s="48"/>
      <c r="BF151" s="48"/>
      <c r="BG151" s="88"/>
      <c r="BH151" s="80"/>
      <c r="BI151" s="82"/>
      <c r="BJ151" s="48"/>
      <c r="BK151" s="76"/>
      <c r="BL151" s="88"/>
      <c r="BM151" s="110" t="s">
        <v>77</v>
      </c>
      <c r="BN151" s="113">
        <f>BI152-BI108</f>
        <v>0</v>
      </c>
      <c r="BO151" s="112" t="e">
        <f>(BN151)/BI108</f>
        <v>#DIV/0!</v>
      </c>
    </row>
    <row r="152" spans="36:68" ht="15.75" thickBot="1">
      <c r="AK152" s="89"/>
      <c r="AL152" s="90"/>
      <c r="AM152" s="89"/>
      <c r="AN152" s="90"/>
      <c r="AO152" s="90"/>
      <c r="AP152" s="90"/>
      <c r="AQ152" s="90"/>
      <c r="AR152" s="472"/>
      <c r="AS152" s="472"/>
      <c r="AT152" s="90"/>
      <c r="AU152" s="472"/>
      <c r="AV152" s="90"/>
      <c r="AW152" s="473"/>
      <c r="AX152" s="90"/>
      <c r="AY152" s="90"/>
      <c r="AZ152" s="90"/>
      <c r="BA152" s="474"/>
      <c r="BB152" s="90"/>
      <c r="BC152" s="90"/>
      <c r="BD152" s="474"/>
      <c r="BE152" s="90"/>
      <c r="BF152" s="90"/>
      <c r="BG152" s="94"/>
      <c r="BH152" s="91"/>
      <c r="BI152" s="92"/>
      <c r="BJ152" s="90"/>
      <c r="BK152" s="93"/>
      <c r="BL152" s="94"/>
      <c r="BM152" s="104"/>
      <c r="BN152" s="98"/>
      <c r="BO152" s="100"/>
    </row>
    <row r="153" spans="36:68" hidden="1">
      <c r="AK153" s="101"/>
      <c r="AL153" s="101"/>
      <c r="AM153" s="87"/>
      <c r="AN153" s="48"/>
      <c r="AO153" s="48"/>
      <c r="AP153" s="48"/>
      <c r="AQ153" s="48"/>
      <c r="AR153" s="66"/>
      <c r="AS153" s="66"/>
      <c r="AT153" s="48"/>
      <c r="AU153" s="66"/>
      <c r="AV153" s="48"/>
      <c r="AW153" s="67"/>
      <c r="AX153" s="48"/>
      <c r="AY153" s="48"/>
      <c r="AZ153" s="48"/>
      <c r="BA153" s="68"/>
      <c r="BB153" s="48"/>
      <c r="BC153" s="48"/>
      <c r="BD153" s="68"/>
      <c r="BE153" s="48"/>
      <c r="BF153" s="48"/>
      <c r="BG153" s="88"/>
      <c r="BH153" s="98"/>
      <c r="BI153" s="4"/>
      <c r="BJ153" s="98"/>
      <c r="BK153" s="98"/>
      <c r="BL153" s="98"/>
      <c r="BM153" s="104"/>
      <c r="BN153" s="98"/>
      <c r="BO153" s="100"/>
      <c r="BP153" s="115">
        <v>0.25694444444444448</v>
      </c>
    </row>
    <row r="154" spans="36:68" s="2" customFormat="1" hidden="1">
      <c r="AJ154" s="123"/>
      <c r="AK154" s="101"/>
      <c r="AL154" s="101"/>
      <c r="AM154" s="87"/>
      <c r="AN154" s="48"/>
      <c r="AO154" s="48"/>
      <c r="AP154" s="48"/>
      <c r="AQ154" s="48"/>
      <c r="AR154" s="66"/>
      <c r="AS154" s="66"/>
      <c r="AT154" s="48"/>
      <c r="AU154" s="66"/>
      <c r="AV154" s="48"/>
      <c r="AW154" s="67"/>
      <c r="AX154" s="48"/>
      <c r="AY154" s="48"/>
      <c r="AZ154" s="48"/>
      <c r="BA154" s="68"/>
      <c r="BB154" s="48"/>
      <c r="BC154" s="48"/>
      <c r="BD154" s="68"/>
      <c r="BE154" s="48"/>
      <c r="BF154" s="48"/>
      <c r="BG154" s="88"/>
      <c r="BH154" s="98"/>
      <c r="BI154" s="4"/>
      <c r="BJ154" s="98"/>
      <c r="BK154" s="98"/>
      <c r="BL154" s="98"/>
      <c r="BM154" s="104"/>
      <c r="BN154" s="98"/>
      <c r="BO154" s="100"/>
      <c r="BP154" s="115"/>
    </row>
    <row r="155" spans="36:68" s="2" customFormat="1" hidden="1">
      <c r="AJ155" s="123"/>
      <c r="AK155" s="101"/>
      <c r="AL155" s="101"/>
      <c r="AM155" s="87"/>
      <c r="AN155" s="48"/>
      <c r="AO155" s="48"/>
      <c r="AP155" s="48"/>
      <c r="AQ155" s="48"/>
      <c r="AR155" s="66"/>
      <c r="AS155" s="66"/>
      <c r="AT155" s="48"/>
      <c r="AU155" s="66"/>
      <c r="AV155" s="48"/>
      <c r="AW155" s="67"/>
      <c r="AX155" s="48"/>
      <c r="AY155" s="48"/>
      <c r="AZ155" s="48"/>
      <c r="BA155" s="68"/>
      <c r="BB155" s="48"/>
      <c r="BC155" s="48"/>
      <c r="BD155" s="68"/>
      <c r="BE155" s="48"/>
      <c r="BF155" s="48"/>
      <c r="BG155" s="88"/>
      <c r="BH155" s="98"/>
      <c r="BI155" s="4"/>
      <c r="BJ155" s="98"/>
      <c r="BK155" s="98"/>
      <c r="BL155" s="98"/>
      <c r="BM155" s="104"/>
      <c r="BN155" s="98"/>
      <c r="BO155" s="100"/>
      <c r="BP155" s="115"/>
    </row>
    <row r="156" spans="36:68" s="2" customFormat="1" hidden="1">
      <c r="AJ156" s="123"/>
      <c r="AK156" s="101"/>
      <c r="AL156" s="101"/>
      <c r="AM156" s="87"/>
      <c r="AN156" s="48"/>
      <c r="AO156" s="48"/>
      <c r="AP156" s="48"/>
      <c r="AQ156" s="48"/>
      <c r="AR156" s="66"/>
      <c r="AS156" s="66"/>
      <c r="AT156" s="48"/>
      <c r="AU156" s="66"/>
      <c r="AV156" s="48"/>
      <c r="AW156" s="67"/>
      <c r="AX156" s="48"/>
      <c r="AY156" s="48"/>
      <c r="AZ156" s="48"/>
      <c r="BA156" s="68"/>
      <c r="BB156" s="48"/>
      <c r="BC156" s="48"/>
      <c r="BD156" s="68"/>
      <c r="BE156" s="48"/>
      <c r="BF156" s="48"/>
      <c r="BG156" s="88"/>
      <c r="BH156" s="98"/>
      <c r="BI156" s="4"/>
      <c r="BJ156" s="98"/>
      <c r="BK156" s="98"/>
      <c r="BL156" s="98"/>
      <c r="BM156" s="104"/>
      <c r="BN156" s="98"/>
      <c r="BO156" s="100"/>
      <c r="BP156" s="115"/>
    </row>
    <row r="157" spans="36:68" s="2" customFormat="1" hidden="1">
      <c r="AJ157" s="123"/>
      <c r="AK157" s="101"/>
      <c r="AL157" s="101"/>
      <c r="AM157" s="87"/>
      <c r="AN157" s="48"/>
      <c r="AO157" s="48"/>
      <c r="AP157" s="48"/>
      <c r="AQ157" s="48"/>
      <c r="AR157" s="66"/>
      <c r="AS157" s="66"/>
      <c r="AT157" s="48"/>
      <c r="AU157" s="66"/>
      <c r="AV157" s="48"/>
      <c r="AW157" s="67"/>
      <c r="AX157" s="48"/>
      <c r="AY157" s="48"/>
      <c r="AZ157" s="48"/>
      <c r="BA157" s="68"/>
      <c r="BB157" s="48"/>
      <c r="BC157" s="48"/>
      <c r="BD157" s="68"/>
      <c r="BE157" s="48"/>
      <c r="BF157" s="48"/>
      <c r="BG157" s="88"/>
      <c r="BH157" s="98"/>
      <c r="BI157" s="4"/>
      <c r="BJ157" s="98"/>
      <c r="BK157" s="98"/>
      <c r="BL157" s="98"/>
      <c r="BM157" s="104"/>
      <c r="BN157" s="98"/>
      <c r="BO157" s="100"/>
      <c r="BP157" s="115"/>
    </row>
    <row r="158" spans="36:68" s="2" customFormat="1" hidden="1">
      <c r="AJ158" s="123"/>
      <c r="AK158" s="101"/>
      <c r="AL158" s="101"/>
      <c r="AM158" s="87"/>
      <c r="AN158" s="48"/>
      <c r="AO158" s="48"/>
      <c r="AP158" s="48"/>
      <c r="AQ158" s="48"/>
      <c r="AR158" s="66"/>
      <c r="AS158" s="66"/>
      <c r="AT158" s="48"/>
      <c r="AU158" s="66"/>
      <c r="AV158" s="48"/>
      <c r="AW158" s="67"/>
      <c r="AX158" s="48"/>
      <c r="AY158" s="48"/>
      <c r="AZ158" s="48"/>
      <c r="BA158" s="68"/>
      <c r="BB158" s="48"/>
      <c r="BC158" s="48"/>
      <c r="BD158" s="68"/>
      <c r="BE158" s="48"/>
      <c r="BF158" s="48"/>
      <c r="BG158" s="88"/>
      <c r="BH158" s="98"/>
      <c r="BI158" s="4"/>
      <c r="BJ158" s="98"/>
      <c r="BK158" s="98"/>
      <c r="BL158" s="98"/>
      <c r="BM158" s="104"/>
      <c r="BN158" s="98"/>
      <c r="BO158" s="100"/>
      <c r="BP158" s="115"/>
    </row>
    <row r="159" spans="36:68" s="2" customFormat="1" hidden="1">
      <c r="AJ159" s="123"/>
      <c r="AK159" s="101"/>
      <c r="AL159" s="101"/>
      <c r="AM159" s="87"/>
      <c r="AN159" s="48"/>
      <c r="AO159" s="48"/>
      <c r="AP159" s="48"/>
      <c r="AQ159" s="48"/>
      <c r="AR159" s="66"/>
      <c r="AS159" s="66"/>
      <c r="AT159" s="48"/>
      <c r="AU159" s="66"/>
      <c r="AV159" s="48"/>
      <c r="AW159" s="67"/>
      <c r="AX159" s="48"/>
      <c r="AY159" s="48"/>
      <c r="AZ159" s="48"/>
      <c r="BA159" s="68"/>
      <c r="BB159" s="48"/>
      <c r="BC159" s="48"/>
      <c r="BD159" s="68"/>
      <c r="BE159" s="48"/>
      <c r="BF159" s="48"/>
      <c r="BG159" s="88"/>
      <c r="BH159" s="98"/>
      <c r="BI159" s="4"/>
      <c r="BJ159" s="98"/>
      <c r="BK159" s="98"/>
      <c r="BL159" s="98"/>
      <c r="BM159" s="104"/>
      <c r="BN159" s="98"/>
      <c r="BO159" s="100"/>
      <c r="BP159" s="115"/>
    </row>
    <row r="160" spans="36:68" s="2" customFormat="1" hidden="1">
      <c r="AJ160" s="123"/>
      <c r="AK160" s="101"/>
      <c r="AL160" s="101"/>
      <c r="AM160" s="87"/>
      <c r="AN160" s="48"/>
      <c r="AO160" s="48"/>
      <c r="AP160" s="48"/>
      <c r="AQ160" s="48"/>
      <c r="AR160" s="66"/>
      <c r="AS160" s="66"/>
      <c r="AT160" s="48"/>
      <c r="AU160" s="66"/>
      <c r="AV160" s="48"/>
      <c r="AW160" s="67"/>
      <c r="AX160" s="48"/>
      <c r="AY160" s="48"/>
      <c r="AZ160" s="48"/>
      <c r="BA160" s="68"/>
      <c r="BB160" s="48"/>
      <c r="BC160" s="48"/>
      <c r="BD160" s="68"/>
      <c r="BE160" s="48"/>
      <c r="BF160" s="48"/>
      <c r="BG160" s="88"/>
      <c r="BH160" s="98"/>
      <c r="BI160" s="4"/>
      <c r="BJ160" s="98"/>
      <c r="BK160" s="98"/>
      <c r="BL160" s="98"/>
      <c r="BM160" s="104"/>
      <c r="BN160" s="98"/>
      <c r="BO160" s="100"/>
      <c r="BP160" s="115"/>
    </row>
    <row r="161" spans="36:68" s="2" customFormat="1" hidden="1">
      <c r="AJ161" s="123"/>
      <c r="AK161" s="101"/>
      <c r="AL161" s="101"/>
      <c r="AM161" s="87"/>
      <c r="AN161" s="48"/>
      <c r="AO161" s="48"/>
      <c r="AP161" s="48"/>
      <c r="AQ161" s="48"/>
      <c r="AR161" s="66"/>
      <c r="AS161" s="66"/>
      <c r="AT161" s="48"/>
      <c r="AU161" s="66"/>
      <c r="AV161" s="48"/>
      <c r="AW161" s="67"/>
      <c r="AX161" s="48"/>
      <c r="AY161" s="48"/>
      <c r="AZ161" s="48"/>
      <c r="BA161" s="68"/>
      <c r="BB161" s="48"/>
      <c r="BC161" s="48"/>
      <c r="BD161" s="68"/>
      <c r="BE161" s="48"/>
      <c r="BF161" s="48"/>
      <c r="BG161" s="88"/>
      <c r="BH161" s="98"/>
      <c r="BI161" s="4"/>
      <c r="BJ161" s="98"/>
      <c r="BK161" s="98"/>
      <c r="BL161" s="98"/>
      <c r="BM161" s="104"/>
      <c r="BN161" s="98"/>
      <c r="BO161" s="100"/>
      <c r="BP161" s="115"/>
    </row>
    <row r="162" spans="36:68" s="2" customFormat="1" hidden="1">
      <c r="AJ162" s="123"/>
      <c r="AK162" s="101"/>
      <c r="AL162" s="101"/>
      <c r="AM162" s="87"/>
      <c r="AN162" s="48"/>
      <c r="AO162" s="48"/>
      <c r="AP162" s="48"/>
      <c r="AQ162" s="48"/>
      <c r="AR162" s="66"/>
      <c r="AS162" s="66"/>
      <c r="AT162" s="48"/>
      <c r="AU162" s="66"/>
      <c r="AV162" s="48"/>
      <c r="AW162" s="67"/>
      <c r="AX162" s="48"/>
      <c r="AY162" s="48"/>
      <c r="AZ162" s="48"/>
      <c r="BA162" s="68"/>
      <c r="BB162" s="48"/>
      <c r="BC162" s="48"/>
      <c r="BD162" s="68"/>
      <c r="BE162" s="48"/>
      <c r="BF162" s="48"/>
      <c r="BG162" s="88"/>
      <c r="BH162" s="98"/>
      <c r="BI162" s="4"/>
      <c r="BJ162" s="98"/>
      <c r="BK162" s="98"/>
      <c r="BL162" s="98"/>
      <c r="BM162" s="104"/>
      <c r="BN162" s="98"/>
      <c r="BO162" s="100"/>
      <c r="BP162" s="115"/>
    </row>
    <row r="163" spans="36:68" s="2" customFormat="1" hidden="1">
      <c r="AJ163" s="123"/>
      <c r="AK163" s="101"/>
      <c r="AL163" s="101"/>
      <c r="AM163" s="87"/>
      <c r="AN163" s="48"/>
      <c r="AO163" s="48"/>
      <c r="AP163" s="48"/>
      <c r="AQ163" s="48"/>
      <c r="AR163" s="66"/>
      <c r="AS163" s="66"/>
      <c r="AT163" s="48"/>
      <c r="AU163" s="66"/>
      <c r="AV163" s="48"/>
      <c r="AW163" s="67"/>
      <c r="AX163" s="48"/>
      <c r="AY163" s="48"/>
      <c r="AZ163" s="48"/>
      <c r="BA163" s="68"/>
      <c r="BB163" s="48"/>
      <c r="BC163" s="48"/>
      <c r="BD163" s="68"/>
      <c r="BE163" s="48"/>
      <c r="BF163" s="48"/>
      <c r="BG163" s="88"/>
      <c r="BH163" s="98"/>
      <c r="BI163" s="4"/>
      <c r="BJ163" s="98"/>
      <c r="BK163" s="98"/>
      <c r="BL163" s="98"/>
      <c r="BM163" s="104"/>
      <c r="BN163" s="98"/>
      <c r="BO163" s="100"/>
      <c r="BP163" s="115"/>
    </row>
    <row r="164" spans="36:68" s="2" customFormat="1" hidden="1">
      <c r="AJ164" s="123"/>
      <c r="AK164" s="101"/>
      <c r="AL164" s="101"/>
      <c r="AM164" s="87"/>
      <c r="AN164" s="48"/>
      <c r="AO164" s="48"/>
      <c r="AP164" s="48"/>
      <c r="AQ164" s="48"/>
      <c r="AR164" s="66"/>
      <c r="AS164" s="66"/>
      <c r="AT164" s="48"/>
      <c r="AU164" s="66"/>
      <c r="AV164" s="48"/>
      <c r="AW164" s="67"/>
      <c r="AX164" s="48"/>
      <c r="AY164" s="48"/>
      <c r="AZ164" s="48"/>
      <c r="BA164" s="68"/>
      <c r="BB164" s="48"/>
      <c r="BC164" s="48"/>
      <c r="BD164" s="68"/>
      <c r="BE164" s="48"/>
      <c r="BF164" s="48"/>
      <c r="BG164" s="88"/>
      <c r="BH164" s="98"/>
      <c r="BI164" s="4"/>
      <c r="BJ164" s="98"/>
      <c r="BK164" s="98"/>
      <c r="BL164" s="98"/>
      <c r="BM164" s="104"/>
      <c r="BN164" s="98"/>
      <c r="BO164" s="100"/>
      <c r="BP164" s="115"/>
    </row>
    <row r="165" spans="36:68" s="2" customFormat="1" hidden="1">
      <c r="AJ165" s="123"/>
      <c r="AK165" s="101"/>
      <c r="AL165" s="101"/>
      <c r="AM165" s="87"/>
      <c r="AN165" s="48"/>
      <c r="AO165" s="48"/>
      <c r="AP165" s="48"/>
      <c r="AQ165" s="48"/>
      <c r="AR165" s="66"/>
      <c r="AS165" s="66"/>
      <c r="AT165" s="48"/>
      <c r="AU165" s="66"/>
      <c r="AV165" s="48"/>
      <c r="AW165" s="67"/>
      <c r="AX165" s="48"/>
      <c r="AY165" s="48"/>
      <c r="AZ165" s="48"/>
      <c r="BA165" s="68"/>
      <c r="BB165" s="48"/>
      <c r="BC165" s="48"/>
      <c r="BD165" s="68"/>
      <c r="BE165" s="48"/>
      <c r="BF165" s="48"/>
      <c r="BG165" s="88"/>
      <c r="BH165" s="98"/>
      <c r="BI165" s="4"/>
      <c r="BJ165" s="98"/>
      <c r="BK165" s="98"/>
      <c r="BL165" s="98"/>
      <c r="BM165" s="104"/>
      <c r="BN165" s="98"/>
      <c r="BO165" s="100"/>
      <c r="BP165" s="115"/>
    </row>
    <row r="166" spans="36:68" s="2" customFormat="1" hidden="1">
      <c r="AJ166" s="123"/>
      <c r="AK166" s="101"/>
      <c r="AL166" s="101"/>
      <c r="AM166" s="87"/>
      <c r="AN166" s="48"/>
      <c r="AO166" s="48"/>
      <c r="AP166" s="48"/>
      <c r="AQ166" s="48"/>
      <c r="AR166" s="66"/>
      <c r="AS166" s="66"/>
      <c r="AT166" s="48"/>
      <c r="AU166" s="66"/>
      <c r="AV166" s="48"/>
      <c r="AW166" s="67"/>
      <c r="AX166" s="48"/>
      <c r="AY166" s="48"/>
      <c r="AZ166" s="48"/>
      <c r="BA166" s="68"/>
      <c r="BB166" s="48"/>
      <c r="BC166" s="48"/>
      <c r="BD166" s="68"/>
      <c r="BE166" s="48"/>
      <c r="BF166" s="48"/>
      <c r="BG166" s="88"/>
      <c r="BH166" s="98"/>
      <c r="BI166" s="4"/>
      <c r="BJ166" s="98"/>
      <c r="BK166" s="98"/>
      <c r="BL166" s="98"/>
      <c r="BM166" s="104"/>
      <c r="BN166" s="98"/>
      <c r="BO166" s="100"/>
      <c r="BP166" s="115"/>
    </row>
    <row r="167" spans="36:68" s="2" customFormat="1" hidden="1">
      <c r="AJ167" s="123"/>
      <c r="AK167" s="101"/>
      <c r="AL167" s="101"/>
      <c r="AM167" s="87"/>
      <c r="AN167" s="48"/>
      <c r="AO167" s="48"/>
      <c r="AP167" s="48"/>
      <c r="AQ167" s="48"/>
      <c r="AR167" s="66"/>
      <c r="AS167" s="66"/>
      <c r="AT167" s="48"/>
      <c r="AU167" s="66"/>
      <c r="AV167" s="48"/>
      <c r="AW167" s="67"/>
      <c r="AX167" s="48"/>
      <c r="AY167" s="48"/>
      <c r="AZ167" s="48"/>
      <c r="BA167" s="68"/>
      <c r="BB167" s="48"/>
      <c r="BC167" s="48"/>
      <c r="BD167" s="68"/>
      <c r="BE167" s="48"/>
      <c r="BF167" s="48"/>
      <c r="BG167" s="88"/>
      <c r="BH167" s="98"/>
      <c r="BI167" s="4"/>
      <c r="BJ167" s="98"/>
      <c r="BK167" s="98"/>
      <c r="BL167" s="98"/>
      <c r="BM167" s="104"/>
      <c r="BN167" s="98"/>
      <c r="BO167" s="100"/>
      <c r="BP167" s="115"/>
    </row>
    <row r="168" spans="36:68" s="2" customFormat="1" hidden="1">
      <c r="AJ168" s="123"/>
      <c r="AK168" s="101"/>
      <c r="AL168" s="101"/>
      <c r="AM168" s="87"/>
      <c r="AN168" s="48"/>
      <c r="AO168" s="48"/>
      <c r="AP168" s="48"/>
      <c r="AQ168" s="48"/>
      <c r="AR168" s="66"/>
      <c r="AS168" s="66"/>
      <c r="AT168" s="48"/>
      <c r="AU168" s="66"/>
      <c r="AV168" s="48"/>
      <c r="AW168" s="67"/>
      <c r="AX168" s="48"/>
      <c r="AY168" s="48"/>
      <c r="AZ168" s="48"/>
      <c r="BA168" s="68"/>
      <c r="BB168" s="48"/>
      <c r="BC168" s="48"/>
      <c r="BD168" s="68"/>
      <c r="BE168" s="48"/>
      <c r="BF168" s="48"/>
      <c r="BG168" s="88"/>
      <c r="BH168" s="98"/>
      <c r="BI168" s="4"/>
      <c r="BJ168" s="98"/>
      <c r="BK168" s="98"/>
      <c r="BL168" s="98"/>
      <c r="BM168" s="104"/>
      <c r="BN168" s="98"/>
      <c r="BO168" s="100"/>
      <c r="BP168" s="115"/>
    </row>
    <row r="169" spans="36:68" s="2" customFormat="1" hidden="1">
      <c r="AJ169" s="123"/>
      <c r="AK169" s="101"/>
      <c r="AL169" s="101"/>
      <c r="AM169" s="87"/>
      <c r="AN169" s="48"/>
      <c r="AO169" s="48"/>
      <c r="AP169" s="48"/>
      <c r="AQ169" s="48"/>
      <c r="AR169" s="66"/>
      <c r="AS169" s="66"/>
      <c r="AT169" s="48"/>
      <c r="AU169" s="66"/>
      <c r="AV169" s="48"/>
      <c r="AW169" s="67"/>
      <c r="AX169" s="48"/>
      <c r="AY169" s="48"/>
      <c r="AZ169" s="48"/>
      <c r="BA169" s="68"/>
      <c r="BB169" s="48"/>
      <c r="BC169" s="48"/>
      <c r="BD169" s="68"/>
      <c r="BE169" s="48"/>
      <c r="BF169" s="48"/>
      <c r="BG169" s="88"/>
      <c r="BH169" s="98"/>
      <c r="BI169" s="4"/>
      <c r="BJ169" s="98"/>
      <c r="BK169" s="98"/>
      <c r="BL169" s="98"/>
      <c r="BM169" s="104"/>
      <c r="BN169" s="98"/>
      <c r="BO169" s="100"/>
      <c r="BP169" s="115"/>
    </row>
    <row r="170" spans="36:68" s="2" customFormat="1" hidden="1">
      <c r="AJ170" s="123"/>
      <c r="AK170" s="101"/>
      <c r="AL170" s="101"/>
      <c r="AM170" s="87"/>
      <c r="AN170" s="48"/>
      <c r="AO170" s="48"/>
      <c r="AP170" s="48"/>
      <c r="AQ170" s="48"/>
      <c r="AR170" s="66"/>
      <c r="AS170" s="66"/>
      <c r="AT170" s="48"/>
      <c r="AU170" s="66"/>
      <c r="AV170" s="48"/>
      <c r="AW170" s="67"/>
      <c r="AX170" s="48"/>
      <c r="AY170" s="48"/>
      <c r="AZ170" s="48"/>
      <c r="BA170" s="68"/>
      <c r="BB170" s="48"/>
      <c r="BC170" s="48"/>
      <c r="BD170" s="68"/>
      <c r="BE170" s="48"/>
      <c r="BF170" s="48"/>
      <c r="BG170" s="88"/>
      <c r="BH170" s="98"/>
      <c r="BI170" s="4"/>
      <c r="BJ170" s="98"/>
      <c r="BK170" s="98"/>
      <c r="BL170" s="98"/>
      <c r="BM170" s="104"/>
      <c r="BN170" s="98"/>
      <c r="BO170" s="100"/>
      <c r="BP170" s="115"/>
    </row>
    <row r="171" spans="36:68" s="2" customFormat="1" hidden="1">
      <c r="AJ171" s="123"/>
      <c r="AK171" s="101"/>
      <c r="AL171" s="101"/>
      <c r="AM171" s="87"/>
      <c r="AN171" s="48"/>
      <c r="AO171" s="48"/>
      <c r="AP171" s="48"/>
      <c r="AQ171" s="48"/>
      <c r="AR171" s="66"/>
      <c r="AS171" s="66"/>
      <c r="AT171" s="48"/>
      <c r="AU171" s="66"/>
      <c r="AV171" s="48"/>
      <c r="AW171" s="67"/>
      <c r="AX171" s="48"/>
      <c r="AY171" s="48"/>
      <c r="AZ171" s="48"/>
      <c r="BA171" s="68"/>
      <c r="BB171" s="48"/>
      <c r="BC171" s="48"/>
      <c r="BD171" s="68"/>
      <c r="BE171" s="48"/>
      <c r="BF171" s="48"/>
      <c r="BG171" s="88"/>
      <c r="BH171" s="98"/>
      <c r="BI171" s="4"/>
      <c r="BJ171" s="98"/>
      <c r="BK171" s="98"/>
      <c r="BL171" s="98"/>
      <c r="BM171" s="104"/>
      <c r="BN171" s="98"/>
      <c r="BO171" s="100"/>
      <c r="BP171" s="115"/>
    </row>
    <row r="172" spans="36:68" s="2" customFormat="1" hidden="1">
      <c r="AJ172" s="123"/>
      <c r="AK172" s="101"/>
      <c r="AL172" s="101"/>
      <c r="AM172" s="87"/>
      <c r="AN172" s="48"/>
      <c r="AO172" s="48"/>
      <c r="AP172" s="48"/>
      <c r="AQ172" s="48"/>
      <c r="AR172" s="66"/>
      <c r="AS172" s="66"/>
      <c r="AT172" s="48"/>
      <c r="AU172" s="66"/>
      <c r="AV172" s="48"/>
      <c r="AW172" s="67"/>
      <c r="AX172" s="48"/>
      <c r="AY172" s="48"/>
      <c r="AZ172" s="48"/>
      <c r="BA172" s="68"/>
      <c r="BB172" s="48"/>
      <c r="BC172" s="48"/>
      <c r="BD172" s="68"/>
      <c r="BE172" s="48"/>
      <c r="BF172" s="48"/>
      <c r="BG172" s="88"/>
      <c r="BH172" s="98"/>
      <c r="BI172" s="4"/>
      <c r="BJ172" s="98"/>
      <c r="BK172" s="98"/>
      <c r="BL172" s="98"/>
      <c r="BM172" s="104"/>
      <c r="BN172" s="98"/>
      <c r="BO172" s="100"/>
      <c r="BP172" s="115"/>
    </row>
    <row r="173" spans="36:68" s="2" customFormat="1" hidden="1">
      <c r="AJ173" s="123"/>
      <c r="AK173" s="101"/>
      <c r="AL173" s="101"/>
      <c r="AM173" s="87"/>
      <c r="AN173" s="48"/>
      <c r="AO173" s="48"/>
      <c r="AP173" s="48"/>
      <c r="AQ173" s="48"/>
      <c r="AR173" s="66"/>
      <c r="AS173" s="66"/>
      <c r="AT173" s="48"/>
      <c r="AU173" s="66"/>
      <c r="AV173" s="48"/>
      <c r="AW173" s="67"/>
      <c r="AX173" s="48"/>
      <c r="AY173" s="48"/>
      <c r="AZ173" s="48"/>
      <c r="BA173" s="68"/>
      <c r="BB173" s="48"/>
      <c r="BC173" s="48"/>
      <c r="BD173" s="68"/>
      <c r="BE173" s="48"/>
      <c r="BF173" s="48"/>
      <c r="BG173" s="88"/>
      <c r="BH173" s="98"/>
      <c r="BI173" s="4"/>
      <c r="BJ173" s="98"/>
      <c r="BK173" s="98"/>
      <c r="BL173" s="98"/>
      <c r="BM173" s="104"/>
      <c r="BN173" s="98"/>
      <c r="BO173" s="100"/>
      <c r="BP173" s="115"/>
    </row>
    <row r="174" spans="36:68" s="2" customFormat="1" hidden="1">
      <c r="AJ174" s="123"/>
      <c r="AK174" s="101"/>
      <c r="AL174" s="101"/>
      <c r="AM174" s="87"/>
      <c r="AN174" s="48"/>
      <c r="AO174" s="48"/>
      <c r="AP174" s="48"/>
      <c r="AQ174" s="48"/>
      <c r="AR174" s="66"/>
      <c r="AS174" s="66"/>
      <c r="AT174" s="48"/>
      <c r="AU174" s="66"/>
      <c r="AV174" s="48"/>
      <c r="AW174" s="67"/>
      <c r="AX174" s="48"/>
      <c r="AY174" s="48"/>
      <c r="AZ174" s="48"/>
      <c r="BA174" s="68"/>
      <c r="BB174" s="48"/>
      <c r="BC174" s="48"/>
      <c r="BD174" s="68"/>
      <c r="BE174" s="48"/>
      <c r="BF174" s="48"/>
      <c r="BG174" s="88"/>
      <c r="BH174" s="98"/>
      <c r="BI174" s="4"/>
      <c r="BJ174" s="98"/>
      <c r="BK174" s="98"/>
      <c r="BL174" s="98"/>
      <c r="BM174" s="104"/>
      <c r="BN174" s="98"/>
      <c r="BO174" s="100"/>
      <c r="BP174" s="115"/>
    </row>
    <row r="175" spans="36:68" s="2" customFormat="1" hidden="1">
      <c r="AJ175" s="123"/>
      <c r="AK175" s="101"/>
      <c r="AL175" s="101"/>
      <c r="AM175" s="87"/>
      <c r="AN175" s="48"/>
      <c r="AO175" s="48"/>
      <c r="AP175" s="48"/>
      <c r="AQ175" s="48"/>
      <c r="AR175" s="66"/>
      <c r="AS175" s="66"/>
      <c r="AT175" s="48"/>
      <c r="AU175" s="66"/>
      <c r="AV175" s="48"/>
      <c r="AW175" s="67"/>
      <c r="AX175" s="48"/>
      <c r="AY175" s="48"/>
      <c r="AZ175" s="48"/>
      <c r="BA175" s="68"/>
      <c r="BB175" s="48"/>
      <c r="BC175" s="48"/>
      <c r="BD175" s="68"/>
      <c r="BE175" s="48"/>
      <c r="BF175" s="48"/>
      <c r="BG175" s="88"/>
      <c r="BH175" s="98"/>
      <c r="BI175" s="4"/>
      <c r="BJ175" s="98"/>
      <c r="BK175" s="98"/>
      <c r="BL175" s="98"/>
      <c r="BM175" s="104"/>
      <c r="BN175" s="98"/>
      <c r="BO175" s="100"/>
      <c r="BP175" s="115"/>
    </row>
    <row r="176" spans="36:68" s="2" customFormat="1" hidden="1">
      <c r="AJ176" s="123"/>
      <c r="AK176" s="101"/>
      <c r="AL176" s="101"/>
      <c r="AM176" s="87"/>
      <c r="AN176" s="48"/>
      <c r="AO176" s="48"/>
      <c r="AP176" s="48"/>
      <c r="AQ176" s="48"/>
      <c r="AR176" s="66"/>
      <c r="AS176" s="66"/>
      <c r="AT176" s="48"/>
      <c r="AU176" s="66"/>
      <c r="AV176" s="48"/>
      <c r="AW176" s="67"/>
      <c r="AX176" s="48"/>
      <c r="AY176" s="48"/>
      <c r="AZ176" s="48"/>
      <c r="BA176" s="68"/>
      <c r="BB176" s="48"/>
      <c r="BC176" s="48"/>
      <c r="BD176" s="68"/>
      <c r="BE176" s="48"/>
      <c r="BF176" s="48"/>
      <c r="BG176" s="88"/>
      <c r="BH176" s="98"/>
      <c r="BI176" s="4"/>
      <c r="BJ176" s="98"/>
      <c r="BK176" s="98"/>
      <c r="BL176" s="98"/>
      <c r="BM176" s="104"/>
      <c r="BN176" s="98"/>
      <c r="BO176" s="100"/>
      <c r="BP176" s="115"/>
    </row>
    <row r="177" spans="36:68" s="2" customFormat="1" hidden="1">
      <c r="AJ177" s="123"/>
      <c r="AK177" s="101"/>
      <c r="AL177" s="101"/>
      <c r="AM177" s="87"/>
      <c r="AN177" s="48"/>
      <c r="AO177" s="48"/>
      <c r="AP177" s="48"/>
      <c r="AQ177" s="48"/>
      <c r="AR177" s="66"/>
      <c r="AS177" s="66"/>
      <c r="AT177" s="48"/>
      <c r="AU177" s="66"/>
      <c r="AV177" s="48"/>
      <c r="AW177" s="67"/>
      <c r="AX177" s="48"/>
      <c r="AY177" s="48"/>
      <c r="AZ177" s="48"/>
      <c r="BA177" s="68"/>
      <c r="BB177" s="48"/>
      <c r="BC177" s="48"/>
      <c r="BD177" s="68"/>
      <c r="BE177" s="48"/>
      <c r="BF177" s="48"/>
      <c r="BG177" s="88"/>
      <c r="BH177" s="98"/>
      <c r="BI177" s="4"/>
      <c r="BJ177" s="98"/>
      <c r="BK177" s="98"/>
      <c r="BL177" s="98"/>
      <c r="BM177" s="104"/>
      <c r="BN177" s="98"/>
      <c r="BO177" s="100"/>
      <c r="BP177" s="115"/>
    </row>
    <row r="178" spans="36:68" s="2" customFormat="1" hidden="1">
      <c r="AJ178" s="123"/>
      <c r="AK178" s="101"/>
      <c r="AL178" s="101"/>
      <c r="AM178" s="87"/>
      <c r="AN178" s="48"/>
      <c r="AO178" s="48"/>
      <c r="AP178" s="48"/>
      <c r="AQ178" s="48"/>
      <c r="AR178" s="66"/>
      <c r="AS178" s="66"/>
      <c r="AT178" s="48"/>
      <c r="AU178" s="66"/>
      <c r="AV178" s="48"/>
      <c r="AW178" s="67"/>
      <c r="AX178" s="48"/>
      <c r="AY178" s="48"/>
      <c r="AZ178" s="48"/>
      <c r="BA178" s="68"/>
      <c r="BB178" s="48"/>
      <c r="BC178" s="48"/>
      <c r="BD178" s="68"/>
      <c r="BE178" s="48"/>
      <c r="BF178" s="48"/>
      <c r="BG178" s="88"/>
      <c r="BH178" s="98"/>
      <c r="BI178" s="4"/>
      <c r="BJ178" s="98"/>
      <c r="BK178" s="98"/>
      <c r="BL178" s="98"/>
      <c r="BM178" s="104"/>
      <c r="BN178" s="98"/>
      <c r="BO178" s="100"/>
      <c r="BP178" s="115"/>
    </row>
    <row r="179" spans="36:68" s="2" customFormat="1" hidden="1">
      <c r="AJ179" s="123"/>
      <c r="AK179" s="101"/>
      <c r="AL179" s="101"/>
      <c r="AM179" s="87"/>
      <c r="AN179" s="48"/>
      <c r="AO179" s="48"/>
      <c r="AP179" s="48"/>
      <c r="AQ179" s="48"/>
      <c r="AR179" s="66"/>
      <c r="AS179" s="66"/>
      <c r="AT179" s="48"/>
      <c r="AU179" s="66"/>
      <c r="AV179" s="48"/>
      <c r="AW179" s="67"/>
      <c r="AX179" s="48"/>
      <c r="AY179" s="48"/>
      <c r="AZ179" s="48"/>
      <c r="BA179" s="68"/>
      <c r="BB179" s="48"/>
      <c r="BC179" s="48"/>
      <c r="BD179" s="68"/>
      <c r="BE179" s="48"/>
      <c r="BF179" s="48"/>
      <c r="BG179" s="88"/>
      <c r="BH179" s="98"/>
      <c r="BI179" s="4"/>
      <c r="BJ179" s="98"/>
      <c r="BK179" s="98"/>
      <c r="BL179" s="98"/>
      <c r="BM179" s="104"/>
      <c r="BN179" s="98"/>
      <c r="BO179" s="100"/>
      <c r="BP179" s="115"/>
    </row>
    <row r="180" spans="36:68" s="2" customFormat="1" hidden="1">
      <c r="AJ180" s="123"/>
      <c r="AK180" s="101"/>
      <c r="AL180" s="101"/>
      <c r="AM180" s="87"/>
      <c r="AN180" s="48"/>
      <c r="AO180" s="48"/>
      <c r="AP180" s="48"/>
      <c r="AQ180" s="48"/>
      <c r="AR180" s="66"/>
      <c r="AS180" s="66"/>
      <c r="AT180" s="48"/>
      <c r="AU180" s="66"/>
      <c r="AV180" s="48"/>
      <c r="AW180" s="67"/>
      <c r="AX180" s="48"/>
      <c r="AY180" s="48"/>
      <c r="AZ180" s="48"/>
      <c r="BA180" s="68"/>
      <c r="BB180" s="48"/>
      <c r="BC180" s="48"/>
      <c r="BD180" s="68"/>
      <c r="BE180" s="48"/>
      <c r="BF180" s="48"/>
      <c r="BG180" s="88"/>
      <c r="BH180" s="98"/>
      <c r="BI180" s="4"/>
      <c r="BJ180" s="98"/>
      <c r="BK180" s="98"/>
      <c r="BL180" s="98"/>
      <c r="BM180" s="104"/>
      <c r="BN180" s="98"/>
      <c r="BO180" s="100"/>
      <c r="BP180" s="115"/>
    </row>
    <row r="181" spans="36:68" s="2" customFormat="1" hidden="1">
      <c r="AJ181" s="123"/>
      <c r="AK181" s="101"/>
      <c r="AL181" s="101"/>
      <c r="AM181" s="87"/>
      <c r="AN181" s="48"/>
      <c r="AO181" s="48"/>
      <c r="AP181" s="48"/>
      <c r="AQ181" s="48"/>
      <c r="AR181" s="66"/>
      <c r="AS181" s="66"/>
      <c r="AT181" s="48"/>
      <c r="AU181" s="66"/>
      <c r="AV181" s="48"/>
      <c r="AW181" s="67"/>
      <c r="AX181" s="48"/>
      <c r="AY181" s="48"/>
      <c r="AZ181" s="48"/>
      <c r="BA181" s="68"/>
      <c r="BB181" s="48"/>
      <c r="BC181" s="48"/>
      <c r="BD181" s="68"/>
      <c r="BE181" s="48"/>
      <c r="BF181" s="48"/>
      <c r="BG181" s="88"/>
      <c r="BH181" s="98"/>
      <c r="BI181" s="4"/>
      <c r="BJ181" s="98"/>
      <c r="BK181" s="98"/>
      <c r="BL181" s="98"/>
      <c r="BM181" s="104"/>
      <c r="BN181" s="98"/>
      <c r="BO181" s="100"/>
      <c r="BP181" s="115"/>
    </row>
    <row r="182" spans="36:68" s="2" customFormat="1" hidden="1">
      <c r="AJ182" s="123"/>
      <c r="AK182" s="101"/>
      <c r="AL182" s="101"/>
      <c r="AM182" s="87"/>
      <c r="AN182" s="48"/>
      <c r="AO182" s="48"/>
      <c r="AP182" s="48"/>
      <c r="AQ182" s="48"/>
      <c r="AR182" s="66"/>
      <c r="AS182" s="66"/>
      <c r="AT182" s="48"/>
      <c r="AU182" s="66"/>
      <c r="AV182" s="48"/>
      <c r="AW182" s="67"/>
      <c r="AX182" s="48"/>
      <c r="AY182" s="48"/>
      <c r="AZ182" s="48"/>
      <c r="BA182" s="68"/>
      <c r="BB182" s="48"/>
      <c r="BC182" s="48"/>
      <c r="BD182" s="68"/>
      <c r="BE182" s="48"/>
      <c r="BF182" s="48"/>
      <c r="BG182" s="88"/>
      <c r="BH182" s="98"/>
      <c r="BI182" s="4"/>
      <c r="BJ182" s="98"/>
      <c r="BK182" s="98"/>
      <c r="BL182" s="98"/>
      <c r="BM182" s="104"/>
      <c r="BN182" s="98"/>
      <c r="BO182" s="100"/>
      <c r="BP182" s="115"/>
    </row>
    <row r="183" spans="36:68" s="2" customFormat="1" hidden="1">
      <c r="AJ183" s="123"/>
      <c r="AK183" s="101"/>
      <c r="AL183" s="101"/>
      <c r="AM183" s="87"/>
      <c r="AN183" s="48"/>
      <c r="AO183" s="48"/>
      <c r="AP183" s="48"/>
      <c r="AQ183" s="48"/>
      <c r="AR183" s="66"/>
      <c r="AS183" s="66"/>
      <c r="AT183" s="48"/>
      <c r="AU183" s="66"/>
      <c r="AV183" s="48"/>
      <c r="AW183" s="67"/>
      <c r="AX183" s="48"/>
      <c r="AY183" s="48"/>
      <c r="AZ183" s="48"/>
      <c r="BA183" s="68"/>
      <c r="BB183" s="48"/>
      <c r="BC183" s="48"/>
      <c r="BD183" s="68"/>
      <c r="BE183" s="48"/>
      <c r="BF183" s="48"/>
      <c r="BG183" s="88"/>
      <c r="BH183" s="98"/>
      <c r="BI183" s="4"/>
      <c r="BJ183" s="98"/>
      <c r="BK183" s="98"/>
      <c r="BL183" s="98"/>
      <c r="BM183" s="104"/>
      <c r="BN183" s="98"/>
      <c r="BO183" s="100"/>
      <c r="BP183" s="115"/>
    </row>
    <row r="184" spans="36:68" s="2" customFormat="1" ht="15.75" hidden="1" thickBot="1">
      <c r="AJ184" s="123"/>
      <c r="AK184" s="101"/>
      <c r="AL184" s="101"/>
      <c r="AM184" s="89"/>
      <c r="AN184" s="90"/>
      <c r="AO184" s="90"/>
      <c r="AP184" s="90"/>
      <c r="AQ184" s="90"/>
      <c r="AR184" s="472"/>
      <c r="AS184" s="472"/>
      <c r="AT184" s="90"/>
      <c r="AU184" s="472"/>
      <c r="AV184" s="90"/>
      <c r="AW184" s="473"/>
      <c r="AX184" s="90"/>
      <c r="AY184" s="90"/>
      <c r="AZ184" s="90"/>
      <c r="BA184" s="474"/>
      <c r="BB184" s="90"/>
      <c r="BC184" s="90"/>
      <c r="BD184" s="474"/>
      <c r="BE184" s="90"/>
      <c r="BF184" s="90"/>
      <c r="BG184" s="94"/>
      <c r="BH184" s="98"/>
      <c r="BI184" s="4"/>
      <c r="BJ184" s="98"/>
      <c r="BK184" s="98"/>
      <c r="BL184" s="98"/>
      <c r="BM184" s="104"/>
      <c r="BN184" s="98"/>
      <c r="BO184" s="100"/>
      <c r="BP184" s="115"/>
    </row>
    <row r="185" spans="36:68" s="2" customFormat="1">
      <c r="AJ185" s="123"/>
      <c r="AK185" s="101"/>
      <c r="AL185" s="101"/>
      <c r="AM185" s="48"/>
      <c r="AN185" s="48"/>
      <c r="AO185" s="48"/>
      <c r="AP185" s="48"/>
      <c r="AQ185" s="48"/>
      <c r="AR185" s="66"/>
      <c r="AS185" s="66"/>
      <c r="AT185" s="48"/>
      <c r="AU185" s="66"/>
      <c r="AV185" s="48"/>
      <c r="AW185" s="67"/>
      <c r="AX185" s="48"/>
      <c r="AY185" s="48"/>
      <c r="AZ185" s="48"/>
      <c r="BA185" s="68"/>
      <c r="BB185" s="48"/>
      <c r="BC185" s="48"/>
      <c r="BD185" s="68"/>
      <c r="BE185" s="48"/>
      <c r="BF185" s="48"/>
      <c r="BG185" s="48"/>
      <c r="BH185" s="98"/>
      <c r="BI185" s="4"/>
      <c r="BJ185" s="98"/>
      <c r="BK185" s="98"/>
      <c r="BL185" s="98"/>
      <c r="BM185" s="104"/>
      <c r="BN185" s="98"/>
      <c r="BO185" s="100"/>
      <c r="BP185" s="115"/>
    </row>
    <row r="186" spans="36:68" s="2" customFormat="1">
      <c r="AJ186" s="123"/>
      <c r="AK186" s="101"/>
      <c r="AL186" s="101"/>
      <c r="AM186" s="101"/>
      <c r="AN186" s="101"/>
      <c r="AO186" s="101"/>
      <c r="AP186" s="101"/>
      <c r="AQ186" s="101"/>
      <c r="AR186" s="101"/>
      <c r="AS186" s="101"/>
      <c r="AT186" s="101"/>
      <c r="AU186" s="101"/>
      <c r="AV186" s="101"/>
      <c r="AW186" s="101"/>
      <c r="AX186" s="101"/>
      <c r="AY186" s="101"/>
      <c r="AZ186" s="101"/>
      <c r="BA186" s="101"/>
      <c r="BB186" s="101"/>
      <c r="BC186" s="101"/>
      <c r="BD186" s="101"/>
      <c r="BE186" s="101"/>
      <c r="BF186" s="101"/>
      <c r="BG186" s="101"/>
      <c r="BH186" s="98"/>
      <c r="BI186" s="4"/>
      <c r="BJ186" s="98"/>
      <c r="BK186" s="98"/>
      <c r="BL186" s="98"/>
      <c r="BM186" s="104"/>
      <c r="BN186" s="98"/>
      <c r="BO186" s="100"/>
      <c r="BP186" s="115"/>
    </row>
    <row r="187" spans="36:68" ht="15.75" thickBot="1">
      <c r="AK187" s="98"/>
      <c r="AL187" s="98"/>
      <c r="AM187" s="98"/>
      <c r="AN187" s="98"/>
      <c r="AO187" s="98"/>
      <c r="AP187" s="98"/>
      <c r="AQ187" s="98"/>
      <c r="AR187" s="98"/>
      <c r="AS187" s="98"/>
      <c r="AT187" s="98"/>
      <c r="AU187" s="98"/>
      <c r="AV187" s="98"/>
      <c r="AW187" s="98"/>
      <c r="AX187" s="98"/>
      <c r="AY187" s="98"/>
      <c r="AZ187" s="98"/>
      <c r="BA187" s="98"/>
      <c r="BB187" s="98"/>
      <c r="BC187" s="98"/>
      <c r="BD187" s="98"/>
      <c r="BE187" s="98"/>
      <c r="BF187" s="98"/>
      <c r="BG187" s="98"/>
      <c r="BH187" s="98"/>
      <c r="BI187" s="4"/>
      <c r="BJ187" s="98"/>
      <c r="BK187" s="98"/>
      <c r="BL187" s="98"/>
      <c r="BM187" s="105"/>
      <c r="BN187" s="98"/>
      <c r="BO187" s="100"/>
    </row>
    <row r="188" spans="36:68">
      <c r="AJ188" s="123">
        <v>4</v>
      </c>
      <c r="AK188" s="96"/>
      <c r="AL188" s="97"/>
      <c r="AM188" s="463"/>
      <c r="AN188" s="464"/>
      <c r="AO188" s="464"/>
      <c r="AP188" s="464"/>
      <c r="AQ188" s="465"/>
      <c r="AR188" s="466"/>
      <c r="AS188" s="464"/>
      <c r="AT188" s="465"/>
      <c r="AU188" s="467"/>
      <c r="AV188" s="468"/>
      <c r="AW188" s="468"/>
      <c r="AX188" s="468"/>
      <c r="AY188" s="468"/>
      <c r="AZ188" s="469"/>
      <c r="BA188" s="470"/>
      <c r="BB188" s="470"/>
      <c r="BC188" s="469"/>
      <c r="BD188" s="470"/>
      <c r="BE188" s="468"/>
      <c r="BF188" s="470"/>
      <c r="BG188" s="471"/>
      <c r="BH188" s="83"/>
      <c r="BI188" s="83"/>
      <c r="BJ188" s="84"/>
      <c r="BK188" s="85"/>
      <c r="BL188" s="86"/>
      <c r="BM188" s="104"/>
      <c r="BN188" s="98"/>
      <c r="BO188" s="103"/>
    </row>
    <row r="189" spans="36:68">
      <c r="AK189" s="87"/>
      <c r="AL189" s="48"/>
      <c r="AM189" s="87"/>
      <c r="AN189" s="48"/>
      <c r="AO189" s="48"/>
      <c r="AP189" s="48"/>
      <c r="AQ189" s="48"/>
      <c r="AR189" s="66"/>
      <c r="AS189" s="66"/>
      <c r="AT189" s="48"/>
      <c r="AU189" s="66"/>
      <c r="AV189" s="48"/>
      <c r="AW189" s="67"/>
      <c r="AX189" s="48"/>
      <c r="AY189" s="48"/>
      <c r="AZ189" s="48"/>
      <c r="BA189" s="68"/>
      <c r="BB189" s="48"/>
      <c r="BC189" s="48"/>
      <c r="BD189" s="68"/>
      <c r="BE189" s="48"/>
      <c r="BF189" s="48"/>
      <c r="BG189" s="88"/>
      <c r="BH189" s="44"/>
      <c r="BI189" s="45"/>
      <c r="BJ189" s="48"/>
      <c r="BK189" s="48"/>
      <c r="BL189" s="88"/>
      <c r="BM189" s="118" t="str">
        <f ca="1">IF(BJ189="","",IF(BM189="",NOW(),BM189))</f>
        <v/>
      </c>
      <c r="BN189" s="110"/>
      <c r="BO189" s="110" t="s">
        <v>82</v>
      </c>
    </row>
    <row r="190" spans="36:68">
      <c r="AK190" s="87"/>
      <c r="AL190" s="48"/>
      <c r="AM190" s="87"/>
      <c r="AN190" s="48"/>
      <c r="AO190" s="48"/>
      <c r="AP190" s="48"/>
      <c r="AQ190" s="48"/>
      <c r="AR190" s="66"/>
      <c r="AS190" s="66"/>
      <c r="AT190" s="48"/>
      <c r="AU190" s="66"/>
      <c r="AV190" s="48"/>
      <c r="AW190" s="67"/>
      <c r="AX190" s="48"/>
      <c r="AY190" s="48"/>
      <c r="AZ190" s="48"/>
      <c r="BA190" s="68"/>
      <c r="BB190" s="48"/>
      <c r="BC190" s="48"/>
      <c r="BD190" s="68"/>
      <c r="BE190" s="48"/>
      <c r="BF190" s="48"/>
      <c r="BG190" s="88"/>
      <c r="BH190" s="48"/>
      <c r="BI190" s="49"/>
      <c r="BJ190" s="48"/>
      <c r="BK190" s="48"/>
      <c r="BL190" s="88"/>
      <c r="BM190" s="110"/>
      <c r="BN190" s="111" t="s">
        <v>4</v>
      </c>
      <c r="BO190" s="111" t="s">
        <v>58</v>
      </c>
    </row>
    <row r="191" spans="36:68">
      <c r="AK191" s="87"/>
      <c r="AL191" s="48"/>
      <c r="AM191" s="87"/>
      <c r="AN191" s="48"/>
      <c r="AO191" s="48"/>
      <c r="AP191" s="48"/>
      <c r="AQ191" s="48"/>
      <c r="AR191" s="66"/>
      <c r="AS191" s="66"/>
      <c r="AT191" s="48"/>
      <c r="AU191" s="66"/>
      <c r="AV191" s="48"/>
      <c r="AW191" s="67"/>
      <c r="AX191" s="48"/>
      <c r="AY191" s="48"/>
      <c r="AZ191" s="48"/>
      <c r="BA191" s="68"/>
      <c r="BB191" s="48"/>
      <c r="BC191" s="48"/>
      <c r="BD191" s="68"/>
      <c r="BE191" s="48"/>
      <c r="BF191" s="48"/>
      <c r="BG191" s="88"/>
      <c r="BH191" s="44"/>
      <c r="BI191" s="45"/>
      <c r="BJ191" s="48"/>
      <c r="BK191" s="48"/>
      <c r="BL191" s="88"/>
      <c r="BM191" s="110" t="s">
        <v>51</v>
      </c>
      <c r="BN191" s="109">
        <f>BL194-BL150</f>
        <v>0</v>
      </c>
      <c r="BO191" s="112" t="e">
        <f>(BN191)/BL150</f>
        <v>#DIV/0!</v>
      </c>
    </row>
    <row r="192" spans="36:68">
      <c r="AK192" s="87"/>
      <c r="AL192" s="48"/>
      <c r="AM192" s="87"/>
      <c r="AN192" s="48"/>
      <c r="AO192" s="48"/>
      <c r="AP192" s="48"/>
      <c r="AQ192" s="48"/>
      <c r="AR192" s="66"/>
      <c r="AS192" s="66"/>
      <c r="AT192" s="48"/>
      <c r="AU192" s="66"/>
      <c r="AV192" s="48"/>
      <c r="AW192" s="67"/>
      <c r="AX192" s="48"/>
      <c r="AY192" s="48"/>
      <c r="AZ192" s="48"/>
      <c r="BA192" s="68"/>
      <c r="BB192" s="48"/>
      <c r="BC192" s="48"/>
      <c r="BD192" s="68"/>
      <c r="BE192" s="48"/>
      <c r="BF192" s="48"/>
      <c r="BG192" s="88"/>
      <c r="BH192" s="48"/>
      <c r="BI192" s="438"/>
      <c r="BJ192" s="48"/>
      <c r="BK192" s="48"/>
      <c r="BL192" s="88"/>
      <c r="BM192" s="110"/>
      <c r="BN192" s="109"/>
      <c r="BO192" s="109"/>
    </row>
    <row r="193" spans="36:68">
      <c r="AK193" s="87"/>
      <c r="AL193" s="48"/>
      <c r="AM193" s="87"/>
      <c r="AN193" s="48"/>
      <c r="AO193" s="48"/>
      <c r="AP193" s="48"/>
      <c r="AQ193" s="48"/>
      <c r="AR193" s="66"/>
      <c r="AS193" s="66"/>
      <c r="AT193" s="48"/>
      <c r="AU193" s="66"/>
      <c r="AV193" s="48"/>
      <c r="AW193" s="67"/>
      <c r="AX193" s="48"/>
      <c r="AY193" s="48"/>
      <c r="AZ193" s="48"/>
      <c r="BA193" s="68"/>
      <c r="BB193" s="48"/>
      <c r="BC193" s="48"/>
      <c r="BD193" s="68"/>
      <c r="BE193" s="48"/>
      <c r="BF193" s="48"/>
      <c r="BG193" s="88"/>
      <c r="BH193" s="48"/>
      <c r="BI193" s="48"/>
      <c r="BJ193" s="48"/>
      <c r="BK193" s="48"/>
      <c r="BL193" s="88"/>
      <c r="BM193" s="110" t="s">
        <v>80</v>
      </c>
      <c r="BN193" s="113">
        <f>BI194-BI150</f>
        <v>0</v>
      </c>
      <c r="BO193" s="112" t="e">
        <f>(BN193)/BI150</f>
        <v>#DIV/0!</v>
      </c>
    </row>
    <row r="194" spans="36:68">
      <c r="AK194" s="87"/>
      <c r="AL194" s="48"/>
      <c r="AM194" s="491"/>
      <c r="AN194" s="48"/>
      <c r="AO194" s="48"/>
      <c r="AP194" s="48"/>
      <c r="AQ194" s="48"/>
      <c r="AR194" s="66"/>
      <c r="AS194" s="66"/>
      <c r="AT194" s="48"/>
      <c r="AU194" s="66"/>
      <c r="AV194" s="48"/>
      <c r="AW194" s="67"/>
      <c r="AX194" s="48"/>
      <c r="AY194" s="48"/>
      <c r="AZ194" s="48"/>
      <c r="BA194" s="68"/>
      <c r="BB194" s="48"/>
      <c r="BC194" s="48"/>
      <c r="BD194" s="68"/>
      <c r="BE194" s="48"/>
      <c r="BF194" s="48"/>
      <c r="BG194" s="88"/>
      <c r="BH194" s="79"/>
      <c r="BI194" s="81"/>
      <c r="BJ194" s="48"/>
      <c r="BK194" s="76"/>
      <c r="BL194" s="88"/>
      <c r="BM194" s="110"/>
      <c r="BN194" s="109"/>
      <c r="BO194" s="109"/>
      <c r="BP194" s="117"/>
    </row>
    <row r="195" spans="36:68">
      <c r="AK195" s="87"/>
      <c r="AL195" s="48"/>
      <c r="AM195" s="87"/>
      <c r="AN195" s="48"/>
      <c r="AO195" s="48"/>
      <c r="AP195" s="48"/>
      <c r="AQ195" s="48"/>
      <c r="AR195" s="66"/>
      <c r="AS195" s="66"/>
      <c r="AT195" s="48"/>
      <c r="AU195" s="66"/>
      <c r="AV195" s="48"/>
      <c r="AW195" s="67"/>
      <c r="AX195" s="48"/>
      <c r="AY195" s="48"/>
      <c r="AZ195" s="48"/>
      <c r="BA195" s="68"/>
      <c r="BB195" s="48"/>
      <c r="BC195" s="48"/>
      <c r="BD195" s="68"/>
      <c r="BE195" s="48"/>
      <c r="BF195" s="48"/>
      <c r="BG195" s="88"/>
      <c r="BH195" s="80"/>
      <c r="BI195" s="82"/>
      <c r="BJ195" s="48"/>
      <c r="BK195" s="76"/>
      <c r="BL195" s="88"/>
      <c r="BM195" s="110" t="s">
        <v>77</v>
      </c>
      <c r="BN195" s="113">
        <f>BI196-BI152</f>
        <v>0</v>
      </c>
      <c r="BO195" s="112" t="e">
        <f>(BN195)/BI152</f>
        <v>#DIV/0!</v>
      </c>
      <c r="BP195" s="117"/>
    </row>
    <row r="196" spans="36:68" ht="15.75" thickBot="1">
      <c r="AK196" s="89"/>
      <c r="AL196" s="90"/>
      <c r="AM196" s="89"/>
      <c r="AN196" s="90"/>
      <c r="AO196" s="90"/>
      <c r="AP196" s="90"/>
      <c r="AQ196" s="90"/>
      <c r="AR196" s="472"/>
      <c r="AS196" s="472"/>
      <c r="AT196" s="90"/>
      <c r="AU196" s="472"/>
      <c r="AV196" s="90"/>
      <c r="AW196" s="473"/>
      <c r="AX196" s="90"/>
      <c r="AY196" s="90"/>
      <c r="AZ196" s="90"/>
      <c r="BA196" s="474"/>
      <c r="BB196" s="90"/>
      <c r="BC196" s="90"/>
      <c r="BD196" s="474"/>
      <c r="BE196" s="90"/>
      <c r="BF196" s="90"/>
      <c r="BG196" s="94"/>
      <c r="BH196" s="91"/>
      <c r="BI196" s="92"/>
      <c r="BJ196" s="90"/>
      <c r="BK196" s="93"/>
      <c r="BL196" s="94"/>
      <c r="BM196" s="99"/>
      <c r="BN196" s="100"/>
      <c r="BO196" s="100"/>
      <c r="BP196" s="117"/>
    </row>
    <row r="197" spans="36:68" hidden="1">
      <c r="AK197" s="98"/>
      <c r="AL197" s="98"/>
      <c r="AM197" s="87"/>
      <c r="AN197" s="48"/>
      <c r="AO197" s="48"/>
      <c r="AP197" s="48"/>
      <c r="AQ197" s="48"/>
      <c r="AR197" s="66"/>
      <c r="AS197" s="66"/>
      <c r="AT197" s="48"/>
      <c r="AU197" s="66"/>
      <c r="AV197" s="48"/>
      <c r="AW197" s="67"/>
      <c r="AX197" s="48"/>
      <c r="AY197" s="48"/>
      <c r="AZ197" s="48"/>
      <c r="BA197" s="68"/>
      <c r="BB197" s="48"/>
      <c r="BC197" s="48"/>
      <c r="BD197" s="68"/>
      <c r="BE197" s="48"/>
      <c r="BF197" s="48"/>
      <c r="BG197" s="88"/>
      <c r="BH197" s="98"/>
      <c r="BI197" s="98"/>
      <c r="BJ197" s="98"/>
      <c r="BK197" s="98"/>
      <c r="BL197" s="98"/>
      <c r="BM197" s="104"/>
      <c r="BN197" s="98"/>
      <c r="BO197" s="100"/>
      <c r="BP197" s="114" t="str">
        <f ca="1">IF(BJ101="","",IF(BP197="",NOW(),BP197))</f>
        <v/>
      </c>
    </row>
    <row r="198" spans="36:68" s="2" customFormat="1" hidden="1">
      <c r="AJ198" s="123"/>
      <c r="AK198" s="98"/>
      <c r="AL198" s="98"/>
      <c r="AM198" s="87"/>
      <c r="AN198" s="48"/>
      <c r="AO198" s="48"/>
      <c r="AP198" s="48"/>
      <c r="AQ198" s="48"/>
      <c r="AR198" s="66"/>
      <c r="AS198" s="66"/>
      <c r="AT198" s="48"/>
      <c r="AU198" s="66"/>
      <c r="AV198" s="48"/>
      <c r="AW198" s="67"/>
      <c r="AX198" s="48"/>
      <c r="AY198" s="48"/>
      <c r="AZ198" s="48"/>
      <c r="BA198" s="68"/>
      <c r="BB198" s="48"/>
      <c r="BC198" s="48"/>
      <c r="BD198" s="68"/>
      <c r="BE198" s="48"/>
      <c r="BF198" s="48"/>
      <c r="BG198" s="88"/>
      <c r="BH198" s="98"/>
      <c r="BI198" s="98"/>
      <c r="BJ198" s="98"/>
      <c r="BK198" s="98"/>
      <c r="BL198" s="98"/>
      <c r="BM198" s="104"/>
      <c r="BN198" s="98"/>
      <c r="BO198" s="100"/>
      <c r="BP198" s="114"/>
    </row>
    <row r="199" spans="36:68" s="2" customFormat="1" hidden="1">
      <c r="AJ199" s="123"/>
      <c r="AK199" s="98"/>
      <c r="AL199" s="98"/>
      <c r="AM199" s="87"/>
      <c r="AN199" s="48"/>
      <c r="AO199" s="48"/>
      <c r="AP199" s="48"/>
      <c r="AQ199" s="48"/>
      <c r="AR199" s="66"/>
      <c r="AS199" s="66"/>
      <c r="AT199" s="48"/>
      <c r="AU199" s="66"/>
      <c r="AV199" s="48"/>
      <c r="AW199" s="67"/>
      <c r="AX199" s="48"/>
      <c r="AY199" s="48"/>
      <c r="AZ199" s="48"/>
      <c r="BA199" s="68"/>
      <c r="BB199" s="48"/>
      <c r="BC199" s="48"/>
      <c r="BD199" s="68"/>
      <c r="BE199" s="48"/>
      <c r="BF199" s="48"/>
      <c r="BG199" s="88"/>
      <c r="BH199" s="98"/>
      <c r="BI199" s="98"/>
      <c r="BJ199" s="98"/>
      <c r="BK199" s="98"/>
      <c r="BL199" s="98"/>
      <c r="BM199" s="104"/>
      <c r="BN199" s="98"/>
      <c r="BO199" s="100"/>
      <c r="BP199" s="114"/>
    </row>
    <row r="200" spans="36:68" s="2" customFormat="1" hidden="1">
      <c r="AJ200" s="123"/>
      <c r="AK200" s="98"/>
      <c r="AL200" s="98"/>
      <c r="AM200" s="87"/>
      <c r="AN200" s="48"/>
      <c r="AO200" s="48"/>
      <c r="AP200" s="48"/>
      <c r="AQ200" s="48"/>
      <c r="AR200" s="66"/>
      <c r="AS200" s="66"/>
      <c r="AT200" s="48"/>
      <c r="AU200" s="66"/>
      <c r="AV200" s="48"/>
      <c r="AW200" s="67"/>
      <c r="AX200" s="48"/>
      <c r="AY200" s="48"/>
      <c r="AZ200" s="48"/>
      <c r="BA200" s="68"/>
      <c r="BB200" s="48"/>
      <c r="BC200" s="48"/>
      <c r="BD200" s="68"/>
      <c r="BE200" s="48"/>
      <c r="BF200" s="48"/>
      <c r="BG200" s="88"/>
      <c r="BH200" s="98"/>
      <c r="BI200" s="98"/>
      <c r="BJ200" s="98"/>
      <c r="BK200" s="98"/>
      <c r="BL200" s="98"/>
      <c r="BM200" s="104"/>
      <c r="BN200" s="98"/>
      <c r="BO200" s="100"/>
      <c r="BP200" s="114"/>
    </row>
    <row r="201" spans="36:68" s="2" customFormat="1" hidden="1">
      <c r="AJ201" s="123"/>
      <c r="AK201" s="98"/>
      <c r="AL201" s="98"/>
      <c r="AM201" s="87"/>
      <c r="AN201" s="48"/>
      <c r="AO201" s="48"/>
      <c r="AP201" s="48"/>
      <c r="AQ201" s="48"/>
      <c r="AR201" s="66"/>
      <c r="AS201" s="66"/>
      <c r="AT201" s="48"/>
      <c r="AU201" s="66"/>
      <c r="AV201" s="48"/>
      <c r="AW201" s="67"/>
      <c r="AX201" s="48"/>
      <c r="AY201" s="48"/>
      <c r="AZ201" s="48"/>
      <c r="BA201" s="68"/>
      <c r="BB201" s="48"/>
      <c r="BC201" s="48"/>
      <c r="BD201" s="68"/>
      <c r="BE201" s="48"/>
      <c r="BF201" s="48"/>
      <c r="BG201" s="88"/>
      <c r="BH201" s="98"/>
      <c r="BI201" s="98"/>
      <c r="BJ201" s="98"/>
      <c r="BK201" s="98"/>
      <c r="BL201" s="98"/>
      <c r="BM201" s="104"/>
      <c r="BN201" s="98"/>
      <c r="BO201" s="100"/>
      <c r="BP201" s="114"/>
    </row>
    <row r="202" spans="36:68" s="2" customFormat="1" hidden="1">
      <c r="AJ202" s="123"/>
      <c r="AK202" s="98"/>
      <c r="AL202" s="98"/>
      <c r="AM202" s="87"/>
      <c r="AN202" s="48"/>
      <c r="AO202" s="48"/>
      <c r="AP202" s="48"/>
      <c r="AQ202" s="48"/>
      <c r="AR202" s="66"/>
      <c r="AS202" s="66"/>
      <c r="AT202" s="48"/>
      <c r="AU202" s="66"/>
      <c r="AV202" s="48"/>
      <c r="AW202" s="67"/>
      <c r="AX202" s="48"/>
      <c r="AY202" s="48"/>
      <c r="AZ202" s="48"/>
      <c r="BA202" s="68"/>
      <c r="BB202" s="48"/>
      <c r="BC202" s="48"/>
      <c r="BD202" s="68"/>
      <c r="BE202" s="48"/>
      <c r="BF202" s="48"/>
      <c r="BG202" s="88"/>
      <c r="BH202" s="98"/>
      <c r="BI202" s="98"/>
      <c r="BJ202" s="98"/>
      <c r="BK202" s="98"/>
      <c r="BL202" s="98"/>
      <c r="BM202" s="104"/>
      <c r="BN202" s="98"/>
      <c r="BO202" s="100"/>
      <c r="BP202" s="114"/>
    </row>
    <row r="203" spans="36:68" s="2" customFormat="1" hidden="1">
      <c r="AJ203" s="123"/>
      <c r="AK203" s="98"/>
      <c r="AL203" s="98"/>
      <c r="AM203" s="87"/>
      <c r="AN203" s="48"/>
      <c r="AO203" s="48"/>
      <c r="AP203" s="48"/>
      <c r="AQ203" s="48"/>
      <c r="AR203" s="66"/>
      <c r="AS203" s="66"/>
      <c r="AT203" s="48"/>
      <c r="AU203" s="66"/>
      <c r="AV203" s="48"/>
      <c r="AW203" s="67"/>
      <c r="AX203" s="48"/>
      <c r="AY203" s="48"/>
      <c r="AZ203" s="48"/>
      <c r="BA203" s="68"/>
      <c r="BB203" s="48"/>
      <c r="BC203" s="48"/>
      <c r="BD203" s="68"/>
      <c r="BE203" s="48"/>
      <c r="BF203" s="48"/>
      <c r="BG203" s="88"/>
      <c r="BH203" s="98"/>
      <c r="BI203" s="98"/>
      <c r="BJ203" s="98"/>
      <c r="BK203" s="98"/>
      <c r="BL203" s="98"/>
      <c r="BM203" s="104"/>
      <c r="BN203" s="98"/>
      <c r="BO203" s="100"/>
      <c r="BP203" s="114"/>
    </row>
    <row r="204" spans="36:68" s="2" customFormat="1" hidden="1">
      <c r="AJ204" s="123"/>
      <c r="AK204" s="98"/>
      <c r="AL204" s="98"/>
      <c r="AM204" s="87"/>
      <c r="AN204" s="48"/>
      <c r="AO204" s="48"/>
      <c r="AP204" s="48"/>
      <c r="AQ204" s="48"/>
      <c r="AR204" s="66"/>
      <c r="AS204" s="66"/>
      <c r="AT204" s="48"/>
      <c r="AU204" s="66"/>
      <c r="AV204" s="48"/>
      <c r="AW204" s="67"/>
      <c r="AX204" s="48"/>
      <c r="AY204" s="48"/>
      <c r="AZ204" s="48"/>
      <c r="BA204" s="68"/>
      <c r="BB204" s="48"/>
      <c r="BC204" s="48"/>
      <c r="BD204" s="68"/>
      <c r="BE204" s="48"/>
      <c r="BF204" s="48"/>
      <c r="BG204" s="88"/>
      <c r="BH204" s="98"/>
      <c r="BI204" s="98"/>
      <c r="BJ204" s="98"/>
      <c r="BK204" s="98"/>
      <c r="BL204" s="98"/>
      <c r="BM204" s="104"/>
      <c r="BN204" s="98"/>
      <c r="BO204" s="100"/>
      <c r="BP204" s="114"/>
    </row>
    <row r="205" spans="36:68" s="2" customFormat="1" hidden="1">
      <c r="AJ205" s="123"/>
      <c r="AK205" s="98"/>
      <c r="AL205" s="98"/>
      <c r="AM205" s="87"/>
      <c r="AN205" s="48"/>
      <c r="AO205" s="48"/>
      <c r="AP205" s="48"/>
      <c r="AQ205" s="48"/>
      <c r="AR205" s="66"/>
      <c r="AS205" s="66"/>
      <c r="AT205" s="48"/>
      <c r="AU205" s="66"/>
      <c r="AV205" s="48"/>
      <c r="AW205" s="67"/>
      <c r="AX205" s="48"/>
      <c r="AY205" s="48"/>
      <c r="AZ205" s="48"/>
      <c r="BA205" s="68"/>
      <c r="BB205" s="48"/>
      <c r="BC205" s="48"/>
      <c r="BD205" s="68"/>
      <c r="BE205" s="48"/>
      <c r="BF205" s="48"/>
      <c r="BG205" s="88"/>
      <c r="BH205" s="98"/>
      <c r="BI205" s="98"/>
      <c r="BJ205" s="98"/>
      <c r="BK205" s="98"/>
      <c r="BL205" s="98"/>
      <c r="BM205" s="104"/>
      <c r="BN205" s="98"/>
      <c r="BO205" s="100"/>
      <c r="BP205" s="114"/>
    </row>
    <row r="206" spans="36:68" s="2" customFormat="1" hidden="1">
      <c r="AJ206" s="123"/>
      <c r="AK206" s="98"/>
      <c r="AL206" s="98"/>
      <c r="AM206" s="87"/>
      <c r="AN206" s="48"/>
      <c r="AO206" s="48"/>
      <c r="AP206" s="48"/>
      <c r="AQ206" s="48"/>
      <c r="AR206" s="66"/>
      <c r="AS206" s="66"/>
      <c r="AT206" s="48"/>
      <c r="AU206" s="66"/>
      <c r="AV206" s="48"/>
      <c r="AW206" s="67"/>
      <c r="AX206" s="48"/>
      <c r="AY206" s="48"/>
      <c r="AZ206" s="48"/>
      <c r="BA206" s="68"/>
      <c r="BB206" s="48"/>
      <c r="BC206" s="48"/>
      <c r="BD206" s="68"/>
      <c r="BE206" s="48"/>
      <c r="BF206" s="48"/>
      <c r="BG206" s="88"/>
      <c r="BH206" s="98"/>
      <c r="BI206" s="98"/>
      <c r="BJ206" s="98"/>
      <c r="BK206" s="98"/>
      <c r="BL206" s="98"/>
      <c r="BM206" s="104"/>
      <c r="BN206" s="98"/>
      <c r="BO206" s="100"/>
      <c r="BP206" s="114"/>
    </row>
    <row r="207" spans="36:68" s="2" customFormat="1" hidden="1">
      <c r="AJ207" s="123"/>
      <c r="AK207" s="98"/>
      <c r="AL207" s="98"/>
      <c r="AM207" s="87"/>
      <c r="AN207" s="48"/>
      <c r="AO207" s="48"/>
      <c r="AP207" s="48"/>
      <c r="AQ207" s="48"/>
      <c r="AR207" s="66"/>
      <c r="AS207" s="66"/>
      <c r="AT207" s="48"/>
      <c r="AU207" s="66"/>
      <c r="AV207" s="48"/>
      <c r="AW207" s="67"/>
      <c r="AX207" s="48"/>
      <c r="AY207" s="48"/>
      <c r="AZ207" s="48"/>
      <c r="BA207" s="68"/>
      <c r="BB207" s="48"/>
      <c r="BC207" s="48"/>
      <c r="BD207" s="68"/>
      <c r="BE207" s="48"/>
      <c r="BF207" s="48"/>
      <c r="BG207" s="88"/>
      <c r="BH207" s="98"/>
      <c r="BI207" s="98"/>
      <c r="BJ207" s="98"/>
      <c r="BK207" s="98"/>
      <c r="BL207" s="98"/>
      <c r="BM207" s="104"/>
      <c r="BN207" s="98"/>
      <c r="BO207" s="100"/>
      <c r="BP207" s="114"/>
    </row>
    <row r="208" spans="36:68" s="2" customFormat="1" hidden="1">
      <c r="AJ208" s="123"/>
      <c r="AK208" s="98"/>
      <c r="AL208" s="98"/>
      <c r="AM208" s="87"/>
      <c r="AN208" s="48"/>
      <c r="AO208" s="48"/>
      <c r="AP208" s="48"/>
      <c r="AQ208" s="48"/>
      <c r="AR208" s="66"/>
      <c r="AS208" s="66"/>
      <c r="AT208" s="48"/>
      <c r="AU208" s="66"/>
      <c r="AV208" s="48"/>
      <c r="AW208" s="67"/>
      <c r="AX208" s="48"/>
      <c r="AY208" s="48"/>
      <c r="AZ208" s="48"/>
      <c r="BA208" s="68"/>
      <c r="BB208" s="48"/>
      <c r="BC208" s="48"/>
      <c r="BD208" s="68"/>
      <c r="BE208" s="48"/>
      <c r="BF208" s="48"/>
      <c r="BG208" s="88"/>
      <c r="BH208" s="98"/>
      <c r="BI208" s="98"/>
      <c r="BJ208" s="98"/>
      <c r="BK208" s="98"/>
      <c r="BL208" s="98"/>
      <c r="BM208" s="104"/>
      <c r="BN208" s="98"/>
      <c r="BO208" s="100"/>
      <c r="BP208" s="114"/>
    </row>
    <row r="209" spans="36:68" s="2" customFormat="1" hidden="1">
      <c r="AJ209" s="123"/>
      <c r="AK209" s="98"/>
      <c r="AL209" s="98"/>
      <c r="AM209" s="87"/>
      <c r="AN209" s="48"/>
      <c r="AO209" s="48"/>
      <c r="AP209" s="48"/>
      <c r="AQ209" s="48"/>
      <c r="AR209" s="66"/>
      <c r="AS209" s="66"/>
      <c r="AT209" s="48"/>
      <c r="AU209" s="66"/>
      <c r="AV209" s="48"/>
      <c r="AW209" s="67"/>
      <c r="AX209" s="48"/>
      <c r="AY209" s="48"/>
      <c r="AZ209" s="48"/>
      <c r="BA209" s="68"/>
      <c r="BB209" s="48"/>
      <c r="BC209" s="48"/>
      <c r="BD209" s="68"/>
      <c r="BE209" s="48"/>
      <c r="BF209" s="48"/>
      <c r="BG209" s="88"/>
      <c r="BH209" s="98"/>
      <c r="BI209" s="98"/>
      <c r="BJ209" s="98"/>
      <c r="BK209" s="98"/>
      <c r="BL209" s="98"/>
      <c r="BM209" s="104"/>
      <c r="BN209" s="98"/>
      <c r="BO209" s="100"/>
      <c r="BP209" s="114"/>
    </row>
    <row r="210" spans="36:68" s="2" customFormat="1" hidden="1">
      <c r="AJ210" s="123"/>
      <c r="AK210" s="98"/>
      <c r="AL210" s="98"/>
      <c r="AM210" s="87"/>
      <c r="AN210" s="48"/>
      <c r="AO210" s="48"/>
      <c r="AP210" s="48"/>
      <c r="AQ210" s="48"/>
      <c r="AR210" s="66"/>
      <c r="AS210" s="66"/>
      <c r="AT210" s="48"/>
      <c r="AU210" s="66"/>
      <c r="AV210" s="48"/>
      <c r="AW210" s="67"/>
      <c r="AX210" s="48"/>
      <c r="AY210" s="48"/>
      <c r="AZ210" s="48"/>
      <c r="BA210" s="68"/>
      <c r="BB210" s="48"/>
      <c r="BC210" s="48"/>
      <c r="BD210" s="68"/>
      <c r="BE210" s="48"/>
      <c r="BF210" s="48"/>
      <c r="BG210" s="88"/>
      <c r="BH210" s="98"/>
      <c r="BI210" s="98"/>
      <c r="BJ210" s="98"/>
      <c r="BK210" s="98"/>
      <c r="BL210" s="98"/>
      <c r="BM210" s="104"/>
      <c r="BN210" s="98"/>
      <c r="BO210" s="100"/>
      <c r="BP210" s="114"/>
    </row>
    <row r="211" spans="36:68" s="2" customFormat="1" hidden="1">
      <c r="AJ211" s="123"/>
      <c r="AK211" s="98"/>
      <c r="AL211" s="98"/>
      <c r="AM211" s="87"/>
      <c r="AN211" s="48"/>
      <c r="AO211" s="48"/>
      <c r="AP211" s="48"/>
      <c r="AQ211" s="48"/>
      <c r="AR211" s="66"/>
      <c r="AS211" s="66"/>
      <c r="AT211" s="48"/>
      <c r="AU211" s="66"/>
      <c r="AV211" s="48"/>
      <c r="AW211" s="67"/>
      <c r="AX211" s="48"/>
      <c r="AY211" s="48"/>
      <c r="AZ211" s="48"/>
      <c r="BA211" s="68"/>
      <c r="BB211" s="48"/>
      <c r="BC211" s="48"/>
      <c r="BD211" s="68"/>
      <c r="BE211" s="48"/>
      <c r="BF211" s="48"/>
      <c r="BG211" s="88"/>
      <c r="BH211" s="98"/>
      <c r="BI211" s="98"/>
      <c r="BJ211" s="98"/>
      <c r="BK211" s="98"/>
      <c r="BL211" s="98"/>
      <c r="BM211" s="104"/>
      <c r="BN211" s="98"/>
      <c r="BO211" s="100"/>
      <c r="BP211" s="114"/>
    </row>
    <row r="212" spans="36:68" s="2" customFormat="1" hidden="1">
      <c r="AJ212" s="123"/>
      <c r="AK212" s="98"/>
      <c r="AL212" s="98"/>
      <c r="AM212" s="87"/>
      <c r="AN212" s="48"/>
      <c r="AO212" s="48"/>
      <c r="AP212" s="48"/>
      <c r="AQ212" s="48"/>
      <c r="AR212" s="66"/>
      <c r="AS212" s="66"/>
      <c r="AT212" s="48"/>
      <c r="AU212" s="66"/>
      <c r="AV212" s="48"/>
      <c r="AW212" s="67"/>
      <c r="AX212" s="48"/>
      <c r="AY212" s="48"/>
      <c r="AZ212" s="48"/>
      <c r="BA212" s="68"/>
      <c r="BB212" s="48"/>
      <c r="BC212" s="48"/>
      <c r="BD212" s="68"/>
      <c r="BE212" s="48"/>
      <c r="BF212" s="48"/>
      <c r="BG212" s="88"/>
      <c r="BH212" s="98"/>
      <c r="BI212" s="98"/>
      <c r="BJ212" s="98"/>
      <c r="BK212" s="98"/>
      <c r="BL212" s="98"/>
      <c r="BM212" s="104"/>
      <c r="BN212" s="98"/>
      <c r="BO212" s="100"/>
      <c r="BP212" s="114"/>
    </row>
    <row r="213" spans="36:68" s="2" customFormat="1" hidden="1">
      <c r="AJ213" s="123"/>
      <c r="AK213" s="98"/>
      <c r="AL213" s="98"/>
      <c r="AM213" s="87"/>
      <c r="AN213" s="48"/>
      <c r="AO213" s="48"/>
      <c r="AP213" s="48"/>
      <c r="AQ213" s="48"/>
      <c r="AR213" s="66"/>
      <c r="AS213" s="66"/>
      <c r="AT213" s="48"/>
      <c r="AU213" s="66"/>
      <c r="AV213" s="48"/>
      <c r="AW213" s="67"/>
      <c r="AX213" s="48"/>
      <c r="AY213" s="48"/>
      <c r="AZ213" s="48"/>
      <c r="BA213" s="68"/>
      <c r="BB213" s="48"/>
      <c r="BC213" s="48"/>
      <c r="BD213" s="68"/>
      <c r="BE213" s="48"/>
      <c r="BF213" s="48"/>
      <c r="BG213" s="88"/>
      <c r="BH213" s="98"/>
      <c r="BI213" s="98"/>
      <c r="BJ213" s="98"/>
      <c r="BK213" s="98"/>
      <c r="BL213" s="98"/>
      <c r="BM213" s="104"/>
      <c r="BN213" s="98"/>
      <c r="BO213" s="100"/>
      <c r="BP213" s="114"/>
    </row>
    <row r="214" spans="36:68" s="2" customFormat="1" hidden="1">
      <c r="AJ214" s="123"/>
      <c r="AK214" s="98"/>
      <c r="AL214" s="98"/>
      <c r="AM214" s="87"/>
      <c r="AN214" s="48"/>
      <c r="AO214" s="48"/>
      <c r="AP214" s="48"/>
      <c r="AQ214" s="48"/>
      <c r="AR214" s="66"/>
      <c r="AS214" s="66"/>
      <c r="AT214" s="48"/>
      <c r="AU214" s="66"/>
      <c r="AV214" s="48"/>
      <c r="AW214" s="67"/>
      <c r="AX214" s="48"/>
      <c r="AY214" s="48"/>
      <c r="AZ214" s="48"/>
      <c r="BA214" s="68"/>
      <c r="BB214" s="48"/>
      <c r="BC214" s="48"/>
      <c r="BD214" s="68"/>
      <c r="BE214" s="48"/>
      <c r="BF214" s="48"/>
      <c r="BG214" s="88"/>
      <c r="BH214" s="98"/>
      <c r="BI214" s="98"/>
      <c r="BJ214" s="98"/>
      <c r="BK214" s="98"/>
      <c r="BL214" s="98"/>
      <c r="BM214" s="104"/>
      <c r="BN214" s="98"/>
      <c r="BO214" s="100"/>
      <c r="BP214" s="114"/>
    </row>
    <row r="215" spans="36:68" s="2" customFormat="1" hidden="1">
      <c r="AJ215" s="123"/>
      <c r="AK215" s="98"/>
      <c r="AL215" s="98"/>
      <c r="AM215" s="87"/>
      <c r="AN215" s="48"/>
      <c r="AO215" s="48"/>
      <c r="AP215" s="48"/>
      <c r="AQ215" s="48"/>
      <c r="AR215" s="66"/>
      <c r="AS215" s="66"/>
      <c r="AT215" s="48"/>
      <c r="AU215" s="66"/>
      <c r="AV215" s="48"/>
      <c r="AW215" s="67"/>
      <c r="AX215" s="48"/>
      <c r="AY215" s="48"/>
      <c r="AZ215" s="48"/>
      <c r="BA215" s="68"/>
      <c r="BB215" s="48"/>
      <c r="BC215" s="48"/>
      <c r="BD215" s="68"/>
      <c r="BE215" s="48"/>
      <c r="BF215" s="48"/>
      <c r="BG215" s="88"/>
      <c r="BH215" s="98"/>
      <c r="BI215" s="98"/>
      <c r="BJ215" s="98"/>
      <c r="BK215" s="98"/>
      <c r="BL215" s="98"/>
      <c r="BM215" s="104"/>
      <c r="BN215" s="98"/>
      <c r="BO215" s="100"/>
      <c r="BP215" s="114"/>
    </row>
    <row r="216" spans="36:68" s="2" customFormat="1" hidden="1">
      <c r="AJ216" s="123"/>
      <c r="AK216" s="98"/>
      <c r="AL216" s="98"/>
      <c r="AM216" s="87"/>
      <c r="AN216" s="48"/>
      <c r="AO216" s="48"/>
      <c r="AP216" s="48"/>
      <c r="AQ216" s="48"/>
      <c r="AR216" s="66"/>
      <c r="AS216" s="66"/>
      <c r="AT216" s="48"/>
      <c r="AU216" s="66"/>
      <c r="AV216" s="48"/>
      <c r="AW216" s="67"/>
      <c r="AX216" s="48"/>
      <c r="AY216" s="48"/>
      <c r="AZ216" s="48"/>
      <c r="BA216" s="68"/>
      <c r="BB216" s="48"/>
      <c r="BC216" s="48"/>
      <c r="BD216" s="68"/>
      <c r="BE216" s="48"/>
      <c r="BF216" s="48"/>
      <c r="BG216" s="88"/>
      <c r="BH216" s="98"/>
      <c r="BI216" s="98"/>
      <c r="BJ216" s="98"/>
      <c r="BK216" s="98"/>
      <c r="BL216" s="98"/>
      <c r="BM216" s="104"/>
      <c r="BN216" s="98"/>
      <c r="BO216" s="100"/>
      <c r="BP216" s="114"/>
    </row>
    <row r="217" spans="36:68" s="2" customFormat="1" hidden="1">
      <c r="AJ217" s="123"/>
      <c r="AK217" s="98"/>
      <c r="AL217" s="98"/>
      <c r="AM217" s="87"/>
      <c r="AN217" s="48"/>
      <c r="AO217" s="48"/>
      <c r="AP217" s="48"/>
      <c r="AQ217" s="48"/>
      <c r="AR217" s="66"/>
      <c r="AS217" s="66"/>
      <c r="AT217" s="48"/>
      <c r="AU217" s="66"/>
      <c r="AV217" s="48"/>
      <c r="AW217" s="67"/>
      <c r="AX217" s="48"/>
      <c r="AY217" s="48"/>
      <c r="AZ217" s="48"/>
      <c r="BA217" s="68"/>
      <c r="BB217" s="48"/>
      <c r="BC217" s="48"/>
      <c r="BD217" s="68"/>
      <c r="BE217" s="48"/>
      <c r="BF217" s="48"/>
      <c r="BG217" s="88"/>
      <c r="BH217" s="98"/>
      <c r="BI217" s="98"/>
      <c r="BJ217" s="98"/>
      <c r="BK217" s="98"/>
      <c r="BL217" s="98"/>
      <c r="BM217" s="104"/>
      <c r="BN217" s="98"/>
      <c r="BO217" s="100"/>
      <c r="BP217" s="114"/>
    </row>
    <row r="218" spans="36:68" s="2" customFormat="1" hidden="1">
      <c r="AJ218" s="123"/>
      <c r="AK218" s="98"/>
      <c r="AL218" s="98"/>
      <c r="AM218" s="87"/>
      <c r="AN218" s="48"/>
      <c r="AO218" s="48"/>
      <c r="AP218" s="48"/>
      <c r="AQ218" s="48"/>
      <c r="AR218" s="66"/>
      <c r="AS218" s="66"/>
      <c r="AT218" s="48"/>
      <c r="AU218" s="66"/>
      <c r="AV218" s="48"/>
      <c r="AW218" s="67"/>
      <c r="AX218" s="48"/>
      <c r="AY218" s="48"/>
      <c r="AZ218" s="48"/>
      <c r="BA218" s="68"/>
      <c r="BB218" s="48"/>
      <c r="BC218" s="48"/>
      <c r="BD218" s="68"/>
      <c r="BE218" s="48"/>
      <c r="BF218" s="48"/>
      <c r="BG218" s="88"/>
      <c r="BH218" s="98"/>
      <c r="BI218" s="98"/>
      <c r="BJ218" s="98"/>
      <c r="BK218" s="98"/>
      <c r="BL218" s="98"/>
      <c r="BM218" s="104"/>
      <c r="BN218" s="98"/>
      <c r="BO218" s="100"/>
      <c r="BP218" s="114"/>
    </row>
    <row r="219" spans="36:68" s="2" customFormat="1" hidden="1">
      <c r="AJ219" s="123"/>
      <c r="AK219" s="98"/>
      <c r="AL219" s="98"/>
      <c r="AM219" s="87"/>
      <c r="AN219" s="48"/>
      <c r="AO219" s="48"/>
      <c r="AP219" s="48"/>
      <c r="AQ219" s="48"/>
      <c r="AR219" s="66"/>
      <c r="AS219" s="66"/>
      <c r="AT219" s="48"/>
      <c r="AU219" s="66"/>
      <c r="AV219" s="48"/>
      <c r="AW219" s="67"/>
      <c r="AX219" s="48"/>
      <c r="AY219" s="48"/>
      <c r="AZ219" s="48"/>
      <c r="BA219" s="68"/>
      <c r="BB219" s="48"/>
      <c r="BC219" s="48"/>
      <c r="BD219" s="68"/>
      <c r="BE219" s="48"/>
      <c r="BF219" s="48"/>
      <c r="BG219" s="88"/>
      <c r="BH219" s="98"/>
      <c r="BI219" s="98"/>
      <c r="BJ219" s="98"/>
      <c r="BK219" s="98"/>
      <c r="BL219" s="98"/>
      <c r="BM219" s="104"/>
      <c r="BN219" s="98"/>
      <c r="BO219" s="100"/>
      <c r="BP219" s="114"/>
    </row>
    <row r="220" spans="36:68" s="2" customFormat="1" hidden="1">
      <c r="AJ220" s="123"/>
      <c r="AK220" s="98"/>
      <c r="AL220" s="98"/>
      <c r="AM220" s="87"/>
      <c r="AN220" s="48"/>
      <c r="AO220" s="48"/>
      <c r="AP220" s="48"/>
      <c r="AQ220" s="48"/>
      <c r="AR220" s="66"/>
      <c r="AS220" s="66"/>
      <c r="AT220" s="48"/>
      <c r="AU220" s="66"/>
      <c r="AV220" s="48"/>
      <c r="AW220" s="67"/>
      <c r="AX220" s="48"/>
      <c r="AY220" s="48"/>
      <c r="AZ220" s="48"/>
      <c r="BA220" s="68"/>
      <c r="BB220" s="48"/>
      <c r="BC220" s="48"/>
      <c r="BD220" s="68"/>
      <c r="BE220" s="48"/>
      <c r="BF220" s="48"/>
      <c r="BG220" s="88"/>
      <c r="BH220" s="98"/>
      <c r="BI220" s="98"/>
      <c r="BJ220" s="98"/>
      <c r="BK220" s="98"/>
      <c r="BL220" s="98"/>
      <c r="BM220" s="104"/>
      <c r="BN220" s="98"/>
      <c r="BO220" s="100"/>
      <c r="BP220" s="114"/>
    </row>
    <row r="221" spans="36:68" s="2" customFormat="1" hidden="1">
      <c r="AJ221" s="123"/>
      <c r="AK221" s="98"/>
      <c r="AL221" s="98"/>
      <c r="AM221" s="87"/>
      <c r="AN221" s="48"/>
      <c r="AO221" s="48"/>
      <c r="AP221" s="48"/>
      <c r="AQ221" s="48"/>
      <c r="AR221" s="66"/>
      <c r="AS221" s="66"/>
      <c r="AT221" s="48"/>
      <c r="AU221" s="66"/>
      <c r="AV221" s="48"/>
      <c r="AW221" s="67"/>
      <c r="AX221" s="48"/>
      <c r="AY221" s="48"/>
      <c r="AZ221" s="48"/>
      <c r="BA221" s="68"/>
      <c r="BB221" s="48"/>
      <c r="BC221" s="48"/>
      <c r="BD221" s="68"/>
      <c r="BE221" s="48"/>
      <c r="BF221" s="48"/>
      <c r="BG221" s="88"/>
      <c r="BH221" s="98"/>
      <c r="BI221" s="98"/>
      <c r="BJ221" s="98"/>
      <c r="BK221" s="98"/>
      <c r="BL221" s="98"/>
      <c r="BM221" s="104"/>
      <c r="BN221" s="98"/>
      <c r="BO221" s="100"/>
      <c r="BP221" s="114"/>
    </row>
    <row r="222" spans="36:68" s="2" customFormat="1" hidden="1">
      <c r="AJ222" s="123"/>
      <c r="AK222" s="98"/>
      <c r="AL222" s="98"/>
      <c r="AM222" s="87"/>
      <c r="AN222" s="48"/>
      <c r="AO222" s="48"/>
      <c r="AP222" s="48"/>
      <c r="AQ222" s="48"/>
      <c r="AR222" s="66"/>
      <c r="AS222" s="66"/>
      <c r="AT222" s="48"/>
      <c r="AU222" s="66"/>
      <c r="AV222" s="48"/>
      <c r="AW222" s="67"/>
      <c r="AX222" s="48"/>
      <c r="AY222" s="48"/>
      <c r="AZ222" s="48"/>
      <c r="BA222" s="68"/>
      <c r="BB222" s="48"/>
      <c r="BC222" s="48"/>
      <c r="BD222" s="68"/>
      <c r="BE222" s="48"/>
      <c r="BF222" s="48"/>
      <c r="BG222" s="88"/>
      <c r="BH222" s="98"/>
      <c r="BI222" s="98"/>
      <c r="BJ222" s="98"/>
      <c r="BK222" s="98"/>
      <c r="BL222" s="98"/>
      <c r="BM222" s="104"/>
      <c r="BN222" s="98"/>
      <c r="BO222" s="100"/>
      <c r="BP222" s="114"/>
    </row>
    <row r="223" spans="36:68" s="2" customFormat="1" hidden="1">
      <c r="AJ223" s="123"/>
      <c r="AK223" s="98"/>
      <c r="AL223" s="98"/>
      <c r="AM223" s="87"/>
      <c r="AN223" s="48"/>
      <c r="AO223" s="48"/>
      <c r="AP223" s="48"/>
      <c r="AQ223" s="48"/>
      <c r="AR223" s="66"/>
      <c r="AS223" s="66"/>
      <c r="AT223" s="48"/>
      <c r="AU223" s="66"/>
      <c r="AV223" s="48"/>
      <c r="AW223" s="67"/>
      <c r="AX223" s="48"/>
      <c r="AY223" s="48"/>
      <c r="AZ223" s="48"/>
      <c r="BA223" s="68"/>
      <c r="BB223" s="48"/>
      <c r="BC223" s="48"/>
      <c r="BD223" s="68"/>
      <c r="BE223" s="48"/>
      <c r="BF223" s="48"/>
      <c r="BG223" s="88"/>
      <c r="BH223" s="98"/>
      <c r="BI223" s="98"/>
      <c r="BJ223" s="98"/>
      <c r="BK223" s="98"/>
      <c r="BL223" s="98"/>
      <c r="BM223" s="104"/>
      <c r="BN223" s="98"/>
      <c r="BO223" s="100"/>
      <c r="BP223" s="114"/>
    </row>
    <row r="224" spans="36:68" s="2" customFormat="1" hidden="1">
      <c r="AJ224" s="123"/>
      <c r="AK224" s="98"/>
      <c r="AL224" s="98"/>
      <c r="AM224" s="87"/>
      <c r="AN224" s="48"/>
      <c r="AO224" s="48"/>
      <c r="AP224" s="48"/>
      <c r="AQ224" s="48"/>
      <c r="AR224" s="66"/>
      <c r="AS224" s="66"/>
      <c r="AT224" s="48"/>
      <c r="AU224" s="66"/>
      <c r="AV224" s="48"/>
      <c r="AW224" s="67"/>
      <c r="AX224" s="48"/>
      <c r="AY224" s="48"/>
      <c r="AZ224" s="48"/>
      <c r="BA224" s="68"/>
      <c r="BB224" s="48"/>
      <c r="BC224" s="48"/>
      <c r="BD224" s="68"/>
      <c r="BE224" s="48"/>
      <c r="BF224" s="48"/>
      <c r="BG224" s="88"/>
      <c r="BH224" s="98"/>
      <c r="BI224" s="98"/>
      <c r="BJ224" s="98"/>
      <c r="BK224" s="98"/>
      <c r="BL224" s="98"/>
      <c r="BM224" s="104"/>
      <c r="BN224" s="98"/>
      <c r="BO224" s="100"/>
      <c r="BP224" s="114"/>
    </row>
    <row r="225" spans="36:68" s="2" customFormat="1" hidden="1">
      <c r="AJ225" s="123"/>
      <c r="AK225" s="98"/>
      <c r="AL225" s="98"/>
      <c r="AM225" s="87"/>
      <c r="AN225" s="48"/>
      <c r="AO225" s="48"/>
      <c r="AP225" s="48"/>
      <c r="AQ225" s="48"/>
      <c r="AR225" s="66"/>
      <c r="AS225" s="66"/>
      <c r="AT225" s="48"/>
      <c r="AU225" s="66"/>
      <c r="AV225" s="48"/>
      <c r="AW225" s="67"/>
      <c r="AX225" s="48"/>
      <c r="AY225" s="48"/>
      <c r="AZ225" s="48"/>
      <c r="BA225" s="68"/>
      <c r="BB225" s="48"/>
      <c r="BC225" s="48"/>
      <c r="BD225" s="68"/>
      <c r="BE225" s="48"/>
      <c r="BF225" s="48"/>
      <c r="BG225" s="88"/>
      <c r="BH225" s="98"/>
      <c r="BI225" s="98"/>
      <c r="BJ225" s="98"/>
      <c r="BK225" s="98"/>
      <c r="BL225" s="98"/>
      <c r="BM225" s="104"/>
      <c r="BN225" s="98"/>
      <c r="BO225" s="100"/>
      <c r="BP225" s="114"/>
    </row>
    <row r="226" spans="36:68" s="2" customFormat="1" hidden="1">
      <c r="AJ226" s="123"/>
      <c r="AK226" s="98"/>
      <c r="AL226" s="98"/>
      <c r="AM226" s="87"/>
      <c r="AN226" s="48"/>
      <c r="AO226" s="48"/>
      <c r="AP226" s="48"/>
      <c r="AQ226" s="48"/>
      <c r="AR226" s="66"/>
      <c r="AS226" s="66"/>
      <c r="AT226" s="48"/>
      <c r="AU226" s="66"/>
      <c r="AV226" s="48"/>
      <c r="AW226" s="67"/>
      <c r="AX226" s="48"/>
      <c r="AY226" s="48"/>
      <c r="AZ226" s="48"/>
      <c r="BA226" s="68"/>
      <c r="BB226" s="48"/>
      <c r="BC226" s="48"/>
      <c r="BD226" s="68"/>
      <c r="BE226" s="48"/>
      <c r="BF226" s="48"/>
      <c r="BG226" s="88"/>
      <c r="BH226" s="98"/>
      <c r="BI226" s="98"/>
      <c r="BJ226" s="98"/>
      <c r="BK226" s="98"/>
      <c r="BL226" s="98"/>
      <c r="BM226" s="104"/>
      <c r="BN226" s="98"/>
      <c r="BO226" s="100"/>
      <c r="BP226" s="114"/>
    </row>
    <row r="227" spans="36:68" s="2" customFormat="1" hidden="1">
      <c r="AJ227" s="123"/>
      <c r="AK227" s="98"/>
      <c r="AL227" s="98"/>
      <c r="AM227" s="87"/>
      <c r="AN227" s="48"/>
      <c r="AO227" s="48"/>
      <c r="AP227" s="48"/>
      <c r="AQ227" s="48"/>
      <c r="AR227" s="66"/>
      <c r="AS227" s="66"/>
      <c r="AT227" s="48"/>
      <c r="AU227" s="66"/>
      <c r="AV227" s="48"/>
      <c r="AW227" s="67"/>
      <c r="AX227" s="48"/>
      <c r="AY227" s="48"/>
      <c r="AZ227" s="48"/>
      <c r="BA227" s="68"/>
      <c r="BB227" s="48"/>
      <c r="BC227" s="48"/>
      <c r="BD227" s="68"/>
      <c r="BE227" s="48"/>
      <c r="BF227" s="48"/>
      <c r="BG227" s="88"/>
      <c r="BH227" s="98"/>
      <c r="BI227" s="98"/>
      <c r="BJ227" s="98"/>
      <c r="BK227" s="98"/>
      <c r="BL227" s="98"/>
      <c r="BM227" s="104"/>
      <c r="BN227" s="98"/>
      <c r="BO227" s="100"/>
      <c r="BP227" s="114"/>
    </row>
    <row r="228" spans="36:68" s="2" customFormat="1" ht="15.75" hidden="1" thickBot="1">
      <c r="AJ228" s="123"/>
      <c r="AK228" s="98"/>
      <c r="AL228" s="98"/>
      <c r="AM228" s="89"/>
      <c r="AN228" s="90"/>
      <c r="AO228" s="90"/>
      <c r="AP228" s="90"/>
      <c r="AQ228" s="90"/>
      <c r="AR228" s="472"/>
      <c r="AS228" s="472"/>
      <c r="AT228" s="90"/>
      <c r="AU228" s="472"/>
      <c r="AV228" s="90"/>
      <c r="AW228" s="473"/>
      <c r="AX228" s="90"/>
      <c r="AY228" s="90"/>
      <c r="AZ228" s="90"/>
      <c r="BA228" s="474"/>
      <c r="BB228" s="90"/>
      <c r="BC228" s="90"/>
      <c r="BD228" s="474"/>
      <c r="BE228" s="90"/>
      <c r="BF228" s="90"/>
      <c r="BG228" s="94"/>
      <c r="BH228" s="98"/>
      <c r="BI228" s="98"/>
      <c r="BJ228" s="98"/>
      <c r="BK228" s="98"/>
      <c r="BL228" s="98"/>
      <c r="BM228" s="104"/>
      <c r="BN228" s="98"/>
      <c r="BO228" s="100"/>
      <c r="BP228" s="114"/>
    </row>
    <row r="229" spans="36:68" s="2" customFormat="1">
      <c r="AJ229" s="123"/>
      <c r="AK229" s="98"/>
      <c r="AL229" s="98"/>
      <c r="AM229" s="48"/>
      <c r="AN229" s="48"/>
      <c r="AO229" s="48"/>
      <c r="AP229" s="48"/>
      <c r="AQ229" s="48"/>
      <c r="AR229" s="66"/>
      <c r="AS229" s="66"/>
      <c r="AT229" s="48"/>
      <c r="AU229" s="66"/>
      <c r="AV229" s="48"/>
      <c r="AW229" s="67"/>
      <c r="AX229" s="48"/>
      <c r="AY229" s="48"/>
      <c r="AZ229" s="48"/>
      <c r="BA229" s="68"/>
      <c r="BB229" s="48"/>
      <c r="BC229" s="48"/>
      <c r="BD229" s="68"/>
      <c r="BE229" s="48"/>
      <c r="BF229" s="48"/>
      <c r="BG229" s="48"/>
      <c r="BH229" s="98"/>
      <c r="BI229" s="98"/>
      <c r="BJ229" s="98"/>
      <c r="BK229" s="98"/>
      <c r="BL229" s="98"/>
      <c r="BM229" s="104"/>
      <c r="BN229" s="98"/>
      <c r="BO229" s="100"/>
      <c r="BP229" s="114"/>
    </row>
    <row r="230" spans="36:68" s="2" customFormat="1">
      <c r="AJ230" s="123"/>
      <c r="AK230" s="98"/>
      <c r="AL230" s="98"/>
      <c r="AM230" s="98"/>
      <c r="AN230" s="98"/>
      <c r="AO230" s="98"/>
      <c r="AP230" s="98"/>
      <c r="AQ230" s="98"/>
      <c r="AR230" s="98"/>
      <c r="AS230" s="98"/>
      <c r="AT230" s="98"/>
      <c r="AU230" s="98"/>
      <c r="AV230" s="98"/>
      <c r="AW230" s="98"/>
      <c r="AX230" s="98"/>
      <c r="AY230" s="98"/>
      <c r="AZ230" s="98"/>
      <c r="BA230" s="98"/>
      <c r="BB230" s="98"/>
      <c r="BC230" s="98"/>
      <c r="BD230" s="98"/>
      <c r="BE230" s="98"/>
      <c r="BF230" s="98"/>
      <c r="BG230" s="98"/>
      <c r="BH230" s="98"/>
      <c r="BI230" s="98"/>
      <c r="BJ230" s="98"/>
      <c r="BK230" s="98"/>
      <c r="BL230" s="98"/>
      <c r="BM230" s="104"/>
      <c r="BN230" s="98"/>
      <c r="BO230" s="100"/>
      <c r="BP230" s="114"/>
    </row>
    <row r="231" spans="36:68" ht="15.75" thickBot="1">
      <c r="AK231" s="98"/>
      <c r="AL231" s="98"/>
      <c r="AM231" s="98"/>
      <c r="AN231" s="98"/>
      <c r="AO231" s="98"/>
      <c r="AP231" s="98"/>
      <c r="AQ231" s="98"/>
      <c r="AR231" s="98"/>
      <c r="AS231" s="98"/>
      <c r="AT231" s="98"/>
      <c r="AU231" s="98"/>
      <c r="AV231" s="98"/>
      <c r="AW231" s="98"/>
      <c r="AX231" s="98"/>
      <c r="AY231" s="98"/>
      <c r="AZ231" s="98"/>
      <c r="BA231" s="98"/>
      <c r="BB231" s="98"/>
      <c r="BC231" s="98"/>
      <c r="BD231" s="98"/>
      <c r="BE231" s="98"/>
      <c r="BF231" s="98"/>
      <c r="BG231" s="98"/>
      <c r="BH231" s="98"/>
      <c r="BI231" s="98"/>
      <c r="BJ231" s="98"/>
      <c r="BK231" s="98"/>
      <c r="BL231" s="98"/>
      <c r="BM231" s="104"/>
      <c r="BN231" s="98"/>
      <c r="BO231" s="100"/>
      <c r="BP231" s="117"/>
    </row>
    <row r="232" spans="36:68">
      <c r="AJ232" s="123">
        <v>5</v>
      </c>
      <c r="AK232" s="96"/>
      <c r="AL232" s="97"/>
      <c r="AM232" s="463"/>
      <c r="AN232" s="464"/>
      <c r="AO232" s="464"/>
      <c r="AP232" s="464"/>
      <c r="AQ232" s="465"/>
      <c r="AR232" s="466"/>
      <c r="AS232" s="464"/>
      <c r="AT232" s="465"/>
      <c r="AU232" s="467"/>
      <c r="AV232" s="468"/>
      <c r="AW232" s="468"/>
      <c r="AX232" s="468"/>
      <c r="AY232" s="468"/>
      <c r="AZ232" s="469"/>
      <c r="BA232" s="470"/>
      <c r="BB232" s="470"/>
      <c r="BC232" s="469"/>
      <c r="BD232" s="470"/>
      <c r="BE232" s="468"/>
      <c r="BF232" s="470"/>
      <c r="BG232" s="471"/>
      <c r="BH232" s="83"/>
      <c r="BI232" s="83"/>
      <c r="BJ232" s="84"/>
      <c r="BK232" s="85"/>
      <c r="BL232" s="86"/>
      <c r="BM232" s="104"/>
      <c r="BN232" s="98"/>
      <c r="BO232" s="103"/>
      <c r="BP232" s="117"/>
    </row>
    <row r="233" spans="36:68">
      <c r="AK233" s="87"/>
      <c r="AL233" s="48"/>
      <c r="AM233" s="87"/>
      <c r="AN233" s="48"/>
      <c r="AO233" s="48"/>
      <c r="AP233" s="48"/>
      <c r="AQ233" s="48"/>
      <c r="AR233" s="66"/>
      <c r="AS233" s="66"/>
      <c r="AT233" s="48"/>
      <c r="AU233" s="66"/>
      <c r="AV233" s="48"/>
      <c r="AW233" s="67"/>
      <c r="AX233" s="48"/>
      <c r="AY233" s="48"/>
      <c r="AZ233" s="48"/>
      <c r="BA233" s="68"/>
      <c r="BB233" s="48"/>
      <c r="BC233" s="48"/>
      <c r="BD233" s="68"/>
      <c r="BE233" s="48"/>
      <c r="BF233" s="48"/>
      <c r="BG233" s="88"/>
      <c r="BH233" s="44"/>
      <c r="BI233" s="45"/>
      <c r="BJ233" s="48"/>
      <c r="BK233" s="48"/>
      <c r="BL233" s="88"/>
      <c r="BM233" s="118" t="str">
        <f ca="1">IF(BJ233="","",IF(BM233="",NOW(),BM233))</f>
        <v/>
      </c>
      <c r="BN233" s="110"/>
      <c r="BO233" s="110" t="str">
        <f ca="1">IF(AND(BP329&gt;TIME(6,0,0),BP329&lt;TIME(9,0,0)),"NIGHT SHIFT","DAY SHIFT")</f>
        <v>DAY SHIFT</v>
      </c>
      <c r="BP233" s="117"/>
    </row>
    <row r="234" spans="36:68">
      <c r="AK234" s="87"/>
      <c r="AL234" s="48"/>
      <c r="AM234" s="87"/>
      <c r="AN234" s="48"/>
      <c r="AO234" s="48"/>
      <c r="AP234" s="48"/>
      <c r="AQ234" s="48"/>
      <c r="AR234" s="66"/>
      <c r="AS234" s="66"/>
      <c r="AT234" s="48"/>
      <c r="AU234" s="66"/>
      <c r="AV234" s="48"/>
      <c r="AW234" s="67"/>
      <c r="AX234" s="48"/>
      <c r="AY234" s="48"/>
      <c r="AZ234" s="48"/>
      <c r="BA234" s="68"/>
      <c r="BB234" s="48"/>
      <c r="BC234" s="48"/>
      <c r="BD234" s="68"/>
      <c r="BE234" s="48"/>
      <c r="BF234" s="48"/>
      <c r="BG234" s="88"/>
      <c r="BH234" s="48"/>
      <c r="BI234" s="49"/>
      <c r="BJ234" s="48"/>
      <c r="BK234" s="48"/>
      <c r="BL234" s="88"/>
      <c r="BM234" s="110"/>
      <c r="BN234" s="111" t="s">
        <v>4</v>
      </c>
      <c r="BO234" s="111" t="s">
        <v>58</v>
      </c>
      <c r="BP234" s="117"/>
    </row>
    <row r="235" spans="36:68">
      <c r="AK235" s="87"/>
      <c r="AL235" s="48"/>
      <c r="AM235" s="87"/>
      <c r="AN235" s="48"/>
      <c r="AO235" s="48"/>
      <c r="AP235" s="48"/>
      <c r="AQ235" s="48"/>
      <c r="AR235" s="66"/>
      <c r="AS235" s="66"/>
      <c r="AT235" s="48"/>
      <c r="AU235" s="66"/>
      <c r="AV235" s="48"/>
      <c r="AW235" s="67"/>
      <c r="AX235" s="48"/>
      <c r="AY235" s="48"/>
      <c r="AZ235" s="48"/>
      <c r="BA235" s="68"/>
      <c r="BB235" s="48"/>
      <c r="BC235" s="48"/>
      <c r="BD235" s="68"/>
      <c r="BE235" s="48"/>
      <c r="BF235" s="48"/>
      <c r="BG235" s="88"/>
      <c r="BH235" s="44"/>
      <c r="BI235" s="45"/>
      <c r="BJ235" s="48"/>
      <c r="BK235" s="48"/>
      <c r="BL235" s="88"/>
      <c r="BM235" s="110" t="s">
        <v>51</v>
      </c>
      <c r="BN235" s="109">
        <f>BL238-BL194</f>
        <v>0</v>
      </c>
      <c r="BO235" s="112" t="e">
        <f>(BN235)/BL194</f>
        <v>#DIV/0!</v>
      </c>
      <c r="BP235" s="117"/>
    </row>
    <row r="236" spans="36:68">
      <c r="AK236" s="87"/>
      <c r="AL236" s="48"/>
      <c r="AM236" s="87"/>
      <c r="AN236" s="48"/>
      <c r="AO236" s="48"/>
      <c r="AP236" s="48"/>
      <c r="AQ236" s="48"/>
      <c r="AR236" s="66"/>
      <c r="AS236" s="66"/>
      <c r="AT236" s="48"/>
      <c r="AU236" s="66"/>
      <c r="AV236" s="48"/>
      <c r="AW236" s="67"/>
      <c r="AX236" s="48"/>
      <c r="AY236" s="48"/>
      <c r="AZ236" s="48"/>
      <c r="BA236" s="68"/>
      <c r="BB236" s="48"/>
      <c r="BC236" s="48"/>
      <c r="BD236" s="68"/>
      <c r="BE236" s="48"/>
      <c r="BF236" s="48"/>
      <c r="BG236" s="88"/>
      <c r="BH236" s="48"/>
      <c r="BI236" s="438"/>
      <c r="BJ236" s="48"/>
      <c r="BK236" s="48"/>
      <c r="BL236" s="88"/>
      <c r="BM236" s="110"/>
      <c r="BN236" s="109"/>
      <c r="BO236" s="109"/>
      <c r="BP236" s="117"/>
    </row>
    <row r="237" spans="36:68">
      <c r="AK237" s="87"/>
      <c r="AL237" s="48"/>
      <c r="AM237" s="87"/>
      <c r="AN237" s="48"/>
      <c r="AO237" s="48"/>
      <c r="AP237" s="48"/>
      <c r="AQ237" s="48"/>
      <c r="AR237" s="66"/>
      <c r="AS237" s="66"/>
      <c r="AT237" s="48"/>
      <c r="AU237" s="66"/>
      <c r="AV237" s="48"/>
      <c r="AW237" s="67"/>
      <c r="AX237" s="48"/>
      <c r="AY237" s="48"/>
      <c r="AZ237" s="48"/>
      <c r="BA237" s="68"/>
      <c r="BB237" s="48"/>
      <c r="BC237" s="48"/>
      <c r="BD237" s="68"/>
      <c r="BE237" s="48"/>
      <c r="BF237" s="48"/>
      <c r="BG237" s="88"/>
      <c r="BH237" s="48"/>
      <c r="BI237" s="48"/>
      <c r="BJ237" s="48"/>
      <c r="BK237" s="48"/>
      <c r="BL237" s="88"/>
      <c r="BM237" s="110" t="s">
        <v>80</v>
      </c>
      <c r="BN237" s="113">
        <f>BI238-BI194</f>
        <v>0</v>
      </c>
      <c r="BO237" s="112" t="e">
        <f>(BN237)/BI194</f>
        <v>#DIV/0!</v>
      </c>
      <c r="BP237" s="117"/>
    </row>
    <row r="238" spans="36:68">
      <c r="AK238" s="87"/>
      <c r="AL238" s="48"/>
      <c r="AM238" s="491"/>
      <c r="AN238" s="48"/>
      <c r="AO238" s="48"/>
      <c r="AP238" s="48"/>
      <c r="AQ238" s="48"/>
      <c r="AR238" s="66"/>
      <c r="AS238" s="66"/>
      <c r="AT238" s="48"/>
      <c r="AU238" s="66"/>
      <c r="AV238" s="48"/>
      <c r="AW238" s="67"/>
      <c r="AX238" s="48"/>
      <c r="AY238" s="48"/>
      <c r="AZ238" s="48"/>
      <c r="BA238" s="68"/>
      <c r="BB238" s="48"/>
      <c r="BC238" s="48"/>
      <c r="BD238" s="68"/>
      <c r="BE238" s="48"/>
      <c r="BF238" s="48"/>
      <c r="BG238" s="88"/>
      <c r="BH238" s="79"/>
      <c r="BI238" s="81"/>
      <c r="BJ238" s="48"/>
      <c r="BK238" s="76"/>
      <c r="BL238" s="88"/>
      <c r="BM238" s="110"/>
      <c r="BN238" s="109"/>
      <c r="BO238" s="109"/>
      <c r="BP238" s="117"/>
    </row>
    <row r="239" spans="36:68">
      <c r="AK239" s="87"/>
      <c r="AL239" s="48"/>
      <c r="AM239" s="87"/>
      <c r="AN239" s="48"/>
      <c r="AO239" s="48"/>
      <c r="AP239" s="48"/>
      <c r="AQ239" s="48"/>
      <c r="AR239" s="66"/>
      <c r="AS239" s="66"/>
      <c r="AT239" s="48"/>
      <c r="AU239" s="66"/>
      <c r="AV239" s="48"/>
      <c r="AW239" s="67"/>
      <c r="AX239" s="48"/>
      <c r="AY239" s="48"/>
      <c r="AZ239" s="48"/>
      <c r="BA239" s="68"/>
      <c r="BB239" s="48"/>
      <c r="BC239" s="48"/>
      <c r="BD239" s="68"/>
      <c r="BE239" s="48"/>
      <c r="BF239" s="48"/>
      <c r="BG239" s="88"/>
      <c r="BH239" s="80"/>
      <c r="BI239" s="82"/>
      <c r="BJ239" s="48"/>
      <c r="BK239" s="76"/>
      <c r="BL239" s="88"/>
      <c r="BM239" s="110" t="s">
        <v>77</v>
      </c>
      <c r="BN239" s="113">
        <f>BI240-BI196</f>
        <v>0</v>
      </c>
      <c r="BO239" s="112" t="e">
        <f>(BN239)/BI196</f>
        <v>#DIV/0!</v>
      </c>
      <c r="BP239" s="117"/>
    </row>
    <row r="240" spans="36:68" ht="15.75" thickBot="1">
      <c r="AK240" s="89"/>
      <c r="AL240" s="90"/>
      <c r="AM240" s="89"/>
      <c r="AN240" s="90"/>
      <c r="AO240" s="90"/>
      <c r="AP240" s="90"/>
      <c r="AQ240" s="90"/>
      <c r="AR240" s="472"/>
      <c r="AS240" s="472"/>
      <c r="AT240" s="90"/>
      <c r="AU240" s="472"/>
      <c r="AV240" s="90"/>
      <c r="AW240" s="473"/>
      <c r="AX240" s="90"/>
      <c r="AY240" s="90"/>
      <c r="AZ240" s="90"/>
      <c r="BA240" s="474"/>
      <c r="BB240" s="90"/>
      <c r="BC240" s="90"/>
      <c r="BD240" s="474"/>
      <c r="BE240" s="90"/>
      <c r="BF240" s="90"/>
      <c r="BG240" s="94"/>
      <c r="BH240" s="91"/>
      <c r="BI240" s="92"/>
      <c r="BJ240" s="90"/>
      <c r="BK240" s="93"/>
      <c r="BL240" s="94"/>
      <c r="BM240" s="99"/>
      <c r="BN240" s="100"/>
      <c r="BO240" s="100"/>
      <c r="BP240" s="117"/>
    </row>
    <row r="241" spans="36:68" s="2" customFormat="1" hidden="1">
      <c r="AJ241" s="123"/>
      <c r="AK241" s="48"/>
      <c r="AL241" s="48"/>
      <c r="AM241" s="87"/>
      <c r="AN241" s="48"/>
      <c r="AO241" s="48"/>
      <c r="AP241" s="48"/>
      <c r="AQ241" s="48"/>
      <c r="AR241" s="66"/>
      <c r="AS241" s="66"/>
      <c r="AT241" s="48"/>
      <c r="AU241" s="66"/>
      <c r="AV241" s="48"/>
      <c r="AW241" s="67"/>
      <c r="AX241" s="48"/>
      <c r="AY241" s="48"/>
      <c r="AZ241" s="48"/>
      <c r="BA241" s="68"/>
      <c r="BB241" s="48"/>
      <c r="BC241" s="48"/>
      <c r="BD241" s="68"/>
      <c r="BE241" s="48"/>
      <c r="BF241" s="48"/>
      <c r="BG241" s="88"/>
      <c r="BH241" s="79"/>
      <c r="BI241" s="81"/>
      <c r="BJ241" s="48"/>
      <c r="BK241" s="76"/>
      <c r="BL241" s="48"/>
      <c r="BM241" s="99"/>
      <c r="BN241" s="100"/>
      <c r="BO241" s="100"/>
      <c r="BP241" s="117"/>
    </row>
    <row r="242" spans="36:68" s="2" customFormat="1" hidden="1">
      <c r="AJ242" s="123"/>
      <c r="AK242" s="48"/>
      <c r="AL242" s="48"/>
      <c r="AM242" s="87"/>
      <c r="AN242" s="48"/>
      <c r="AO242" s="48"/>
      <c r="AP242" s="48"/>
      <c r="AQ242" s="48"/>
      <c r="AR242" s="66"/>
      <c r="AS242" s="66"/>
      <c r="AT242" s="48"/>
      <c r="AU242" s="66"/>
      <c r="AV242" s="48"/>
      <c r="AW242" s="67"/>
      <c r="AX242" s="48"/>
      <c r="AY242" s="48"/>
      <c r="AZ242" s="48"/>
      <c r="BA242" s="68"/>
      <c r="BB242" s="48"/>
      <c r="BC242" s="48"/>
      <c r="BD242" s="68"/>
      <c r="BE242" s="48"/>
      <c r="BF242" s="48"/>
      <c r="BG242" s="88"/>
      <c r="BH242" s="79"/>
      <c r="BI242" s="81"/>
      <c r="BJ242" s="48"/>
      <c r="BK242" s="76"/>
      <c r="BL242" s="48"/>
      <c r="BM242" s="99"/>
      <c r="BN242" s="100"/>
      <c r="BO242" s="100"/>
      <c r="BP242" s="117"/>
    </row>
    <row r="243" spans="36:68" s="2" customFormat="1" hidden="1">
      <c r="AJ243" s="123"/>
      <c r="AK243" s="48"/>
      <c r="AL243" s="48"/>
      <c r="AM243" s="87"/>
      <c r="AN243" s="48"/>
      <c r="AO243" s="48"/>
      <c r="AP243" s="48"/>
      <c r="AQ243" s="48"/>
      <c r="AR243" s="66"/>
      <c r="AS243" s="66"/>
      <c r="AT243" s="48"/>
      <c r="AU243" s="66"/>
      <c r="AV243" s="48"/>
      <c r="AW243" s="67"/>
      <c r="AX243" s="48"/>
      <c r="AY243" s="48"/>
      <c r="AZ243" s="48"/>
      <c r="BA243" s="68"/>
      <c r="BB243" s="48"/>
      <c r="BC243" s="48"/>
      <c r="BD243" s="68"/>
      <c r="BE243" s="48"/>
      <c r="BF243" s="48"/>
      <c r="BG243" s="88"/>
      <c r="BH243" s="79"/>
      <c r="BI243" s="81"/>
      <c r="BJ243" s="48"/>
      <c r="BK243" s="76"/>
      <c r="BL243" s="48"/>
      <c r="BM243" s="99"/>
      <c r="BN243" s="100"/>
      <c r="BO243" s="100"/>
      <c r="BP243" s="117"/>
    </row>
    <row r="244" spans="36:68" s="2" customFormat="1" hidden="1">
      <c r="AJ244" s="123"/>
      <c r="AK244" s="48"/>
      <c r="AL244" s="48"/>
      <c r="AM244" s="87"/>
      <c r="AN244" s="48"/>
      <c r="AO244" s="48"/>
      <c r="AP244" s="48"/>
      <c r="AQ244" s="48"/>
      <c r="AR244" s="66"/>
      <c r="AS244" s="66"/>
      <c r="AT244" s="48"/>
      <c r="AU244" s="66"/>
      <c r="AV244" s="48"/>
      <c r="AW244" s="67"/>
      <c r="AX244" s="48"/>
      <c r="AY244" s="48"/>
      <c r="AZ244" s="48"/>
      <c r="BA244" s="68"/>
      <c r="BB244" s="48"/>
      <c r="BC244" s="48"/>
      <c r="BD244" s="68"/>
      <c r="BE244" s="48"/>
      <c r="BF244" s="48"/>
      <c r="BG244" s="88"/>
      <c r="BH244" s="79"/>
      <c r="BI244" s="81"/>
      <c r="BJ244" s="48"/>
      <c r="BK244" s="76"/>
      <c r="BL244" s="48"/>
      <c r="BM244" s="99"/>
      <c r="BN244" s="100"/>
      <c r="BO244" s="100"/>
      <c r="BP244" s="117"/>
    </row>
    <row r="245" spans="36:68" s="2" customFormat="1" hidden="1">
      <c r="AJ245" s="123"/>
      <c r="AK245" s="48"/>
      <c r="AL245" s="48"/>
      <c r="AM245" s="87"/>
      <c r="AN245" s="48"/>
      <c r="AO245" s="48"/>
      <c r="AP245" s="48"/>
      <c r="AQ245" s="48"/>
      <c r="AR245" s="66"/>
      <c r="AS245" s="66"/>
      <c r="AT245" s="48"/>
      <c r="AU245" s="66"/>
      <c r="AV245" s="48"/>
      <c r="AW245" s="67"/>
      <c r="AX245" s="48"/>
      <c r="AY245" s="48"/>
      <c r="AZ245" s="48"/>
      <c r="BA245" s="68"/>
      <c r="BB245" s="48"/>
      <c r="BC245" s="48"/>
      <c r="BD245" s="68"/>
      <c r="BE245" s="48"/>
      <c r="BF245" s="48"/>
      <c r="BG245" s="88"/>
      <c r="BH245" s="79"/>
      <c r="BI245" s="81"/>
      <c r="BJ245" s="48"/>
      <c r="BK245" s="76"/>
      <c r="BL245" s="48"/>
      <c r="BM245" s="99"/>
      <c r="BN245" s="100"/>
      <c r="BO245" s="100"/>
      <c r="BP245" s="117"/>
    </row>
    <row r="246" spans="36:68" s="2" customFormat="1" hidden="1">
      <c r="AJ246" s="123"/>
      <c r="AK246" s="48"/>
      <c r="AL246" s="48"/>
      <c r="AM246" s="87"/>
      <c r="AN246" s="48"/>
      <c r="AO246" s="48"/>
      <c r="AP246" s="48"/>
      <c r="AQ246" s="48"/>
      <c r="AR246" s="66"/>
      <c r="AS246" s="66"/>
      <c r="AT246" s="48"/>
      <c r="AU246" s="66"/>
      <c r="AV246" s="48"/>
      <c r="AW246" s="67"/>
      <c r="AX246" s="48"/>
      <c r="AY246" s="48"/>
      <c r="AZ246" s="48"/>
      <c r="BA246" s="68"/>
      <c r="BB246" s="48"/>
      <c r="BC246" s="48"/>
      <c r="BD246" s="68"/>
      <c r="BE246" s="48"/>
      <c r="BF246" s="48"/>
      <c r="BG246" s="88"/>
      <c r="BH246" s="79"/>
      <c r="BI246" s="81"/>
      <c r="BJ246" s="48"/>
      <c r="BK246" s="76"/>
      <c r="BL246" s="48"/>
      <c r="BM246" s="99"/>
      <c r="BN246" s="100"/>
      <c r="BO246" s="100"/>
      <c r="BP246" s="117"/>
    </row>
    <row r="247" spans="36:68" s="2" customFormat="1" hidden="1">
      <c r="AJ247" s="123"/>
      <c r="AK247" s="48"/>
      <c r="AL247" s="48"/>
      <c r="AM247" s="87"/>
      <c r="AN247" s="48"/>
      <c r="AO247" s="48"/>
      <c r="AP247" s="48"/>
      <c r="AQ247" s="48"/>
      <c r="AR247" s="66"/>
      <c r="AS247" s="66"/>
      <c r="AT247" s="48"/>
      <c r="AU247" s="66"/>
      <c r="AV247" s="48"/>
      <c r="AW247" s="67"/>
      <c r="AX247" s="48"/>
      <c r="AY247" s="48"/>
      <c r="AZ247" s="48"/>
      <c r="BA247" s="68"/>
      <c r="BB247" s="48"/>
      <c r="BC247" s="48"/>
      <c r="BD247" s="68"/>
      <c r="BE247" s="48"/>
      <c r="BF247" s="48"/>
      <c r="BG247" s="88"/>
      <c r="BH247" s="79"/>
      <c r="BI247" s="81"/>
      <c r="BJ247" s="48"/>
      <c r="BK247" s="76"/>
      <c r="BL247" s="48"/>
      <c r="BM247" s="99"/>
      <c r="BN247" s="100"/>
      <c r="BO247" s="100"/>
      <c r="BP247" s="117"/>
    </row>
    <row r="248" spans="36:68" s="2" customFormat="1" hidden="1">
      <c r="AJ248" s="123"/>
      <c r="AK248" s="48"/>
      <c r="AL248" s="48"/>
      <c r="AM248" s="87"/>
      <c r="AN248" s="48"/>
      <c r="AO248" s="48"/>
      <c r="AP248" s="48"/>
      <c r="AQ248" s="48"/>
      <c r="AR248" s="66"/>
      <c r="AS248" s="66"/>
      <c r="AT248" s="48"/>
      <c r="AU248" s="66"/>
      <c r="AV248" s="48"/>
      <c r="AW248" s="67"/>
      <c r="AX248" s="48"/>
      <c r="AY248" s="48"/>
      <c r="AZ248" s="48"/>
      <c r="BA248" s="68"/>
      <c r="BB248" s="48"/>
      <c r="BC248" s="48"/>
      <c r="BD248" s="68"/>
      <c r="BE248" s="48"/>
      <c r="BF248" s="48"/>
      <c r="BG248" s="88"/>
      <c r="BH248" s="79"/>
      <c r="BI248" s="81"/>
      <c r="BJ248" s="48"/>
      <c r="BK248" s="76"/>
      <c r="BL248" s="48"/>
      <c r="BM248" s="99"/>
      <c r="BN248" s="100"/>
      <c r="BO248" s="100"/>
      <c r="BP248" s="117"/>
    </row>
    <row r="249" spans="36:68" s="2" customFormat="1" hidden="1">
      <c r="AJ249" s="123"/>
      <c r="AK249" s="48"/>
      <c r="AL249" s="48"/>
      <c r="AM249" s="87"/>
      <c r="AN249" s="48"/>
      <c r="AO249" s="48"/>
      <c r="AP249" s="48"/>
      <c r="AQ249" s="48"/>
      <c r="AR249" s="66"/>
      <c r="AS249" s="66"/>
      <c r="AT249" s="48"/>
      <c r="AU249" s="66"/>
      <c r="AV249" s="48"/>
      <c r="AW249" s="67"/>
      <c r="AX249" s="48"/>
      <c r="AY249" s="48"/>
      <c r="AZ249" s="48"/>
      <c r="BA249" s="68"/>
      <c r="BB249" s="48"/>
      <c r="BC249" s="48"/>
      <c r="BD249" s="68"/>
      <c r="BE249" s="48"/>
      <c r="BF249" s="48"/>
      <c r="BG249" s="88"/>
      <c r="BH249" s="79"/>
      <c r="BI249" s="81"/>
      <c r="BJ249" s="48"/>
      <c r="BK249" s="76"/>
      <c r="BL249" s="48"/>
      <c r="BM249" s="99"/>
      <c r="BN249" s="100"/>
      <c r="BO249" s="100"/>
      <c r="BP249" s="117"/>
    </row>
    <row r="250" spans="36:68" s="2" customFormat="1" hidden="1">
      <c r="AJ250" s="123"/>
      <c r="AK250" s="48"/>
      <c r="AL250" s="48"/>
      <c r="AM250" s="87"/>
      <c r="AN250" s="48"/>
      <c r="AO250" s="48"/>
      <c r="AP250" s="48"/>
      <c r="AQ250" s="48"/>
      <c r="AR250" s="66"/>
      <c r="AS250" s="66"/>
      <c r="AT250" s="48"/>
      <c r="AU250" s="66"/>
      <c r="AV250" s="48"/>
      <c r="AW250" s="67"/>
      <c r="AX250" s="48"/>
      <c r="AY250" s="48"/>
      <c r="AZ250" s="48"/>
      <c r="BA250" s="68"/>
      <c r="BB250" s="48"/>
      <c r="BC250" s="48"/>
      <c r="BD250" s="68"/>
      <c r="BE250" s="48"/>
      <c r="BF250" s="48"/>
      <c r="BG250" s="88"/>
      <c r="BH250" s="79"/>
      <c r="BI250" s="81"/>
      <c r="BJ250" s="48"/>
      <c r="BK250" s="76"/>
      <c r="BL250" s="48"/>
      <c r="BM250" s="99"/>
      <c r="BN250" s="100"/>
      <c r="BO250" s="100"/>
      <c r="BP250" s="117"/>
    </row>
    <row r="251" spans="36:68" s="2" customFormat="1" hidden="1">
      <c r="AJ251" s="123"/>
      <c r="AK251" s="48"/>
      <c r="AL251" s="48"/>
      <c r="AM251" s="87"/>
      <c r="AN251" s="48"/>
      <c r="AO251" s="48"/>
      <c r="AP251" s="48"/>
      <c r="AQ251" s="48"/>
      <c r="AR251" s="66"/>
      <c r="AS251" s="66"/>
      <c r="AT251" s="48"/>
      <c r="AU251" s="66"/>
      <c r="AV251" s="48"/>
      <c r="AW251" s="67"/>
      <c r="AX251" s="48"/>
      <c r="AY251" s="48"/>
      <c r="AZ251" s="48"/>
      <c r="BA251" s="68"/>
      <c r="BB251" s="48"/>
      <c r="BC251" s="48"/>
      <c r="BD251" s="68"/>
      <c r="BE251" s="48"/>
      <c r="BF251" s="48"/>
      <c r="BG251" s="88"/>
      <c r="BH251" s="79"/>
      <c r="BI251" s="81"/>
      <c r="BJ251" s="48"/>
      <c r="BK251" s="76"/>
      <c r="BL251" s="48"/>
      <c r="BM251" s="99"/>
      <c r="BN251" s="100"/>
      <c r="BO251" s="100"/>
      <c r="BP251" s="117"/>
    </row>
    <row r="252" spans="36:68" s="2" customFormat="1" hidden="1">
      <c r="AJ252" s="123"/>
      <c r="AK252" s="48"/>
      <c r="AL252" s="48"/>
      <c r="AM252" s="87"/>
      <c r="AN252" s="48"/>
      <c r="AO252" s="48"/>
      <c r="AP252" s="48"/>
      <c r="AQ252" s="48"/>
      <c r="AR252" s="66"/>
      <c r="AS252" s="66"/>
      <c r="AT252" s="48"/>
      <c r="AU252" s="66"/>
      <c r="AV252" s="48"/>
      <c r="AW252" s="67"/>
      <c r="AX252" s="48"/>
      <c r="AY252" s="48"/>
      <c r="AZ252" s="48"/>
      <c r="BA252" s="68"/>
      <c r="BB252" s="48"/>
      <c r="BC252" s="48"/>
      <c r="BD252" s="68"/>
      <c r="BE252" s="48"/>
      <c r="BF252" s="48"/>
      <c r="BG252" s="88"/>
      <c r="BH252" s="79"/>
      <c r="BI252" s="81"/>
      <c r="BJ252" s="48"/>
      <c r="BK252" s="76"/>
      <c r="BL252" s="48"/>
      <c r="BM252" s="99"/>
      <c r="BN252" s="100"/>
      <c r="BO252" s="100"/>
      <c r="BP252" s="117"/>
    </row>
    <row r="253" spans="36:68" s="2" customFormat="1" hidden="1">
      <c r="AJ253" s="123"/>
      <c r="AK253" s="48"/>
      <c r="AL253" s="48"/>
      <c r="AM253" s="87"/>
      <c r="AN253" s="48"/>
      <c r="AO253" s="48"/>
      <c r="AP253" s="48"/>
      <c r="AQ253" s="48"/>
      <c r="AR253" s="66"/>
      <c r="AS253" s="66"/>
      <c r="AT253" s="48"/>
      <c r="AU253" s="66"/>
      <c r="AV253" s="48"/>
      <c r="AW253" s="67"/>
      <c r="AX253" s="48"/>
      <c r="AY253" s="48"/>
      <c r="AZ253" s="48"/>
      <c r="BA253" s="68"/>
      <c r="BB253" s="48"/>
      <c r="BC253" s="48"/>
      <c r="BD253" s="68"/>
      <c r="BE253" s="48"/>
      <c r="BF253" s="48"/>
      <c r="BG253" s="88"/>
      <c r="BH253" s="79"/>
      <c r="BI253" s="81"/>
      <c r="BJ253" s="48"/>
      <c r="BK253" s="76"/>
      <c r="BL253" s="48"/>
      <c r="BM253" s="99"/>
      <c r="BN253" s="100"/>
      <c r="BO253" s="100"/>
      <c r="BP253" s="117"/>
    </row>
    <row r="254" spans="36:68" s="2" customFormat="1" hidden="1">
      <c r="AJ254" s="123"/>
      <c r="AK254" s="48"/>
      <c r="AL254" s="48"/>
      <c r="AM254" s="87"/>
      <c r="AN254" s="48"/>
      <c r="AO254" s="48"/>
      <c r="AP254" s="48"/>
      <c r="AQ254" s="48"/>
      <c r="AR254" s="66"/>
      <c r="AS254" s="66"/>
      <c r="AT254" s="48"/>
      <c r="AU254" s="66"/>
      <c r="AV254" s="48"/>
      <c r="AW254" s="67"/>
      <c r="AX254" s="48"/>
      <c r="AY254" s="48"/>
      <c r="AZ254" s="48"/>
      <c r="BA254" s="68"/>
      <c r="BB254" s="48"/>
      <c r="BC254" s="48"/>
      <c r="BD254" s="68"/>
      <c r="BE254" s="48"/>
      <c r="BF254" s="48"/>
      <c r="BG254" s="88"/>
      <c r="BH254" s="79"/>
      <c r="BI254" s="81"/>
      <c r="BJ254" s="48"/>
      <c r="BK254" s="76"/>
      <c r="BL254" s="48"/>
      <c r="BM254" s="99"/>
      <c r="BN254" s="100"/>
      <c r="BO254" s="100"/>
      <c r="BP254" s="117"/>
    </row>
    <row r="255" spans="36:68" s="2" customFormat="1" hidden="1">
      <c r="AJ255" s="123"/>
      <c r="AK255" s="48"/>
      <c r="AL255" s="48"/>
      <c r="AM255" s="87"/>
      <c r="AN255" s="48"/>
      <c r="AO255" s="48"/>
      <c r="AP255" s="48"/>
      <c r="AQ255" s="48"/>
      <c r="AR255" s="66"/>
      <c r="AS255" s="66"/>
      <c r="AT255" s="48"/>
      <c r="AU255" s="66"/>
      <c r="AV255" s="48"/>
      <c r="AW255" s="67"/>
      <c r="AX255" s="48"/>
      <c r="AY255" s="48"/>
      <c r="AZ255" s="48"/>
      <c r="BA255" s="68"/>
      <c r="BB255" s="48"/>
      <c r="BC255" s="48"/>
      <c r="BD255" s="68"/>
      <c r="BE255" s="48"/>
      <c r="BF255" s="48"/>
      <c r="BG255" s="88"/>
      <c r="BH255" s="79"/>
      <c r="BI255" s="81"/>
      <c r="BJ255" s="48"/>
      <c r="BK255" s="76"/>
      <c r="BL255" s="48"/>
      <c r="BM255" s="99"/>
      <c r="BN255" s="100"/>
      <c r="BO255" s="100"/>
      <c r="BP255" s="117"/>
    </row>
    <row r="256" spans="36:68" s="2" customFormat="1" hidden="1">
      <c r="AJ256" s="123"/>
      <c r="AK256" s="48"/>
      <c r="AL256" s="48"/>
      <c r="AM256" s="87"/>
      <c r="AN256" s="48"/>
      <c r="AO256" s="48"/>
      <c r="AP256" s="48"/>
      <c r="AQ256" s="48"/>
      <c r="AR256" s="66"/>
      <c r="AS256" s="66"/>
      <c r="AT256" s="48"/>
      <c r="AU256" s="66"/>
      <c r="AV256" s="48"/>
      <c r="AW256" s="67"/>
      <c r="AX256" s="48"/>
      <c r="AY256" s="48"/>
      <c r="AZ256" s="48"/>
      <c r="BA256" s="68"/>
      <c r="BB256" s="48"/>
      <c r="BC256" s="48"/>
      <c r="BD256" s="68"/>
      <c r="BE256" s="48"/>
      <c r="BF256" s="48"/>
      <c r="BG256" s="88"/>
      <c r="BH256" s="79"/>
      <c r="BI256" s="81"/>
      <c r="BJ256" s="48"/>
      <c r="BK256" s="76"/>
      <c r="BL256" s="48"/>
      <c r="BM256" s="99"/>
      <c r="BN256" s="100"/>
      <c r="BO256" s="100"/>
      <c r="BP256" s="117"/>
    </row>
    <row r="257" spans="36:68" s="2" customFormat="1" hidden="1">
      <c r="AJ257" s="123"/>
      <c r="AK257" s="48"/>
      <c r="AL257" s="48"/>
      <c r="AM257" s="87"/>
      <c r="AN257" s="48"/>
      <c r="AO257" s="48"/>
      <c r="AP257" s="48"/>
      <c r="AQ257" s="48"/>
      <c r="AR257" s="66"/>
      <c r="AS257" s="66"/>
      <c r="AT257" s="48"/>
      <c r="AU257" s="66"/>
      <c r="AV257" s="48"/>
      <c r="AW257" s="67"/>
      <c r="AX257" s="48"/>
      <c r="AY257" s="48"/>
      <c r="AZ257" s="48"/>
      <c r="BA257" s="68"/>
      <c r="BB257" s="48"/>
      <c r="BC257" s="48"/>
      <c r="BD257" s="68"/>
      <c r="BE257" s="48"/>
      <c r="BF257" s="48"/>
      <c r="BG257" s="88"/>
      <c r="BH257" s="79"/>
      <c r="BI257" s="81"/>
      <c r="BJ257" s="48"/>
      <c r="BK257" s="76"/>
      <c r="BL257" s="48"/>
      <c r="BM257" s="99"/>
      <c r="BN257" s="100"/>
      <c r="BO257" s="100"/>
      <c r="BP257" s="117"/>
    </row>
    <row r="258" spans="36:68" s="2" customFormat="1" hidden="1">
      <c r="AJ258" s="123"/>
      <c r="AK258" s="48"/>
      <c r="AL258" s="48"/>
      <c r="AM258" s="87"/>
      <c r="AN258" s="48"/>
      <c r="AO258" s="48"/>
      <c r="AP258" s="48"/>
      <c r="AQ258" s="48"/>
      <c r="AR258" s="66"/>
      <c r="AS258" s="66"/>
      <c r="AT258" s="48"/>
      <c r="AU258" s="66"/>
      <c r="AV258" s="48"/>
      <c r="AW258" s="67"/>
      <c r="AX258" s="48"/>
      <c r="AY258" s="48"/>
      <c r="AZ258" s="48"/>
      <c r="BA258" s="68"/>
      <c r="BB258" s="48"/>
      <c r="BC258" s="48"/>
      <c r="BD258" s="68"/>
      <c r="BE258" s="48"/>
      <c r="BF258" s="48"/>
      <c r="BG258" s="88"/>
      <c r="BH258" s="79"/>
      <c r="BI258" s="81"/>
      <c r="BJ258" s="48"/>
      <c r="BK258" s="76"/>
      <c r="BL258" s="48"/>
      <c r="BM258" s="99"/>
      <c r="BN258" s="100"/>
      <c r="BO258" s="100"/>
      <c r="BP258" s="117"/>
    </row>
    <row r="259" spans="36:68" s="2" customFormat="1" hidden="1">
      <c r="AJ259" s="123"/>
      <c r="AK259" s="48"/>
      <c r="AL259" s="48"/>
      <c r="AM259" s="87"/>
      <c r="AN259" s="48"/>
      <c r="AO259" s="48"/>
      <c r="AP259" s="48"/>
      <c r="AQ259" s="48"/>
      <c r="AR259" s="66"/>
      <c r="AS259" s="66"/>
      <c r="AT259" s="48"/>
      <c r="AU259" s="66"/>
      <c r="AV259" s="48"/>
      <c r="AW259" s="67"/>
      <c r="AX259" s="48"/>
      <c r="AY259" s="48"/>
      <c r="AZ259" s="48"/>
      <c r="BA259" s="68"/>
      <c r="BB259" s="48"/>
      <c r="BC259" s="48"/>
      <c r="BD259" s="68"/>
      <c r="BE259" s="48"/>
      <c r="BF259" s="48"/>
      <c r="BG259" s="88"/>
      <c r="BH259" s="79"/>
      <c r="BI259" s="81"/>
      <c r="BJ259" s="48"/>
      <c r="BK259" s="76"/>
      <c r="BL259" s="48"/>
      <c r="BM259" s="99"/>
      <c r="BN259" s="100"/>
      <c r="BO259" s="100"/>
      <c r="BP259" s="117"/>
    </row>
    <row r="260" spans="36:68" s="2" customFormat="1" hidden="1">
      <c r="AJ260" s="123"/>
      <c r="AK260" s="48"/>
      <c r="AL260" s="48"/>
      <c r="AM260" s="87"/>
      <c r="AN260" s="48"/>
      <c r="AO260" s="48"/>
      <c r="AP260" s="48"/>
      <c r="AQ260" s="48"/>
      <c r="AR260" s="66"/>
      <c r="AS260" s="66"/>
      <c r="AT260" s="48"/>
      <c r="AU260" s="66"/>
      <c r="AV260" s="48"/>
      <c r="AW260" s="67"/>
      <c r="AX260" s="48"/>
      <c r="AY260" s="48"/>
      <c r="AZ260" s="48"/>
      <c r="BA260" s="68"/>
      <c r="BB260" s="48"/>
      <c r="BC260" s="48"/>
      <c r="BD260" s="68"/>
      <c r="BE260" s="48"/>
      <c r="BF260" s="48"/>
      <c r="BG260" s="88"/>
      <c r="BH260" s="79"/>
      <c r="BI260" s="81"/>
      <c r="BJ260" s="48"/>
      <c r="BK260" s="76"/>
      <c r="BL260" s="48"/>
      <c r="BM260" s="99"/>
      <c r="BN260" s="100"/>
      <c r="BO260" s="100"/>
      <c r="BP260" s="117"/>
    </row>
    <row r="261" spans="36:68" s="2" customFormat="1" hidden="1">
      <c r="AJ261" s="123"/>
      <c r="AK261" s="48"/>
      <c r="AL261" s="48"/>
      <c r="AM261" s="87"/>
      <c r="AN261" s="48"/>
      <c r="AO261" s="48"/>
      <c r="AP261" s="48"/>
      <c r="AQ261" s="48"/>
      <c r="AR261" s="66"/>
      <c r="AS261" s="66"/>
      <c r="AT261" s="48"/>
      <c r="AU261" s="66"/>
      <c r="AV261" s="48"/>
      <c r="AW261" s="67"/>
      <c r="AX261" s="48"/>
      <c r="AY261" s="48"/>
      <c r="AZ261" s="48"/>
      <c r="BA261" s="68"/>
      <c r="BB261" s="48"/>
      <c r="BC261" s="48"/>
      <c r="BD261" s="68"/>
      <c r="BE261" s="48"/>
      <c r="BF261" s="48"/>
      <c r="BG261" s="88"/>
      <c r="BH261" s="79"/>
      <c r="BI261" s="81"/>
      <c r="BJ261" s="48"/>
      <c r="BK261" s="76"/>
      <c r="BL261" s="48"/>
      <c r="BM261" s="99"/>
      <c r="BN261" s="100"/>
      <c r="BO261" s="100"/>
      <c r="BP261" s="117"/>
    </row>
    <row r="262" spans="36:68" s="2" customFormat="1" hidden="1">
      <c r="AJ262" s="123"/>
      <c r="AK262" s="48"/>
      <c r="AL262" s="48"/>
      <c r="AM262" s="87"/>
      <c r="AN262" s="48"/>
      <c r="AO262" s="48"/>
      <c r="AP262" s="48"/>
      <c r="AQ262" s="48"/>
      <c r="AR262" s="66"/>
      <c r="AS262" s="66"/>
      <c r="AT262" s="48"/>
      <c r="AU262" s="66"/>
      <c r="AV262" s="48"/>
      <c r="AW262" s="67"/>
      <c r="AX262" s="48"/>
      <c r="AY262" s="48"/>
      <c r="AZ262" s="48"/>
      <c r="BA262" s="68"/>
      <c r="BB262" s="48"/>
      <c r="BC262" s="48"/>
      <c r="BD262" s="68"/>
      <c r="BE262" s="48"/>
      <c r="BF262" s="48"/>
      <c r="BG262" s="88"/>
      <c r="BH262" s="79"/>
      <c r="BI262" s="81"/>
      <c r="BJ262" s="48"/>
      <c r="BK262" s="76"/>
      <c r="BL262" s="48"/>
      <c r="BM262" s="99"/>
      <c r="BN262" s="100"/>
      <c r="BO262" s="100"/>
      <c r="BP262" s="117"/>
    </row>
    <row r="263" spans="36:68" s="2" customFormat="1" hidden="1">
      <c r="AJ263" s="123"/>
      <c r="AK263" s="48"/>
      <c r="AL263" s="48"/>
      <c r="AM263" s="87"/>
      <c r="AN263" s="48"/>
      <c r="AO263" s="48"/>
      <c r="AP263" s="48"/>
      <c r="AQ263" s="48"/>
      <c r="AR263" s="66"/>
      <c r="AS263" s="66"/>
      <c r="AT263" s="48"/>
      <c r="AU263" s="66"/>
      <c r="AV263" s="48"/>
      <c r="AW263" s="67"/>
      <c r="AX263" s="48"/>
      <c r="AY263" s="48"/>
      <c r="AZ263" s="48"/>
      <c r="BA263" s="68"/>
      <c r="BB263" s="48"/>
      <c r="BC263" s="48"/>
      <c r="BD263" s="68"/>
      <c r="BE263" s="48"/>
      <c r="BF263" s="48"/>
      <c r="BG263" s="88"/>
      <c r="BH263" s="79"/>
      <c r="BI263" s="81"/>
      <c r="BJ263" s="48"/>
      <c r="BK263" s="76"/>
      <c r="BL263" s="48"/>
      <c r="BM263" s="99"/>
      <c r="BN263" s="100"/>
      <c r="BO263" s="100"/>
      <c r="BP263" s="117"/>
    </row>
    <row r="264" spans="36:68" s="2" customFormat="1" hidden="1">
      <c r="AJ264" s="123"/>
      <c r="AK264" s="48"/>
      <c r="AL264" s="48"/>
      <c r="AM264" s="87"/>
      <c r="AN264" s="48"/>
      <c r="AO264" s="48"/>
      <c r="AP264" s="48"/>
      <c r="AQ264" s="48"/>
      <c r="AR264" s="66"/>
      <c r="AS264" s="66"/>
      <c r="AT264" s="48"/>
      <c r="AU264" s="66"/>
      <c r="AV264" s="48"/>
      <c r="AW264" s="67"/>
      <c r="AX264" s="48"/>
      <c r="AY264" s="48"/>
      <c r="AZ264" s="48"/>
      <c r="BA264" s="68"/>
      <c r="BB264" s="48"/>
      <c r="BC264" s="48"/>
      <c r="BD264" s="68"/>
      <c r="BE264" s="48"/>
      <c r="BF264" s="48"/>
      <c r="BG264" s="88"/>
      <c r="BH264" s="79"/>
      <c r="BI264" s="81"/>
      <c r="BJ264" s="48"/>
      <c r="BK264" s="76"/>
      <c r="BL264" s="48"/>
      <c r="BM264" s="99"/>
      <c r="BN264" s="100"/>
      <c r="BO264" s="100"/>
      <c r="BP264" s="117"/>
    </row>
    <row r="265" spans="36:68" s="2" customFormat="1" hidden="1">
      <c r="AJ265" s="123"/>
      <c r="AK265" s="48"/>
      <c r="AL265" s="48"/>
      <c r="AM265" s="87"/>
      <c r="AN265" s="48"/>
      <c r="AO265" s="48"/>
      <c r="AP265" s="48"/>
      <c r="AQ265" s="48"/>
      <c r="AR265" s="66"/>
      <c r="AS265" s="66"/>
      <c r="AT265" s="48"/>
      <c r="AU265" s="66"/>
      <c r="AV265" s="48"/>
      <c r="AW265" s="67"/>
      <c r="AX265" s="48"/>
      <c r="AY265" s="48"/>
      <c r="AZ265" s="48"/>
      <c r="BA265" s="68"/>
      <c r="BB265" s="48"/>
      <c r="BC265" s="48"/>
      <c r="BD265" s="68"/>
      <c r="BE265" s="48"/>
      <c r="BF265" s="48"/>
      <c r="BG265" s="88"/>
      <c r="BH265" s="79"/>
      <c r="BI265" s="81"/>
      <c r="BJ265" s="48"/>
      <c r="BK265" s="76"/>
      <c r="BL265" s="48"/>
      <c r="BM265" s="99"/>
      <c r="BN265" s="100"/>
      <c r="BO265" s="100"/>
      <c r="BP265" s="117"/>
    </row>
    <row r="266" spans="36:68" s="2" customFormat="1" hidden="1">
      <c r="AJ266" s="123"/>
      <c r="AK266" s="48"/>
      <c r="AL266" s="48"/>
      <c r="AM266" s="87"/>
      <c r="AN266" s="48"/>
      <c r="AO266" s="48"/>
      <c r="AP266" s="48"/>
      <c r="AQ266" s="48"/>
      <c r="AR266" s="66"/>
      <c r="AS266" s="66"/>
      <c r="AT266" s="48"/>
      <c r="AU266" s="66"/>
      <c r="AV266" s="48"/>
      <c r="AW266" s="67"/>
      <c r="AX266" s="48"/>
      <c r="AY266" s="48"/>
      <c r="AZ266" s="48"/>
      <c r="BA266" s="68"/>
      <c r="BB266" s="48"/>
      <c r="BC266" s="48"/>
      <c r="BD266" s="68"/>
      <c r="BE266" s="48"/>
      <c r="BF266" s="48"/>
      <c r="BG266" s="88"/>
      <c r="BH266" s="79"/>
      <c r="BI266" s="81"/>
      <c r="BJ266" s="48"/>
      <c r="BK266" s="76"/>
      <c r="BL266" s="48"/>
      <c r="BM266" s="99"/>
      <c r="BN266" s="100"/>
      <c r="BO266" s="100"/>
      <c r="BP266" s="117"/>
    </row>
    <row r="267" spans="36:68" s="2" customFormat="1" hidden="1">
      <c r="AJ267" s="123"/>
      <c r="AK267" s="48"/>
      <c r="AL267" s="48"/>
      <c r="AM267" s="87"/>
      <c r="AN267" s="48"/>
      <c r="AO267" s="48"/>
      <c r="AP267" s="48"/>
      <c r="AQ267" s="48"/>
      <c r="AR267" s="66"/>
      <c r="AS267" s="66"/>
      <c r="AT267" s="48"/>
      <c r="AU267" s="66"/>
      <c r="AV267" s="48"/>
      <c r="AW267" s="67"/>
      <c r="AX267" s="48"/>
      <c r="AY267" s="48"/>
      <c r="AZ267" s="48"/>
      <c r="BA267" s="68"/>
      <c r="BB267" s="48"/>
      <c r="BC267" s="48"/>
      <c r="BD267" s="68"/>
      <c r="BE267" s="48"/>
      <c r="BF267" s="48"/>
      <c r="BG267" s="88"/>
      <c r="BH267" s="79"/>
      <c r="BI267" s="81"/>
      <c r="BJ267" s="48"/>
      <c r="BK267" s="76"/>
      <c r="BL267" s="48"/>
      <c r="BM267" s="99"/>
      <c r="BN267" s="100"/>
      <c r="BO267" s="100"/>
      <c r="BP267" s="117"/>
    </row>
    <row r="268" spans="36:68" s="2" customFormat="1" hidden="1">
      <c r="AJ268" s="123"/>
      <c r="AK268" s="48"/>
      <c r="AL268" s="48"/>
      <c r="AM268" s="87"/>
      <c r="AN268" s="48"/>
      <c r="AO268" s="48"/>
      <c r="AP268" s="48"/>
      <c r="AQ268" s="48"/>
      <c r="AR268" s="66"/>
      <c r="AS268" s="66"/>
      <c r="AT268" s="48"/>
      <c r="AU268" s="66"/>
      <c r="AV268" s="48"/>
      <c r="AW268" s="67"/>
      <c r="AX268" s="48"/>
      <c r="AY268" s="48"/>
      <c r="AZ268" s="48"/>
      <c r="BA268" s="68"/>
      <c r="BB268" s="48"/>
      <c r="BC268" s="48"/>
      <c r="BD268" s="68"/>
      <c r="BE268" s="48"/>
      <c r="BF268" s="48"/>
      <c r="BG268" s="88"/>
      <c r="BH268" s="79"/>
      <c r="BI268" s="81"/>
      <c r="BJ268" s="48"/>
      <c r="BK268" s="76"/>
      <c r="BL268" s="48"/>
      <c r="BM268" s="99"/>
      <c r="BN268" s="100"/>
      <c r="BO268" s="100"/>
      <c r="BP268" s="117"/>
    </row>
    <row r="269" spans="36:68" s="2" customFormat="1" hidden="1">
      <c r="AJ269" s="123"/>
      <c r="AK269" s="48"/>
      <c r="AL269" s="48"/>
      <c r="AM269" s="87"/>
      <c r="AN269" s="48"/>
      <c r="AO269" s="48"/>
      <c r="AP269" s="48"/>
      <c r="AQ269" s="48"/>
      <c r="AR269" s="66"/>
      <c r="AS269" s="66"/>
      <c r="AT269" s="48"/>
      <c r="AU269" s="66"/>
      <c r="AV269" s="48"/>
      <c r="AW269" s="67"/>
      <c r="AX269" s="48"/>
      <c r="AY269" s="48"/>
      <c r="AZ269" s="48"/>
      <c r="BA269" s="68"/>
      <c r="BB269" s="48"/>
      <c r="BC269" s="48"/>
      <c r="BD269" s="68"/>
      <c r="BE269" s="48"/>
      <c r="BF269" s="48"/>
      <c r="BG269" s="88"/>
      <c r="BH269" s="79"/>
      <c r="BI269" s="81"/>
      <c r="BJ269" s="48"/>
      <c r="BK269" s="76"/>
      <c r="BL269" s="48"/>
      <c r="BM269" s="99"/>
      <c r="BN269" s="100"/>
      <c r="BO269" s="100"/>
      <c r="BP269" s="117"/>
    </row>
    <row r="270" spans="36:68" s="2" customFormat="1" hidden="1">
      <c r="AJ270" s="123"/>
      <c r="AK270" s="48"/>
      <c r="AL270" s="48"/>
      <c r="AM270" s="87"/>
      <c r="AN270" s="48"/>
      <c r="AO270" s="48"/>
      <c r="AP270" s="48"/>
      <c r="AQ270" s="48"/>
      <c r="AR270" s="66"/>
      <c r="AS270" s="66"/>
      <c r="AT270" s="48"/>
      <c r="AU270" s="66"/>
      <c r="AV270" s="48"/>
      <c r="AW270" s="67"/>
      <c r="AX270" s="48"/>
      <c r="AY270" s="48"/>
      <c r="AZ270" s="48"/>
      <c r="BA270" s="68"/>
      <c r="BB270" s="48"/>
      <c r="BC270" s="48"/>
      <c r="BD270" s="68"/>
      <c r="BE270" s="48"/>
      <c r="BF270" s="48"/>
      <c r="BG270" s="88"/>
      <c r="BH270" s="79"/>
      <c r="BI270" s="81"/>
      <c r="BJ270" s="48"/>
      <c r="BK270" s="76"/>
      <c r="BL270" s="48"/>
      <c r="BM270" s="99"/>
      <c r="BN270" s="100"/>
      <c r="BO270" s="100"/>
      <c r="BP270" s="117"/>
    </row>
    <row r="271" spans="36:68" s="2" customFormat="1" hidden="1">
      <c r="AJ271" s="123"/>
      <c r="AK271" s="48"/>
      <c r="AL271" s="48"/>
      <c r="AM271" s="87"/>
      <c r="AN271" s="48"/>
      <c r="AO271" s="48"/>
      <c r="AP271" s="48"/>
      <c r="AQ271" s="48"/>
      <c r="AR271" s="66"/>
      <c r="AS271" s="66"/>
      <c r="AT271" s="48"/>
      <c r="AU271" s="66"/>
      <c r="AV271" s="48"/>
      <c r="AW271" s="67"/>
      <c r="AX271" s="48"/>
      <c r="AY271" s="48"/>
      <c r="AZ271" s="48"/>
      <c r="BA271" s="68"/>
      <c r="BB271" s="48"/>
      <c r="BC271" s="48"/>
      <c r="BD271" s="68"/>
      <c r="BE271" s="48"/>
      <c r="BF271" s="48"/>
      <c r="BG271" s="88"/>
      <c r="BH271" s="79"/>
      <c r="BI271" s="81"/>
      <c r="BJ271" s="48"/>
      <c r="BK271" s="76"/>
      <c r="BL271" s="48"/>
      <c r="BM271" s="99"/>
      <c r="BN271" s="100"/>
      <c r="BO271" s="100"/>
      <c r="BP271" s="117"/>
    </row>
    <row r="272" spans="36:68" s="2" customFormat="1" ht="15.75" hidden="1" thickBot="1">
      <c r="AJ272" s="123"/>
      <c r="AK272" s="48"/>
      <c r="AL272" s="48"/>
      <c r="AM272" s="89"/>
      <c r="AN272" s="90"/>
      <c r="AO272" s="90"/>
      <c r="AP272" s="90"/>
      <c r="AQ272" s="90"/>
      <c r="AR272" s="472"/>
      <c r="AS272" s="472"/>
      <c r="AT272" s="90"/>
      <c r="AU272" s="472"/>
      <c r="AV272" s="90"/>
      <c r="AW272" s="473"/>
      <c r="AX272" s="90"/>
      <c r="AY272" s="90"/>
      <c r="AZ272" s="90"/>
      <c r="BA272" s="474"/>
      <c r="BB272" s="90"/>
      <c r="BC272" s="90"/>
      <c r="BD272" s="474"/>
      <c r="BE272" s="90"/>
      <c r="BF272" s="90"/>
      <c r="BG272" s="94"/>
      <c r="BH272" s="79"/>
      <c r="BI272" s="81"/>
      <c r="BJ272" s="48"/>
      <c r="BK272" s="76"/>
      <c r="BL272" s="48"/>
      <c r="BM272" s="99"/>
      <c r="BN272" s="100"/>
      <c r="BO272" s="100"/>
      <c r="BP272" s="117"/>
    </row>
    <row r="273" spans="36:68" s="2" customFormat="1">
      <c r="AJ273" s="123"/>
      <c r="AK273" s="48"/>
      <c r="AL273" s="48"/>
      <c r="AM273" s="48"/>
      <c r="AN273" s="48"/>
      <c r="AO273" s="48"/>
      <c r="AP273" s="48"/>
      <c r="AQ273" s="48"/>
      <c r="AR273" s="66"/>
      <c r="AS273" s="66"/>
      <c r="AT273" s="48"/>
      <c r="AU273" s="66"/>
      <c r="AV273" s="48"/>
      <c r="AW273" s="67"/>
      <c r="AX273" s="48"/>
      <c r="AY273" s="48"/>
      <c r="AZ273" s="48"/>
      <c r="BA273" s="68"/>
      <c r="BB273" s="48"/>
      <c r="BC273" s="48"/>
      <c r="BD273" s="68"/>
      <c r="BE273" s="48"/>
      <c r="BF273" s="48"/>
      <c r="BG273" s="48"/>
      <c r="BH273" s="79"/>
      <c r="BI273" s="81"/>
      <c r="BJ273" s="48"/>
      <c r="BK273" s="76"/>
      <c r="BL273" s="48"/>
      <c r="BM273" s="99"/>
      <c r="BN273" s="100"/>
      <c r="BO273" s="100"/>
      <c r="BP273" s="117"/>
    </row>
    <row r="274" spans="36:68">
      <c r="AK274" s="98"/>
      <c r="AL274" s="98"/>
      <c r="AM274" s="98"/>
      <c r="AN274" s="98"/>
      <c r="AO274" s="98"/>
      <c r="AP274" s="98"/>
      <c r="AQ274" s="98"/>
      <c r="AR274" s="98"/>
      <c r="AS274" s="98"/>
      <c r="AT274" s="98"/>
      <c r="AU274" s="98"/>
      <c r="AV274" s="98"/>
      <c r="AW274" s="98"/>
      <c r="AX274" s="98"/>
      <c r="AY274" s="98"/>
      <c r="AZ274" s="98"/>
      <c r="BA274" s="98"/>
      <c r="BB274" s="98"/>
      <c r="BC274" s="98"/>
      <c r="BD274" s="98"/>
      <c r="BE274" s="98"/>
      <c r="BF274" s="98"/>
      <c r="BG274" s="98"/>
      <c r="BH274" s="98"/>
      <c r="BI274" s="4"/>
      <c r="BJ274" s="98"/>
      <c r="BK274" s="98"/>
      <c r="BL274" s="98"/>
      <c r="BM274" s="102"/>
      <c r="BN274" s="100"/>
      <c r="BO274" s="100"/>
      <c r="BP274" s="114" t="str">
        <f ca="1">IF(BJ145="","",IF(BP274="",NOW(),BP274))</f>
        <v/>
      </c>
    </row>
    <row r="275" spans="36:68" ht="15.75" thickBot="1">
      <c r="AK275" s="98"/>
      <c r="AL275" s="98"/>
      <c r="AM275" s="98"/>
      <c r="AN275" s="98"/>
      <c r="AO275" s="98"/>
      <c r="AP275" s="98"/>
      <c r="AQ275" s="98"/>
      <c r="AR275" s="98"/>
      <c r="AS275" s="98"/>
      <c r="AT275" s="98"/>
      <c r="AU275" s="98"/>
      <c r="AV275" s="98"/>
      <c r="AW275" s="98"/>
      <c r="AX275" s="98"/>
      <c r="AY275" s="98"/>
      <c r="AZ275" s="98"/>
      <c r="BA275" s="98"/>
      <c r="BB275" s="98"/>
      <c r="BC275" s="98"/>
      <c r="BD275" s="98"/>
      <c r="BE275" s="98"/>
      <c r="BF275" s="98"/>
      <c r="BG275" s="98"/>
      <c r="BH275" s="98"/>
      <c r="BI275" s="4"/>
      <c r="BJ275" s="98"/>
      <c r="BK275" s="98"/>
      <c r="BL275" s="98"/>
      <c r="BM275" s="99"/>
      <c r="BN275" s="100"/>
      <c r="BO275" s="103"/>
      <c r="BP275" s="117"/>
    </row>
    <row r="276" spans="36:68">
      <c r="AJ276" s="123">
        <v>6</v>
      </c>
      <c r="AK276" s="96"/>
      <c r="AL276" s="97"/>
      <c r="AM276" s="463"/>
      <c r="AN276" s="464"/>
      <c r="AO276" s="464"/>
      <c r="AP276" s="464"/>
      <c r="AQ276" s="465"/>
      <c r="AR276" s="466"/>
      <c r="AS276" s="464"/>
      <c r="AT276" s="465"/>
      <c r="AU276" s="467"/>
      <c r="AV276" s="468"/>
      <c r="AW276" s="468"/>
      <c r="AX276" s="468"/>
      <c r="AY276" s="468"/>
      <c r="AZ276" s="469"/>
      <c r="BA276" s="470"/>
      <c r="BB276" s="470"/>
      <c r="BC276" s="469"/>
      <c r="BD276" s="470"/>
      <c r="BE276" s="468"/>
      <c r="BF276" s="470"/>
      <c r="BG276" s="471"/>
      <c r="BH276" s="83"/>
      <c r="BI276" s="83"/>
      <c r="BJ276" s="84"/>
      <c r="BK276" s="85"/>
      <c r="BL276" s="86"/>
      <c r="BM276" s="104"/>
      <c r="BN276" s="98"/>
      <c r="BO276" s="103"/>
      <c r="BP276" s="117"/>
    </row>
    <row r="277" spans="36:68">
      <c r="AK277" s="87"/>
      <c r="AL277" s="48"/>
      <c r="AM277" s="87"/>
      <c r="AN277" s="48"/>
      <c r="AO277" s="48"/>
      <c r="AP277" s="48"/>
      <c r="AQ277" s="48"/>
      <c r="AR277" s="66"/>
      <c r="AS277" s="66"/>
      <c r="AT277" s="48"/>
      <c r="AU277" s="66"/>
      <c r="AV277" s="48"/>
      <c r="AW277" s="67"/>
      <c r="AX277" s="48"/>
      <c r="AY277" s="48"/>
      <c r="AZ277" s="48"/>
      <c r="BA277" s="68"/>
      <c r="BB277" s="48"/>
      <c r="BC277" s="48"/>
      <c r="BD277" s="68"/>
      <c r="BE277" s="48"/>
      <c r="BF277" s="48"/>
      <c r="BG277" s="88"/>
      <c r="BH277" s="44"/>
      <c r="BI277" s="45"/>
      <c r="BJ277" s="48"/>
      <c r="BK277" s="48"/>
      <c r="BL277" s="88"/>
      <c r="BM277" s="118" t="str">
        <f ca="1">IF(BJ277="","",IF(BM277="",NOW(),BM277))</f>
        <v/>
      </c>
      <c r="BN277" s="110"/>
      <c r="BO277" s="110" t="s">
        <v>82</v>
      </c>
      <c r="BP277" s="117"/>
    </row>
    <row r="278" spans="36:68">
      <c r="AK278" s="87"/>
      <c r="AL278" s="48"/>
      <c r="AM278" s="87"/>
      <c r="AN278" s="48"/>
      <c r="AO278" s="48"/>
      <c r="AP278" s="48"/>
      <c r="AQ278" s="48"/>
      <c r="AR278" s="66"/>
      <c r="AS278" s="66"/>
      <c r="AT278" s="48"/>
      <c r="AU278" s="66"/>
      <c r="AV278" s="48"/>
      <c r="AW278" s="67"/>
      <c r="AX278" s="48"/>
      <c r="AY278" s="48"/>
      <c r="AZ278" s="48"/>
      <c r="BA278" s="68"/>
      <c r="BB278" s="48"/>
      <c r="BC278" s="48"/>
      <c r="BD278" s="68"/>
      <c r="BE278" s="48"/>
      <c r="BF278" s="48"/>
      <c r="BG278" s="88"/>
      <c r="BH278" s="48"/>
      <c r="BI278" s="49"/>
      <c r="BJ278" s="48"/>
      <c r="BK278" s="48"/>
      <c r="BL278" s="88"/>
      <c r="BM278" s="110"/>
      <c r="BN278" s="111" t="s">
        <v>4</v>
      </c>
      <c r="BO278" s="111" t="s">
        <v>58</v>
      </c>
      <c r="BP278" s="117"/>
    </row>
    <row r="279" spans="36:68">
      <c r="AK279" s="87"/>
      <c r="AL279" s="48"/>
      <c r="AM279" s="87"/>
      <c r="AN279" s="48"/>
      <c r="AO279" s="48"/>
      <c r="AP279" s="48"/>
      <c r="AQ279" s="48"/>
      <c r="AR279" s="66"/>
      <c r="AS279" s="66"/>
      <c r="AT279" s="48"/>
      <c r="AU279" s="66"/>
      <c r="AV279" s="48"/>
      <c r="AW279" s="67"/>
      <c r="AX279" s="48"/>
      <c r="AY279" s="48"/>
      <c r="AZ279" s="48"/>
      <c r="BA279" s="68"/>
      <c r="BB279" s="48"/>
      <c r="BC279" s="48"/>
      <c r="BD279" s="68"/>
      <c r="BE279" s="48"/>
      <c r="BF279" s="48"/>
      <c r="BG279" s="88"/>
      <c r="BH279" s="44"/>
      <c r="BI279" s="45"/>
      <c r="BJ279" s="48"/>
      <c r="BK279" s="48"/>
      <c r="BL279" s="88"/>
      <c r="BM279" s="110" t="s">
        <v>51</v>
      </c>
      <c r="BN279" s="109">
        <f>BL282-BL238</f>
        <v>0</v>
      </c>
      <c r="BO279" s="112" t="e">
        <f>(BN279)/BL238</f>
        <v>#DIV/0!</v>
      </c>
      <c r="BP279" s="117"/>
    </row>
    <row r="280" spans="36:68">
      <c r="AK280" s="87"/>
      <c r="AL280" s="48"/>
      <c r="AM280" s="87"/>
      <c r="AN280" s="48"/>
      <c r="AO280" s="48"/>
      <c r="AP280" s="48"/>
      <c r="AQ280" s="48"/>
      <c r="AR280" s="66"/>
      <c r="AS280" s="66"/>
      <c r="AT280" s="48"/>
      <c r="AU280" s="66"/>
      <c r="AV280" s="48"/>
      <c r="AW280" s="67"/>
      <c r="AX280" s="48"/>
      <c r="AY280" s="48"/>
      <c r="AZ280" s="48"/>
      <c r="BA280" s="68"/>
      <c r="BB280" s="48"/>
      <c r="BC280" s="48"/>
      <c r="BD280" s="68"/>
      <c r="BE280" s="48"/>
      <c r="BF280" s="48"/>
      <c r="BG280" s="88"/>
      <c r="BH280" s="48"/>
      <c r="BI280" s="438"/>
      <c r="BJ280" s="48"/>
      <c r="BK280" s="48"/>
      <c r="BL280" s="88"/>
      <c r="BM280" s="110"/>
      <c r="BN280" s="109"/>
      <c r="BO280" s="109"/>
      <c r="BP280" s="117"/>
    </row>
    <row r="281" spans="36:68">
      <c r="AK281" s="87"/>
      <c r="AL281" s="48"/>
      <c r="AM281" s="87"/>
      <c r="AN281" s="48"/>
      <c r="AO281" s="48"/>
      <c r="AP281" s="48"/>
      <c r="AQ281" s="48"/>
      <c r="AR281" s="66"/>
      <c r="AS281" s="66"/>
      <c r="AT281" s="48"/>
      <c r="AU281" s="66"/>
      <c r="AV281" s="48"/>
      <c r="AW281" s="67"/>
      <c r="AX281" s="48"/>
      <c r="AY281" s="48"/>
      <c r="AZ281" s="48"/>
      <c r="BA281" s="68"/>
      <c r="BB281" s="48"/>
      <c r="BC281" s="48"/>
      <c r="BD281" s="68"/>
      <c r="BE281" s="48"/>
      <c r="BF281" s="48"/>
      <c r="BG281" s="88"/>
      <c r="BH281" s="48"/>
      <c r="BI281" s="48"/>
      <c r="BJ281" s="48"/>
      <c r="BK281" s="48"/>
      <c r="BL281" s="88"/>
      <c r="BM281" s="110" t="s">
        <v>80</v>
      </c>
      <c r="BN281" s="113">
        <f>BI282-BI238</f>
        <v>0</v>
      </c>
      <c r="BO281" s="112" t="e">
        <f>(BN281)/BI238</f>
        <v>#DIV/0!</v>
      </c>
      <c r="BP281" s="117"/>
    </row>
    <row r="282" spans="36:68">
      <c r="AK282" s="87"/>
      <c r="AL282" s="48"/>
      <c r="AM282" s="491"/>
      <c r="AN282" s="48"/>
      <c r="AO282" s="48"/>
      <c r="AP282" s="48"/>
      <c r="AQ282" s="48"/>
      <c r="AR282" s="66"/>
      <c r="AS282" s="66"/>
      <c r="AT282" s="48"/>
      <c r="AU282" s="66"/>
      <c r="AV282" s="48"/>
      <c r="AW282" s="67"/>
      <c r="AX282" s="48"/>
      <c r="AY282" s="48"/>
      <c r="AZ282" s="48"/>
      <c r="BA282" s="68"/>
      <c r="BB282" s="48"/>
      <c r="BC282" s="48"/>
      <c r="BD282" s="68"/>
      <c r="BE282" s="48"/>
      <c r="BF282" s="48"/>
      <c r="BG282" s="88"/>
      <c r="BH282" s="79"/>
      <c r="BI282" s="81"/>
      <c r="BJ282" s="48"/>
      <c r="BK282" s="76"/>
      <c r="BL282" s="88"/>
      <c r="BM282" s="110"/>
      <c r="BN282" s="109"/>
      <c r="BO282" s="109"/>
      <c r="BP282" s="117"/>
    </row>
    <row r="283" spans="36:68">
      <c r="AK283" s="87"/>
      <c r="AL283" s="48"/>
      <c r="AM283" s="87"/>
      <c r="AN283" s="48"/>
      <c r="AO283" s="48"/>
      <c r="AP283" s="48"/>
      <c r="AQ283" s="48"/>
      <c r="AR283" s="66"/>
      <c r="AS283" s="66"/>
      <c r="AT283" s="48"/>
      <c r="AU283" s="66"/>
      <c r="AV283" s="48"/>
      <c r="AW283" s="67"/>
      <c r="AX283" s="48"/>
      <c r="AY283" s="48"/>
      <c r="AZ283" s="48"/>
      <c r="BA283" s="68"/>
      <c r="BB283" s="48"/>
      <c r="BC283" s="48"/>
      <c r="BD283" s="68"/>
      <c r="BE283" s="48"/>
      <c r="BF283" s="48"/>
      <c r="BG283" s="88"/>
      <c r="BH283" s="80"/>
      <c r="BI283" s="82"/>
      <c r="BJ283" s="48"/>
      <c r="BK283" s="76"/>
      <c r="BL283" s="88"/>
      <c r="BM283" s="110" t="s">
        <v>77</v>
      </c>
      <c r="BN283" s="113">
        <f>BI284-BI240</f>
        <v>0</v>
      </c>
      <c r="BO283" s="112" t="e">
        <f>(BN283)/BI240</f>
        <v>#DIV/0!</v>
      </c>
      <c r="BP283" s="117"/>
    </row>
    <row r="284" spans="36:68" ht="15.75" thickBot="1">
      <c r="AK284" s="89"/>
      <c r="AL284" s="90"/>
      <c r="AM284" s="89"/>
      <c r="AN284" s="90"/>
      <c r="AO284" s="90"/>
      <c r="AP284" s="90"/>
      <c r="AQ284" s="90"/>
      <c r="AR284" s="472"/>
      <c r="AS284" s="472"/>
      <c r="AT284" s="90"/>
      <c r="AU284" s="472"/>
      <c r="AV284" s="90"/>
      <c r="AW284" s="473"/>
      <c r="AX284" s="90"/>
      <c r="AY284" s="90"/>
      <c r="AZ284" s="90"/>
      <c r="BA284" s="474"/>
      <c r="BB284" s="90"/>
      <c r="BC284" s="90"/>
      <c r="BD284" s="474"/>
      <c r="BE284" s="90"/>
      <c r="BF284" s="90"/>
      <c r="BG284" s="94"/>
      <c r="BH284" s="91"/>
      <c r="BI284" s="92"/>
      <c r="BJ284" s="90"/>
      <c r="BK284" s="93"/>
      <c r="BL284" s="94"/>
      <c r="BM284" s="99"/>
      <c r="BN284" s="100"/>
      <c r="BO284" s="100"/>
      <c r="BP284" s="117"/>
    </row>
    <row r="285" spans="36:68" s="2" customFormat="1" hidden="1">
      <c r="AJ285" s="123"/>
      <c r="AK285" s="48"/>
      <c r="AL285" s="48"/>
      <c r="AM285" s="87"/>
      <c r="AN285" s="48"/>
      <c r="AO285" s="48"/>
      <c r="AP285" s="48"/>
      <c r="AQ285" s="48"/>
      <c r="AR285" s="66"/>
      <c r="AS285" s="66"/>
      <c r="AT285" s="48"/>
      <c r="AU285" s="66"/>
      <c r="AV285" s="48"/>
      <c r="AW285" s="67"/>
      <c r="AX285" s="48"/>
      <c r="AY285" s="48"/>
      <c r="AZ285" s="48"/>
      <c r="BA285" s="68"/>
      <c r="BB285" s="48"/>
      <c r="BC285" s="48"/>
      <c r="BD285" s="68"/>
      <c r="BE285" s="48"/>
      <c r="BF285" s="48"/>
      <c r="BG285" s="88"/>
      <c r="BH285" s="79"/>
      <c r="BI285" s="81"/>
      <c r="BJ285" s="48"/>
      <c r="BK285" s="76"/>
      <c r="BL285" s="48"/>
      <c r="BM285" s="99"/>
      <c r="BN285" s="100"/>
      <c r="BO285" s="100"/>
      <c r="BP285" s="117"/>
    </row>
    <row r="286" spans="36:68" s="2" customFormat="1" hidden="1">
      <c r="AJ286" s="123"/>
      <c r="AK286" s="48"/>
      <c r="AL286" s="48"/>
      <c r="AM286" s="87"/>
      <c r="AN286" s="48"/>
      <c r="AO286" s="48"/>
      <c r="AP286" s="48"/>
      <c r="AQ286" s="48"/>
      <c r="AR286" s="66"/>
      <c r="AS286" s="66"/>
      <c r="AT286" s="48"/>
      <c r="AU286" s="66"/>
      <c r="AV286" s="48"/>
      <c r="AW286" s="67"/>
      <c r="AX286" s="48"/>
      <c r="AY286" s="48"/>
      <c r="AZ286" s="48"/>
      <c r="BA286" s="68"/>
      <c r="BB286" s="48"/>
      <c r="BC286" s="48"/>
      <c r="BD286" s="68"/>
      <c r="BE286" s="48"/>
      <c r="BF286" s="48"/>
      <c r="BG286" s="88"/>
      <c r="BH286" s="79"/>
      <c r="BI286" s="81"/>
      <c r="BJ286" s="48"/>
      <c r="BK286" s="76"/>
      <c r="BL286" s="48"/>
      <c r="BM286" s="99"/>
      <c r="BN286" s="100"/>
      <c r="BO286" s="100"/>
      <c r="BP286" s="117"/>
    </row>
    <row r="287" spans="36:68" s="2" customFormat="1" hidden="1">
      <c r="AJ287" s="123"/>
      <c r="AK287" s="48"/>
      <c r="AL287" s="48"/>
      <c r="AM287" s="87"/>
      <c r="AN287" s="48"/>
      <c r="AO287" s="48"/>
      <c r="AP287" s="48"/>
      <c r="AQ287" s="48"/>
      <c r="AR287" s="66"/>
      <c r="AS287" s="66"/>
      <c r="AT287" s="48"/>
      <c r="AU287" s="66"/>
      <c r="AV287" s="48"/>
      <c r="AW287" s="67"/>
      <c r="AX287" s="48"/>
      <c r="AY287" s="48"/>
      <c r="AZ287" s="48"/>
      <c r="BA287" s="68"/>
      <c r="BB287" s="48"/>
      <c r="BC287" s="48"/>
      <c r="BD287" s="68"/>
      <c r="BE287" s="48"/>
      <c r="BF287" s="48"/>
      <c r="BG287" s="88"/>
      <c r="BH287" s="79"/>
      <c r="BI287" s="81"/>
      <c r="BJ287" s="48"/>
      <c r="BK287" s="76"/>
      <c r="BL287" s="48"/>
      <c r="BM287" s="99"/>
      <c r="BN287" s="100"/>
      <c r="BO287" s="100"/>
      <c r="BP287" s="117"/>
    </row>
    <row r="288" spans="36:68" s="2" customFormat="1" hidden="1">
      <c r="AJ288" s="123"/>
      <c r="AK288" s="48"/>
      <c r="AL288" s="48"/>
      <c r="AM288" s="87"/>
      <c r="AN288" s="48"/>
      <c r="AO288" s="48"/>
      <c r="AP288" s="48"/>
      <c r="AQ288" s="48"/>
      <c r="AR288" s="66"/>
      <c r="AS288" s="66"/>
      <c r="AT288" s="48"/>
      <c r="AU288" s="66"/>
      <c r="AV288" s="48"/>
      <c r="AW288" s="67"/>
      <c r="AX288" s="48"/>
      <c r="AY288" s="48"/>
      <c r="AZ288" s="48"/>
      <c r="BA288" s="68"/>
      <c r="BB288" s="48"/>
      <c r="BC288" s="48"/>
      <c r="BD288" s="68"/>
      <c r="BE288" s="48"/>
      <c r="BF288" s="48"/>
      <c r="BG288" s="88"/>
      <c r="BH288" s="79"/>
      <c r="BI288" s="81"/>
      <c r="BJ288" s="48"/>
      <c r="BK288" s="76"/>
      <c r="BL288" s="48"/>
      <c r="BM288" s="99"/>
      <c r="BN288" s="100"/>
      <c r="BO288" s="100"/>
      <c r="BP288" s="117"/>
    </row>
    <row r="289" spans="36:68" s="2" customFormat="1" hidden="1">
      <c r="AJ289" s="123"/>
      <c r="AK289" s="48"/>
      <c r="AL289" s="48"/>
      <c r="AM289" s="87"/>
      <c r="AN289" s="48"/>
      <c r="AO289" s="48"/>
      <c r="AP289" s="48"/>
      <c r="AQ289" s="48"/>
      <c r="AR289" s="66"/>
      <c r="AS289" s="66"/>
      <c r="AT289" s="48"/>
      <c r="AU289" s="66"/>
      <c r="AV289" s="48"/>
      <c r="AW289" s="67"/>
      <c r="AX289" s="48"/>
      <c r="AY289" s="48"/>
      <c r="AZ289" s="48"/>
      <c r="BA289" s="68"/>
      <c r="BB289" s="48"/>
      <c r="BC289" s="48"/>
      <c r="BD289" s="68"/>
      <c r="BE289" s="48"/>
      <c r="BF289" s="48"/>
      <c r="BG289" s="88"/>
      <c r="BH289" s="79"/>
      <c r="BI289" s="81"/>
      <c r="BJ289" s="48"/>
      <c r="BK289" s="76"/>
      <c r="BL289" s="48"/>
      <c r="BM289" s="99"/>
      <c r="BN289" s="100"/>
      <c r="BO289" s="100"/>
      <c r="BP289" s="117"/>
    </row>
    <row r="290" spans="36:68" s="2" customFormat="1" hidden="1">
      <c r="AJ290" s="123"/>
      <c r="AK290" s="48"/>
      <c r="AL290" s="48"/>
      <c r="AM290" s="87"/>
      <c r="AN290" s="48"/>
      <c r="AO290" s="48"/>
      <c r="AP290" s="48"/>
      <c r="AQ290" s="48"/>
      <c r="AR290" s="66"/>
      <c r="AS290" s="66"/>
      <c r="AT290" s="48"/>
      <c r="AU290" s="66"/>
      <c r="AV290" s="48"/>
      <c r="AW290" s="67"/>
      <c r="AX290" s="48"/>
      <c r="AY290" s="48"/>
      <c r="AZ290" s="48"/>
      <c r="BA290" s="68"/>
      <c r="BB290" s="48"/>
      <c r="BC290" s="48"/>
      <c r="BD290" s="68"/>
      <c r="BE290" s="48"/>
      <c r="BF290" s="48"/>
      <c r="BG290" s="88"/>
      <c r="BH290" s="79"/>
      <c r="BI290" s="81"/>
      <c r="BJ290" s="48"/>
      <c r="BK290" s="76"/>
      <c r="BL290" s="48"/>
      <c r="BM290" s="99"/>
      <c r="BN290" s="100"/>
      <c r="BO290" s="100"/>
      <c r="BP290" s="117"/>
    </row>
    <row r="291" spans="36:68" s="2" customFormat="1" hidden="1">
      <c r="AJ291" s="123"/>
      <c r="AK291" s="48"/>
      <c r="AL291" s="48"/>
      <c r="AM291" s="87"/>
      <c r="AN291" s="48"/>
      <c r="AO291" s="48"/>
      <c r="AP291" s="48"/>
      <c r="AQ291" s="48"/>
      <c r="AR291" s="66"/>
      <c r="AS291" s="66"/>
      <c r="AT291" s="48"/>
      <c r="AU291" s="66"/>
      <c r="AV291" s="48"/>
      <c r="AW291" s="67"/>
      <c r="AX291" s="48"/>
      <c r="AY291" s="48"/>
      <c r="AZ291" s="48"/>
      <c r="BA291" s="68"/>
      <c r="BB291" s="48"/>
      <c r="BC291" s="48"/>
      <c r="BD291" s="68"/>
      <c r="BE291" s="48"/>
      <c r="BF291" s="48"/>
      <c r="BG291" s="88"/>
      <c r="BH291" s="79"/>
      <c r="BI291" s="81"/>
      <c r="BJ291" s="48"/>
      <c r="BK291" s="76"/>
      <c r="BL291" s="48"/>
      <c r="BM291" s="99"/>
      <c r="BN291" s="100"/>
      <c r="BO291" s="100"/>
      <c r="BP291" s="117"/>
    </row>
    <row r="292" spans="36:68" s="2" customFormat="1" hidden="1">
      <c r="AJ292" s="123"/>
      <c r="AK292" s="48"/>
      <c r="AL292" s="48"/>
      <c r="AM292" s="87"/>
      <c r="AN292" s="48"/>
      <c r="AO292" s="48"/>
      <c r="AP292" s="48"/>
      <c r="AQ292" s="48"/>
      <c r="AR292" s="66"/>
      <c r="AS292" s="66"/>
      <c r="AT292" s="48"/>
      <c r="AU292" s="66"/>
      <c r="AV292" s="48"/>
      <c r="AW292" s="67"/>
      <c r="AX292" s="48"/>
      <c r="AY292" s="48"/>
      <c r="AZ292" s="48"/>
      <c r="BA292" s="68"/>
      <c r="BB292" s="48"/>
      <c r="BC292" s="48"/>
      <c r="BD292" s="68"/>
      <c r="BE292" s="48"/>
      <c r="BF292" s="48"/>
      <c r="BG292" s="88"/>
      <c r="BH292" s="79"/>
      <c r="BI292" s="81"/>
      <c r="BJ292" s="48"/>
      <c r="BK292" s="76"/>
      <c r="BL292" s="48"/>
      <c r="BM292" s="99"/>
      <c r="BN292" s="100"/>
      <c r="BO292" s="100"/>
      <c r="BP292" s="117"/>
    </row>
    <row r="293" spans="36:68" s="2" customFormat="1" hidden="1">
      <c r="AJ293" s="123"/>
      <c r="AK293" s="48"/>
      <c r="AL293" s="48"/>
      <c r="AM293" s="87"/>
      <c r="AN293" s="48"/>
      <c r="AO293" s="48"/>
      <c r="AP293" s="48"/>
      <c r="AQ293" s="48"/>
      <c r="AR293" s="66"/>
      <c r="AS293" s="66"/>
      <c r="AT293" s="48"/>
      <c r="AU293" s="66"/>
      <c r="AV293" s="48"/>
      <c r="AW293" s="67"/>
      <c r="AX293" s="48"/>
      <c r="AY293" s="48"/>
      <c r="AZ293" s="48"/>
      <c r="BA293" s="68"/>
      <c r="BB293" s="48"/>
      <c r="BC293" s="48"/>
      <c r="BD293" s="68"/>
      <c r="BE293" s="48"/>
      <c r="BF293" s="48"/>
      <c r="BG293" s="88"/>
      <c r="BH293" s="79"/>
      <c r="BI293" s="81"/>
      <c r="BJ293" s="48"/>
      <c r="BK293" s="76"/>
      <c r="BL293" s="48"/>
      <c r="BM293" s="99"/>
      <c r="BN293" s="100"/>
      <c r="BO293" s="100"/>
      <c r="BP293" s="117"/>
    </row>
    <row r="294" spans="36:68" s="2" customFormat="1" hidden="1">
      <c r="AJ294" s="123"/>
      <c r="AK294" s="48"/>
      <c r="AL294" s="48"/>
      <c r="AM294" s="87"/>
      <c r="AN294" s="48"/>
      <c r="AO294" s="48"/>
      <c r="AP294" s="48"/>
      <c r="AQ294" s="48"/>
      <c r="AR294" s="66"/>
      <c r="AS294" s="66"/>
      <c r="AT294" s="48"/>
      <c r="AU294" s="66"/>
      <c r="AV294" s="48"/>
      <c r="AW294" s="67"/>
      <c r="AX294" s="48"/>
      <c r="AY294" s="48"/>
      <c r="AZ294" s="48"/>
      <c r="BA294" s="68"/>
      <c r="BB294" s="48"/>
      <c r="BC294" s="48"/>
      <c r="BD294" s="68"/>
      <c r="BE294" s="48"/>
      <c r="BF294" s="48"/>
      <c r="BG294" s="88"/>
      <c r="BH294" s="79"/>
      <c r="BI294" s="81"/>
      <c r="BJ294" s="48"/>
      <c r="BK294" s="76"/>
      <c r="BL294" s="48"/>
      <c r="BM294" s="99"/>
      <c r="BN294" s="100"/>
      <c r="BO294" s="100"/>
      <c r="BP294" s="117"/>
    </row>
    <row r="295" spans="36:68" s="2" customFormat="1" hidden="1">
      <c r="AJ295" s="123"/>
      <c r="AK295" s="48"/>
      <c r="AL295" s="48"/>
      <c r="AM295" s="87"/>
      <c r="AN295" s="48"/>
      <c r="AO295" s="48"/>
      <c r="AP295" s="48"/>
      <c r="AQ295" s="48"/>
      <c r="AR295" s="66"/>
      <c r="AS295" s="66"/>
      <c r="AT295" s="48"/>
      <c r="AU295" s="66"/>
      <c r="AV295" s="48"/>
      <c r="AW295" s="67"/>
      <c r="AX295" s="48"/>
      <c r="AY295" s="48"/>
      <c r="AZ295" s="48"/>
      <c r="BA295" s="68"/>
      <c r="BB295" s="48"/>
      <c r="BC295" s="48"/>
      <c r="BD295" s="68"/>
      <c r="BE295" s="48"/>
      <c r="BF295" s="48"/>
      <c r="BG295" s="88"/>
      <c r="BH295" s="79"/>
      <c r="BI295" s="81"/>
      <c r="BJ295" s="48"/>
      <c r="BK295" s="76"/>
      <c r="BL295" s="48"/>
      <c r="BM295" s="99"/>
      <c r="BN295" s="100"/>
      <c r="BO295" s="100"/>
      <c r="BP295" s="117"/>
    </row>
    <row r="296" spans="36:68" s="2" customFormat="1" hidden="1">
      <c r="AJ296" s="123"/>
      <c r="AK296" s="48"/>
      <c r="AL296" s="48"/>
      <c r="AM296" s="87"/>
      <c r="AN296" s="48"/>
      <c r="AO296" s="48"/>
      <c r="AP296" s="48"/>
      <c r="AQ296" s="48"/>
      <c r="AR296" s="66"/>
      <c r="AS296" s="66"/>
      <c r="AT296" s="48"/>
      <c r="AU296" s="66"/>
      <c r="AV296" s="48"/>
      <c r="AW296" s="67"/>
      <c r="AX296" s="48"/>
      <c r="AY296" s="48"/>
      <c r="AZ296" s="48"/>
      <c r="BA296" s="68"/>
      <c r="BB296" s="48"/>
      <c r="BC296" s="48"/>
      <c r="BD296" s="68"/>
      <c r="BE296" s="48"/>
      <c r="BF296" s="48"/>
      <c r="BG296" s="88"/>
      <c r="BH296" s="79"/>
      <c r="BI296" s="81"/>
      <c r="BJ296" s="48"/>
      <c r="BK296" s="76"/>
      <c r="BL296" s="48"/>
      <c r="BM296" s="99"/>
      <c r="BN296" s="100"/>
      <c r="BO296" s="100"/>
      <c r="BP296" s="117"/>
    </row>
    <row r="297" spans="36:68" s="2" customFormat="1" hidden="1">
      <c r="AJ297" s="123"/>
      <c r="AK297" s="48"/>
      <c r="AL297" s="48"/>
      <c r="AM297" s="87"/>
      <c r="AN297" s="48"/>
      <c r="AO297" s="48"/>
      <c r="AP297" s="48"/>
      <c r="AQ297" s="48"/>
      <c r="AR297" s="66"/>
      <c r="AS297" s="66"/>
      <c r="AT297" s="48"/>
      <c r="AU297" s="66"/>
      <c r="AV297" s="48"/>
      <c r="AW297" s="67"/>
      <c r="AX297" s="48"/>
      <c r="AY297" s="48"/>
      <c r="AZ297" s="48"/>
      <c r="BA297" s="68"/>
      <c r="BB297" s="48"/>
      <c r="BC297" s="48"/>
      <c r="BD297" s="68"/>
      <c r="BE297" s="48"/>
      <c r="BF297" s="48"/>
      <c r="BG297" s="88"/>
      <c r="BH297" s="79"/>
      <c r="BI297" s="81"/>
      <c r="BJ297" s="48"/>
      <c r="BK297" s="76"/>
      <c r="BL297" s="48"/>
      <c r="BM297" s="99"/>
      <c r="BN297" s="100"/>
      <c r="BO297" s="100"/>
      <c r="BP297" s="117"/>
    </row>
    <row r="298" spans="36:68" s="2" customFormat="1" hidden="1">
      <c r="AJ298" s="123"/>
      <c r="AK298" s="48"/>
      <c r="AL298" s="48"/>
      <c r="AM298" s="87"/>
      <c r="AN298" s="48"/>
      <c r="AO298" s="48"/>
      <c r="AP298" s="48"/>
      <c r="AQ298" s="48"/>
      <c r="AR298" s="66"/>
      <c r="AS298" s="66"/>
      <c r="AT298" s="48"/>
      <c r="AU298" s="66"/>
      <c r="AV298" s="48"/>
      <c r="AW298" s="67"/>
      <c r="AX298" s="48"/>
      <c r="AY298" s="48"/>
      <c r="AZ298" s="48"/>
      <c r="BA298" s="68"/>
      <c r="BB298" s="48"/>
      <c r="BC298" s="48"/>
      <c r="BD298" s="68"/>
      <c r="BE298" s="48"/>
      <c r="BF298" s="48"/>
      <c r="BG298" s="88"/>
      <c r="BH298" s="79"/>
      <c r="BI298" s="81"/>
      <c r="BJ298" s="48"/>
      <c r="BK298" s="76"/>
      <c r="BL298" s="48"/>
      <c r="BM298" s="99"/>
      <c r="BN298" s="100"/>
      <c r="BO298" s="100"/>
      <c r="BP298" s="117"/>
    </row>
    <row r="299" spans="36:68" s="2" customFormat="1" hidden="1">
      <c r="AJ299" s="123"/>
      <c r="AK299" s="48"/>
      <c r="AL299" s="48"/>
      <c r="AM299" s="87"/>
      <c r="AN299" s="48"/>
      <c r="AO299" s="48"/>
      <c r="AP299" s="48"/>
      <c r="AQ299" s="48"/>
      <c r="AR299" s="66"/>
      <c r="AS299" s="66"/>
      <c r="AT299" s="48"/>
      <c r="AU299" s="66"/>
      <c r="AV299" s="48"/>
      <c r="AW299" s="67"/>
      <c r="AX299" s="48"/>
      <c r="AY299" s="48"/>
      <c r="AZ299" s="48"/>
      <c r="BA299" s="68"/>
      <c r="BB299" s="48"/>
      <c r="BC299" s="48"/>
      <c r="BD299" s="68"/>
      <c r="BE299" s="48"/>
      <c r="BF299" s="48"/>
      <c r="BG299" s="88"/>
      <c r="BH299" s="79"/>
      <c r="BI299" s="81"/>
      <c r="BJ299" s="48"/>
      <c r="BK299" s="76"/>
      <c r="BL299" s="48"/>
      <c r="BM299" s="99"/>
      <c r="BN299" s="100"/>
      <c r="BO299" s="100"/>
      <c r="BP299" s="117"/>
    </row>
    <row r="300" spans="36:68" s="2" customFormat="1" hidden="1">
      <c r="AJ300" s="123"/>
      <c r="AK300" s="48"/>
      <c r="AL300" s="48"/>
      <c r="AM300" s="87"/>
      <c r="AN300" s="48"/>
      <c r="AO300" s="48"/>
      <c r="AP300" s="48"/>
      <c r="AQ300" s="48"/>
      <c r="AR300" s="66"/>
      <c r="AS300" s="66"/>
      <c r="AT300" s="48"/>
      <c r="AU300" s="66"/>
      <c r="AV300" s="48"/>
      <c r="AW300" s="67"/>
      <c r="AX300" s="48"/>
      <c r="AY300" s="48"/>
      <c r="AZ300" s="48"/>
      <c r="BA300" s="68"/>
      <c r="BB300" s="48"/>
      <c r="BC300" s="48"/>
      <c r="BD300" s="68"/>
      <c r="BE300" s="48"/>
      <c r="BF300" s="48"/>
      <c r="BG300" s="88"/>
      <c r="BH300" s="79"/>
      <c r="BI300" s="81"/>
      <c r="BJ300" s="48"/>
      <c r="BK300" s="76"/>
      <c r="BL300" s="48"/>
      <c r="BM300" s="99"/>
      <c r="BN300" s="100"/>
      <c r="BO300" s="100"/>
      <c r="BP300" s="117"/>
    </row>
    <row r="301" spans="36:68" s="2" customFormat="1" hidden="1">
      <c r="AJ301" s="123"/>
      <c r="AK301" s="48"/>
      <c r="AL301" s="48"/>
      <c r="AM301" s="87"/>
      <c r="AN301" s="48"/>
      <c r="AO301" s="48"/>
      <c r="AP301" s="48"/>
      <c r="AQ301" s="48"/>
      <c r="AR301" s="66"/>
      <c r="AS301" s="66"/>
      <c r="AT301" s="48"/>
      <c r="AU301" s="66"/>
      <c r="AV301" s="48"/>
      <c r="AW301" s="67"/>
      <c r="AX301" s="48"/>
      <c r="AY301" s="48"/>
      <c r="AZ301" s="48"/>
      <c r="BA301" s="68"/>
      <c r="BB301" s="48"/>
      <c r="BC301" s="48"/>
      <c r="BD301" s="68"/>
      <c r="BE301" s="48"/>
      <c r="BF301" s="48"/>
      <c r="BG301" s="88"/>
      <c r="BH301" s="79"/>
      <c r="BI301" s="81"/>
      <c r="BJ301" s="48"/>
      <c r="BK301" s="76"/>
      <c r="BL301" s="48"/>
      <c r="BM301" s="99"/>
      <c r="BN301" s="100"/>
      <c r="BO301" s="100"/>
      <c r="BP301" s="117"/>
    </row>
    <row r="302" spans="36:68" s="2" customFormat="1" hidden="1">
      <c r="AJ302" s="123"/>
      <c r="AK302" s="48"/>
      <c r="AL302" s="48"/>
      <c r="AM302" s="87"/>
      <c r="AN302" s="48"/>
      <c r="AO302" s="48"/>
      <c r="AP302" s="48"/>
      <c r="AQ302" s="48"/>
      <c r="AR302" s="66"/>
      <c r="AS302" s="66"/>
      <c r="AT302" s="48"/>
      <c r="AU302" s="66"/>
      <c r="AV302" s="48"/>
      <c r="AW302" s="67"/>
      <c r="AX302" s="48"/>
      <c r="AY302" s="48"/>
      <c r="AZ302" s="48"/>
      <c r="BA302" s="68"/>
      <c r="BB302" s="48"/>
      <c r="BC302" s="48"/>
      <c r="BD302" s="68"/>
      <c r="BE302" s="48"/>
      <c r="BF302" s="48"/>
      <c r="BG302" s="88"/>
      <c r="BH302" s="79"/>
      <c r="BI302" s="81"/>
      <c r="BJ302" s="48"/>
      <c r="BK302" s="76"/>
      <c r="BL302" s="48"/>
      <c r="BM302" s="99"/>
      <c r="BN302" s="100"/>
      <c r="BO302" s="100"/>
      <c r="BP302" s="117"/>
    </row>
    <row r="303" spans="36:68" s="2" customFormat="1" hidden="1">
      <c r="AJ303" s="123"/>
      <c r="AK303" s="48"/>
      <c r="AL303" s="48"/>
      <c r="AM303" s="87"/>
      <c r="AN303" s="48"/>
      <c r="AO303" s="48"/>
      <c r="AP303" s="48"/>
      <c r="AQ303" s="48"/>
      <c r="AR303" s="66"/>
      <c r="AS303" s="66"/>
      <c r="AT303" s="48"/>
      <c r="AU303" s="66"/>
      <c r="AV303" s="48"/>
      <c r="AW303" s="67"/>
      <c r="AX303" s="48"/>
      <c r="AY303" s="48"/>
      <c r="AZ303" s="48"/>
      <c r="BA303" s="68"/>
      <c r="BB303" s="48"/>
      <c r="BC303" s="48"/>
      <c r="BD303" s="68"/>
      <c r="BE303" s="48"/>
      <c r="BF303" s="48"/>
      <c r="BG303" s="88"/>
      <c r="BH303" s="79"/>
      <c r="BI303" s="81"/>
      <c r="BJ303" s="48"/>
      <c r="BK303" s="76"/>
      <c r="BL303" s="48"/>
      <c r="BM303" s="99"/>
      <c r="BN303" s="100"/>
      <c r="BO303" s="100"/>
      <c r="BP303" s="117"/>
    </row>
    <row r="304" spans="36:68" s="2" customFormat="1" hidden="1">
      <c r="AJ304" s="123"/>
      <c r="AK304" s="48"/>
      <c r="AL304" s="48"/>
      <c r="AM304" s="87"/>
      <c r="AN304" s="48"/>
      <c r="AO304" s="48"/>
      <c r="AP304" s="48"/>
      <c r="AQ304" s="48"/>
      <c r="AR304" s="66"/>
      <c r="AS304" s="66"/>
      <c r="AT304" s="48"/>
      <c r="AU304" s="66"/>
      <c r="AV304" s="48"/>
      <c r="AW304" s="67"/>
      <c r="AX304" s="48"/>
      <c r="AY304" s="48"/>
      <c r="AZ304" s="48"/>
      <c r="BA304" s="68"/>
      <c r="BB304" s="48"/>
      <c r="BC304" s="48"/>
      <c r="BD304" s="68"/>
      <c r="BE304" s="48"/>
      <c r="BF304" s="48"/>
      <c r="BG304" s="88"/>
      <c r="BH304" s="79"/>
      <c r="BI304" s="81"/>
      <c r="BJ304" s="48"/>
      <c r="BK304" s="76"/>
      <c r="BL304" s="48"/>
      <c r="BM304" s="99"/>
      <c r="BN304" s="100"/>
      <c r="BO304" s="100"/>
      <c r="BP304" s="117"/>
    </row>
    <row r="305" spans="36:68" s="2" customFormat="1" hidden="1">
      <c r="AJ305" s="123"/>
      <c r="AK305" s="48"/>
      <c r="AL305" s="48"/>
      <c r="AM305" s="87"/>
      <c r="AN305" s="48"/>
      <c r="AO305" s="48"/>
      <c r="AP305" s="48"/>
      <c r="AQ305" s="48"/>
      <c r="AR305" s="66"/>
      <c r="AS305" s="66"/>
      <c r="AT305" s="48"/>
      <c r="AU305" s="66"/>
      <c r="AV305" s="48"/>
      <c r="AW305" s="67"/>
      <c r="AX305" s="48"/>
      <c r="AY305" s="48"/>
      <c r="AZ305" s="48"/>
      <c r="BA305" s="68"/>
      <c r="BB305" s="48"/>
      <c r="BC305" s="48"/>
      <c r="BD305" s="68"/>
      <c r="BE305" s="48"/>
      <c r="BF305" s="48"/>
      <c r="BG305" s="88"/>
      <c r="BH305" s="79"/>
      <c r="BI305" s="81"/>
      <c r="BJ305" s="48"/>
      <c r="BK305" s="76"/>
      <c r="BL305" s="48"/>
      <c r="BM305" s="99"/>
      <c r="BN305" s="100"/>
      <c r="BO305" s="100"/>
      <c r="BP305" s="117"/>
    </row>
    <row r="306" spans="36:68" s="2" customFormat="1" hidden="1">
      <c r="AJ306" s="123"/>
      <c r="AK306" s="48"/>
      <c r="AL306" s="48"/>
      <c r="AM306" s="87"/>
      <c r="AN306" s="48"/>
      <c r="AO306" s="48"/>
      <c r="AP306" s="48"/>
      <c r="AQ306" s="48"/>
      <c r="AR306" s="66"/>
      <c r="AS306" s="66"/>
      <c r="AT306" s="48"/>
      <c r="AU306" s="66"/>
      <c r="AV306" s="48"/>
      <c r="AW306" s="67"/>
      <c r="AX306" s="48"/>
      <c r="AY306" s="48"/>
      <c r="AZ306" s="48"/>
      <c r="BA306" s="68"/>
      <c r="BB306" s="48"/>
      <c r="BC306" s="48"/>
      <c r="BD306" s="68"/>
      <c r="BE306" s="48"/>
      <c r="BF306" s="48"/>
      <c r="BG306" s="88"/>
      <c r="BH306" s="79"/>
      <c r="BI306" s="81"/>
      <c r="BJ306" s="48"/>
      <c r="BK306" s="76"/>
      <c r="BL306" s="48"/>
      <c r="BM306" s="99"/>
      <c r="BN306" s="100"/>
      <c r="BO306" s="100"/>
      <c r="BP306" s="117"/>
    </row>
    <row r="307" spans="36:68" s="2" customFormat="1" hidden="1">
      <c r="AJ307" s="123"/>
      <c r="AK307" s="48"/>
      <c r="AL307" s="48"/>
      <c r="AM307" s="87"/>
      <c r="AN307" s="48"/>
      <c r="AO307" s="48"/>
      <c r="AP307" s="48"/>
      <c r="AQ307" s="48"/>
      <c r="AR307" s="66"/>
      <c r="AS307" s="66"/>
      <c r="AT307" s="48"/>
      <c r="AU307" s="66"/>
      <c r="AV307" s="48"/>
      <c r="AW307" s="67"/>
      <c r="AX307" s="48"/>
      <c r="AY307" s="48"/>
      <c r="AZ307" s="48"/>
      <c r="BA307" s="68"/>
      <c r="BB307" s="48"/>
      <c r="BC307" s="48"/>
      <c r="BD307" s="68"/>
      <c r="BE307" s="48"/>
      <c r="BF307" s="48"/>
      <c r="BG307" s="88"/>
      <c r="BH307" s="79"/>
      <c r="BI307" s="81"/>
      <c r="BJ307" s="48"/>
      <c r="BK307" s="76"/>
      <c r="BL307" s="48"/>
      <c r="BM307" s="99"/>
      <c r="BN307" s="100"/>
      <c r="BO307" s="100"/>
      <c r="BP307" s="117"/>
    </row>
    <row r="308" spans="36:68" s="2" customFormat="1" hidden="1">
      <c r="AJ308" s="123"/>
      <c r="AK308" s="48"/>
      <c r="AL308" s="48"/>
      <c r="AM308" s="87"/>
      <c r="AN308" s="48"/>
      <c r="AO308" s="48"/>
      <c r="AP308" s="48"/>
      <c r="AQ308" s="48"/>
      <c r="AR308" s="66"/>
      <c r="AS308" s="66"/>
      <c r="AT308" s="48"/>
      <c r="AU308" s="66"/>
      <c r="AV308" s="48"/>
      <c r="AW308" s="67"/>
      <c r="AX308" s="48"/>
      <c r="AY308" s="48"/>
      <c r="AZ308" s="48"/>
      <c r="BA308" s="68"/>
      <c r="BB308" s="48"/>
      <c r="BC308" s="48"/>
      <c r="BD308" s="68"/>
      <c r="BE308" s="48"/>
      <c r="BF308" s="48"/>
      <c r="BG308" s="88"/>
      <c r="BH308" s="79"/>
      <c r="BI308" s="81"/>
      <c r="BJ308" s="48"/>
      <c r="BK308" s="76"/>
      <c r="BL308" s="48"/>
      <c r="BM308" s="99"/>
      <c r="BN308" s="100"/>
      <c r="BO308" s="100"/>
      <c r="BP308" s="117"/>
    </row>
    <row r="309" spans="36:68" s="2" customFormat="1" hidden="1">
      <c r="AJ309" s="123"/>
      <c r="AK309" s="48"/>
      <c r="AL309" s="48"/>
      <c r="AM309" s="87"/>
      <c r="AN309" s="48"/>
      <c r="AO309" s="48"/>
      <c r="AP309" s="48"/>
      <c r="AQ309" s="48"/>
      <c r="AR309" s="66"/>
      <c r="AS309" s="66"/>
      <c r="AT309" s="48"/>
      <c r="AU309" s="66"/>
      <c r="AV309" s="48"/>
      <c r="AW309" s="67"/>
      <c r="AX309" s="48"/>
      <c r="AY309" s="48"/>
      <c r="AZ309" s="48"/>
      <c r="BA309" s="68"/>
      <c r="BB309" s="48"/>
      <c r="BC309" s="48"/>
      <c r="BD309" s="68"/>
      <c r="BE309" s="48"/>
      <c r="BF309" s="48"/>
      <c r="BG309" s="88"/>
      <c r="BH309" s="79"/>
      <c r="BI309" s="81"/>
      <c r="BJ309" s="48"/>
      <c r="BK309" s="76"/>
      <c r="BL309" s="48"/>
      <c r="BM309" s="99"/>
      <c r="BN309" s="100"/>
      <c r="BO309" s="100"/>
      <c r="BP309" s="117"/>
    </row>
    <row r="310" spans="36:68" s="2" customFormat="1" hidden="1">
      <c r="AJ310" s="123"/>
      <c r="AK310" s="48"/>
      <c r="AL310" s="48"/>
      <c r="AM310" s="87"/>
      <c r="AN310" s="48"/>
      <c r="AO310" s="48"/>
      <c r="AP310" s="48"/>
      <c r="AQ310" s="48"/>
      <c r="AR310" s="66"/>
      <c r="AS310" s="66"/>
      <c r="AT310" s="48"/>
      <c r="AU310" s="66"/>
      <c r="AV310" s="48"/>
      <c r="AW310" s="67"/>
      <c r="AX310" s="48"/>
      <c r="AY310" s="48"/>
      <c r="AZ310" s="48"/>
      <c r="BA310" s="68"/>
      <c r="BB310" s="48"/>
      <c r="BC310" s="48"/>
      <c r="BD310" s="68"/>
      <c r="BE310" s="48"/>
      <c r="BF310" s="48"/>
      <c r="BG310" s="88"/>
      <c r="BH310" s="79"/>
      <c r="BI310" s="81"/>
      <c r="BJ310" s="48"/>
      <c r="BK310" s="76"/>
      <c r="BL310" s="48"/>
      <c r="BM310" s="99"/>
      <c r="BN310" s="100"/>
      <c r="BO310" s="100"/>
      <c r="BP310" s="117"/>
    </row>
    <row r="311" spans="36:68" s="2" customFormat="1" hidden="1">
      <c r="AJ311" s="123"/>
      <c r="AK311" s="48"/>
      <c r="AL311" s="48"/>
      <c r="AM311" s="87"/>
      <c r="AN311" s="48"/>
      <c r="AO311" s="48"/>
      <c r="AP311" s="48"/>
      <c r="AQ311" s="48"/>
      <c r="AR311" s="66"/>
      <c r="AS311" s="66"/>
      <c r="AT311" s="48"/>
      <c r="AU311" s="66"/>
      <c r="AV311" s="48"/>
      <c r="AW311" s="67"/>
      <c r="AX311" s="48"/>
      <c r="AY311" s="48"/>
      <c r="AZ311" s="48"/>
      <c r="BA311" s="68"/>
      <c r="BB311" s="48"/>
      <c r="BC311" s="48"/>
      <c r="BD311" s="68"/>
      <c r="BE311" s="48"/>
      <c r="BF311" s="48"/>
      <c r="BG311" s="88"/>
      <c r="BH311" s="79"/>
      <c r="BI311" s="81"/>
      <c r="BJ311" s="48"/>
      <c r="BK311" s="76"/>
      <c r="BL311" s="48"/>
      <c r="BM311" s="99"/>
      <c r="BN311" s="100"/>
      <c r="BO311" s="100"/>
      <c r="BP311" s="117"/>
    </row>
    <row r="312" spans="36:68" s="2" customFormat="1" hidden="1">
      <c r="AJ312" s="123"/>
      <c r="AK312" s="48"/>
      <c r="AL312" s="48"/>
      <c r="AM312" s="87"/>
      <c r="AN312" s="48"/>
      <c r="AO312" s="48"/>
      <c r="AP312" s="48"/>
      <c r="AQ312" s="48"/>
      <c r="AR312" s="66"/>
      <c r="AS312" s="66"/>
      <c r="AT312" s="48"/>
      <c r="AU312" s="66"/>
      <c r="AV312" s="48"/>
      <c r="AW312" s="67"/>
      <c r="AX312" s="48"/>
      <c r="AY312" s="48"/>
      <c r="AZ312" s="48"/>
      <c r="BA312" s="68"/>
      <c r="BB312" s="48"/>
      <c r="BC312" s="48"/>
      <c r="BD312" s="68"/>
      <c r="BE312" s="48"/>
      <c r="BF312" s="48"/>
      <c r="BG312" s="88"/>
      <c r="BH312" s="79"/>
      <c r="BI312" s="81"/>
      <c r="BJ312" s="48"/>
      <c r="BK312" s="76"/>
      <c r="BL312" s="48"/>
      <c r="BM312" s="99"/>
      <c r="BN312" s="100"/>
      <c r="BO312" s="100"/>
      <c r="BP312" s="117"/>
    </row>
    <row r="313" spans="36:68" s="2" customFormat="1" hidden="1">
      <c r="AJ313" s="123"/>
      <c r="AK313" s="48"/>
      <c r="AL313" s="48"/>
      <c r="AM313" s="87"/>
      <c r="AN313" s="48"/>
      <c r="AO313" s="48"/>
      <c r="AP313" s="48"/>
      <c r="AQ313" s="48"/>
      <c r="AR313" s="66"/>
      <c r="AS313" s="66"/>
      <c r="AT313" s="48"/>
      <c r="AU313" s="66"/>
      <c r="AV313" s="48"/>
      <c r="AW313" s="67"/>
      <c r="AX313" s="48"/>
      <c r="AY313" s="48"/>
      <c r="AZ313" s="48"/>
      <c r="BA313" s="68"/>
      <c r="BB313" s="48"/>
      <c r="BC313" s="48"/>
      <c r="BD313" s="68"/>
      <c r="BE313" s="48"/>
      <c r="BF313" s="48"/>
      <c r="BG313" s="88"/>
      <c r="BH313" s="79"/>
      <c r="BI313" s="81"/>
      <c r="BJ313" s="48"/>
      <c r="BK313" s="76"/>
      <c r="BL313" s="48"/>
      <c r="BM313" s="99"/>
      <c r="BN313" s="100"/>
      <c r="BO313" s="100"/>
      <c r="BP313" s="117"/>
    </row>
    <row r="314" spans="36:68" s="2" customFormat="1" hidden="1">
      <c r="AJ314" s="123"/>
      <c r="AK314" s="48"/>
      <c r="AL314" s="48"/>
      <c r="AM314" s="87"/>
      <c r="AN314" s="48"/>
      <c r="AO314" s="48"/>
      <c r="AP314" s="48"/>
      <c r="AQ314" s="48"/>
      <c r="AR314" s="66"/>
      <c r="AS314" s="66"/>
      <c r="AT314" s="48"/>
      <c r="AU314" s="66"/>
      <c r="AV314" s="48"/>
      <c r="AW314" s="67"/>
      <c r="AX314" s="48"/>
      <c r="AY314" s="48"/>
      <c r="AZ314" s="48"/>
      <c r="BA314" s="68"/>
      <c r="BB314" s="48"/>
      <c r="BC314" s="48"/>
      <c r="BD314" s="68"/>
      <c r="BE314" s="48"/>
      <c r="BF314" s="48"/>
      <c r="BG314" s="88"/>
      <c r="BH314" s="79"/>
      <c r="BI314" s="81"/>
      <c r="BJ314" s="48"/>
      <c r="BK314" s="76"/>
      <c r="BL314" s="48"/>
      <c r="BM314" s="99"/>
      <c r="BN314" s="100"/>
      <c r="BO314" s="100"/>
      <c r="BP314" s="117"/>
    </row>
    <row r="315" spans="36:68" s="2" customFormat="1" hidden="1">
      <c r="AJ315" s="123"/>
      <c r="AK315" s="48"/>
      <c r="AL315" s="48"/>
      <c r="AM315" s="87"/>
      <c r="AN315" s="48"/>
      <c r="AO315" s="48"/>
      <c r="AP315" s="48"/>
      <c r="AQ315" s="48"/>
      <c r="AR315" s="66"/>
      <c r="AS315" s="66"/>
      <c r="AT315" s="48"/>
      <c r="AU315" s="66"/>
      <c r="AV315" s="48"/>
      <c r="AW315" s="67"/>
      <c r="AX315" s="48"/>
      <c r="AY315" s="48"/>
      <c r="AZ315" s="48"/>
      <c r="BA315" s="68"/>
      <c r="BB315" s="48"/>
      <c r="BC315" s="48"/>
      <c r="BD315" s="68"/>
      <c r="BE315" s="48"/>
      <c r="BF315" s="48"/>
      <c r="BG315" s="88"/>
      <c r="BH315" s="79"/>
      <c r="BI315" s="81"/>
      <c r="BJ315" s="48"/>
      <c r="BK315" s="76"/>
      <c r="BL315" s="48"/>
      <c r="BM315" s="99"/>
      <c r="BN315" s="100"/>
      <c r="BO315" s="100"/>
      <c r="BP315" s="117"/>
    </row>
    <row r="316" spans="36:68" s="2" customFormat="1" ht="15.75" hidden="1" thickBot="1">
      <c r="AJ316" s="123"/>
      <c r="AK316" s="48"/>
      <c r="AL316" s="48"/>
      <c r="AM316" s="89"/>
      <c r="AN316" s="90"/>
      <c r="AO316" s="90"/>
      <c r="AP316" s="90"/>
      <c r="AQ316" s="90"/>
      <c r="AR316" s="472"/>
      <c r="AS316" s="472"/>
      <c r="AT316" s="90"/>
      <c r="AU316" s="472"/>
      <c r="AV316" s="90"/>
      <c r="AW316" s="473"/>
      <c r="AX316" s="90"/>
      <c r="AY316" s="90"/>
      <c r="AZ316" s="90"/>
      <c r="BA316" s="474"/>
      <c r="BB316" s="90"/>
      <c r="BC316" s="90"/>
      <c r="BD316" s="474"/>
      <c r="BE316" s="90"/>
      <c r="BF316" s="90"/>
      <c r="BG316" s="94"/>
      <c r="BH316" s="79"/>
      <c r="BI316" s="81"/>
      <c r="BJ316" s="48"/>
      <c r="BK316" s="76"/>
      <c r="BL316" s="48"/>
      <c r="BM316" s="99"/>
      <c r="BN316" s="100"/>
      <c r="BO316" s="100"/>
      <c r="BP316" s="117"/>
    </row>
    <row r="317" spans="36:68" s="2" customFormat="1">
      <c r="AJ317" s="123"/>
      <c r="AK317" s="48"/>
      <c r="AL317" s="48"/>
      <c r="AM317" s="48"/>
      <c r="AN317" s="48"/>
      <c r="AO317" s="48"/>
      <c r="AP317" s="48"/>
      <c r="AQ317" s="48"/>
      <c r="AR317" s="66"/>
      <c r="AS317" s="66"/>
      <c r="AT317" s="48"/>
      <c r="AU317" s="66"/>
      <c r="AV317" s="48"/>
      <c r="AW317" s="67"/>
      <c r="AX317" s="48"/>
      <c r="AY317" s="48"/>
      <c r="AZ317" s="48"/>
      <c r="BA317" s="68"/>
      <c r="BB317" s="48"/>
      <c r="BC317" s="48"/>
      <c r="BD317" s="68"/>
      <c r="BE317" s="48"/>
      <c r="BF317" s="48"/>
      <c r="BG317" s="48"/>
      <c r="BH317" s="79"/>
      <c r="BI317" s="81"/>
      <c r="BJ317" s="48"/>
      <c r="BK317" s="76"/>
      <c r="BL317" s="48"/>
      <c r="BM317" s="99"/>
      <c r="BN317" s="100"/>
      <c r="BO317" s="100"/>
      <c r="BP317" s="117"/>
    </row>
    <row r="318" spans="36:68">
      <c r="BP318" s="114" t="str">
        <f ca="1">IF(BJ189="","",IF(BP318="",NOW(),BP318))</f>
        <v/>
      </c>
    </row>
    <row r="319" spans="36:68" ht="15.75" thickBot="1">
      <c r="AK319" s="2"/>
      <c r="AL319" s="2"/>
      <c r="BH319" s="2"/>
      <c r="BI319" s="2"/>
      <c r="BJ319" s="2"/>
      <c r="BN319" s="2"/>
      <c r="BO319" s="2"/>
      <c r="BP319" s="117"/>
    </row>
    <row r="320" spans="36:68">
      <c r="AJ320" s="123">
        <v>7</v>
      </c>
      <c r="AK320" s="96"/>
      <c r="AL320" s="97"/>
      <c r="AM320" s="463"/>
      <c r="AN320" s="464"/>
      <c r="AO320" s="464"/>
      <c r="AP320" s="464"/>
      <c r="AQ320" s="465"/>
      <c r="AR320" s="466"/>
      <c r="AS320" s="464"/>
      <c r="AT320" s="465"/>
      <c r="AU320" s="467"/>
      <c r="AV320" s="468"/>
      <c r="AW320" s="468"/>
      <c r="AX320" s="468"/>
      <c r="AY320" s="468"/>
      <c r="AZ320" s="469"/>
      <c r="BA320" s="470"/>
      <c r="BB320" s="470"/>
      <c r="BC320" s="469"/>
      <c r="BD320" s="470"/>
      <c r="BE320" s="468"/>
      <c r="BF320" s="470"/>
      <c r="BG320" s="471"/>
      <c r="BH320" s="83"/>
      <c r="BI320" s="83"/>
      <c r="BJ320" s="84"/>
      <c r="BK320" s="85"/>
      <c r="BL320" s="86"/>
      <c r="BM320" s="104"/>
      <c r="BN320" s="98"/>
      <c r="BO320" s="103"/>
      <c r="BP320" s="117"/>
    </row>
    <row r="321" spans="36:68">
      <c r="AK321" s="87"/>
      <c r="AL321" s="48"/>
      <c r="AM321" s="87"/>
      <c r="AN321" s="48"/>
      <c r="AO321" s="48"/>
      <c r="AP321" s="48"/>
      <c r="AQ321" s="48"/>
      <c r="AR321" s="66"/>
      <c r="AS321" s="66"/>
      <c r="AT321" s="48"/>
      <c r="AU321" s="66"/>
      <c r="AV321" s="48"/>
      <c r="AW321" s="67"/>
      <c r="AX321" s="48"/>
      <c r="AY321" s="48"/>
      <c r="AZ321" s="48"/>
      <c r="BA321" s="68"/>
      <c r="BB321" s="48"/>
      <c r="BC321" s="48"/>
      <c r="BD321" s="68"/>
      <c r="BE321" s="48"/>
      <c r="BF321" s="48"/>
      <c r="BG321" s="88"/>
      <c r="BH321" s="44"/>
      <c r="BI321" s="45"/>
      <c r="BJ321" s="48"/>
      <c r="BK321" s="48"/>
      <c r="BL321" s="88"/>
      <c r="BM321" s="118" t="str">
        <f ca="1">IF(BJ321="","",IF(BM321="",NOW(),BM321))</f>
        <v/>
      </c>
      <c r="BN321" s="110"/>
      <c r="BO321" s="110" t="s">
        <v>82</v>
      </c>
      <c r="BP321" s="117"/>
    </row>
    <row r="322" spans="36:68">
      <c r="AK322" s="87"/>
      <c r="AL322" s="48"/>
      <c r="AM322" s="87"/>
      <c r="AN322" s="48"/>
      <c r="AO322" s="48"/>
      <c r="AP322" s="48"/>
      <c r="AQ322" s="48"/>
      <c r="AR322" s="66"/>
      <c r="AS322" s="66"/>
      <c r="AT322" s="48"/>
      <c r="AU322" s="66"/>
      <c r="AV322" s="48"/>
      <c r="AW322" s="67"/>
      <c r="AX322" s="48"/>
      <c r="AY322" s="48"/>
      <c r="AZ322" s="48"/>
      <c r="BA322" s="68"/>
      <c r="BB322" s="48"/>
      <c r="BC322" s="48"/>
      <c r="BD322" s="68"/>
      <c r="BE322" s="48"/>
      <c r="BF322" s="48"/>
      <c r="BG322" s="88"/>
      <c r="BH322" s="48"/>
      <c r="BI322" s="49"/>
      <c r="BJ322" s="48"/>
      <c r="BK322" s="48"/>
      <c r="BL322" s="88"/>
      <c r="BM322" s="110"/>
      <c r="BN322" s="111" t="s">
        <v>4</v>
      </c>
      <c r="BO322" s="111" t="s">
        <v>58</v>
      </c>
      <c r="BP322" s="117"/>
    </row>
    <row r="323" spans="36:68">
      <c r="AK323" s="87"/>
      <c r="AL323" s="48"/>
      <c r="AM323" s="87"/>
      <c r="AN323" s="48"/>
      <c r="AO323" s="48"/>
      <c r="AP323" s="48"/>
      <c r="AQ323" s="48"/>
      <c r="AR323" s="66"/>
      <c r="AS323" s="66"/>
      <c r="AT323" s="48"/>
      <c r="AU323" s="66"/>
      <c r="AV323" s="48"/>
      <c r="AW323" s="67"/>
      <c r="AX323" s="48"/>
      <c r="AY323" s="48"/>
      <c r="AZ323" s="48"/>
      <c r="BA323" s="68"/>
      <c r="BB323" s="48"/>
      <c r="BC323" s="48"/>
      <c r="BD323" s="68"/>
      <c r="BE323" s="48"/>
      <c r="BF323" s="48"/>
      <c r="BG323" s="88"/>
      <c r="BH323" s="44"/>
      <c r="BI323" s="45"/>
      <c r="BJ323" s="48"/>
      <c r="BK323" s="48"/>
      <c r="BL323" s="88"/>
      <c r="BM323" s="110" t="s">
        <v>51</v>
      </c>
      <c r="BN323" s="109">
        <f>BL326-BL282</f>
        <v>0</v>
      </c>
      <c r="BO323" s="112" t="e">
        <f>(BN323)/BL282</f>
        <v>#DIV/0!</v>
      </c>
      <c r="BP323" s="117"/>
    </row>
    <row r="324" spans="36:68">
      <c r="AK324" s="87"/>
      <c r="AL324" s="48"/>
      <c r="AM324" s="87"/>
      <c r="AN324" s="48"/>
      <c r="AO324" s="48"/>
      <c r="AP324" s="48"/>
      <c r="AQ324" s="48"/>
      <c r="AR324" s="66"/>
      <c r="AS324" s="66"/>
      <c r="AT324" s="48"/>
      <c r="AU324" s="66"/>
      <c r="AV324" s="48"/>
      <c r="AW324" s="67"/>
      <c r="AX324" s="48"/>
      <c r="AY324" s="48"/>
      <c r="AZ324" s="48"/>
      <c r="BA324" s="68"/>
      <c r="BB324" s="48"/>
      <c r="BC324" s="48"/>
      <c r="BD324" s="68"/>
      <c r="BE324" s="48"/>
      <c r="BF324" s="48"/>
      <c r="BG324" s="88"/>
      <c r="BH324" s="48"/>
      <c r="BI324" s="438"/>
      <c r="BJ324" s="48"/>
      <c r="BK324" s="48"/>
      <c r="BL324" s="88"/>
      <c r="BM324" s="110"/>
      <c r="BN324" s="109"/>
      <c r="BO324" s="109"/>
      <c r="BP324" s="117"/>
    </row>
    <row r="325" spans="36:68">
      <c r="AK325" s="87"/>
      <c r="AL325" s="48"/>
      <c r="AM325" s="87"/>
      <c r="AN325" s="48"/>
      <c r="AO325" s="48"/>
      <c r="AP325" s="48"/>
      <c r="AQ325" s="48"/>
      <c r="AR325" s="66"/>
      <c r="AS325" s="66"/>
      <c r="AT325" s="48"/>
      <c r="AU325" s="66"/>
      <c r="AV325" s="48"/>
      <c r="AW325" s="67"/>
      <c r="AX325" s="48"/>
      <c r="AY325" s="48"/>
      <c r="AZ325" s="48"/>
      <c r="BA325" s="68"/>
      <c r="BB325" s="48"/>
      <c r="BC325" s="48"/>
      <c r="BD325" s="68"/>
      <c r="BE325" s="48"/>
      <c r="BF325" s="48"/>
      <c r="BG325" s="88"/>
      <c r="BH325" s="48"/>
      <c r="BI325" s="48"/>
      <c r="BJ325" s="48"/>
      <c r="BK325" s="48"/>
      <c r="BL325" s="88"/>
      <c r="BM325" s="110" t="s">
        <v>80</v>
      </c>
      <c r="BN325" s="113">
        <f>BI326-BI282</f>
        <v>0</v>
      </c>
      <c r="BO325" s="112" t="e">
        <f>(BN325)/BI282</f>
        <v>#DIV/0!</v>
      </c>
      <c r="BP325" s="117"/>
    </row>
    <row r="326" spans="36:68">
      <c r="AK326" s="87"/>
      <c r="AL326" s="48"/>
      <c r="AM326" s="491"/>
      <c r="AN326" s="48"/>
      <c r="AO326" s="48"/>
      <c r="AP326" s="48"/>
      <c r="AQ326" s="48"/>
      <c r="AR326" s="66"/>
      <c r="AS326" s="66"/>
      <c r="AT326" s="48"/>
      <c r="AU326" s="66"/>
      <c r="AV326" s="48"/>
      <c r="AW326" s="67"/>
      <c r="AX326" s="48"/>
      <c r="AY326" s="48"/>
      <c r="AZ326" s="48"/>
      <c r="BA326" s="68"/>
      <c r="BB326" s="48"/>
      <c r="BC326" s="48"/>
      <c r="BD326" s="68"/>
      <c r="BE326" s="48"/>
      <c r="BF326" s="48"/>
      <c r="BG326" s="88"/>
      <c r="BH326" s="79"/>
      <c r="BI326" s="81"/>
      <c r="BJ326" s="48"/>
      <c r="BK326" s="76"/>
      <c r="BL326" s="88"/>
      <c r="BM326" s="110"/>
      <c r="BN326" s="109"/>
      <c r="BO326" s="109"/>
      <c r="BP326" s="117"/>
    </row>
    <row r="327" spans="36:68">
      <c r="AK327" s="87"/>
      <c r="AL327" s="48"/>
      <c r="AM327" s="87"/>
      <c r="AN327" s="48"/>
      <c r="AO327" s="48"/>
      <c r="AP327" s="48"/>
      <c r="AQ327" s="48"/>
      <c r="AR327" s="66"/>
      <c r="AS327" s="66"/>
      <c r="AT327" s="48"/>
      <c r="AU327" s="66"/>
      <c r="AV327" s="48"/>
      <c r="AW327" s="67"/>
      <c r="AX327" s="48"/>
      <c r="AY327" s="48"/>
      <c r="AZ327" s="48"/>
      <c r="BA327" s="68"/>
      <c r="BB327" s="48"/>
      <c r="BC327" s="48"/>
      <c r="BD327" s="68"/>
      <c r="BE327" s="48"/>
      <c r="BF327" s="48"/>
      <c r="BG327" s="88"/>
      <c r="BH327" s="80"/>
      <c r="BI327" s="82"/>
      <c r="BJ327" s="48"/>
      <c r="BK327" s="76"/>
      <c r="BL327" s="88"/>
      <c r="BM327" s="110" t="s">
        <v>77</v>
      </c>
      <c r="BN327" s="113">
        <f>BI328-BI284</f>
        <v>0</v>
      </c>
      <c r="BO327" s="112" t="e">
        <f>(BN327)/BI284</f>
        <v>#DIV/0!</v>
      </c>
      <c r="BP327" s="117"/>
    </row>
    <row r="328" spans="36:68" ht="15.75" thickBot="1">
      <c r="AK328" s="89"/>
      <c r="AL328" s="90"/>
      <c r="AM328" s="89"/>
      <c r="AN328" s="90"/>
      <c r="AO328" s="90"/>
      <c r="AP328" s="90"/>
      <c r="AQ328" s="90"/>
      <c r="AR328" s="472"/>
      <c r="AS328" s="472"/>
      <c r="AT328" s="90"/>
      <c r="AU328" s="472"/>
      <c r="AV328" s="90"/>
      <c r="AW328" s="473"/>
      <c r="AX328" s="90"/>
      <c r="AY328" s="90"/>
      <c r="AZ328" s="90"/>
      <c r="BA328" s="474"/>
      <c r="BB328" s="90"/>
      <c r="BC328" s="90"/>
      <c r="BD328" s="474"/>
      <c r="BE328" s="90"/>
      <c r="BF328" s="90"/>
      <c r="BG328" s="94"/>
      <c r="BH328" s="91"/>
      <c r="BI328" s="92"/>
      <c r="BJ328" s="90"/>
      <c r="BK328" s="93"/>
      <c r="BL328" s="94"/>
      <c r="BM328" s="99"/>
      <c r="BN328" s="100"/>
      <c r="BO328" s="100"/>
      <c r="BP328" s="117"/>
    </row>
    <row r="329" spans="36:68" hidden="1">
      <c r="AK329" s="48"/>
      <c r="AL329" s="48"/>
      <c r="AM329" s="87"/>
      <c r="AN329" s="48"/>
      <c r="AO329" s="48"/>
      <c r="AP329" s="48"/>
      <c r="AQ329" s="48"/>
      <c r="AR329" s="66"/>
      <c r="AS329" s="66"/>
      <c r="AT329" s="48"/>
      <c r="AU329" s="66"/>
      <c r="AV329" s="48"/>
      <c r="AW329" s="67"/>
      <c r="AX329" s="48"/>
      <c r="AY329" s="48"/>
      <c r="AZ329" s="48"/>
      <c r="BA329" s="68"/>
      <c r="BB329" s="48"/>
      <c r="BC329" s="48"/>
      <c r="BD329" s="68"/>
      <c r="BE329" s="48"/>
      <c r="BF329" s="48"/>
      <c r="BG329" s="88"/>
      <c r="BH329" s="79"/>
      <c r="BI329" s="81"/>
      <c r="BJ329" s="48"/>
      <c r="BK329" s="76"/>
      <c r="BL329" s="48"/>
      <c r="BM329" s="99"/>
      <c r="BN329" s="100"/>
      <c r="BO329" s="100"/>
      <c r="BP329" s="114" t="str">
        <f ca="1">IF(BJ233="","",IF(BP329="",NOW(),BP329))</f>
        <v/>
      </c>
    </row>
    <row r="330" spans="36:68" s="2" customFormat="1" hidden="1">
      <c r="AJ330" s="123"/>
      <c r="AK330" s="48"/>
      <c r="AL330" s="48"/>
      <c r="AM330" s="87"/>
      <c r="AN330" s="48"/>
      <c r="AO330" s="48"/>
      <c r="AP330" s="48"/>
      <c r="AQ330" s="48"/>
      <c r="AR330" s="66"/>
      <c r="AS330" s="66"/>
      <c r="AT330" s="48"/>
      <c r="AU330" s="66"/>
      <c r="AV330" s="48"/>
      <c r="AW330" s="67"/>
      <c r="AX330" s="48"/>
      <c r="AY330" s="48"/>
      <c r="AZ330" s="48"/>
      <c r="BA330" s="68"/>
      <c r="BB330" s="48"/>
      <c r="BC330" s="48"/>
      <c r="BD330" s="68"/>
      <c r="BE330" s="48"/>
      <c r="BF330" s="48"/>
      <c r="BG330" s="88"/>
      <c r="BH330" s="79"/>
      <c r="BI330" s="81"/>
      <c r="BJ330" s="48"/>
      <c r="BK330" s="76"/>
      <c r="BL330" s="48"/>
      <c r="BM330" s="99"/>
      <c r="BN330" s="100"/>
      <c r="BO330" s="100"/>
      <c r="BP330" s="114"/>
    </row>
    <row r="331" spans="36:68" s="2" customFormat="1" hidden="1">
      <c r="AJ331" s="123"/>
      <c r="AK331" s="48"/>
      <c r="AL331" s="48"/>
      <c r="AM331" s="87"/>
      <c r="AN331" s="48"/>
      <c r="AO331" s="48"/>
      <c r="AP331" s="48"/>
      <c r="AQ331" s="48"/>
      <c r="AR331" s="66"/>
      <c r="AS331" s="66"/>
      <c r="AT331" s="48"/>
      <c r="AU331" s="66"/>
      <c r="AV331" s="48"/>
      <c r="AW331" s="67"/>
      <c r="AX331" s="48"/>
      <c r="AY331" s="48"/>
      <c r="AZ331" s="48"/>
      <c r="BA331" s="68"/>
      <c r="BB331" s="48"/>
      <c r="BC331" s="48"/>
      <c r="BD331" s="68"/>
      <c r="BE331" s="48"/>
      <c r="BF331" s="48"/>
      <c r="BG331" s="88"/>
      <c r="BH331" s="79"/>
      <c r="BI331" s="81"/>
      <c r="BJ331" s="48"/>
      <c r="BK331" s="76"/>
      <c r="BL331" s="48"/>
      <c r="BM331" s="99"/>
      <c r="BN331" s="100"/>
      <c r="BO331" s="100"/>
      <c r="BP331" s="114"/>
    </row>
    <row r="332" spans="36:68" s="2" customFormat="1" hidden="1">
      <c r="AJ332" s="123"/>
      <c r="AK332" s="48"/>
      <c r="AL332" s="48"/>
      <c r="AM332" s="87"/>
      <c r="AN332" s="48"/>
      <c r="AO332" s="48"/>
      <c r="AP332" s="48"/>
      <c r="AQ332" s="48"/>
      <c r="AR332" s="66"/>
      <c r="AS332" s="66"/>
      <c r="AT332" s="48"/>
      <c r="AU332" s="66"/>
      <c r="AV332" s="48"/>
      <c r="AW332" s="67"/>
      <c r="AX332" s="48"/>
      <c r="AY332" s="48"/>
      <c r="AZ332" s="48"/>
      <c r="BA332" s="68"/>
      <c r="BB332" s="48"/>
      <c r="BC332" s="48"/>
      <c r="BD332" s="68"/>
      <c r="BE332" s="48"/>
      <c r="BF332" s="48"/>
      <c r="BG332" s="88"/>
      <c r="BH332" s="79"/>
      <c r="BI332" s="81"/>
      <c r="BJ332" s="48"/>
      <c r="BK332" s="76"/>
      <c r="BL332" s="48"/>
      <c r="BM332" s="99"/>
      <c r="BN332" s="100"/>
      <c r="BO332" s="100"/>
      <c r="BP332" s="114"/>
    </row>
    <row r="333" spans="36:68" s="2" customFormat="1" hidden="1">
      <c r="AJ333" s="123"/>
      <c r="AK333" s="48"/>
      <c r="AL333" s="48"/>
      <c r="AM333" s="87"/>
      <c r="AN333" s="48"/>
      <c r="AO333" s="48"/>
      <c r="AP333" s="48"/>
      <c r="AQ333" s="48"/>
      <c r="AR333" s="66"/>
      <c r="AS333" s="66"/>
      <c r="AT333" s="48"/>
      <c r="AU333" s="66"/>
      <c r="AV333" s="48"/>
      <c r="AW333" s="67"/>
      <c r="AX333" s="48"/>
      <c r="AY333" s="48"/>
      <c r="AZ333" s="48"/>
      <c r="BA333" s="68"/>
      <c r="BB333" s="48"/>
      <c r="BC333" s="48"/>
      <c r="BD333" s="68"/>
      <c r="BE333" s="48"/>
      <c r="BF333" s="48"/>
      <c r="BG333" s="88"/>
      <c r="BH333" s="79"/>
      <c r="BI333" s="81"/>
      <c r="BJ333" s="48"/>
      <c r="BK333" s="76"/>
      <c r="BL333" s="48"/>
      <c r="BM333" s="99"/>
      <c r="BN333" s="100"/>
      <c r="BO333" s="100"/>
      <c r="BP333" s="114"/>
    </row>
    <row r="334" spans="36:68" s="2" customFormat="1" hidden="1">
      <c r="AJ334" s="123"/>
      <c r="AK334" s="48"/>
      <c r="AL334" s="48"/>
      <c r="AM334" s="87"/>
      <c r="AN334" s="48"/>
      <c r="AO334" s="48"/>
      <c r="AP334" s="48"/>
      <c r="AQ334" s="48"/>
      <c r="AR334" s="66"/>
      <c r="AS334" s="66"/>
      <c r="AT334" s="48"/>
      <c r="AU334" s="66"/>
      <c r="AV334" s="48"/>
      <c r="AW334" s="67"/>
      <c r="AX334" s="48"/>
      <c r="AY334" s="48"/>
      <c r="AZ334" s="48"/>
      <c r="BA334" s="68"/>
      <c r="BB334" s="48"/>
      <c r="BC334" s="48"/>
      <c r="BD334" s="68"/>
      <c r="BE334" s="48"/>
      <c r="BF334" s="48"/>
      <c r="BG334" s="88"/>
      <c r="BH334" s="79"/>
      <c r="BI334" s="81"/>
      <c r="BJ334" s="48"/>
      <c r="BK334" s="76"/>
      <c r="BL334" s="48"/>
      <c r="BM334" s="99"/>
      <c r="BN334" s="100"/>
      <c r="BO334" s="100"/>
      <c r="BP334" s="114"/>
    </row>
    <row r="335" spans="36:68" s="2" customFormat="1" hidden="1">
      <c r="AJ335" s="123"/>
      <c r="AK335" s="48"/>
      <c r="AL335" s="48"/>
      <c r="AM335" s="87"/>
      <c r="AN335" s="48"/>
      <c r="AO335" s="48"/>
      <c r="AP335" s="48"/>
      <c r="AQ335" s="48"/>
      <c r="AR335" s="66"/>
      <c r="AS335" s="66"/>
      <c r="AT335" s="48"/>
      <c r="AU335" s="66"/>
      <c r="AV335" s="48"/>
      <c r="AW335" s="67"/>
      <c r="AX335" s="48"/>
      <c r="AY335" s="48"/>
      <c r="AZ335" s="48"/>
      <c r="BA335" s="68"/>
      <c r="BB335" s="48"/>
      <c r="BC335" s="48"/>
      <c r="BD335" s="68"/>
      <c r="BE335" s="48"/>
      <c r="BF335" s="48"/>
      <c r="BG335" s="88"/>
      <c r="BH335" s="79"/>
      <c r="BI335" s="81"/>
      <c r="BJ335" s="48"/>
      <c r="BK335" s="76"/>
      <c r="BL335" s="48"/>
      <c r="BM335" s="99"/>
      <c r="BN335" s="100"/>
      <c r="BO335" s="100"/>
      <c r="BP335" s="114"/>
    </row>
    <row r="336" spans="36:68" s="2" customFormat="1" hidden="1">
      <c r="AJ336" s="123"/>
      <c r="AK336" s="48"/>
      <c r="AL336" s="48"/>
      <c r="AM336" s="87"/>
      <c r="AN336" s="48"/>
      <c r="AO336" s="48"/>
      <c r="AP336" s="48"/>
      <c r="AQ336" s="48"/>
      <c r="AR336" s="66"/>
      <c r="AS336" s="66"/>
      <c r="AT336" s="48"/>
      <c r="AU336" s="66"/>
      <c r="AV336" s="48"/>
      <c r="AW336" s="67"/>
      <c r="AX336" s="48"/>
      <c r="AY336" s="48"/>
      <c r="AZ336" s="48"/>
      <c r="BA336" s="68"/>
      <c r="BB336" s="48"/>
      <c r="BC336" s="48"/>
      <c r="BD336" s="68"/>
      <c r="BE336" s="48"/>
      <c r="BF336" s="48"/>
      <c r="BG336" s="88"/>
      <c r="BH336" s="79"/>
      <c r="BI336" s="81"/>
      <c r="BJ336" s="48"/>
      <c r="BK336" s="76"/>
      <c r="BL336" s="48"/>
      <c r="BM336" s="99"/>
      <c r="BN336" s="100"/>
      <c r="BO336" s="100"/>
      <c r="BP336" s="114"/>
    </row>
    <row r="337" spans="36:68" s="2" customFormat="1" hidden="1">
      <c r="AJ337" s="123"/>
      <c r="AK337" s="48"/>
      <c r="AL337" s="48"/>
      <c r="AM337" s="87"/>
      <c r="AN337" s="48"/>
      <c r="AO337" s="48"/>
      <c r="AP337" s="48"/>
      <c r="AQ337" s="48"/>
      <c r="AR337" s="66"/>
      <c r="AS337" s="66"/>
      <c r="AT337" s="48"/>
      <c r="AU337" s="66"/>
      <c r="AV337" s="48"/>
      <c r="AW337" s="67"/>
      <c r="AX337" s="48"/>
      <c r="AY337" s="48"/>
      <c r="AZ337" s="48"/>
      <c r="BA337" s="68"/>
      <c r="BB337" s="48"/>
      <c r="BC337" s="48"/>
      <c r="BD337" s="68"/>
      <c r="BE337" s="48"/>
      <c r="BF337" s="48"/>
      <c r="BG337" s="88"/>
      <c r="BH337" s="79"/>
      <c r="BI337" s="81"/>
      <c r="BJ337" s="48"/>
      <c r="BK337" s="76"/>
      <c r="BL337" s="48"/>
      <c r="BM337" s="99"/>
      <c r="BN337" s="100"/>
      <c r="BO337" s="100"/>
      <c r="BP337" s="114"/>
    </row>
    <row r="338" spans="36:68" s="2" customFormat="1" hidden="1">
      <c r="AJ338" s="123"/>
      <c r="AK338" s="48"/>
      <c r="AL338" s="48"/>
      <c r="AM338" s="87"/>
      <c r="AN338" s="48"/>
      <c r="AO338" s="48"/>
      <c r="AP338" s="48"/>
      <c r="AQ338" s="48"/>
      <c r="AR338" s="66"/>
      <c r="AS338" s="66"/>
      <c r="AT338" s="48"/>
      <c r="AU338" s="66"/>
      <c r="AV338" s="48"/>
      <c r="AW338" s="67"/>
      <c r="AX338" s="48"/>
      <c r="AY338" s="48"/>
      <c r="AZ338" s="48"/>
      <c r="BA338" s="68"/>
      <c r="BB338" s="48"/>
      <c r="BC338" s="48"/>
      <c r="BD338" s="68"/>
      <c r="BE338" s="48"/>
      <c r="BF338" s="48"/>
      <c r="BG338" s="88"/>
      <c r="BH338" s="79"/>
      <c r="BI338" s="81"/>
      <c r="BJ338" s="48"/>
      <c r="BK338" s="76"/>
      <c r="BL338" s="48"/>
      <c r="BM338" s="99"/>
      <c r="BN338" s="100"/>
      <c r="BO338" s="100"/>
      <c r="BP338" s="114"/>
    </row>
    <row r="339" spans="36:68" s="2" customFormat="1" hidden="1">
      <c r="AJ339" s="123"/>
      <c r="AK339" s="48"/>
      <c r="AL339" s="48"/>
      <c r="AM339" s="87"/>
      <c r="AN339" s="48"/>
      <c r="AO339" s="48"/>
      <c r="AP339" s="48"/>
      <c r="AQ339" s="48"/>
      <c r="AR339" s="66"/>
      <c r="AS339" s="66"/>
      <c r="AT339" s="48"/>
      <c r="AU339" s="66"/>
      <c r="AV339" s="48"/>
      <c r="AW339" s="67"/>
      <c r="AX339" s="48"/>
      <c r="AY339" s="48"/>
      <c r="AZ339" s="48"/>
      <c r="BA339" s="68"/>
      <c r="BB339" s="48"/>
      <c r="BC339" s="48"/>
      <c r="BD339" s="68"/>
      <c r="BE339" s="48"/>
      <c r="BF339" s="48"/>
      <c r="BG339" s="88"/>
      <c r="BH339" s="79"/>
      <c r="BI339" s="81"/>
      <c r="BJ339" s="48"/>
      <c r="BK339" s="76"/>
      <c r="BL339" s="48"/>
      <c r="BM339" s="99"/>
      <c r="BN339" s="100"/>
      <c r="BO339" s="100"/>
      <c r="BP339" s="114"/>
    </row>
    <row r="340" spans="36:68" s="2" customFormat="1" hidden="1">
      <c r="AJ340" s="123"/>
      <c r="AK340" s="48"/>
      <c r="AL340" s="48"/>
      <c r="AM340" s="87"/>
      <c r="AN340" s="48"/>
      <c r="AO340" s="48"/>
      <c r="AP340" s="48"/>
      <c r="AQ340" s="48"/>
      <c r="AR340" s="66"/>
      <c r="AS340" s="66"/>
      <c r="AT340" s="48"/>
      <c r="AU340" s="66"/>
      <c r="AV340" s="48"/>
      <c r="AW340" s="67"/>
      <c r="AX340" s="48"/>
      <c r="AY340" s="48"/>
      <c r="AZ340" s="48"/>
      <c r="BA340" s="68"/>
      <c r="BB340" s="48"/>
      <c r="BC340" s="48"/>
      <c r="BD340" s="68"/>
      <c r="BE340" s="48"/>
      <c r="BF340" s="48"/>
      <c r="BG340" s="88"/>
      <c r="BH340" s="79"/>
      <c r="BI340" s="81"/>
      <c r="BJ340" s="48"/>
      <c r="BK340" s="76"/>
      <c r="BL340" s="48"/>
      <c r="BM340" s="99"/>
      <c r="BN340" s="100"/>
      <c r="BO340" s="100"/>
      <c r="BP340" s="114"/>
    </row>
    <row r="341" spans="36:68" s="2" customFormat="1" hidden="1">
      <c r="AJ341" s="123"/>
      <c r="AK341" s="48"/>
      <c r="AL341" s="48"/>
      <c r="AM341" s="87"/>
      <c r="AN341" s="48"/>
      <c r="AO341" s="48"/>
      <c r="AP341" s="48"/>
      <c r="AQ341" s="48"/>
      <c r="AR341" s="66"/>
      <c r="AS341" s="66"/>
      <c r="AT341" s="48"/>
      <c r="AU341" s="66"/>
      <c r="AV341" s="48"/>
      <c r="AW341" s="67"/>
      <c r="AX341" s="48"/>
      <c r="AY341" s="48"/>
      <c r="AZ341" s="48"/>
      <c r="BA341" s="68"/>
      <c r="BB341" s="48"/>
      <c r="BC341" s="48"/>
      <c r="BD341" s="68"/>
      <c r="BE341" s="48"/>
      <c r="BF341" s="48"/>
      <c r="BG341" s="88"/>
      <c r="BH341" s="79"/>
      <c r="BI341" s="81"/>
      <c r="BJ341" s="48"/>
      <c r="BK341" s="76"/>
      <c r="BL341" s="48"/>
      <c r="BM341" s="99"/>
      <c r="BN341" s="100"/>
      <c r="BO341" s="100"/>
      <c r="BP341" s="114"/>
    </row>
    <row r="342" spans="36:68" s="2" customFormat="1" hidden="1">
      <c r="AJ342" s="123"/>
      <c r="AK342" s="48"/>
      <c r="AL342" s="48"/>
      <c r="AM342" s="87"/>
      <c r="AN342" s="48"/>
      <c r="AO342" s="48"/>
      <c r="AP342" s="48"/>
      <c r="AQ342" s="48"/>
      <c r="AR342" s="66"/>
      <c r="AS342" s="66"/>
      <c r="AT342" s="48"/>
      <c r="AU342" s="66"/>
      <c r="AV342" s="48"/>
      <c r="AW342" s="67"/>
      <c r="AX342" s="48"/>
      <c r="AY342" s="48"/>
      <c r="AZ342" s="48"/>
      <c r="BA342" s="68"/>
      <c r="BB342" s="48"/>
      <c r="BC342" s="48"/>
      <c r="BD342" s="68"/>
      <c r="BE342" s="48"/>
      <c r="BF342" s="48"/>
      <c r="BG342" s="88"/>
      <c r="BH342" s="79"/>
      <c r="BI342" s="81"/>
      <c r="BJ342" s="48"/>
      <c r="BK342" s="76"/>
      <c r="BL342" s="48"/>
      <c r="BM342" s="99"/>
      <c r="BN342" s="100"/>
      <c r="BO342" s="100"/>
      <c r="BP342" s="114"/>
    </row>
    <row r="343" spans="36:68" s="2" customFormat="1" hidden="1">
      <c r="AJ343" s="123"/>
      <c r="AK343" s="48"/>
      <c r="AL343" s="48"/>
      <c r="AM343" s="87"/>
      <c r="AN343" s="48"/>
      <c r="AO343" s="48"/>
      <c r="AP343" s="48"/>
      <c r="AQ343" s="48"/>
      <c r="AR343" s="66"/>
      <c r="AS343" s="66"/>
      <c r="AT343" s="48"/>
      <c r="AU343" s="66"/>
      <c r="AV343" s="48"/>
      <c r="AW343" s="67"/>
      <c r="AX343" s="48"/>
      <c r="AY343" s="48"/>
      <c r="AZ343" s="48"/>
      <c r="BA343" s="68"/>
      <c r="BB343" s="48"/>
      <c r="BC343" s="48"/>
      <c r="BD343" s="68"/>
      <c r="BE343" s="48"/>
      <c r="BF343" s="48"/>
      <c r="BG343" s="88"/>
      <c r="BH343" s="79"/>
      <c r="BI343" s="81"/>
      <c r="BJ343" s="48"/>
      <c r="BK343" s="76"/>
      <c r="BL343" s="48"/>
      <c r="BM343" s="99"/>
      <c r="BN343" s="100"/>
      <c r="BO343" s="100"/>
      <c r="BP343" s="114"/>
    </row>
    <row r="344" spans="36:68" s="2" customFormat="1" hidden="1">
      <c r="AJ344" s="123"/>
      <c r="AK344" s="48"/>
      <c r="AL344" s="48"/>
      <c r="AM344" s="87"/>
      <c r="AN344" s="48"/>
      <c r="AO344" s="48"/>
      <c r="AP344" s="48"/>
      <c r="AQ344" s="48"/>
      <c r="AR344" s="66"/>
      <c r="AS344" s="66"/>
      <c r="AT344" s="48"/>
      <c r="AU344" s="66"/>
      <c r="AV344" s="48"/>
      <c r="AW344" s="67"/>
      <c r="AX344" s="48"/>
      <c r="AY344" s="48"/>
      <c r="AZ344" s="48"/>
      <c r="BA344" s="68"/>
      <c r="BB344" s="48"/>
      <c r="BC344" s="48"/>
      <c r="BD344" s="68"/>
      <c r="BE344" s="48"/>
      <c r="BF344" s="48"/>
      <c r="BG344" s="88"/>
      <c r="BH344" s="79"/>
      <c r="BI344" s="81"/>
      <c r="BJ344" s="48"/>
      <c r="BK344" s="76"/>
      <c r="BL344" s="48"/>
      <c r="BM344" s="99"/>
      <c r="BN344" s="100"/>
      <c r="BO344" s="100"/>
      <c r="BP344" s="114"/>
    </row>
    <row r="345" spans="36:68" s="2" customFormat="1" hidden="1">
      <c r="AJ345" s="123"/>
      <c r="AK345" s="48"/>
      <c r="AL345" s="48"/>
      <c r="AM345" s="87"/>
      <c r="AN345" s="48"/>
      <c r="AO345" s="48"/>
      <c r="AP345" s="48"/>
      <c r="AQ345" s="48"/>
      <c r="AR345" s="66"/>
      <c r="AS345" s="66"/>
      <c r="AT345" s="48"/>
      <c r="AU345" s="66"/>
      <c r="AV345" s="48"/>
      <c r="AW345" s="67"/>
      <c r="AX345" s="48"/>
      <c r="AY345" s="48"/>
      <c r="AZ345" s="48"/>
      <c r="BA345" s="68"/>
      <c r="BB345" s="48"/>
      <c r="BC345" s="48"/>
      <c r="BD345" s="68"/>
      <c r="BE345" s="48"/>
      <c r="BF345" s="48"/>
      <c r="BG345" s="88"/>
      <c r="BH345" s="79"/>
      <c r="BI345" s="81"/>
      <c r="BJ345" s="48"/>
      <c r="BK345" s="76"/>
      <c r="BL345" s="48"/>
      <c r="BM345" s="99"/>
      <c r="BN345" s="100"/>
      <c r="BO345" s="100"/>
      <c r="BP345" s="114"/>
    </row>
    <row r="346" spans="36:68" s="2" customFormat="1" hidden="1">
      <c r="AJ346" s="123"/>
      <c r="AK346" s="48"/>
      <c r="AL346" s="48"/>
      <c r="AM346" s="87"/>
      <c r="AN346" s="48"/>
      <c r="AO346" s="48"/>
      <c r="AP346" s="48"/>
      <c r="AQ346" s="48"/>
      <c r="AR346" s="66"/>
      <c r="AS346" s="66"/>
      <c r="AT346" s="48"/>
      <c r="AU346" s="66"/>
      <c r="AV346" s="48"/>
      <c r="AW346" s="67"/>
      <c r="AX346" s="48"/>
      <c r="AY346" s="48"/>
      <c r="AZ346" s="48"/>
      <c r="BA346" s="68"/>
      <c r="BB346" s="48"/>
      <c r="BC346" s="48"/>
      <c r="BD346" s="68"/>
      <c r="BE346" s="48"/>
      <c r="BF346" s="48"/>
      <c r="BG346" s="88"/>
      <c r="BH346" s="79"/>
      <c r="BI346" s="81"/>
      <c r="BJ346" s="48"/>
      <c r="BK346" s="76"/>
      <c r="BL346" s="48"/>
      <c r="BM346" s="99"/>
      <c r="BN346" s="100"/>
      <c r="BO346" s="100"/>
      <c r="BP346" s="114"/>
    </row>
    <row r="347" spans="36:68" s="2" customFormat="1" hidden="1">
      <c r="AJ347" s="123"/>
      <c r="AK347" s="48"/>
      <c r="AL347" s="48"/>
      <c r="AM347" s="87"/>
      <c r="AN347" s="48"/>
      <c r="AO347" s="48"/>
      <c r="AP347" s="48"/>
      <c r="AQ347" s="48"/>
      <c r="AR347" s="66"/>
      <c r="AS347" s="66"/>
      <c r="AT347" s="48"/>
      <c r="AU347" s="66"/>
      <c r="AV347" s="48"/>
      <c r="AW347" s="67"/>
      <c r="AX347" s="48"/>
      <c r="AY347" s="48"/>
      <c r="AZ347" s="48"/>
      <c r="BA347" s="68"/>
      <c r="BB347" s="48"/>
      <c r="BC347" s="48"/>
      <c r="BD347" s="68"/>
      <c r="BE347" s="48"/>
      <c r="BF347" s="48"/>
      <c r="BG347" s="88"/>
      <c r="BH347" s="79"/>
      <c r="BI347" s="81"/>
      <c r="BJ347" s="48"/>
      <c r="BK347" s="76"/>
      <c r="BL347" s="48"/>
      <c r="BM347" s="99"/>
      <c r="BN347" s="100"/>
      <c r="BO347" s="100"/>
      <c r="BP347" s="114"/>
    </row>
    <row r="348" spans="36:68" s="2" customFormat="1" hidden="1">
      <c r="AJ348" s="123"/>
      <c r="AK348" s="48"/>
      <c r="AL348" s="48"/>
      <c r="AM348" s="87"/>
      <c r="AN348" s="48"/>
      <c r="AO348" s="48"/>
      <c r="AP348" s="48"/>
      <c r="AQ348" s="48"/>
      <c r="AR348" s="66"/>
      <c r="AS348" s="66"/>
      <c r="AT348" s="48"/>
      <c r="AU348" s="66"/>
      <c r="AV348" s="48"/>
      <c r="AW348" s="67"/>
      <c r="AX348" s="48"/>
      <c r="AY348" s="48"/>
      <c r="AZ348" s="48"/>
      <c r="BA348" s="68"/>
      <c r="BB348" s="48"/>
      <c r="BC348" s="48"/>
      <c r="BD348" s="68"/>
      <c r="BE348" s="48"/>
      <c r="BF348" s="48"/>
      <c r="BG348" s="88"/>
      <c r="BH348" s="79"/>
      <c r="BI348" s="81"/>
      <c r="BJ348" s="48"/>
      <c r="BK348" s="76"/>
      <c r="BL348" s="48"/>
      <c r="BM348" s="99"/>
      <c r="BN348" s="100"/>
      <c r="BO348" s="100"/>
      <c r="BP348" s="114"/>
    </row>
    <row r="349" spans="36:68" s="2" customFormat="1" hidden="1">
      <c r="AJ349" s="123"/>
      <c r="AK349" s="48"/>
      <c r="AL349" s="48"/>
      <c r="AM349" s="87"/>
      <c r="AN349" s="48"/>
      <c r="AO349" s="48"/>
      <c r="AP349" s="48"/>
      <c r="AQ349" s="48"/>
      <c r="AR349" s="66"/>
      <c r="AS349" s="66"/>
      <c r="AT349" s="48"/>
      <c r="AU349" s="66"/>
      <c r="AV349" s="48"/>
      <c r="AW349" s="67"/>
      <c r="AX349" s="48"/>
      <c r="AY349" s="48"/>
      <c r="AZ349" s="48"/>
      <c r="BA349" s="68"/>
      <c r="BB349" s="48"/>
      <c r="BC349" s="48"/>
      <c r="BD349" s="68"/>
      <c r="BE349" s="48"/>
      <c r="BF349" s="48"/>
      <c r="BG349" s="88"/>
      <c r="BH349" s="79"/>
      <c r="BI349" s="81"/>
      <c r="BJ349" s="48"/>
      <c r="BK349" s="76"/>
      <c r="BL349" s="48"/>
      <c r="BM349" s="99"/>
      <c r="BN349" s="100"/>
      <c r="BO349" s="100"/>
      <c r="BP349" s="114"/>
    </row>
    <row r="350" spans="36:68" s="2" customFormat="1" hidden="1">
      <c r="AJ350" s="123"/>
      <c r="AK350" s="48"/>
      <c r="AL350" s="48"/>
      <c r="AM350" s="87"/>
      <c r="AN350" s="48"/>
      <c r="AO350" s="48"/>
      <c r="AP350" s="48"/>
      <c r="AQ350" s="48"/>
      <c r="AR350" s="66"/>
      <c r="AS350" s="66"/>
      <c r="AT350" s="48"/>
      <c r="AU350" s="66"/>
      <c r="AV350" s="48"/>
      <c r="AW350" s="67"/>
      <c r="AX350" s="48"/>
      <c r="AY350" s="48"/>
      <c r="AZ350" s="48"/>
      <c r="BA350" s="68"/>
      <c r="BB350" s="48"/>
      <c r="BC350" s="48"/>
      <c r="BD350" s="68"/>
      <c r="BE350" s="48"/>
      <c r="BF350" s="48"/>
      <c r="BG350" s="88"/>
      <c r="BH350" s="79"/>
      <c r="BI350" s="81"/>
      <c r="BJ350" s="48"/>
      <c r="BK350" s="76"/>
      <c r="BL350" s="48"/>
      <c r="BM350" s="99"/>
      <c r="BN350" s="100"/>
      <c r="BO350" s="100"/>
      <c r="BP350" s="114"/>
    </row>
    <row r="351" spans="36:68" s="2" customFormat="1" hidden="1">
      <c r="AJ351" s="123"/>
      <c r="AK351" s="48"/>
      <c r="AL351" s="48"/>
      <c r="AM351" s="87"/>
      <c r="AN351" s="48"/>
      <c r="AO351" s="48"/>
      <c r="AP351" s="48"/>
      <c r="AQ351" s="48"/>
      <c r="AR351" s="66"/>
      <c r="AS351" s="66"/>
      <c r="AT351" s="48"/>
      <c r="AU351" s="66"/>
      <c r="AV351" s="48"/>
      <c r="AW351" s="67"/>
      <c r="AX351" s="48"/>
      <c r="AY351" s="48"/>
      <c r="AZ351" s="48"/>
      <c r="BA351" s="68"/>
      <c r="BB351" s="48"/>
      <c r="BC351" s="48"/>
      <c r="BD351" s="68"/>
      <c r="BE351" s="48"/>
      <c r="BF351" s="48"/>
      <c r="BG351" s="88"/>
      <c r="BH351" s="79"/>
      <c r="BI351" s="81"/>
      <c r="BJ351" s="48"/>
      <c r="BK351" s="76"/>
      <c r="BL351" s="48"/>
      <c r="BM351" s="99"/>
      <c r="BN351" s="100"/>
      <c r="BO351" s="100"/>
      <c r="BP351" s="114"/>
    </row>
    <row r="352" spans="36:68" s="2" customFormat="1" hidden="1">
      <c r="AJ352" s="123"/>
      <c r="AK352" s="48"/>
      <c r="AL352" s="48"/>
      <c r="AM352" s="87"/>
      <c r="AN352" s="48"/>
      <c r="AO352" s="48"/>
      <c r="AP352" s="48"/>
      <c r="AQ352" s="48"/>
      <c r="AR352" s="66"/>
      <c r="AS352" s="66"/>
      <c r="AT352" s="48"/>
      <c r="AU352" s="66"/>
      <c r="AV352" s="48"/>
      <c r="AW352" s="67"/>
      <c r="AX352" s="48"/>
      <c r="AY352" s="48"/>
      <c r="AZ352" s="48"/>
      <c r="BA352" s="68"/>
      <c r="BB352" s="48"/>
      <c r="BC352" s="48"/>
      <c r="BD352" s="68"/>
      <c r="BE352" s="48"/>
      <c r="BF352" s="48"/>
      <c r="BG352" s="88"/>
      <c r="BH352" s="79"/>
      <c r="BI352" s="81"/>
      <c r="BJ352" s="48"/>
      <c r="BK352" s="76"/>
      <c r="BL352" s="48"/>
      <c r="BM352" s="99"/>
      <c r="BN352" s="100"/>
      <c r="BO352" s="100"/>
      <c r="BP352" s="114"/>
    </row>
    <row r="353" spans="36:68" s="2" customFormat="1" hidden="1">
      <c r="AJ353" s="123"/>
      <c r="AK353" s="48"/>
      <c r="AL353" s="48"/>
      <c r="AM353" s="87"/>
      <c r="AN353" s="48"/>
      <c r="AO353" s="48"/>
      <c r="AP353" s="48"/>
      <c r="AQ353" s="48"/>
      <c r="AR353" s="66"/>
      <c r="AS353" s="66"/>
      <c r="AT353" s="48"/>
      <c r="AU353" s="66"/>
      <c r="AV353" s="48"/>
      <c r="AW353" s="67"/>
      <c r="AX353" s="48"/>
      <c r="AY353" s="48"/>
      <c r="AZ353" s="48"/>
      <c r="BA353" s="68"/>
      <c r="BB353" s="48"/>
      <c r="BC353" s="48"/>
      <c r="BD353" s="68"/>
      <c r="BE353" s="48"/>
      <c r="BF353" s="48"/>
      <c r="BG353" s="88"/>
      <c r="BH353" s="79"/>
      <c r="BI353" s="81"/>
      <c r="BJ353" s="48"/>
      <c r="BK353" s="76"/>
      <c r="BL353" s="48"/>
      <c r="BM353" s="99"/>
      <c r="BN353" s="100"/>
      <c r="BO353" s="100"/>
      <c r="BP353" s="114"/>
    </row>
    <row r="354" spans="36:68" s="2" customFormat="1" hidden="1">
      <c r="AJ354" s="123"/>
      <c r="AK354" s="48"/>
      <c r="AL354" s="48"/>
      <c r="AM354" s="87"/>
      <c r="AN354" s="48"/>
      <c r="AO354" s="48"/>
      <c r="AP354" s="48"/>
      <c r="AQ354" s="48"/>
      <c r="AR354" s="66"/>
      <c r="AS354" s="66"/>
      <c r="AT354" s="48"/>
      <c r="AU354" s="66"/>
      <c r="AV354" s="48"/>
      <c r="AW354" s="67"/>
      <c r="AX354" s="48"/>
      <c r="AY354" s="48"/>
      <c r="AZ354" s="48"/>
      <c r="BA354" s="68"/>
      <c r="BB354" s="48"/>
      <c r="BC354" s="48"/>
      <c r="BD354" s="68"/>
      <c r="BE354" s="48"/>
      <c r="BF354" s="48"/>
      <c r="BG354" s="88"/>
      <c r="BH354" s="79"/>
      <c r="BI354" s="81"/>
      <c r="BJ354" s="48"/>
      <c r="BK354" s="76"/>
      <c r="BL354" s="48"/>
      <c r="BM354" s="99"/>
      <c r="BN354" s="100"/>
      <c r="BO354" s="100"/>
      <c r="BP354" s="114"/>
    </row>
    <row r="355" spans="36:68" s="2" customFormat="1" hidden="1">
      <c r="AJ355" s="123"/>
      <c r="AK355" s="48"/>
      <c r="AL355" s="48"/>
      <c r="AM355" s="87"/>
      <c r="AN355" s="48"/>
      <c r="AO355" s="48"/>
      <c r="AP355" s="48"/>
      <c r="AQ355" s="48"/>
      <c r="AR355" s="66"/>
      <c r="AS355" s="66"/>
      <c r="AT355" s="48"/>
      <c r="AU355" s="66"/>
      <c r="AV355" s="48"/>
      <c r="AW355" s="67"/>
      <c r="AX355" s="48"/>
      <c r="AY355" s="48"/>
      <c r="AZ355" s="48"/>
      <c r="BA355" s="68"/>
      <c r="BB355" s="48"/>
      <c r="BC355" s="48"/>
      <c r="BD355" s="68"/>
      <c r="BE355" s="48"/>
      <c r="BF355" s="48"/>
      <c r="BG355" s="88"/>
      <c r="BH355" s="79"/>
      <c r="BI355" s="81"/>
      <c r="BJ355" s="48"/>
      <c r="BK355" s="76"/>
      <c r="BL355" s="48"/>
      <c r="BM355" s="99"/>
      <c r="BN355" s="100"/>
      <c r="BO355" s="100"/>
      <c r="BP355" s="114"/>
    </row>
    <row r="356" spans="36:68" s="2" customFormat="1" hidden="1">
      <c r="AJ356" s="123"/>
      <c r="AK356" s="48"/>
      <c r="AL356" s="48"/>
      <c r="AM356" s="87"/>
      <c r="AN356" s="48"/>
      <c r="AO356" s="48"/>
      <c r="AP356" s="48"/>
      <c r="AQ356" s="48"/>
      <c r="AR356" s="66"/>
      <c r="AS356" s="66"/>
      <c r="AT356" s="48"/>
      <c r="AU356" s="66"/>
      <c r="AV356" s="48"/>
      <c r="AW356" s="67"/>
      <c r="AX356" s="48"/>
      <c r="AY356" s="48"/>
      <c r="AZ356" s="48"/>
      <c r="BA356" s="68"/>
      <c r="BB356" s="48"/>
      <c r="BC356" s="48"/>
      <c r="BD356" s="68"/>
      <c r="BE356" s="48"/>
      <c r="BF356" s="48"/>
      <c r="BG356" s="88"/>
      <c r="BH356" s="79"/>
      <c r="BI356" s="81"/>
      <c r="BJ356" s="48"/>
      <c r="BK356" s="76"/>
      <c r="BL356" s="48"/>
      <c r="BM356" s="99"/>
      <c r="BN356" s="100"/>
      <c r="BO356" s="100"/>
      <c r="BP356" s="114"/>
    </row>
    <row r="357" spans="36:68" s="2" customFormat="1" hidden="1">
      <c r="AJ357" s="123"/>
      <c r="AK357" s="48"/>
      <c r="AL357" s="48"/>
      <c r="AM357" s="87"/>
      <c r="AN357" s="48"/>
      <c r="AO357" s="48"/>
      <c r="AP357" s="48"/>
      <c r="AQ357" s="48"/>
      <c r="AR357" s="66"/>
      <c r="AS357" s="66"/>
      <c r="AT357" s="48"/>
      <c r="AU357" s="66"/>
      <c r="AV357" s="48"/>
      <c r="AW357" s="67"/>
      <c r="AX357" s="48"/>
      <c r="AY357" s="48"/>
      <c r="AZ357" s="48"/>
      <c r="BA357" s="68"/>
      <c r="BB357" s="48"/>
      <c r="BC357" s="48"/>
      <c r="BD357" s="68"/>
      <c r="BE357" s="48"/>
      <c r="BF357" s="48"/>
      <c r="BG357" s="88"/>
      <c r="BH357" s="79"/>
      <c r="BI357" s="81"/>
      <c r="BJ357" s="48"/>
      <c r="BK357" s="76"/>
      <c r="BL357" s="48"/>
      <c r="BM357" s="99"/>
      <c r="BN357" s="100"/>
      <c r="BO357" s="100"/>
      <c r="BP357" s="114"/>
    </row>
    <row r="358" spans="36:68" s="2" customFormat="1" hidden="1">
      <c r="AJ358" s="123"/>
      <c r="AK358" s="48"/>
      <c r="AL358" s="48"/>
      <c r="AM358" s="87"/>
      <c r="AN358" s="48"/>
      <c r="AO358" s="48"/>
      <c r="AP358" s="48"/>
      <c r="AQ358" s="48"/>
      <c r="AR358" s="66"/>
      <c r="AS358" s="66"/>
      <c r="AT358" s="48"/>
      <c r="AU358" s="66"/>
      <c r="AV358" s="48"/>
      <c r="AW358" s="67"/>
      <c r="AX358" s="48"/>
      <c r="AY358" s="48"/>
      <c r="AZ358" s="48"/>
      <c r="BA358" s="68"/>
      <c r="BB358" s="48"/>
      <c r="BC358" s="48"/>
      <c r="BD358" s="68"/>
      <c r="BE358" s="48"/>
      <c r="BF358" s="48"/>
      <c r="BG358" s="88"/>
      <c r="BH358" s="79"/>
      <c r="BI358" s="81"/>
      <c r="BJ358" s="48"/>
      <c r="BK358" s="76"/>
      <c r="BL358" s="48"/>
      <c r="BM358" s="99"/>
      <c r="BN358" s="100"/>
      <c r="BO358" s="100"/>
      <c r="BP358" s="114"/>
    </row>
    <row r="359" spans="36:68" s="2" customFormat="1" hidden="1">
      <c r="AJ359" s="123"/>
      <c r="AK359" s="48"/>
      <c r="AL359" s="48"/>
      <c r="AM359" s="87"/>
      <c r="AN359" s="48"/>
      <c r="AO359" s="48"/>
      <c r="AP359" s="48"/>
      <c r="AQ359" s="48"/>
      <c r="AR359" s="66"/>
      <c r="AS359" s="66"/>
      <c r="AT359" s="48"/>
      <c r="AU359" s="66"/>
      <c r="AV359" s="48"/>
      <c r="AW359" s="67"/>
      <c r="AX359" s="48"/>
      <c r="AY359" s="48"/>
      <c r="AZ359" s="48"/>
      <c r="BA359" s="68"/>
      <c r="BB359" s="48"/>
      <c r="BC359" s="48"/>
      <c r="BD359" s="68"/>
      <c r="BE359" s="48"/>
      <c r="BF359" s="48"/>
      <c r="BG359" s="88"/>
      <c r="BH359" s="79"/>
      <c r="BI359" s="81"/>
      <c r="BJ359" s="48"/>
      <c r="BK359" s="76"/>
      <c r="BL359" s="48"/>
      <c r="BM359" s="99"/>
      <c r="BN359" s="100"/>
      <c r="BO359" s="100"/>
      <c r="BP359" s="114"/>
    </row>
    <row r="360" spans="36:68" s="2" customFormat="1" ht="15.75" hidden="1" thickBot="1">
      <c r="AJ360" s="123"/>
      <c r="AK360" s="48"/>
      <c r="AL360" s="48"/>
      <c r="AM360" s="89"/>
      <c r="AN360" s="90"/>
      <c r="AO360" s="90"/>
      <c r="AP360" s="90"/>
      <c r="AQ360" s="90"/>
      <c r="AR360" s="472"/>
      <c r="AS360" s="472"/>
      <c r="AT360" s="90"/>
      <c r="AU360" s="472"/>
      <c r="AV360" s="90"/>
      <c r="AW360" s="473"/>
      <c r="AX360" s="90"/>
      <c r="AY360" s="90"/>
      <c r="AZ360" s="90"/>
      <c r="BA360" s="474"/>
      <c r="BB360" s="90"/>
      <c r="BC360" s="90"/>
      <c r="BD360" s="474"/>
      <c r="BE360" s="90"/>
      <c r="BF360" s="90"/>
      <c r="BG360" s="94"/>
      <c r="BH360" s="79"/>
      <c r="BI360" s="81"/>
      <c r="BJ360" s="48"/>
      <c r="BK360" s="76"/>
      <c r="BL360" s="48"/>
      <c r="BM360" s="99"/>
      <c r="BN360" s="100"/>
      <c r="BO360" s="100"/>
      <c r="BP360" s="114"/>
    </row>
    <row r="361" spans="36:68" s="2" customFormat="1">
      <c r="AJ361" s="123"/>
      <c r="AK361" s="48"/>
      <c r="AL361" s="48"/>
      <c r="AM361" s="48"/>
      <c r="AN361" s="48"/>
      <c r="AO361" s="48"/>
      <c r="AP361" s="48"/>
      <c r="AQ361" s="48"/>
      <c r="AR361" s="66"/>
      <c r="AS361" s="66"/>
      <c r="AT361" s="48"/>
      <c r="AU361" s="66"/>
      <c r="AV361" s="48"/>
      <c r="AW361" s="67"/>
      <c r="AX361" s="48"/>
      <c r="AY361" s="48"/>
      <c r="AZ361" s="48"/>
      <c r="BA361" s="68"/>
      <c r="BB361" s="48"/>
      <c r="BC361" s="48"/>
      <c r="BD361" s="68"/>
      <c r="BE361" s="48"/>
      <c r="BF361" s="48"/>
      <c r="BG361" s="48"/>
      <c r="BH361" s="79"/>
      <c r="BI361" s="81"/>
      <c r="BJ361" s="48"/>
      <c r="BK361" s="76"/>
      <c r="BL361" s="48"/>
      <c r="BM361" s="99"/>
      <c r="BN361" s="100"/>
      <c r="BO361" s="100"/>
      <c r="BP361" s="114"/>
    </row>
    <row r="362" spans="36:68" s="2" customFormat="1">
      <c r="AJ362" s="123"/>
      <c r="AK362" s="48"/>
      <c r="AL362" s="48"/>
      <c r="AM362" s="48"/>
      <c r="AN362" s="48"/>
      <c r="AO362" s="48"/>
      <c r="AP362" s="48"/>
      <c r="AQ362" s="48"/>
      <c r="AR362" s="48"/>
      <c r="AS362" s="48"/>
      <c r="AT362" s="48"/>
      <c r="AU362" s="48"/>
      <c r="AV362" s="48"/>
      <c r="AW362" s="48"/>
      <c r="AX362" s="48"/>
      <c r="AY362" s="48"/>
      <c r="AZ362" s="48"/>
      <c r="BA362" s="48"/>
      <c r="BB362" s="48"/>
      <c r="BC362" s="48"/>
      <c r="BD362" s="48"/>
      <c r="BE362" s="48"/>
      <c r="BF362" s="48"/>
      <c r="BG362" s="48"/>
      <c r="BH362" s="79"/>
      <c r="BI362" s="81"/>
      <c r="BJ362" s="48"/>
      <c r="BK362" s="76"/>
      <c r="BL362" s="48"/>
      <c r="BM362" s="99"/>
      <c r="BN362" s="100"/>
      <c r="BO362" s="100"/>
      <c r="BP362" s="114"/>
    </row>
    <row r="363" spans="36:68" ht="15.75" thickBot="1">
      <c r="AK363" s="2"/>
      <c r="AL363" s="2"/>
      <c r="BH363" s="2"/>
      <c r="BI363" s="2"/>
      <c r="BJ363" s="2"/>
      <c r="BN363" s="2"/>
      <c r="BO363" s="2"/>
      <c r="BP363" s="117"/>
    </row>
    <row r="364" spans="36:68">
      <c r="AJ364" s="123">
        <v>8</v>
      </c>
      <c r="AK364" s="96"/>
      <c r="AL364" s="97"/>
      <c r="AM364" s="463"/>
      <c r="AN364" s="464"/>
      <c r="AO364" s="464"/>
      <c r="AP364" s="464"/>
      <c r="AQ364" s="465"/>
      <c r="AR364" s="466"/>
      <c r="AS364" s="464"/>
      <c r="AT364" s="465"/>
      <c r="AU364" s="467"/>
      <c r="AV364" s="468"/>
      <c r="AW364" s="468"/>
      <c r="AX364" s="468"/>
      <c r="AY364" s="468"/>
      <c r="AZ364" s="469"/>
      <c r="BA364" s="470"/>
      <c r="BB364" s="470"/>
      <c r="BC364" s="469"/>
      <c r="BD364" s="470"/>
      <c r="BE364" s="468"/>
      <c r="BF364" s="470"/>
      <c r="BG364" s="471"/>
      <c r="BH364" s="83"/>
      <c r="BI364" s="83"/>
      <c r="BJ364" s="84"/>
      <c r="BK364" s="85"/>
      <c r="BL364" s="86"/>
      <c r="BM364" s="104"/>
      <c r="BN364" s="98"/>
      <c r="BO364" s="103"/>
      <c r="BP364" s="117"/>
    </row>
    <row r="365" spans="36:68">
      <c r="AK365" s="87"/>
      <c r="AL365" s="48"/>
      <c r="AM365" s="87"/>
      <c r="AN365" s="48"/>
      <c r="AO365" s="48"/>
      <c r="AP365" s="48"/>
      <c r="AQ365" s="48"/>
      <c r="AR365" s="66"/>
      <c r="AS365" s="66"/>
      <c r="AT365" s="48"/>
      <c r="AU365" s="66"/>
      <c r="AV365" s="48"/>
      <c r="AW365" s="67"/>
      <c r="AX365" s="48"/>
      <c r="AY365" s="48"/>
      <c r="AZ365" s="48"/>
      <c r="BA365" s="68"/>
      <c r="BB365" s="48"/>
      <c r="BC365" s="48"/>
      <c r="BD365" s="68"/>
      <c r="BE365" s="48"/>
      <c r="BF365" s="48"/>
      <c r="BG365" s="88"/>
      <c r="BH365" s="44"/>
      <c r="BI365" s="45"/>
      <c r="BJ365" s="48"/>
      <c r="BK365" s="48"/>
      <c r="BL365" s="88"/>
      <c r="BM365" s="118" t="str">
        <f ca="1">IF(BJ365="","",IF(BM365="",NOW(),BM365))</f>
        <v/>
      </c>
      <c r="BN365" s="110"/>
      <c r="BO365" s="110" t="str">
        <f>IF(AND(BP428&gt;TIME(6,0,0),BP428&lt;TIME(9,0,0)),"NIGHT SHIFT","DAY SHIFT")</f>
        <v>DAY SHIFT</v>
      </c>
      <c r="BP365" s="117"/>
    </row>
    <row r="366" spans="36:68">
      <c r="AK366" s="87"/>
      <c r="AL366" s="48"/>
      <c r="AM366" s="87"/>
      <c r="AN366" s="48"/>
      <c r="AO366" s="48"/>
      <c r="AP366" s="48"/>
      <c r="AQ366" s="48"/>
      <c r="AR366" s="66"/>
      <c r="AS366" s="66"/>
      <c r="AT366" s="48"/>
      <c r="AU366" s="66"/>
      <c r="AV366" s="48"/>
      <c r="AW366" s="67"/>
      <c r="AX366" s="48"/>
      <c r="AY366" s="48"/>
      <c r="AZ366" s="48"/>
      <c r="BA366" s="68"/>
      <c r="BB366" s="48"/>
      <c r="BC366" s="48"/>
      <c r="BD366" s="68"/>
      <c r="BE366" s="48"/>
      <c r="BF366" s="48"/>
      <c r="BG366" s="88"/>
      <c r="BH366" s="48"/>
      <c r="BI366" s="49"/>
      <c r="BJ366" s="48"/>
      <c r="BK366" s="48"/>
      <c r="BL366" s="88"/>
      <c r="BM366" s="110"/>
      <c r="BN366" s="111" t="s">
        <v>4</v>
      </c>
      <c r="BO366" s="111" t="s">
        <v>58</v>
      </c>
      <c r="BP366" s="117"/>
    </row>
    <row r="367" spans="36:68">
      <c r="AK367" s="87"/>
      <c r="AL367" s="48"/>
      <c r="AM367" s="87"/>
      <c r="AN367" s="48"/>
      <c r="AO367" s="48"/>
      <c r="AP367" s="48"/>
      <c r="AQ367" s="48"/>
      <c r="AR367" s="66"/>
      <c r="AS367" s="66"/>
      <c r="AT367" s="48"/>
      <c r="AU367" s="66"/>
      <c r="AV367" s="48"/>
      <c r="AW367" s="67"/>
      <c r="AX367" s="48"/>
      <c r="AY367" s="48"/>
      <c r="AZ367" s="48"/>
      <c r="BA367" s="68"/>
      <c r="BB367" s="48"/>
      <c r="BC367" s="48"/>
      <c r="BD367" s="68"/>
      <c r="BE367" s="48"/>
      <c r="BF367" s="48"/>
      <c r="BG367" s="88"/>
      <c r="BH367" s="44"/>
      <c r="BI367" s="45"/>
      <c r="BJ367" s="48"/>
      <c r="BK367" s="48"/>
      <c r="BL367" s="88"/>
      <c r="BM367" s="110" t="s">
        <v>51</v>
      </c>
      <c r="BN367" s="109">
        <f>BL370-BL325</f>
        <v>0</v>
      </c>
      <c r="BO367" s="112" t="e">
        <f>(BN367)/BL326</f>
        <v>#DIV/0!</v>
      </c>
      <c r="BP367" s="117"/>
    </row>
    <row r="368" spans="36:68">
      <c r="AK368" s="87"/>
      <c r="AL368" s="48"/>
      <c r="AM368" s="87"/>
      <c r="AN368" s="48"/>
      <c r="AO368" s="48"/>
      <c r="AP368" s="48"/>
      <c r="AQ368" s="48"/>
      <c r="AR368" s="66"/>
      <c r="AS368" s="66"/>
      <c r="AT368" s="48"/>
      <c r="AU368" s="66"/>
      <c r="AV368" s="48"/>
      <c r="AW368" s="67"/>
      <c r="AX368" s="48"/>
      <c r="AY368" s="48"/>
      <c r="AZ368" s="48"/>
      <c r="BA368" s="68"/>
      <c r="BB368" s="48"/>
      <c r="BC368" s="48"/>
      <c r="BD368" s="68"/>
      <c r="BE368" s="48"/>
      <c r="BF368" s="48"/>
      <c r="BG368" s="88"/>
      <c r="BH368" s="48"/>
      <c r="BI368" s="438"/>
      <c r="BJ368" s="48"/>
      <c r="BK368" s="48"/>
      <c r="BL368" s="88"/>
      <c r="BM368" s="110"/>
      <c r="BN368" s="109"/>
      <c r="BO368" s="109"/>
      <c r="BP368" s="117"/>
    </row>
    <row r="369" spans="36:68">
      <c r="AK369" s="87"/>
      <c r="AL369" s="48"/>
      <c r="AM369" s="87"/>
      <c r="AN369" s="48"/>
      <c r="AO369" s="48"/>
      <c r="AP369" s="48"/>
      <c r="AQ369" s="48"/>
      <c r="AR369" s="66"/>
      <c r="AS369" s="66"/>
      <c r="AT369" s="48"/>
      <c r="AU369" s="66"/>
      <c r="AV369" s="48"/>
      <c r="AW369" s="67"/>
      <c r="AX369" s="48"/>
      <c r="AY369" s="48"/>
      <c r="AZ369" s="48"/>
      <c r="BA369" s="68"/>
      <c r="BB369" s="48"/>
      <c r="BC369" s="48"/>
      <c r="BD369" s="68"/>
      <c r="BE369" s="48"/>
      <c r="BF369" s="48"/>
      <c r="BG369" s="88"/>
      <c r="BH369" s="48"/>
      <c r="BI369" s="48"/>
      <c r="BJ369" s="48"/>
      <c r="BK369" s="48"/>
      <c r="BL369" s="88"/>
      <c r="BM369" s="110" t="s">
        <v>80</v>
      </c>
      <c r="BN369" s="113">
        <f>BI370-BI325</f>
        <v>0</v>
      </c>
      <c r="BO369" s="112" t="e">
        <f>(BN369)/BI326</f>
        <v>#DIV/0!</v>
      </c>
      <c r="BP369" s="117"/>
    </row>
    <row r="370" spans="36:68">
      <c r="AK370" s="87"/>
      <c r="AL370" s="48"/>
      <c r="AM370" s="491"/>
      <c r="AN370" s="48"/>
      <c r="AO370" s="48"/>
      <c r="AP370" s="48"/>
      <c r="AQ370" s="48"/>
      <c r="AR370" s="66"/>
      <c r="AS370" s="66"/>
      <c r="AT370" s="48"/>
      <c r="AU370" s="66"/>
      <c r="AV370" s="48"/>
      <c r="AW370" s="67"/>
      <c r="AX370" s="48"/>
      <c r="AY370" s="48"/>
      <c r="AZ370" s="48"/>
      <c r="BA370" s="68"/>
      <c r="BB370" s="48"/>
      <c r="BC370" s="48"/>
      <c r="BD370" s="68"/>
      <c r="BE370" s="48"/>
      <c r="BF370" s="48"/>
      <c r="BG370" s="88"/>
      <c r="BH370" s="79"/>
      <c r="BI370" s="81"/>
      <c r="BJ370" s="48"/>
      <c r="BK370" s="76"/>
      <c r="BL370" s="88"/>
      <c r="BM370" s="110"/>
      <c r="BN370" s="109"/>
      <c r="BO370" s="109"/>
      <c r="BP370" s="117"/>
    </row>
    <row r="371" spans="36:68">
      <c r="AK371" s="87"/>
      <c r="AL371" s="48"/>
      <c r="AM371" s="87"/>
      <c r="AN371" s="48"/>
      <c r="AO371" s="48"/>
      <c r="AP371" s="48"/>
      <c r="AQ371" s="48"/>
      <c r="AR371" s="66"/>
      <c r="AS371" s="66"/>
      <c r="AT371" s="48"/>
      <c r="AU371" s="66"/>
      <c r="AV371" s="48"/>
      <c r="AW371" s="67"/>
      <c r="AX371" s="48"/>
      <c r="AY371" s="48"/>
      <c r="AZ371" s="48"/>
      <c r="BA371" s="68"/>
      <c r="BB371" s="48"/>
      <c r="BC371" s="48"/>
      <c r="BD371" s="68"/>
      <c r="BE371" s="48"/>
      <c r="BF371" s="48"/>
      <c r="BG371" s="88"/>
      <c r="BH371" s="80"/>
      <c r="BI371" s="82"/>
      <c r="BJ371" s="48"/>
      <c r="BK371" s="76"/>
      <c r="BL371" s="88"/>
      <c r="BM371" s="110" t="s">
        <v>77</v>
      </c>
      <c r="BN371" s="113">
        <f>BI372-BI327</f>
        <v>0</v>
      </c>
      <c r="BO371" s="112" t="e">
        <f>(BN371)/BI328</f>
        <v>#DIV/0!</v>
      </c>
      <c r="BP371" s="117"/>
    </row>
    <row r="372" spans="36:68" ht="15.75" thickBot="1">
      <c r="AK372" s="89"/>
      <c r="AL372" s="90"/>
      <c r="AM372" s="89"/>
      <c r="AN372" s="90"/>
      <c r="AO372" s="90"/>
      <c r="AP372" s="90"/>
      <c r="AQ372" s="90"/>
      <c r="AR372" s="472"/>
      <c r="AS372" s="472"/>
      <c r="AT372" s="90"/>
      <c r="AU372" s="472"/>
      <c r="AV372" s="90"/>
      <c r="AW372" s="473"/>
      <c r="AX372" s="90"/>
      <c r="AY372" s="90"/>
      <c r="AZ372" s="90"/>
      <c r="BA372" s="474"/>
      <c r="BB372" s="90"/>
      <c r="BC372" s="90"/>
      <c r="BD372" s="474"/>
      <c r="BE372" s="90"/>
      <c r="BF372" s="90"/>
      <c r="BG372" s="94"/>
      <c r="BH372" s="91"/>
      <c r="BI372" s="92"/>
      <c r="BJ372" s="90"/>
      <c r="BK372" s="93"/>
      <c r="BL372" s="94"/>
      <c r="BM372" s="99"/>
      <c r="BN372" s="100"/>
      <c r="BO372" s="100"/>
      <c r="BP372" s="117"/>
    </row>
    <row r="373" spans="36:68" hidden="1">
      <c r="AM373" s="87"/>
      <c r="AN373" s="48"/>
      <c r="AO373" s="48"/>
      <c r="AP373" s="48"/>
      <c r="AQ373" s="48"/>
      <c r="AR373" s="66"/>
      <c r="AS373" s="66"/>
      <c r="AT373" s="48"/>
      <c r="AU373" s="66"/>
      <c r="AV373" s="48"/>
      <c r="AW373" s="67"/>
      <c r="AX373" s="48"/>
      <c r="AY373" s="48"/>
      <c r="AZ373" s="48"/>
      <c r="BA373" s="68"/>
      <c r="BB373" s="48"/>
      <c r="BC373" s="48"/>
      <c r="BD373" s="68"/>
      <c r="BE373" s="48"/>
      <c r="BF373" s="48"/>
      <c r="BG373" s="88"/>
      <c r="BP373" s="114" t="str">
        <f ca="1">IF(BJ277="","",IF(BP373="",NOW(),BP373))</f>
        <v/>
      </c>
    </row>
    <row r="374" spans="36:68" s="2" customFormat="1" hidden="1">
      <c r="AJ374" s="123"/>
      <c r="AM374" s="87"/>
      <c r="AN374" s="48"/>
      <c r="AO374" s="48"/>
      <c r="AP374" s="48"/>
      <c r="AQ374" s="48"/>
      <c r="AR374" s="66"/>
      <c r="AS374" s="66"/>
      <c r="AT374" s="48"/>
      <c r="AU374" s="66"/>
      <c r="AV374" s="48"/>
      <c r="AW374" s="67"/>
      <c r="AX374" s="48"/>
      <c r="AY374" s="48"/>
      <c r="AZ374" s="48"/>
      <c r="BA374" s="68"/>
      <c r="BB374" s="48"/>
      <c r="BC374" s="48"/>
      <c r="BD374" s="68"/>
      <c r="BE374" s="48"/>
      <c r="BF374" s="48"/>
      <c r="BG374" s="88"/>
      <c r="BM374" s="7"/>
      <c r="BP374" s="114"/>
    </row>
    <row r="375" spans="36:68" s="2" customFormat="1" hidden="1">
      <c r="AJ375" s="123"/>
      <c r="AM375" s="87"/>
      <c r="AN375" s="48"/>
      <c r="AO375" s="48"/>
      <c r="AP375" s="48"/>
      <c r="AQ375" s="48"/>
      <c r="AR375" s="66"/>
      <c r="AS375" s="66"/>
      <c r="AT375" s="48"/>
      <c r="AU375" s="66"/>
      <c r="AV375" s="48"/>
      <c r="AW375" s="67"/>
      <c r="AX375" s="48"/>
      <c r="AY375" s="48"/>
      <c r="AZ375" s="48"/>
      <c r="BA375" s="68"/>
      <c r="BB375" s="48"/>
      <c r="BC375" s="48"/>
      <c r="BD375" s="68"/>
      <c r="BE375" s="48"/>
      <c r="BF375" s="48"/>
      <c r="BG375" s="88"/>
      <c r="BM375" s="7"/>
      <c r="BP375" s="114"/>
    </row>
    <row r="376" spans="36:68" s="2" customFormat="1" hidden="1">
      <c r="AJ376" s="123"/>
      <c r="AM376" s="87"/>
      <c r="AN376" s="48"/>
      <c r="AO376" s="48"/>
      <c r="AP376" s="48"/>
      <c r="AQ376" s="48"/>
      <c r="AR376" s="66"/>
      <c r="AS376" s="66"/>
      <c r="AT376" s="48"/>
      <c r="AU376" s="66"/>
      <c r="AV376" s="48"/>
      <c r="AW376" s="67"/>
      <c r="AX376" s="48"/>
      <c r="AY376" s="48"/>
      <c r="AZ376" s="48"/>
      <c r="BA376" s="68"/>
      <c r="BB376" s="48"/>
      <c r="BC376" s="48"/>
      <c r="BD376" s="68"/>
      <c r="BE376" s="48"/>
      <c r="BF376" s="48"/>
      <c r="BG376" s="88"/>
      <c r="BM376" s="7"/>
      <c r="BP376" s="114"/>
    </row>
    <row r="377" spans="36:68" s="2" customFormat="1" hidden="1">
      <c r="AJ377" s="123"/>
      <c r="AM377" s="87"/>
      <c r="AN377" s="48"/>
      <c r="AO377" s="48"/>
      <c r="AP377" s="48"/>
      <c r="AQ377" s="48"/>
      <c r="AR377" s="66"/>
      <c r="AS377" s="66"/>
      <c r="AT377" s="48"/>
      <c r="AU377" s="66"/>
      <c r="AV377" s="48"/>
      <c r="AW377" s="67"/>
      <c r="AX377" s="48"/>
      <c r="AY377" s="48"/>
      <c r="AZ377" s="48"/>
      <c r="BA377" s="68"/>
      <c r="BB377" s="48"/>
      <c r="BC377" s="48"/>
      <c r="BD377" s="68"/>
      <c r="BE377" s="48"/>
      <c r="BF377" s="48"/>
      <c r="BG377" s="88"/>
      <c r="BM377" s="7"/>
      <c r="BP377" s="114"/>
    </row>
    <row r="378" spans="36:68" s="2" customFormat="1" hidden="1">
      <c r="AJ378" s="123"/>
      <c r="AM378" s="87"/>
      <c r="AN378" s="48"/>
      <c r="AO378" s="48"/>
      <c r="AP378" s="48"/>
      <c r="AQ378" s="48"/>
      <c r="AR378" s="66"/>
      <c r="AS378" s="66"/>
      <c r="AT378" s="48"/>
      <c r="AU378" s="66"/>
      <c r="AV378" s="48"/>
      <c r="AW378" s="67"/>
      <c r="AX378" s="48"/>
      <c r="AY378" s="48"/>
      <c r="AZ378" s="48"/>
      <c r="BA378" s="68"/>
      <c r="BB378" s="48"/>
      <c r="BC378" s="48"/>
      <c r="BD378" s="68"/>
      <c r="BE378" s="48"/>
      <c r="BF378" s="48"/>
      <c r="BG378" s="88"/>
      <c r="BM378" s="7"/>
      <c r="BP378" s="114"/>
    </row>
    <row r="379" spans="36:68" s="2" customFormat="1" hidden="1">
      <c r="AJ379" s="123"/>
      <c r="AM379" s="87"/>
      <c r="AN379" s="48"/>
      <c r="AO379" s="48"/>
      <c r="AP379" s="48"/>
      <c r="AQ379" s="48"/>
      <c r="AR379" s="66"/>
      <c r="AS379" s="66"/>
      <c r="AT379" s="48"/>
      <c r="AU379" s="66"/>
      <c r="AV379" s="48"/>
      <c r="AW379" s="67"/>
      <c r="AX379" s="48"/>
      <c r="AY379" s="48"/>
      <c r="AZ379" s="48"/>
      <c r="BA379" s="68"/>
      <c r="BB379" s="48"/>
      <c r="BC379" s="48"/>
      <c r="BD379" s="68"/>
      <c r="BE379" s="48"/>
      <c r="BF379" s="48"/>
      <c r="BG379" s="88"/>
      <c r="BM379" s="7"/>
      <c r="BP379" s="114"/>
    </row>
    <row r="380" spans="36:68" s="2" customFormat="1" hidden="1">
      <c r="AJ380" s="123"/>
      <c r="AM380" s="87"/>
      <c r="AN380" s="48"/>
      <c r="AO380" s="48"/>
      <c r="AP380" s="48"/>
      <c r="AQ380" s="48"/>
      <c r="AR380" s="66"/>
      <c r="AS380" s="66"/>
      <c r="AT380" s="48"/>
      <c r="AU380" s="66"/>
      <c r="AV380" s="48"/>
      <c r="AW380" s="67"/>
      <c r="AX380" s="48"/>
      <c r="AY380" s="48"/>
      <c r="AZ380" s="48"/>
      <c r="BA380" s="68"/>
      <c r="BB380" s="48"/>
      <c r="BC380" s="48"/>
      <c r="BD380" s="68"/>
      <c r="BE380" s="48"/>
      <c r="BF380" s="48"/>
      <c r="BG380" s="88"/>
      <c r="BM380" s="7"/>
      <c r="BP380" s="114"/>
    </row>
    <row r="381" spans="36:68" s="2" customFormat="1" hidden="1">
      <c r="AJ381" s="123"/>
      <c r="AM381" s="87"/>
      <c r="AN381" s="48"/>
      <c r="AO381" s="48"/>
      <c r="AP381" s="48"/>
      <c r="AQ381" s="48"/>
      <c r="AR381" s="66"/>
      <c r="AS381" s="66"/>
      <c r="AT381" s="48"/>
      <c r="AU381" s="66"/>
      <c r="AV381" s="48"/>
      <c r="AW381" s="67"/>
      <c r="AX381" s="48"/>
      <c r="AY381" s="48"/>
      <c r="AZ381" s="48"/>
      <c r="BA381" s="68"/>
      <c r="BB381" s="48"/>
      <c r="BC381" s="48"/>
      <c r="BD381" s="68"/>
      <c r="BE381" s="48"/>
      <c r="BF381" s="48"/>
      <c r="BG381" s="88"/>
      <c r="BM381" s="7"/>
      <c r="BP381" s="114"/>
    </row>
    <row r="382" spans="36:68" s="2" customFormat="1" hidden="1">
      <c r="AJ382" s="123"/>
      <c r="AM382" s="87"/>
      <c r="AN382" s="48"/>
      <c r="AO382" s="48"/>
      <c r="AP382" s="48"/>
      <c r="AQ382" s="48"/>
      <c r="AR382" s="66"/>
      <c r="AS382" s="66"/>
      <c r="AT382" s="48"/>
      <c r="AU382" s="66"/>
      <c r="AV382" s="48"/>
      <c r="AW382" s="67"/>
      <c r="AX382" s="48"/>
      <c r="AY382" s="48"/>
      <c r="AZ382" s="48"/>
      <c r="BA382" s="68"/>
      <c r="BB382" s="48"/>
      <c r="BC382" s="48"/>
      <c r="BD382" s="68"/>
      <c r="BE382" s="48"/>
      <c r="BF382" s="48"/>
      <c r="BG382" s="88"/>
      <c r="BM382" s="7"/>
      <c r="BP382" s="114"/>
    </row>
    <row r="383" spans="36:68" s="2" customFormat="1" hidden="1">
      <c r="AJ383" s="123"/>
      <c r="AM383" s="87"/>
      <c r="AN383" s="48"/>
      <c r="AO383" s="48"/>
      <c r="AP383" s="48"/>
      <c r="AQ383" s="48"/>
      <c r="AR383" s="66"/>
      <c r="AS383" s="66"/>
      <c r="AT383" s="48"/>
      <c r="AU383" s="66"/>
      <c r="AV383" s="48"/>
      <c r="AW383" s="67"/>
      <c r="AX383" s="48"/>
      <c r="AY383" s="48"/>
      <c r="AZ383" s="48"/>
      <c r="BA383" s="68"/>
      <c r="BB383" s="48"/>
      <c r="BC383" s="48"/>
      <c r="BD383" s="68"/>
      <c r="BE383" s="48"/>
      <c r="BF383" s="48"/>
      <c r="BG383" s="88"/>
      <c r="BM383" s="7"/>
      <c r="BP383" s="114"/>
    </row>
    <row r="384" spans="36:68" s="2" customFormat="1" hidden="1">
      <c r="AJ384" s="123"/>
      <c r="AM384" s="87"/>
      <c r="AN384" s="48"/>
      <c r="AO384" s="48"/>
      <c r="AP384" s="48"/>
      <c r="AQ384" s="48"/>
      <c r="AR384" s="66"/>
      <c r="AS384" s="66"/>
      <c r="AT384" s="48"/>
      <c r="AU384" s="66"/>
      <c r="AV384" s="48"/>
      <c r="AW384" s="67"/>
      <c r="AX384" s="48"/>
      <c r="AY384" s="48"/>
      <c r="AZ384" s="48"/>
      <c r="BA384" s="68"/>
      <c r="BB384" s="48"/>
      <c r="BC384" s="48"/>
      <c r="BD384" s="68"/>
      <c r="BE384" s="48"/>
      <c r="BF384" s="48"/>
      <c r="BG384" s="88"/>
      <c r="BM384" s="7"/>
      <c r="BP384" s="114"/>
    </row>
    <row r="385" spans="36:68" s="2" customFormat="1" hidden="1">
      <c r="AJ385" s="123"/>
      <c r="AM385" s="87"/>
      <c r="AN385" s="48"/>
      <c r="AO385" s="48"/>
      <c r="AP385" s="48"/>
      <c r="AQ385" s="48"/>
      <c r="AR385" s="66"/>
      <c r="AS385" s="66"/>
      <c r="AT385" s="48"/>
      <c r="AU385" s="66"/>
      <c r="AV385" s="48"/>
      <c r="AW385" s="67"/>
      <c r="AX385" s="48"/>
      <c r="AY385" s="48"/>
      <c r="AZ385" s="48"/>
      <c r="BA385" s="68"/>
      <c r="BB385" s="48"/>
      <c r="BC385" s="48"/>
      <c r="BD385" s="68"/>
      <c r="BE385" s="48"/>
      <c r="BF385" s="48"/>
      <c r="BG385" s="88"/>
      <c r="BM385" s="7"/>
      <c r="BP385" s="114"/>
    </row>
    <row r="386" spans="36:68" s="2" customFormat="1" hidden="1">
      <c r="AJ386" s="123"/>
      <c r="AM386" s="87"/>
      <c r="AN386" s="48"/>
      <c r="AO386" s="48"/>
      <c r="AP386" s="48"/>
      <c r="AQ386" s="48"/>
      <c r="AR386" s="66"/>
      <c r="AS386" s="66"/>
      <c r="AT386" s="48"/>
      <c r="AU386" s="66"/>
      <c r="AV386" s="48"/>
      <c r="AW386" s="67"/>
      <c r="AX386" s="48"/>
      <c r="AY386" s="48"/>
      <c r="AZ386" s="48"/>
      <c r="BA386" s="68"/>
      <c r="BB386" s="48"/>
      <c r="BC386" s="48"/>
      <c r="BD386" s="68"/>
      <c r="BE386" s="48"/>
      <c r="BF386" s="48"/>
      <c r="BG386" s="88"/>
      <c r="BM386" s="7"/>
      <c r="BP386" s="114"/>
    </row>
    <row r="387" spans="36:68" s="2" customFormat="1" hidden="1">
      <c r="AJ387" s="123"/>
      <c r="AM387" s="87"/>
      <c r="AN387" s="48"/>
      <c r="AO387" s="48"/>
      <c r="AP387" s="48"/>
      <c r="AQ387" s="48"/>
      <c r="AR387" s="66"/>
      <c r="AS387" s="66"/>
      <c r="AT387" s="48"/>
      <c r="AU387" s="66"/>
      <c r="AV387" s="48"/>
      <c r="AW387" s="67"/>
      <c r="AX387" s="48"/>
      <c r="AY387" s="48"/>
      <c r="AZ387" s="48"/>
      <c r="BA387" s="68"/>
      <c r="BB387" s="48"/>
      <c r="BC387" s="48"/>
      <c r="BD387" s="68"/>
      <c r="BE387" s="48"/>
      <c r="BF387" s="48"/>
      <c r="BG387" s="88"/>
      <c r="BM387" s="7"/>
      <c r="BP387" s="114"/>
    </row>
    <row r="388" spans="36:68" s="2" customFormat="1" hidden="1">
      <c r="AJ388" s="123"/>
      <c r="AM388" s="87"/>
      <c r="AN388" s="48"/>
      <c r="AO388" s="48"/>
      <c r="AP388" s="48"/>
      <c r="AQ388" s="48"/>
      <c r="AR388" s="66"/>
      <c r="AS388" s="66"/>
      <c r="AT388" s="48"/>
      <c r="AU388" s="66"/>
      <c r="AV388" s="48"/>
      <c r="AW388" s="67"/>
      <c r="AX388" s="48"/>
      <c r="AY388" s="48"/>
      <c r="AZ388" s="48"/>
      <c r="BA388" s="68"/>
      <c r="BB388" s="48"/>
      <c r="BC388" s="48"/>
      <c r="BD388" s="68"/>
      <c r="BE388" s="48"/>
      <c r="BF388" s="48"/>
      <c r="BG388" s="88"/>
      <c r="BM388" s="7"/>
      <c r="BP388" s="114"/>
    </row>
    <row r="389" spans="36:68" s="2" customFormat="1" hidden="1">
      <c r="AJ389" s="123"/>
      <c r="AM389" s="87"/>
      <c r="AN389" s="48"/>
      <c r="AO389" s="48"/>
      <c r="AP389" s="48"/>
      <c r="AQ389" s="48"/>
      <c r="AR389" s="66"/>
      <c r="AS389" s="66"/>
      <c r="AT389" s="48"/>
      <c r="AU389" s="66"/>
      <c r="AV389" s="48"/>
      <c r="AW389" s="67"/>
      <c r="AX389" s="48"/>
      <c r="AY389" s="48"/>
      <c r="AZ389" s="48"/>
      <c r="BA389" s="68"/>
      <c r="BB389" s="48"/>
      <c r="BC389" s="48"/>
      <c r="BD389" s="68"/>
      <c r="BE389" s="48"/>
      <c r="BF389" s="48"/>
      <c r="BG389" s="88"/>
      <c r="BM389" s="7"/>
      <c r="BP389" s="114"/>
    </row>
    <row r="390" spans="36:68" s="2" customFormat="1" hidden="1">
      <c r="AJ390" s="123"/>
      <c r="AM390" s="87"/>
      <c r="AN390" s="48"/>
      <c r="AO390" s="48"/>
      <c r="AP390" s="48"/>
      <c r="AQ390" s="48"/>
      <c r="AR390" s="66"/>
      <c r="AS390" s="66"/>
      <c r="AT390" s="48"/>
      <c r="AU390" s="66"/>
      <c r="AV390" s="48"/>
      <c r="AW390" s="67"/>
      <c r="AX390" s="48"/>
      <c r="AY390" s="48"/>
      <c r="AZ390" s="48"/>
      <c r="BA390" s="68"/>
      <c r="BB390" s="48"/>
      <c r="BC390" s="48"/>
      <c r="BD390" s="68"/>
      <c r="BE390" s="48"/>
      <c r="BF390" s="48"/>
      <c r="BG390" s="88"/>
      <c r="BM390" s="7"/>
      <c r="BP390" s="114"/>
    </row>
    <row r="391" spans="36:68" s="2" customFormat="1" hidden="1">
      <c r="AJ391" s="123"/>
      <c r="AM391" s="87"/>
      <c r="AN391" s="48"/>
      <c r="AO391" s="48"/>
      <c r="AP391" s="48"/>
      <c r="AQ391" s="48"/>
      <c r="AR391" s="66"/>
      <c r="AS391" s="66"/>
      <c r="AT391" s="48"/>
      <c r="AU391" s="66"/>
      <c r="AV391" s="48"/>
      <c r="AW391" s="67"/>
      <c r="AX391" s="48"/>
      <c r="AY391" s="48"/>
      <c r="AZ391" s="48"/>
      <c r="BA391" s="68"/>
      <c r="BB391" s="48"/>
      <c r="BC391" s="48"/>
      <c r="BD391" s="68"/>
      <c r="BE391" s="48"/>
      <c r="BF391" s="48"/>
      <c r="BG391" s="88"/>
      <c r="BM391" s="7"/>
      <c r="BP391" s="114"/>
    </row>
    <row r="392" spans="36:68" s="2" customFormat="1" hidden="1">
      <c r="AJ392" s="123"/>
      <c r="AM392" s="87"/>
      <c r="AN392" s="48"/>
      <c r="AO392" s="48"/>
      <c r="AP392" s="48"/>
      <c r="AQ392" s="48"/>
      <c r="AR392" s="66"/>
      <c r="AS392" s="66"/>
      <c r="AT392" s="48"/>
      <c r="AU392" s="66"/>
      <c r="AV392" s="48"/>
      <c r="AW392" s="67"/>
      <c r="AX392" s="48"/>
      <c r="AY392" s="48"/>
      <c r="AZ392" s="48"/>
      <c r="BA392" s="68"/>
      <c r="BB392" s="48"/>
      <c r="BC392" s="48"/>
      <c r="BD392" s="68"/>
      <c r="BE392" s="48"/>
      <c r="BF392" s="48"/>
      <c r="BG392" s="88"/>
      <c r="BM392" s="7"/>
      <c r="BP392" s="114"/>
    </row>
    <row r="393" spans="36:68" s="2" customFormat="1" hidden="1">
      <c r="AJ393" s="123"/>
      <c r="AM393" s="87"/>
      <c r="AN393" s="48"/>
      <c r="AO393" s="48"/>
      <c r="AP393" s="48"/>
      <c r="AQ393" s="48"/>
      <c r="AR393" s="66"/>
      <c r="AS393" s="66"/>
      <c r="AT393" s="48"/>
      <c r="AU393" s="66"/>
      <c r="AV393" s="48"/>
      <c r="AW393" s="67"/>
      <c r="AX393" s="48"/>
      <c r="AY393" s="48"/>
      <c r="AZ393" s="48"/>
      <c r="BA393" s="68"/>
      <c r="BB393" s="48"/>
      <c r="BC393" s="48"/>
      <c r="BD393" s="68"/>
      <c r="BE393" s="48"/>
      <c r="BF393" s="48"/>
      <c r="BG393" s="88"/>
      <c r="BM393" s="7"/>
      <c r="BP393" s="114"/>
    </row>
    <row r="394" spans="36:68" s="2" customFormat="1" hidden="1">
      <c r="AJ394" s="123"/>
      <c r="AM394" s="87"/>
      <c r="AN394" s="48"/>
      <c r="AO394" s="48"/>
      <c r="AP394" s="48"/>
      <c r="AQ394" s="48"/>
      <c r="AR394" s="66"/>
      <c r="AS394" s="66"/>
      <c r="AT394" s="48"/>
      <c r="AU394" s="66"/>
      <c r="AV394" s="48"/>
      <c r="AW394" s="67"/>
      <c r="AX394" s="48"/>
      <c r="AY394" s="48"/>
      <c r="AZ394" s="48"/>
      <c r="BA394" s="68"/>
      <c r="BB394" s="48"/>
      <c r="BC394" s="48"/>
      <c r="BD394" s="68"/>
      <c r="BE394" s="48"/>
      <c r="BF394" s="48"/>
      <c r="BG394" s="88"/>
      <c r="BM394" s="7"/>
      <c r="BP394" s="114"/>
    </row>
    <row r="395" spans="36:68" s="2" customFormat="1" hidden="1">
      <c r="AJ395" s="123"/>
      <c r="AM395" s="87"/>
      <c r="AN395" s="48"/>
      <c r="AO395" s="48"/>
      <c r="AP395" s="48"/>
      <c r="AQ395" s="48"/>
      <c r="AR395" s="66"/>
      <c r="AS395" s="66"/>
      <c r="AT395" s="48"/>
      <c r="AU395" s="66"/>
      <c r="AV395" s="48"/>
      <c r="AW395" s="67"/>
      <c r="AX395" s="48"/>
      <c r="AY395" s="48"/>
      <c r="AZ395" s="48"/>
      <c r="BA395" s="68"/>
      <c r="BB395" s="48"/>
      <c r="BC395" s="48"/>
      <c r="BD395" s="68"/>
      <c r="BE395" s="48"/>
      <c r="BF395" s="48"/>
      <c r="BG395" s="88"/>
      <c r="BM395" s="7"/>
      <c r="BP395" s="114"/>
    </row>
    <row r="396" spans="36:68" s="2" customFormat="1" hidden="1">
      <c r="AJ396" s="123"/>
      <c r="AM396" s="87"/>
      <c r="AN396" s="48"/>
      <c r="AO396" s="48"/>
      <c r="AP396" s="48"/>
      <c r="AQ396" s="48"/>
      <c r="AR396" s="66"/>
      <c r="AS396" s="66"/>
      <c r="AT396" s="48"/>
      <c r="AU396" s="66"/>
      <c r="AV396" s="48"/>
      <c r="AW396" s="67"/>
      <c r="AX396" s="48"/>
      <c r="AY396" s="48"/>
      <c r="AZ396" s="48"/>
      <c r="BA396" s="68"/>
      <c r="BB396" s="48"/>
      <c r="BC396" s="48"/>
      <c r="BD396" s="68"/>
      <c r="BE396" s="48"/>
      <c r="BF396" s="48"/>
      <c r="BG396" s="88"/>
      <c r="BM396" s="7"/>
      <c r="BP396" s="114"/>
    </row>
    <row r="397" spans="36:68" s="2" customFormat="1" hidden="1">
      <c r="AJ397" s="123"/>
      <c r="AM397" s="87"/>
      <c r="AN397" s="48"/>
      <c r="AO397" s="48"/>
      <c r="AP397" s="48"/>
      <c r="AQ397" s="48"/>
      <c r="AR397" s="66"/>
      <c r="AS397" s="66"/>
      <c r="AT397" s="48"/>
      <c r="AU397" s="66"/>
      <c r="AV397" s="48"/>
      <c r="AW397" s="67"/>
      <c r="AX397" s="48"/>
      <c r="AY397" s="48"/>
      <c r="AZ397" s="48"/>
      <c r="BA397" s="68"/>
      <c r="BB397" s="48"/>
      <c r="BC397" s="48"/>
      <c r="BD397" s="68"/>
      <c r="BE397" s="48"/>
      <c r="BF397" s="48"/>
      <c r="BG397" s="88"/>
      <c r="BM397" s="7"/>
      <c r="BP397" s="114"/>
    </row>
    <row r="398" spans="36:68" s="2" customFormat="1" hidden="1">
      <c r="AJ398" s="123"/>
      <c r="AM398" s="87"/>
      <c r="AN398" s="48"/>
      <c r="AO398" s="48"/>
      <c r="AP398" s="48"/>
      <c r="AQ398" s="48"/>
      <c r="AR398" s="66"/>
      <c r="AS398" s="66"/>
      <c r="AT398" s="48"/>
      <c r="AU398" s="66"/>
      <c r="AV398" s="48"/>
      <c r="AW398" s="67"/>
      <c r="AX398" s="48"/>
      <c r="AY398" s="48"/>
      <c r="AZ398" s="48"/>
      <c r="BA398" s="68"/>
      <c r="BB398" s="48"/>
      <c r="BC398" s="48"/>
      <c r="BD398" s="68"/>
      <c r="BE398" s="48"/>
      <c r="BF398" s="48"/>
      <c r="BG398" s="88"/>
      <c r="BM398" s="7"/>
      <c r="BP398" s="114"/>
    </row>
    <row r="399" spans="36:68" s="2" customFormat="1" hidden="1">
      <c r="AJ399" s="123"/>
      <c r="AM399" s="87"/>
      <c r="AN399" s="48"/>
      <c r="AO399" s="48"/>
      <c r="AP399" s="48"/>
      <c r="AQ399" s="48"/>
      <c r="AR399" s="66"/>
      <c r="AS399" s="66"/>
      <c r="AT399" s="48"/>
      <c r="AU399" s="66"/>
      <c r="AV399" s="48"/>
      <c r="AW399" s="67"/>
      <c r="AX399" s="48"/>
      <c r="AY399" s="48"/>
      <c r="AZ399" s="48"/>
      <c r="BA399" s="68"/>
      <c r="BB399" s="48"/>
      <c r="BC399" s="48"/>
      <c r="BD399" s="68"/>
      <c r="BE399" s="48"/>
      <c r="BF399" s="48"/>
      <c r="BG399" s="88"/>
      <c r="BM399" s="7"/>
      <c r="BP399" s="114"/>
    </row>
    <row r="400" spans="36:68" s="2" customFormat="1" hidden="1">
      <c r="AJ400" s="123"/>
      <c r="AM400" s="87"/>
      <c r="AN400" s="48"/>
      <c r="AO400" s="48"/>
      <c r="AP400" s="48"/>
      <c r="AQ400" s="48"/>
      <c r="AR400" s="66"/>
      <c r="AS400" s="66"/>
      <c r="AT400" s="48"/>
      <c r="AU400" s="66"/>
      <c r="AV400" s="48"/>
      <c r="AW400" s="67"/>
      <c r="AX400" s="48"/>
      <c r="AY400" s="48"/>
      <c r="AZ400" s="48"/>
      <c r="BA400" s="68"/>
      <c r="BB400" s="48"/>
      <c r="BC400" s="48"/>
      <c r="BD400" s="68"/>
      <c r="BE400" s="48"/>
      <c r="BF400" s="48"/>
      <c r="BG400" s="88"/>
      <c r="BM400" s="7"/>
      <c r="BP400" s="114"/>
    </row>
    <row r="401" spans="36:68" s="2" customFormat="1" hidden="1">
      <c r="AJ401" s="123"/>
      <c r="AM401" s="87"/>
      <c r="AN401" s="48"/>
      <c r="AO401" s="48"/>
      <c r="AP401" s="48"/>
      <c r="AQ401" s="48"/>
      <c r="AR401" s="66"/>
      <c r="AS401" s="66"/>
      <c r="AT401" s="48"/>
      <c r="AU401" s="66"/>
      <c r="AV401" s="48"/>
      <c r="AW401" s="67"/>
      <c r="AX401" s="48"/>
      <c r="AY401" s="48"/>
      <c r="AZ401" s="48"/>
      <c r="BA401" s="68"/>
      <c r="BB401" s="48"/>
      <c r="BC401" s="48"/>
      <c r="BD401" s="68"/>
      <c r="BE401" s="48"/>
      <c r="BF401" s="48"/>
      <c r="BG401" s="88"/>
      <c r="BM401" s="7"/>
      <c r="BP401" s="114"/>
    </row>
    <row r="402" spans="36:68" s="2" customFormat="1" hidden="1">
      <c r="AJ402" s="123"/>
      <c r="AM402" s="87"/>
      <c r="AN402" s="48"/>
      <c r="AO402" s="48"/>
      <c r="AP402" s="48"/>
      <c r="AQ402" s="48"/>
      <c r="AR402" s="66"/>
      <c r="AS402" s="66"/>
      <c r="AT402" s="48"/>
      <c r="AU402" s="66"/>
      <c r="AV402" s="48"/>
      <c r="AW402" s="67"/>
      <c r="AX402" s="48"/>
      <c r="AY402" s="48"/>
      <c r="AZ402" s="48"/>
      <c r="BA402" s="68"/>
      <c r="BB402" s="48"/>
      <c r="BC402" s="48"/>
      <c r="BD402" s="68"/>
      <c r="BE402" s="48"/>
      <c r="BF402" s="48"/>
      <c r="BG402" s="88"/>
      <c r="BM402" s="7"/>
      <c r="BP402" s="114"/>
    </row>
    <row r="403" spans="36:68" s="2" customFormat="1" hidden="1">
      <c r="AJ403" s="123"/>
      <c r="AM403" s="87"/>
      <c r="AN403" s="48"/>
      <c r="AO403" s="48"/>
      <c r="AP403" s="48"/>
      <c r="AQ403" s="48"/>
      <c r="AR403" s="66"/>
      <c r="AS403" s="66"/>
      <c r="AT403" s="48"/>
      <c r="AU403" s="66"/>
      <c r="AV403" s="48"/>
      <c r="AW403" s="67"/>
      <c r="AX403" s="48"/>
      <c r="AY403" s="48"/>
      <c r="AZ403" s="48"/>
      <c r="BA403" s="68"/>
      <c r="BB403" s="48"/>
      <c r="BC403" s="48"/>
      <c r="BD403" s="68"/>
      <c r="BE403" s="48"/>
      <c r="BF403" s="48"/>
      <c r="BG403" s="88"/>
      <c r="BM403" s="7"/>
      <c r="BP403" s="114"/>
    </row>
    <row r="404" spans="36:68" s="2" customFormat="1" ht="15.75" hidden="1" thickBot="1">
      <c r="AJ404" s="123"/>
      <c r="AM404" s="89"/>
      <c r="AN404" s="90"/>
      <c r="AO404" s="90"/>
      <c r="AP404" s="90"/>
      <c r="AQ404" s="90"/>
      <c r="AR404" s="472"/>
      <c r="AS404" s="472"/>
      <c r="AT404" s="90"/>
      <c r="AU404" s="472"/>
      <c r="AV404" s="90"/>
      <c r="AW404" s="473"/>
      <c r="AX404" s="90"/>
      <c r="AY404" s="90"/>
      <c r="AZ404" s="90"/>
      <c r="BA404" s="474"/>
      <c r="BB404" s="90"/>
      <c r="BC404" s="90"/>
      <c r="BD404" s="474"/>
      <c r="BE404" s="90"/>
      <c r="BF404" s="90"/>
      <c r="BG404" s="94"/>
      <c r="BM404" s="7"/>
      <c r="BP404" s="114"/>
    </row>
    <row r="405" spans="36:68" s="2" customFormat="1">
      <c r="AJ405" s="123"/>
      <c r="AM405" s="48"/>
      <c r="AN405" s="48"/>
      <c r="AO405" s="48"/>
      <c r="AP405" s="48"/>
      <c r="AQ405" s="48"/>
      <c r="AR405" s="66"/>
      <c r="AS405" s="66"/>
      <c r="AT405" s="48"/>
      <c r="AU405" s="66"/>
      <c r="AV405" s="48"/>
      <c r="AW405" s="67"/>
      <c r="AX405" s="48"/>
      <c r="AY405" s="48"/>
      <c r="AZ405" s="48"/>
      <c r="BA405" s="68"/>
      <c r="BB405" s="48"/>
      <c r="BC405" s="48"/>
      <c r="BD405" s="68"/>
      <c r="BE405" s="48"/>
      <c r="BF405" s="48"/>
      <c r="BG405" s="48"/>
      <c r="BM405" s="7"/>
      <c r="BP405" s="114"/>
    </row>
    <row r="406" spans="36:68" s="2" customFormat="1">
      <c r="AJ406" s="123"/>
      <c r="BM406" s="7"/>
      <c r="BP406" s="114"/>
    </row>
    <row r="407" spans="36:68" ht="15.75" thickBot="1">
      <c r="BP407" s="117"/>
    </row>
    <row r="408" spans="36:68">
      <c r="AJ408" s="123">
        <v>9</v>
      </c>
      <c r="AK408" s="96"/>
      <c r="AL408" s="97"/>
      <c r="AM408" s="463"/>
      <c r="AN408" s="464"/>
      <c r="AO408" s="464"/>
      <c r="AP408" s="464"/>
      <c r="AQ408" s="465"/>
      <c r="AR408" s="466"/>
      <c r="AS408" s="464"/>
      <c r="AT408" s="465"/>
      <c r="AU408" s="467"/>
      <c r="AV408" s="468"/>
      <c r="AW408" s="468"/>
      <c r="AX408" s="468"/>
      <c r="AY408" s="468"/>
      <c r="AZ408" s="469"/>
      <c r="BA408" s="470"/>
      <c r="BB408" s="470"/>
      <c r="BC408" s="469"/>
      <c r="BD408" s="470"/>
      <c r="BE408" s="468"/>
      <c r="BF408" s="470"/>
      <c r="BG408" s="471"/>
      <c r="BH408" s="83"/>
      <c r="BI408" s="83"/>
      <c r="BJ408" s="84"/>
      <c r="BK408" s="85"/>
      <c r="BL408" s="86"/>
      <c r="BM408" s="104"/>
      <c r="BN408" s="98"/>
      <c r="BO408" s="103"/>
      <c r="BP408" s="117"/>
    </row>
    <row r="409" spans="36:68">
      <c r="AK409" s="87"/>
      <c r="AL409" s="48"/>
      <c r="AM409" s="87"/>
      <c r="AN409" s="48"/>
      <c r="AO409" s="48"/>
      <c r="AP409" s="48"/>
      <c r="AQ409" s="48"/>
      <c r="AR409" s="66"/>
      <c r="AS409" s="66"/>
      <c r="AT409" s="48"/>
      <c r="AU409" s="66"/>
      <c r="AV409" s="48"/>
      <c r="AW409" s="67"/>
      <c r="AX409" s="48"/>
      <c r="AY409" s="48"/>
      <c r="AZ409" s="48"/>
      <c r="BA409" s="68"/>
      <c r="BB409" s="48"/>
      <c r="BC409" s="48"/>
      <c r="BD409" s="68"/>
      <c r="BE409" s="48"/>
      <c r="BF409" s="48"/>
      <c r="BG409" s="88"/>
      <c r="BH409" s="44"/>
      <c r="BI409" s="45"/>
      <c r="BJ409" s="48"/>
      <c r="BK409" s="48"/>
      <c r="BL409" s="88"/>
      <c r="BM409" s="118" t="str">
        <f ca="1">IF(BJ409="","",IF(BM409="",NOW(),BM409))</f>
        <v/>
      </c>
      <c r="BN409" s="110"/>
      <c r="BO409" s="110" t="str">
        <f>IF(AND(BP439&gt;TIME(6,0,0),BP439&lt;TIME(9,0,0)),"NIGHT SHIFT","DAY SHIFT")</f>
        <v>DAY SHIFT</v>
      </c>
      <c r="BP409" s="117"/>
    </row>
    <row r="410" spans="36:68">
      <c r="AK410" s="87"/>
      <c r="AL410" s="48"/>
      <c r="AM410" s="87"/>
      <c r="AN410" s="48"/>
      <c r="AO410" s="48"/>
      <c r="AP410" s="48"/>
      <c r="AQ410" s="48"/>
      <c r="AR410" s="66"/>
      <c r="AS410" s="66"/>
      <c r="AT410" s="48"/>
      <c r="AU410" s="66"/>
      <c r="AV410" s="48"/>
      <c r="AW410" s="67"/>
      <c r="AX410" s="48"/>
      <c r="AY410" s="48"/>
      <c r="AZ410" s="48"/>
      <c r="BA410" s="68"/>
      <c r="BB410" s="48"/>
      <c r="BC410" s="48"/>
      <c r="BD410" s="68"/>
      <c r="BE410" s="48"/>
      <c r="BF410" s="48"/>
      <c r="BG410" s="88"/>
      <c r="BH410" s="48"/>
      <c r="BI410" s="49"/>
      <c r="BJ410" s="48"/>
      <c r="BK410" s="48"/>
      <c r="BL410" s="88"/>
      <c r="BM410" s="110"/>
      <c r="BN410" s="111" t="s">
        <v>4</v>
      </c>
      <c r="BO410" s="111" t="s">
        <v>58</v>
      </c>
      <c r="BP410" s="117"/>
    </row>
    <row r="411" spans="36:68">
      <c r="AK411" s="87"/>
      <c r="AL411" s="48"/>
      <c r="AM411" s="87"/>
      <c r="AN411" s="48"/>
      <c r="AO411" s="48"/>
      <c r="AP411" s="48"/>
      <c r="AQ411" s="48"/>
      <c r="AR411" s="66"/>
      <c r="AS411" s="66"/>
      <c r="AT411" s="48"/>
      <c r="AU411" s="66"/>
      <c r="AV411" s="48"/>
      <c r="AW411" s="67"/>
      <c r="AX411" s="48"/>
      <c r="AY411" s="48"/>
      <c r="AZ411" s="48"/>
      <c r="BA411" s="68"/>
      <c r="BB411" s="48"/>
      <c r="BC411" s="48"/>
      <c r="BD411" s="68"/>
      <c r="BE411" s="48"/>
      <c r="BF411" s="48"/>
      <c r="BG411" s="88"/>
      <c r="BH411" s="44"/>
      <c r="BI411" s="45"/>
      <c r="BJ411" s="48"/>
      <c r="BK411" s="48"/>
      <c r="BL411" s="88"/>
      <c r="BM411" s="110" t="s">
        <v>51</v>
      </c>
      <c r="BN411" s="109">
        <f>BL414-BL369</f>
        <v>0</v>
      </c>
      <c r="BO411" s="112" t="e">
        <f>(BN411)/BL370</f>
        <v>#DIV/0!</v>
      </c>
    </row>
    <row r="412" spans="36:68">
      <c r="AK412" s="87"/>
      <c r="AL412" s="48"/>
      <c r="AM412" s="87"/>
      <c r="AN412" s="48"/>
      <c r="AO412" s="48"/>
      <c r="AP412" s="48"/>
      <c r="AQ412" s="48"/>
      <c r="AR412" s="66"/>
      <c r="AS412" s="66"/>
      <c r="AT412" s="48"/>
      <c r="AU412" s="66"/>
      <c r="AV412" s="48"/>
      <c r="AW412" s="67"/>
      <c r="AX412" s="48"/>
      <c r="AY412" s="48"/>
      <c r="AZ412" s="48"/>
      <c r="BA412" s="68"/>
      <c r="BB412" s="48"/>
      <c r="BC412" s="48"/>
      <c r="BD412" s="68"/>
      <c r="BE412" s="48"/>
      <c r="BF412" s="48"/>
      <c r="BG412" s="88"/>
      <c r="BH412" s="48"/>
      <c r="BI412" s="438"/>
      <c r="BJ412" s="48"/>
      <c r="BK412" s="48"/>
      <c r="BL412" s="88"/>
      <c r="BM412" s="110"/>
      <c r="BN412" s="109"/>
      <c r="BO412" s="109"/>
    </row>
    <row r="413" spans="36:68">
      <c r="AK413" s="87"/>
      <c r="AL413" s="48"/>
      <c r="AM413" s="87"/>
      <c r="AN413" s="48"/>
      <c r="AO413" s="48"/>
      <c r="AP413" s="48"/>
      <c r="AQ413" s="48"/>
      <c r="AR413" s="66"/>
      <c r="AS413" s="66"/>
      <c r="AT413" s="48"/>
      <c r="AU413" s="66"/>
      <c r="AV413" s="48"/>
      <c r="AW413" s="67"/>
      <c r="AX413" s="48"/>
      <c r="AY413" s="48"/>
      <c r="AZ413" s="48"/>
      <c r="BA413" s="68"/>
      <c r="BB413" s="48"/>
      <c r="BC413" s="48"/>
      <c r="BD413" s="68"/>
      <c r="BE413" s="48"/>
      <c r="BF413" s="48"/>
      <c r="BG413" s="88"/>
      <c r="BH413" s="48"/>
      <c r="BI413" s="48"/>
      <c r="BJ413" s="48"/>
      <c r="BK413" s="48"/>
      <c r="BL413" s="88"/>
      <c r="BM413" s="110" t="s">
        <v>80</v>
      </c>
      <c r="BN413" s="113">
        <f>BI414-BI369</f>
        <v>0</v>
      </c>
      <c r="BO413" s="112" t="e">
        <f>(BN413)/BI370</f>
        <v>#DIV/0!</v>
      </c>
    </row>
    <row r="414" spans="36:68">
      <c r="AK414" s="87"/>
      <c r="AL414" s="48"/>
      <c r="AM414" s="491"/>
      <c r="AN414" s="48"/>
      <c r="AO414" s="48"/>
      <c r="AP414" s="48"/>
      <c r="AQ414" s="48"/>
      <c r="AR414" s="66"/>
      <c r="AS414" s="66"/>
      <c r="AT414" s="48"/>
      <c r="AU414" s="66"/>
      <c r="AV414" s="48"/>
      <c r="AW414" s="67"/>
      <c r="AX414" s="48"/>
      <c r="AY414" s="48"/>
      <c r="AZ414" s="48"/>
      <c r="BA414" s="68"/>
      <c r="BB414" s="48"/>
      <c r="BC414" s="48"/>
      <c r="BD414" s="68"/>
      <c r="BE414" s="48"/>
      <c r="BF414" s="48"/>
      <c r="BG414" s="88"/>
      <c r="BH414" s="79"/>
      <c r="BI414" s="81"/>
      <c r="BJ414" s="48"/>
      <c r="BK414" s="76"/>
      <c r="BL414" s="88"/>
      <c r="BM414" s="110"/>
      <c r="BN414" s="109"/>
      <c r="BO414" s="109"/>
    </row>
    <row r="415" spans="36:68">
      <c r="AK415" s="87"/>
      <c r="AL415" s="48"/>
      <c r="AM415" s="87"/>
      <c r="AN415" s="48"/>
      <c r="AO415" s="48"/>
      <c r="AP415" s="48"/>
      <c r="AQ415" s="48"/>
      <c r="AR415" s="66"/>
      <c r="AS415" s="66"/>
      <c r="AT415" s="48"/>
      <c r="AU415" s="66"/>
      <c r="AV415" s="48"/>
      <c r="AW415" s="67"/>
      <c r="AX415" s="48"/>
      <c r="AY415" s="48"/>
      <c r="AZ415" s="48"/>
      <c r="BA415" s="68"/>
      <c r="BB415" s="48"/>
      <c r="BC415" s="48"/>
      <c r="BD415" s="68"/>
      <c r="BE415" s="48"/>
      <c r="BF415" s="48"/>
      <c r="BG415" s="88"/>
      <c r="BH415" s="80"/>
      <c r="BI415" s="82"/>
      <c r="BJ415" s="48"/>
      <c r="BK415" s="76"/>
      <c r="BL415" s="88"/>
      <c r="BM415" s="110" t="s">
        <v>77</v>
      </c>
      <c r="BN415" s="113">
        <f>BI416-BI371</f>
        <v>0</v>
      </c>
      <c r="BO415" s="112" t="e">
        <f>(BN415)/BI372</f>
        <v>#DIV/0!</v>
      </c>
    </row>
    <row r="416" spans="36:68" ht="15.75" thickBot="1">
      <c r="AK416" s="89"/>
      <c r="AL416" s="90"/>
      <c r="AM416" s="89"/>
      <c r="AN416" s="90"/>
      <c r="AO416" s="90"/>
      <c r="AP416" s="90"/>
      <c r="AQ416" s="90"/>
      <c r="AR416" s="472"/>
      <c r="AS416" s="472"/>
      <c r="AT416" s="90"/>
      <c r="AU416" s="472"/>
      <c r="AV416" s="90"/>
      <c r="AW416" s="473"/>
      <c r="AX416" s="90"/>
      <c r="AY416" s="90"/>
      <c r="AZ416" s="90"/>
      <c r="BA416" s="474"/>
      <c r="BB416" s="90"/>
      <c r="BC416" s="90"/>
      <c r="BD416" s="474"/>
      <c r="BE416" s="90"/>
      <c r="BF416" s="90"/>
      <c r="BG416" s="94"/>
      <c r="BH416" s="91"/>
      <c r="BI416" s="92"/>
      <c r="BJ416" s="90"/>
      <c r="BK416" s="93"/>
      <c r="BL416" s="94"/>
      <c r="BM416" s="99"/>
      <c r="BN416" s="100"/>
      <c r="BO416" s="100"/>
    </row>
    <row r="417" spans="39:69" hidden="1">
      <c r="AM417" s="87"/>
      <c r="AN417" s="48"/>
      <c r="AO417" s="48"/>
      <c r="AP417" s="48"/>
      <c r="AQ417" s="48"/>
      <c r="AR417" s="66"/>
      <c r="AS417" s="66"/>
      <c r="AT417" s="48"/>
      <c r="AU417" s="66"/>
      <c r="AV417" s="48"/>
      <c r="AW417" s="67"/>
      <c r="AX417" s="48"/>
      <c r="AY417" s="48"/>
      <c r="AZ417" s="48"/>
      <c r="BA417" s="68"/>
      <c r="BB417" s="48"/>
      <c r="BC417" s="48"/>
      <c r="BD417" s="68"/>
      <c r="BE417" s="48"/>
      <c r="BF417" s="48"/>
      <c r="BG417" s="88"/>
    </row>
    <row r="418" spans="39:69" hidden="1">
      <c r="AM418" s="87"/>
      <c r="AN418" s="48"/>
      <c r="AO418" s="48"/>
      <c r="AP418" s="48"/>
      <c r="AQ418" s="48"/>
      <c r="AR418" s="66"/>
      <c r="AS418" s="66"/>
      <c r="AT418" s="48"/>
      <c r="AU418" s="66"/>
      <c r="AV418" s="48"/>
      <c r="AW418" s="67"/>
      <c r="AX418" s="48"/>
      <c r="AY418" s="48"/>
      <c r="AZ418" s="48"/>
      <c r="BA418" s="68"/>
      <c r="BB418" s="48"/>
      <c r="BC418" s="48"/>
      <c r="BD418" s="68"/>
      <c r="BE418" s="48"/>
      <c r="BF418" s="48"/>
      <c r="BG418" s="88"/>
    </row>
    <row r="419" spans="39:69" hidden="1">
      <c r="AM419" s="87"/>
      <c r="AN419" s="48"/>
      <c r="AO419" s="48"/>
      <c r="AP419" s="48"/>
      <c r="AQ419" s="48"/>
      <c r="AR419" s="66"/>
      <c r="AS419" s="66"/>
      <c r="AT419" s="48"/>
      <c r="AU419" s="66"/>
      <c r="AV419" s="48"/>
      <c r="AW419" s="67"/>
      <c r="AX419" s="48"/>
      <c r="AY419" s="48"/>
      <c r="AZ419" s="48"/>
      <c r="BA419" s="68"/>
      <c r="BB419" s="48"/>
      <c r="BC419" s="48"/>
      <c r="BD419" s="68"/>
      <c r="BE419" s="48"/>
      <c r="BF419" s="48"/>
      <c r="BG419" s="88"/>
    </row>
    <row r="420" spans="39:69" hidden="1">
      <c r="AM420" s="87"/>
      <c r="AN420" s="48"/>
      <c r="AO420" s="48"/>
      <c r="AP420" s="48"/>
      <c r="AQ420" s="48"/>
      <c r="AR420" s="66"/>
      <c r="AS420" s="66"/>
      <c r="AT420" s="48"/>
      <c r="AU420" s="66"/>
      <c r="AV420" s="48"/>
      <c r="AW420" s="67"/>
      <c r="AX420" s="48"/>
      <c r="AY420" s="48"/>
      <c r="AZ420" s="48"/>
      <c r="BA420" s="68"/>
      <c r="BB420" s="48"/>
      <c r="BC420" s="48"/>
      <c r="BD420" s="68"/>
      <c r="BE420" s="48"/>
      <c r="BF420" s="48"/>
      <c r="BG420" s="88"/>
    </row>
    <row r="421" spans="39:69" hidden="1">
      <c r="AM421" s="87"/>
      <c r="AN421" s="48"/>
      <c r="AO421" s="48"/>
      <c r="AP421" s="48"/>
      <c r="AQ421" s="48"/>
      <c r="AR421" s="66"/>
      <c r="AS421" s="66"/>
      <c r="AT421" s="48"/>
      <c r="AU421" s="66"/>
      <c r="AV421" s="48"/>
      <c r="AW421" s="67"/>
      <c r="AX421" s="48"/>
      <c r="AY421" s="48"/>
      <c r="AZ421" s="48"/>
      <c r="BA421" s="68"/>
      <c r="BB421" s="48"/>
      <c r="BC421" s="48"/>
      <c r="BD421" s="68"/>
      <c r="BE421" s="48"/>
      <c r="BF421" s="48"/>
      <c r="BG421" s="88"/>
    </row>
    <row r="422" spans="39:69" hidden="1">
      <c r="AM422" s="87"/>
      <c r="AN422" s="48"/>
      <c r="AO422" s="48"/>
      <c r="AP422" s="48"/>
      <c r="AQ422" s="48"/>
      <c r="AR422" s="66"/>
      <c r="AS422" s="66"/>
      <c r="AT422" s="48"/>
      <c r="AU422" s="66"/>
      <c r="AV422" s="48"/>
      <c r="AW422" s="67"/>
      <c r="AX422" s="48"/>
      <c r="AY422" s="48"/>
      <c r="AZ422" s="48"/>
      <c r="BA422" s="68"/>
      <c r="BB422" s="48"/>
      <c r="BC422" s="48"/>
      <c r="BD422" s="68"/>
      <c r="BE422" s="48"/>
      <c r="BF422" s="48"/>
      <c r="BG422" s="88"/>
    </row>
    <row r="423" spans="39:69" hidden="1">
      <c r="AM423" s="87"/>
      <c r="AN423" s="48"/>
      <c r="AO423" s="48"/>
      <c r="AP423" s="48"/>
      <c r="AQ423" s="48"/>
      <c r="AR423" s="66"/>
      <c r="AS423" s="66"/>
      <c r="AT423" s="48"/>
      <c r="AU423" s="66"/>
      <c r="AV423" s="48"/>
      <c r="AW423" s="67"/>
      <c r="AX423" s="48"/>
      <c r="AY423" s="48"/>
      <c r="AZ423" s="48"/>
      <c r="BA423" s="68"/>
      <c r="BB423" s="48"/>
      <c r="BC423" s="48"/>
      <c r="BD423" s="68"/>
      <c r="BE423" s="48"/>
      <c r="BF423" s="48"/>
      <c r="BG423" s="88"/>
    </row>
    <row r="424" spans="39:69" hidden="1">
      <c r="AM424" s="87"/>
      <c r="AN424" s="48"/>
      <c r="AO424" s="48"/>
      <c r="AP424" s="48"/>
      <c r="AQ424" s="48"/>
      <c r="AR424" s="66"/>
      <c r="AS424" s="66"/>
      <c r="AT424" s="48"/>
      <c r="AU424" s="66"/>
      <c r="AV424" s="48"/>
      <c r="AW424" s="67"/>
      <c r="AX424" s="48"/>
      <c r="AY424" s="48"/>
      <c r="AZ424" s="48"/>
      <c r="BA424" s="68"/>
      <c r="BB424" s="48"/>
      <c r="BC424" s="48"/>
      <c r="BD424" s="68"/>
      <c r="BE424" s="48"/>
      <c r="BF424" s="48"/>
      <c r="BG424" s="88"/>
    </row>
    <row r="425" spans="39:69" hidden="1">
      <c r="AM425" s="87"/>
      <c r="AN425" s="48"/>
      <c r="AO425" s="48"/>
      <c r="AP425" s="48"/>
      <c r="AQ425" s="48"/>
      <c r="AR425" s="66"/>
      <c r="AS425" s="66"/>
      <c r="AT425" s="48"/>
      <c r="AU425" s="66"/>
      <c r="AV425" s="48"/>
      <c r="AW425" s="67"/>
      <c r="AX425" s="48"/>
      <c r="AY425" s="48"/>
      <c r="AZ425" s="48"/>
      <c r="BA425" s="68"/>
      <c r="BB425" s="48"/>
      <c r="BC425" s="48"/>
      <c r="BD425" s="68"/>
      <c r="BE425" s="48"/>
      <c r="BF425" s="48"/>
      <c r="BG425" s="88"/>
      <c r="BQ425" s="2"/>
    </row>
    <row r="426" spans="39:69" hidden="1">
      <c r="AM426" s="87"/>
      <c r="AN426" s="48"/>
      <c r="AO426" s="48"/>
      <c r="AP426" s="48"/>
      <c r="AQ426" s="48"/>
      <c r="AR426" s="66"/>
      <c r="AS426" s="66"/>
      <c r="AT426" s="48"/>
      <c r="AU426" s="66"/>
      <c r="AV426" s="48"/>
      <c r="AW426" s="67"/>
      <c r="AX426" s="48"/>
      <c r="AY426" s="48"/>
      <c r="AZ426" s="48"/>
      <c r="BA426" s="68"/>
      <c r="BB426" s="48"/>
      <c r="BC426" s="48"/>
      <c r="BD426" s="68"/>
      <c r="BE426" s="48"/>
      <c r="BF426" s="48"/>
      <c r="BG426" s="88"/>
    </row>
    <row r="427" spans="39:69" hidden="1">
      <c r="AM427" s="87"/>
      <c r="AN427" s="48"/>
      <c r="AO427" s="48"/>
      <c r="AP427" s="48"/>
      <c r="AQ427" s="48"/>
      <c r="AR427" s="66"/>
      <c r="AS427" s="66"/>
      <c r="AT427" s="48"/>
      <c r="AU427" s="66"/>
      <c r="AV427" s="48"/>
      <c r="AW427" s="67"/>
      <c r="AX427" s="48"/>
      <c r="AY427" s="48"/>
      <c r="AZ427" s="48"/>
      <c r="BA427" s="68"/>
      <c r="BB427" s="48"/>
      <c r="BC427" s="48"/>
      <c r="BD427" s="68"/>
      <c r="BE427" s="48"/>
      <c r="BF427" s="48"/>
      <c r="BG427" s="88"/>
    </row>
    <row r="428" spans="39:69" hidden="1">
      <c r="AM428" s="87"/>
      <c r="AN428" s="48"/>
      <c r="AO428" s="48"/>
      <c r="AP428" s="48"/>
      <c r="AQ428" s="48"/>
      <c r="AR428" s="66"/>
      <c r="AS428" s="66"/>
      <c r="AT428" s="48"/>
      <c r="AU428" s="66"/>
      <c r="AV428" s="48"/>
      <c r="AW428" s="67"/>
      <c r="AX428" s="48"/>
      <c r="AY428" s="48"/>
      <c r="AZ428" s="48"/>
      <c r="BA428" s="68"/>
      <c r="BB428" s="48"/>
      <c r="BC428" s="48"/>
      <c r="BD428" s="68"/>
      <c r="BE428" s="48"/>
      <c r="BF428" s="48"/>
      <c r="BG428" s="88"/>
    </row>
    <row r="429" spans="39:69" hidden="1">
      <c r="AM429" s="87"/>
      <c r="AN429" s="48"/>
      <c r="AO429" s="48"/>
      <c r="AP429" s="48"/>
      <c r="AQ429" s="48"/>
      <c r="AR429" s="66"/>
      <c r="AS429" s="66"/>
      <c r="AT429" s="48"/>
      <c r="AU429" s="66"/>
      <c r="AV429" s="48"/>
      <c r="AW429" s="67"/>
      <c r="AX429" s="48"/>
      <c r="AY429" s="48"/>
      <c r="AZ429" s="48"/>
      <c r="BA429" s="68"/>
      <c r="BB429" s="48"/>
      <c r="BC429" s="48"/>
      <c r="BD429" s="68"/>
      <c r="BE429" s="48"/>
      <c r="BF429" s="48"/>
      <c r="BG429" s="88"/>
    </row>
    <row r="430" spans="39:69" hidden="1">
      <c r="AM430" s="87"/>
      <c r="AN430" s="48"/>
      <c r="AO430" s="48"/>
      <c r="AP430" s="48"/>
      <c r="AQ430" s="48"/>
      <c r="AR430" s="66"/>
      <c r="AS430" s="66"/>
      <c r="AT430" s="48"/>
      <c r="AU430" s="66"/>
      <c r="AV430" s="48"/>
      <c r="AW430" s="67"/>
      <c r="AX430" s="48"/>
      <c r="AY430" s="48"/>
      <c r="AZ430" s="48"/>
      <c r="BA430" s="68"/>
      <c r="BB430" s="48"/>
      <c r="BC430" s="48"/>
      <c r="BD430" s="68"/>
      <c r="BE430" s="48"/>
      <c r="BF430" s="48"/>
      <c r="BG430" s="88"/>
    </row>
    <row r="431" spans="39:69" hidden="1">
      <c r="AM431" s="87"/>
      <c r="AN431" s="48"/>
      <c r="AO431" s="48"/>
      <c r="AP431" s="48"/>
      <c r="AQ431" s="48"/>
      <c r="AR431" s="66"/>
      <c r="AS431" s="66"/>
      <c r="AT431" s="48"/>
      <c r="AU431" s="66"/>
      <c r="AV431" s="48"/>
      <c r="AW431" s="67"/>
      <c r="AX431" s="48"/>
      <c r="AY431" s="48"/>
      <c r="AZ431" s="48"/>
      <c r="BA431" s="68"/>
      <c r="BB431" s="48"/>
      <c r="BC431" s="48"/>
      <c r="BD431" s="68"/>
      <c r="BE431" s="48"/>
      <c r="BF431" s="48"/>
      <c r="BG431" s="88"/>
    </row>
    <row r="432" spans="39:69" hidden="1">
      <c r="AM432" s="87"/>
      <c r="AN432" s="48"/>
      <c r="AO432" s="48"/>
      <c r="AP432" s="48"/>
      <c r="AQ432" s="48"/>
      <c r="AR432" s="66"/>
      <c r="AS432" s="66"/>
      <c r="AT432" s="48"/>
      <c r="AU432" s="66"/>
      <c r="AV432" s="48"/>
      <c r="AW432" s="67"/>
      <c r="AX432" s="48"/>
      <c r="AY432" s="48"/>
      <c r="AZ432" s="48"/>
      <c r="BA432" s="68"/>
      <c r="BB432" s="48"/>
      <c r="BC432" s="48"/>
      <c r="BD432" s="68"/>
      <c r="BE432" s="48"/>
      <c r="BF432" s="48"/>
      <c r="BG432" s="88"/>
    </row>
    <row r="433" spans="39:59" hidden="1">
      <c r="AM433" s="87"/>
      <c r="AN433" s="48"/>
      <c r="AO433" s="48"/>
      <c r="AP433" s="48"/>
      <c r="AQ433" s="48"/>
      <c r="AR433" s="66"/>
      <c r="AS433" s="66"/>
      <c r="AT433" s="48"/>
      <c r="AU433" s="66"/>
      <c r="AV433" s="48"/>
      <c r="AW433" s="67"/>
      <c r="AX433" s="48"/>
      <c r="AY433" s="48"/>
      <c r="AZ433" s="48"/>
      <c r="BA433" s="68"/>
      <c r="BB433" s="48"/>
      <c r="BC433" s="48"/>
      <c r="BD433" s="68"/>
      <c r="BE433" s="48"/>
      <c r="BF433" s="48"/>
      <c r="BG433" s="88"/>
    </row>
    <row r="434" spans="39:59" hidden="1">
      <c r="AM434" s="87"/>
      <c r="AN434" s="48"/>
      <c r="AO434" s="48"/>
      <c r="AP434" s="48"/>
      <c r="AQ434" s="48"/>
      <c r="AR434" s="66"/>
      <c r="AS434" s="66"/>
      <c r="AT434" s="48"/>
      <c r="AU434" s="66"/>
      <c r="AV434" s="48"/>
      <c r="AW434" s="67"/>
      <c r="AX434" s="48"/>
      <c r="AY434" s="48"/>
      <c r="AZ434" s="48"/>
      <c r="BA434" s="68"/>
      <c r="BB434" s="48"/>
      <c r="BC434" s="48"/>
      <c r="BD434" s="68"/>
      <c r="BE434" s="48"/>
      <c r="BF434" s="48"/>
      <c r="BG434" s="88"/>
    </row>
    <row r="435" spans="39:59" hidden="1">
      <c r="AM435" s="87"/>
      <c r="AN435" s="48"/>
      <c r="AO435" s="48"/>
      <c r="AP435" s="48"/>
      <c r="AQ435" s="48"/>
      <c r="AR435" s="66"/>
      <c r="AS435" s="66"/>
      <c r="AT435" s="48"/>
      <c r="AU435" s="66"/>
      <c r="AV435" s="48"/>
      <c r="AW435" s="67"/>
      <c r="AX435" s="48"/>
      <c r="AY435" s="48"/>
      <c r="AZ435" s="48"/>
      <c r="BA435" s="68"/>
      <c r="BB435" s="48"/>
      <c r="BC435" s="48"/>
      <c r="BD435" s="68"/>
      <c r="BE435" s="48"/>
      <c r="BF435" s="48"/>
      <c r="BG435" s="88"/>
    </row>
    <row r="436" spans="39:59" hidden="1">
      <c r="AM436" s="87"/>
      <c r="AN436" s="48"/>
      <c r="AO436" s="48"/>
      <c r="AP436" s="48"/>
      <c r="AQ436" s="48"/>
      <c r="AR436" s="66"/>
      <c r="AS436" s="66"/>
      <c r="AT436" s="48"/>
      <c r="AU436" s="66"/>
      <c r="AV436" s="48"/>
      <c r="AW436" s="67"/>
      <c r="AX436" s="48"/>
      <c r="AY436" s="48"/>
      <c r="AZ436" s="48"/>
      <c r="BA436" s="68"/>
      <c r="BB436" s="48"/>
      <c r="BC436" s="48"/>
      <c r="BD436" s="68"/>
      <c r="BE436" s="48"/>
      <c r="BF436" s="48"/>
      <c r="BG436" s="88"/>
    </row>
    <row r="437" spans="39:59" hidden="1">
      <c r="AM437" s="87"/>
      <c r="AN437" s="48"/>
      <c r="AO437" s="48"/>
      <c r="AP437" s="48"/>
      <c r="AQ437" s="48"/>
      <c r="AR437" s="66"/>
      <c r="AS437" s="66"/>
      <c r="AT437" s="48"/>
      <c r="AU437" s="66"/>
      <c r="AV437" s="48"/>
      <c r="AW437" s="67"/>
      <c r="AX437" s="48"/>
      <c r="AY437" s="48"/>
      <c r="AZ437" s="48"/>
      <c r="BA437" s="68"/>
      <c r="BB437" s="48"/>
      <c r="BC437" s="48"/>
      <c r="BD437" s="68"/>
      <c r="BE437" s="48"/>
      <c r="BF437" s="48"/>
      <c r="BG437" s="88"/>
    </row>
    <row r="438" spans="39:59" hidden="1">
      <c r="AM438" s="87"/>
      <c r="AN438" s="48"/>
      <c r="AO438" s="48"/>
      <c r="AP438" s="48"/>
      <c r="AQ438" s="48"/>
      <c r="AR438" s="66"/>
      <c r="AS438" s="66"/>
      <c r="AT438" s="48"/>
      <c r="AU438" s="66"/>
      <c r="AV438" s="48"/>
      <c r="AW438" s="67"/>
      <c r="AX438" s="48"/>
      <c r="AY438" s="48"/>
      <c r="AZ438" s="48"/>
      <c r="BA438" s="68"/>
      <c r="BB438" s="48"/>
      <c r="BC438" s="48"/>
      <c r="BD438" s="68"/>
      <c r="BE438" s="48"/>
      <c r="BF438" s="48"/>
      <c r="BG438" s="88"/>
    </row>
    <row r="439" spans="39:59" hidden="1">
      <c r="AM439" s="87"/>
      <c r="AN439" s="48"/>
      <c r="AO439" s="48"/>
      <c r="AP439" s="48"/>
      <c r="AQ439" s="48"/>
      <c r="AR439" s="66"/>
      <c r="AS439" s="66"/>
      <c r="AT439" s="48"/>
      <c r="AU439" s="66"/>
      <c r="AV439" s="48"/>
      <c r="AW439" s="67"/>
      <c r="AX439" s="48"/>
      <c r="AY439" s="48"/>
      <c r="AZ439" s="48"/>
      <c r="BA439" s="68"/>
      <c r="BB439" s="48"/>
      <c r="BC439" s="48"/>
      <c r="BD439" s="68"/>
      <c r="BE439" s="48"/>
      <c r="BF439" s="48"/>
      <c r="BG439" s="88"/>
    </row>
    <row r="440" spans="39:59" hidden="1">
      <c r="AM440" s="87"/>
      <c r="AN440" s="48"/>
      <c r="AO440" s="48"/>
      <c r="AP440" s="48"/>
      <c r="AQ440" s="48"/>
      <c r="AR440" s="66"/>
      <c r="AS440" s="66"/>
      <c r="AT440" s="48"/>
      <c r="AU440" s="66"/>
      <c r="AV440" s="48"/>
      <c r="AW440" s="67"/>
      <c r="AX440" s="48"/>
      <c r="AY440" s="48"/>
      <c r="AZ440" s="48"/>
      <c r="BA440" s="68"/>
      <c r="BB440" s="48"/>
      <c r="BC440" s="48"/>
      <c r="BD440" s="68"/>
      <c r="BE440" s="48"/>
      <c r="BF440" s="48"/>
      <c r="BG440" s="88"/>
    </row>
    <row r="441" spans="39:59" hidden="1">
      <c r="AM441" s="87"/>
      <c r="AN441" s="48"/>
      <c r="AO441" s="48"/>
      <c r="AP441" s="48"/>
      <c r="AQ441" s="48"/>
      <c r="AR441" s="66"/>
      <c r="AS441" s="66"/>
      <c r="AT441" s="48"/>
      <c r="AU441" s="66"/>
      <c r="AV441" s="48"/>
      <c r="AW441" s="67"/>
      <c r="AX441" s="48"/>
      <c r="AY441" s="48"/>
      <c r="AZ441" s="48"/>
      <c r="BA441" s="68"/>
      <c r="BB441" s="48"/>
      <c r="BC441" s="48"/>
      <c r="BD441" s="68"/>
      <c r="BE441" s="48"/>
      <c r="BF441" s="48"/>
      <c r="BG441" s="88"/>
    </row>
    <row r="442" spans="39:59" hidden="1">
      <c r="AM442" s="87"/>
      <c r="AN442" s="48"/>
      <c r="AO442" s="48"/>
      <c r="AP442" s="48"/>
      <c r="AQ442" s="48"/>
      <c r="AR442" s="66"/>
      <c r="AS442" s="66"/>
      <c r="AT442" s="48"/>
      <c r="AU442" s="66"/>
      <c r="AV442" s="48"/>
      <c r="AW442" s="67"/>
      <c r="AX442" s="48"/>
      <c r="AY442" s="48"/>
      <c r="AZ442" s="48"/>
      <c r="BA442" s="68"/>
      <c r="BB442" s="48"/>
      <c r="BC442" s="48"/>
      <c r="BD442" s="68"/>
      <c r="BE442" s="48"/>
      <c r="BF442" s="48"/>
      <c r="BG442" s="88"/>
    </row>
    <row r="443" spans="39:59" hidden="1">
      <c r="AM443" s="87"/>
      <c r="AN443" s="48"/>
      <c r="AO443" s="48"/>
      <c r="AP443" s="48"/>
      <c r="AQ443" s="48"/>
      <c r="AR443" s="66"/>
      <c r="AS443" s="66"/>
      <c r="AT443" s="48"/>
      <c r="AU443" s="66"/>
      <c r="AV443" s="48"/>
      <c r="AW443" s="67"/>
      <c r="AX443" s="48"/>
      <c r="AY443" s="48"/>
      <c r="AZ443" s="48"/>
      <c r="BA443" s="68"/>
      <c r="BB443" s="48"/>
      <c r="BC443" s="48"/>
      <c r="BD443" s="68"/>
      <c r="BE443" s="48"/>
      <c r="BF443" s="48"/>
      <c r="BG443" s="88"/>
    </row>
    <row r="444" spans="39:59" hidden="1">
      <c r="AM444" s="87"/>
      <c r="AN444" s="48"/>
      <c r="AO444" s="48"/>
      <c r="AP444" s="48"/>
      <c r="AQ444" s="48"/>
      <c r="AR444" s="66"/>
      <c r="AS444" s="66"/>
      <c r="AT444" s="48"/>
      <c r="AU444" s="66"/>
      <c r="AV444" s="48"/>
      <c r="AW444" s="67"/>
      <c r="AX444" s="48"/>
      <c r="AY444" s="48"/>
      <c r="AZ444" s="48"/>
      <c r="BA444" s="68"/>
      <c r="BB444" s="48"/>
      <c r="BC444" s="48"/>
      <c r="BD444" s="68"/>
      <c r="BE444" s="48"/>
      <c r="BF444" s="48"/>
      <c r="BG444" s="88"/>
    </row>
    <row r="445" spans="39:59" hidden="1">
      <c r="AM445" s="87"/>
      <c r="AN445" s="48"/>
      <c r="AO445" s="48"/>
      <c r="AP445" s="48"/>
      <c r="AQ445" s="48"/>
      <c r="AR445" s="66"/>
      <c r="AS445" s="66"/>
      <c r="AT445" s="48"/>
      <c r="AU445" s="66"/>
      <c r="AV445" s="48"/>
      <c r="AW445" s="67"/>
      <c r="AX445" s="48"/>
      <c r="AY445" s="48"/>
      <c r="AZ445" s="48"/>
      <c r="BA445" s="68"/>
      <c r="BB445" s="48"/>
      <c r="BC445" s="48"/>
      <c r="BD445" s="68"/>
      <c r="BE445" s="48"/>
      <c r="BF445" s="48"/>
      <c r="BG445" s="88"/>
    </row>
    <row r="446" spans="39:59" hidden="1">
      <c r="AM446" s="87"/>
      <c r="AN446" s="48"/>
      <c r="AO446" s="48"/>
      <c r="AP446" s="48"/>
      <c r="AQ446" s="48"/>
      <c r="AR446" s="66"/>
      <c r="AS446" s="66"/>
      <c r="AT446" s="48"/>
      <c r="AU446" s="66"/>
      <c r="AV446" s="48"/>
      <c r="AW446" s="67"/>
      <c r="AX446" s="48"/>
      <c r="AY446" s="48"/>
      <c r="AZ446" s="48"/>
      <c r="BA446" s="68"/>
      <c r="BB446" s="48"/>
      <c r="BC446" s="48"/>
      <c r="BD446" s="68"/>
      <c r="BE446" s="48"/>
      <c r="BF446" s="48"/>
      <c r="BG446" s="88"/>
    </row>
    <row r="447" spans="39:59" hidden="1">
      <c r="AM447" s="87"/>
      <c r="AN447" s="48"/>
      <c r="AO447" s="48"/>
      <c r="AP447" s="48"/>
      <c r="AQ447" s="48"/>
      <c r="AR447" s="66"/>
      <c r="AS447" s="66"/>
      <c r="AT447" s="48"/>
      <c r="AU447" s="66"/>
      <c r="AV447" s="48"/>
      <c r="AW447" s="67"/>
      <c r="AX447" s="48"/>
      <c r="AY447" s="48"/>
      <c r="AZ447" s="48"/>
      <c r="BA447" s="68"/>
      <c r="BB447" s="48"/>
      <c r="BC447" s="48"/>
      <c r="BD447" s="68"/>
      <c r="BE447" s="48"/>
      <c r="BF447" s="48"/>
      <c r="BG447" s="88"/>
    </row>
    <row r="448" spans="39:59" ht="15.75" hidden="1" thickBot="1">
      <c r="AM448" s="89"/>
      <c r="AN448" s="90"/>
      <c r="AO448" s="90"/>
      <c r="AP448" s="90"/>
      <c r="AQ448" s="90"/>
      <c r="AR448" s="472"/>
      <c r="AS448" s="472"/>
      <c r="AT448" s="90"/>
      <c r="AU448" s="472"/>
      <c r="AV448" s="90"/>
      <c r="AW448" s="473"/>
      <c r="AX448" s="90"/>
      <c r="AY448" s="90"/>
      <c r="AZ448" s="90"/>
      <c r="BA448" s="474"/>
      <c r="BB448" s="90"/>
      <c r="BC448" s="90"/>
      <c r="BD448" s="474"/>
      <c r="BE448" s="90"/>
      <c r="BF448" s="90"/>
      <c r="BG448" s="94"/>
    </row>
  </sheetData>
  <mergeCells count="9">
    <mergeCell ref="AK11:BL11"/>
    <mergeCell ref="Z5:AB5"/>
    <mergeCell ref="AK55:BL55"/>
    <mergeCell ref="AI13:AJ14"/>
    <mergeCell ref="Z4:AG4"/>
    <mergeCell ref="C11:AD11"/>
    <mergeCell ref="AB18:AC18"/>
    <mergeCell ref="AB19:AC19"/>
    <mergeCell ref="AB20:AC20"/>
  </mergeCells>
  <conditionalFormatting sqref="BM56:BQ97">
    <cfRule type="expression" dxfId="279" priority="579">
      <formula>$AL$56&gt;0</formula>
    </cfRule>
  </conditionalFormatting>
  <conditionalFormatting sqref="BM319:BO362">
    <cfRule type="expression" dxfId="278" priority="564">
      <formula>$AL$320&gt;0</formula>
    </cfRule>
  </conditionalFormatting>
  <conditionalFormatting sqref="BM363:BO372">
    <cfRule type="expression" dxfId="277" priority="563">
      <formula>$AL$364&gt;0</formula>
    </cfRule>
  </conditionalFormatting>
  <conditionalFormatting sqref="BM408:BO416">
    <cfRule type="expression" dxfId="276" priority="562">
      <formula>$AL$408&gt;0</formula>
    </cfRule>
  </conditionalFormatting>
  <conditionalFormatting sqref="BP240:BQ281 BM144:BO152">
    <cfRule type="expression" dxfId="275" priority="685">
      <formula>$AL$144&gt;0</formula>
    </cfRule>
  </conditionalFormatting>
  <conditionalFormatting sqref="BP284:BQ325 BM188:BO196">
    <cfRule type="expression" dxfId="274" priority="687">
      <formula>$AL$188&gt;0</formula>
    </cfRule>
  </conditionalFormatting>
  <conditionalFormatting sqref="BP197:BQ237 BM101:BO141">
    <cfRule type="expression" dxfId="273" priority="693">
      <formula>$AL$100&gt;0</formula>
    </cfRule>
  </conditionalFormatting>
  <conditionalFormatting sqref="BM13">
    <cfRule type="expression" dxfId="272" priority="561">
      <formula>$AL$56&gt;0</formula>
    </cfRule>
  </conditionalFormatting>
  <conditionalFormatting sqref="Z12:AD12 AB13:AD13 C13:D13">
    <cfRule type="expression" dxfId="271" priority="560">
      <formula>$C$12&lt;&gt;" "</formula>
    </cfRule>
  </conditionalFormatting>
  <conditionalFormatting sqref="M12">
    <cfRule type="containsText" dxfId="270" priority="549" operator="containsText" text="SW">
      <formula>NOT(ISERROR(SEARCH("SW",M12)))</formula>
    </cfRule>
    <cfRule type="containsText" dxfId="269" priority="550" operator="containsText" text="SQ">
      <formula>NOT(ISERROR(SEARCH("SQ",M12)))</formula>
    </cfRule>
    <cfRule type="containsText" dxfId="268" priority="551" operator="containsText" text="SC">
      <formula>NOT(ISERROR(SEARCH("SC",M12)))</formula>
    </cfRule>
    <cfRule type="containsText" dxfId="267" priority="552" operator="containsText" text="AP">
      <formula>NOT(ISERROR(SEARCH("AP",M12)))</formula>
    </cfRule>
    <cfRule type="containsText" dxfId="266" priority="553" operator="containsText" text="SS">
      <formula>NOT(ISERROR(SEARCH("SS",M12)))</formula>
    </cfRule>
    <cfRule type="containsText" dxfId="265" priority="554" operator="containsText" text="PQ">
      <formula>NOT(ISERROR(SEARCH("PQ",M12)))</formula>
    </cfRule>
    <cfRule type="containsText" dxfId="264" priority="555" operator="containsText" text="PC">
      <formula>NOT(ISERROR(SEARCH("PC",M12)))</formula>
    </cfRule>
    <cfRule type="containsText" dxfId="263" priority="556" operator="containsText" text="PW">
      <formula>NOT(ISERROR(SEARCH("PW",M12)))</formula>
    </cfRule>
    <cfRule type="containsText" dxfId="262" priority="557" operator="containsText" text="RS">
      <formula>NOT(ISERROR(SEARCH("RS",M12)))</formula>
    </cfRule>
    <cfRule type="containsText" dxfId="261" priority="558" operator="containsText" text="PF">
      <formula>NOT(ISERROR(SEARCH("PF",M12)))</formula>
    </cfRule>
  </conditionalFormatting>
  <conditionalFormatting sqref="M12">
    <cfRule type="containsText" dxfId="260" priority="545" operator="containsText" text="rc">
      <formula>NOT(ISERROR(SEARCH("rc",M12)))</formula>
    </cfRule>
    <cfRule type="containsText" dxfId="259" priority="546" operator="containsText" text="sf">
      <formula>NOT(ISERROR(SEARCH("sf",M12)))</formula>
    </cfRule>
    <cfRule type="containsText" dxfId="258" priority="547" operator="containsText" text="rq">
      <formula>NOT(ISERROR(SEARCH("rq",M12)))</formula>
    </cfRule>
    <cfRule type="containsText" dxfId="257" priority="548" operator="containsText" text="rf">
      <formula>NOT(ISERROR(SEARCH("rf",M12)))</formula>
    </cfRule>
  </conditionalFormatting>
  <conditionalFormatting sqref="V12">
    <cfRule type="containsText" dxfId="256" priority="544" operator="containsText" text="FALSE">
      <formula>NOT(ISERROR(SEARCH("FALSE",V12)))</formula>
    </cfRule>
  </conditionalFormatting>
  <conditionalFormatting sqref="AW57:AW85 AW96">
    <cfRule type="containsText" dxfId="255" priority="513" operator="containsText" text="D">
      <formula>NOT(ISERROR(SEARCH("D",AW57)))</formula>
    </cfRule>
    <cfRule type="containsText" dxfId="254" priority="514" operator="containsText" text="F">
      <formula>NOT(ISERROR(SEARCH("F",AW57)))</formula>
    </cfRule>
    <cfRule type="containsText" dxfId="253" priority="516" operator="containsText" text="M">
      <formula>NOT(ISERROR(SEARCH("M",AW57)))</formula>
    </cfRule>
  </conditionalFormatting>
  <conditionalFormatting sqref="AW57:AW85 AW96">
    <cfRule type="containsText" dxfId="252" priority="515" operator="containsText" text="A">
      <formula>NOT(ISERROR(SEARCH("A",AW57)))</formula>
    </cfRule>
  </conditionalFormatting>
  <conditionalFormatting sqref="AU56">
    <cfRule type="containsText" dxfId="251" priority="511" operator="containsText" text="SW">
      <formula>NOT(ISERROR(SEARCH("SW",AU56)))</formula>
    </cfRule>
    <cfRule type="containsText" dxfId="250" priority="512" operator="containsText" text="SQ">
      <formula>NOT(ISERROR(SEARCH("SQ",AU56)))</formula>
    </cfRule>
    <cfRule type="containsText" dxfId="249" priority="694" operator="containsText" text="SC">
      <formula>NOT(ISERROR(SEARCH("SC",AU56)))</formula>
    </cfRule>
    <cfRule type="containsText" dxfId="248" priority="694" operator="containsText" text="AP">
      <formula>NOT(ISERROR(SEARCH("AP",AU56)))</formula>
    </cfRule>
    <cfRule type="containsText" dxfId="247" priority="694" operator="containsText" text="SS">
      <formula>NOT(ISERROR(SEARCH("SS",AU56)))</formula>
    </cfRule>
    <cfRule type="containsText" dxfId="246" priority="694" operator="containsText" text="PQ">
      <formula>NOT(ISERROR(SEARCH("PQ",AU56)))</formula>
    </cfRule>
    <cfRule type="containsText" dxfId="245" priority="517" operator="containsText" text="PC">
      <formula>NOT(ISERROR(SEARCH("PC",AU56)))</formula>
    </cfRule>
    <cfRule type="containsText" dxfId="244" priority="518" operator="containsText" text="PW">
      <formula>NOT(ISERROR(SEARCH("PW",AU56)))</formula>
    </cfRule>
    <cfRule type="containsText" dxfId="243" priority="519" operator="containsText" text="RS">
      <formula>NOT(ISERROR(SEARCH("RS",AU56)))</formula>
    </cfRule>
    <cfRule type="containsText" dxfId="242" priority="520" operator="containsText" text="PF">
      <formula>NOT(ISERROR(SEARCH("PF",AU56)))</formula>
    </cfRule>
  </conditionalFormatting>
  <conditionalFormatting sqref="AU56">
    <cfRule type="containsText" dxfId="241" priority="507" operator="containsText" text="rc">
      <formula>NOT(ISERROR(SEARCH("rc",AU56)))</formula>
    </cfRule>
    <cfRule type="containsText" dxfId="240" priority="508" operator="containsText" text="sf">
      <formula>NOT(ISERROR(SEARCH("sf",AU56)))</formula>
    </cfRule>
    <cfRule type="containsText" dxfId="239" priority="509" operator="containsText" text="rq">
      <formula>NOT(ISERROR(SEARCH("rq",AU56)))</formula>
    </cfRule>
    <cfRule type="containsText" dxfId="238" priority="510" operator="containsText" text="rf">
      <formula>NOT(ISERROR(SEARCH("rf",AU56)))</formula>
    </cfRule>
  </conditionalFormatting>
  <conditionalFormatting sqref="BD56">
    <cfRule type="containsText" dxfId="237" priority="506" operator="containsText" text="FALSE">
      <formula>NOT(ISERROR(SEARCH("FALSE",BD56)))</formula>
    </cfRule>
  </conditionalFormatting>
  <conditionalFormatting sqref="AW97">
    <cfRule type="containsText" dxfId="236" priority="502" operator="containsText" text="D">
      <formula>NOT(ISERROR(SEARCH("D",AW97)))</formula>
    </cfRule>
    <cfRule type="containsText" dxfId="235" priority="503" operator="containsText" text="F">
      <formula>NOT(ISERROR(SEARCH("F",AW97)))</formula>
    </cfRule>
    <cfRule type="containsText" dxfId="234" priority="505" operator="containsText" text="M">
      <formula>NOT(ISERROR(SEARCH("M",AW97)))</formula>
    </cfRule>
  </conditionalFormatting>
  <conditionalFormatting sqref="AW97">
    <cfRule type="containsText" dxfId="233" priority="504" operator="containsText" text="A">
      <formula>NOT(ISERROR(SEARCH("A",AW97)))</formula>
    </cfRule>
  </conditionalFormatting>
  <conditionalFormatting sqref="AW141">
    <cfRule type="containsText" dxfId="232" priority="483" operator="containsText" text="D">
      <formula>NOT(ISERROR(SEARCH("D",AW141)))</formula>
    </cfRule>
    <cfRule type="containsText" dxfId="231" priority="484" operator="containsText" text="F">
      <formula>NOT(ISERROR(SEARCH("F",AW141)))</formula>
    </cfRule>
    <cfRule type="containsText" dxfId="230" priority="486" operator="containsText" text="M">
      <formula>NOT(ISERROR(SEARCH("M",AW141)))</formula>
    </cfRule>
  </conditionalFormatting>
  <conditionalFormatting sqref="AW141">
    <cfRule type="containsText" dxfId="229" priority="485" operator="containsText" text="A">
      <formula>NOT(ISERROR(SEARCH("A",AW141)))</formula>
    </cfRule>
  </conditionalFormatting>
  <conditionalFormatting sqref="AW185">
    <cfRule type="containsText" dxfId="228" priority="464" operator="containsText" text="D">
      <formula>NOT(ISERROR(SEARCH("D",AW185)))</formula>
    </cfRule>
    <cfRule type="containsText" dxfId="227" priority="465" operator="containsText" text="F">
      <formula>NOT(ISERROR(SEARCH("F",AW185)))</formula>
    </cfRule>
    <cfRule type="containsText" dxfId="226" priority="467" operator="containsText" text="M">
      <formula>NOT(ISERROR(SEARCH("M",AW185)))</formula>
    </cfRule>
  </conditionalFormatting>
  <conditionalFormatting sqref="AW185">
    <cfRule type="containsText" dxfId="225" priority="466" operator="containsText" text="A">
      <formula>NOT(ISERROR(SEARCH("A",AW185)))</formula>
    </cfRule>
  </conditionalFormatting>
  <conditionalFormatting sqref="AW229">
    <cfRule type="containsText" dxfId="224" priority="445" operator="containsText" text="D">
      <formula>NOT(ISERROR(SEARCH("D",AW229)))</formula>
    </cfRule>
    <cfRule type="containsText" dxfId="223" priority="446" operator="containsText" text="F">
      <formula>NOT(ISERROR(SEARCH("F",AW229)))</formula>
    </cfRule>
    <cfRule type="containsText" dxfId="222" priority="448" operator="containsText" text="M">
      <formula>NOT(ISERROR(SEARCH("M",AW229)))</formula>
    </cfRule>
  </conditionalFormatting>
  <conditionalFormatting sqref="AW229">
    <cfRule type="containsText" dxfId="221" priority="447" operator="containsText" text="A">
      <formula>NOT(ISERROR(SEARCH("A",AW229)))</formula>
    </cfRule>
  </conditionalFormatting>
  <conditionalFormatting sqref="AW273">
    <cfRule type="containsText" dxfId="220" priority="426" operator="containsText" text="D">
      <formula>NOT(ISERROR(SEARCH("D",AW273)))</formula>
    </cfRule>
    <cfRule type="containsText" dxfId="219" priority="427" operator="containsText" text="F">
      <formula>NOT(ISERROR(SEARCH("F",AW273)))</formula>
    </cfRule>
    <cfRule type="containsText" dxfId="218" priority="429" operator="containsText" text="M">
      <formula>NOT(ISERROR(SEARCH("M",AW273)))</formula>
    </cfRule>
  </conditionalFormatting>
  <conditionalFormatting sqref="AW273">
    <cfRule type="containsText" dxfId="217" priority="428" operator="containsText" text="A">
      <formula>NOT(ISERROR(SEARCH("A",AW273)))</formula>
    </cfRule>
  </conditionalFormatting>
  <conditionalFormatting sqref="AW317">
    <cfRule type="containsText" dxfId="216" priority="407" operator="containsText" text="D">
      <formula>NOT(ISERROR(SEARCH("D",AW317)))</formula>
    </cfRule>
    <cfRule type="containsText" dxfId="215" priority="408" operator="containsText" text="F">
      <formula>NOT(ISERROR(SEARCH("F",AW317)))</formula>
    </cfRule>
    <cfRule type="containsText" dxfId="214" priority="410" operator="containsText" text="M">
      <formula>NOT(ISERROR(SEARCH("M",AW317)))</formula>
    </cfRule>
  </conditionalFormatting>
  <conditionalFormatting sqref="AW317">
    <cfRule type="containsText" dxfId="213" priority="409" operator="containsText" text="A">
      <formula>NOT(ISERROR(SEARCH("A",AW317)))</formula>
    </cfRule>
  </conditionalFormatting>
  <conditionalFormatting sqref="AW361">
    <cfRule type="containsText" dxfId="212" priority="388" operator="containsText" text="D">
      <formula>NOT(ISERROR(SEARCH("D",AW361)))</formula>
    </cfRule>
    <cfRule type="containsText" dxfId="211" priority="389" operator="containsText" text="F">
      <formula>NOT(ISERROR(SEARCH("F",AW361)))</formula>
    </cfRule>
    <cfRule type="containsText" dxfId="210" priority="391" operator="containsText" text="M">
      <formula>NOT(ISERROR(SEARCH("M",AW361)))</formula>
    </cfRule>
  </conditionalFormatting>
  <conditionalFormatting sqref="AW361">
    <cfRule type="containsText" dxfId="209" priority="390" operator="containsText" text="A">
      <formula>NOT(ISERROR(SEARCH("A",AW361)))</formula>
    </cfRule>
  </conditionalFormatting>
  <conditionalFormatting sqref="AW405">
    <cfRule type="containsText" dxfId="208" priority="369" operator="containsText" text="D">
      <formula>NOT(ISERROR(SEARCH("D",AW405)))</formula>
    </cfRule>
    <cfRule type="containsText" dxfId="207" priority="370" operator="containsText" text="F">
      <formula>NOT(ISERROR(SEARCH("F",AW405)))</formula>
    </cfRule>
    <cfRule type="containsText" dxfId="206" priority="372" operator="containsText" text="M">
      <formula>NOT(ISERROR(SEARCH("M",AW405)))</formula>
    </cfRule>
  </conditionalFormatting>
  <conditionalFormatting sqref="AW405">
    <cfRule type="containsText" dxfId="205" priority="371" operator="containsText" text="A">
      <formula>NOT(ISERROR(SEARCH("A",AW405)))</formula>
    </cfRule>
  </conditionalFormatting>
  <conditionalFormatting sqref="AB15:AD15 C14:D20 AD18:AD20 Z18:AB18 Z19:AA20 Z14:AD14 Z16:AD17">
    <cfRule type="expression" dxfId="204" priority="349">
      <formula>$C$12&lt;&gt;" "</formula>
    </cfRule>
  </conditionalFormatting>
  <conditionalFormatting sqref="AB19:AB20">
    <cfRule type="expression" dxfId="203" priority="348">
      <formula>$C$12&lt;&gt;" "</formula>
    </cfRule>
  </conditionalFormatting>
  <conditionalFormatting sqref="O53">
    <cfRule type="containsText" dxfId="202" priority="344" operator="containsText" text="D">
      <formula>NOT(ISERROR(SEARCH("D",O53)))</formula>
    </cfRule>
    <cfRule type="containsText" dxfId="201" priority="345" operator="containsText" text="F">
      <formula>NOT(ISERROR(SEARCH("F",O53)))</formula>
    </cfRule>
    <cfRule type="containsText" dxfId="200" priority="347" operator="containsText" text="M">
      <formula>NOT(ISERROR(SEARCH("M",O53)))</formula>
    </cfRule>
  </conditionalFormatting>
  <conditionalFormatting sqref="O53">
    <cfRule type="containsText" dxfId="199" priority="346" operator="containsText" text="A">
      <formula>NOT(ISERROR(SEARCH("A",O53)))</formula>
    </cfRule>
  </conditionalFormatting>
  <conditionalFormatting sqref="AW53">
    <cfRule type="containsText" dxfId="198" priority="340" operator="containsText" text="D">
      <formula>NOT(ISERROR(SEARCH("D",AW53)))</formula>
    </cfRule>
    <cfRule type="containsText" dxfId="197" priority="341" operator="containsText" text="F">
      <formula>NOT(ISERROR(SEARCH("F",AW53)))</formula>
    </cfRule>
    <cfRule type="containsText" dxfId="196" priority="343" operator="containsText" text="M">
      <formula>NOT(ISERROR(SEARCH("M",AW53)))</formula>
    </cfRule>
  </conditionalFormatting>
  <conditionalFormatting sqref="AW53">
    <cfRule type="containsText" dxfId="195" priority="342" operator="containsText" text="A">
      <formula>NOT(ISERROR(SEARCH("A",AW53)))</formula>
    </cfRule>
  </conditionalFormatting>
  <conditionalFormatting sqref="AV13:AV52">
    <cfRule type="containsText" dxfId="194" priority="189" operator="containsText" text="D">
      <formula>NOT(ISERROR(SEARCH("D",AV13)))</formula>
    </cfRule>
    <cfRule type="containsText" dxfId="193" priority="190" operator="containsText" text="F">
      <formula>NOT(ISERROR(SEARCH("F",AV13)))</formula>
    </cfRule>
    <cfRule type="containsText" dxfId="192" priority="192" operator="containsText" text="M">
      <formula>NOT(ISERROR(SEARCH("M",AV13)))</formula>
    </cfRule>
  </conditionalFormatting>
  <conditionalFormatting sqref="AV13:AV52">
    <cfRule type="containsText" dxfId="191" priority="191" operator="containsText" text="A">
      <formula>NOT(ISERROR(SEARCH("A",AV13)))</formula>
    </cfRule>
  </conditionalFormatting>
  <conditionalFormatting sqref="N13:N52">
    <cfRule type="containsText" dxfId="190" priority="208" operator="containsText" text="D">
      <formula>NOT(ISERROR(SEARCH("D",N13)))</formula>
    </cfRule>
    <cfRule type="containsText" dxfId="189" priority="209" operator="containsText" text="F">
      <formula>NOT(ISERROR(SEARCH("F",N13)))</formula>
    </cfRule>
    <cfRule type="containsText" dxfId="188" priority="211" operator="containsText" text="M">
      <formula>NOT(ISERROR(SEARCH("M",N13)))</formula>
    </cfRule>
  </conditionalFormatting>
  <conditionalFormatting sqref="N13:N52">
    <cfRule type="containsText" dxfId="187" priority="210" operator="containsText" text="A">
      <formula>NOT(ISERROR(SEARCH("A",N13)))</formula>
    </cfRule>
  </conditionalFormatting>
  <conditionalFormatting sqref="AU12">
    <cfRule type="containsText" dxfId="186" priority="198" operator="containsText" text="SW">
      <formula>NOT(ISERROR(SEARCH("SW",AU12)))</formula>
    </cfRule>
    <cfRule type="containsText" dxfId="185" priority="199" operator="containsText" text="SQ">
      <formula>NOT(ISERROR(SEARCH("SQ",AU12)))</formula>
    </cfRule>
    <cfRule type="containsText" dxfId="184" priority="200" operator="containsText" text="SC">
      <formula>NOT(ISERROR(SEARCH("SC",AU12)))</formula>
    </cfRule>
    <cfRule type="containsText" dxfId="183" priority="201" operator="containsText" text="AP">
      <formula>NOT(ISERROR(SEARCH("AP",AU12)))</formula>
    </cfRule>
    <cfRule type="containsText" dxfId="182" priority="202" operator="containsText" text="SS">
      <formula>NOT(ISERROR(SEARCH("SS",AU12)))</formula>
    </cfRule>
    <cfRule type="containsText" dxfId="181" priority="203" operator="containsText" text="PQ">
      <formula>NOT(ISERROR(SEARCH("PQ",AU12)))</formula>
    </cfRule>
    <cfRule type="containsText" dxfId="180" priority="204" operator="containsText" text="PC">
      <formula>NOT(ISERROR(SEARCH("PC",AU12)))</formula>
    </cfRule>
    <cfRule type="containsText" dxfId="179" priority="205" operator="containsText" text="PW">
      <formula>NOT(ISERROR(SEARCH("PW",AU12)))</formula>
    </cfRule>
    <cfRule type="containsText" dxfId="178" priority="206" operator="containsText" text="RS">
      <formula>NOT(ISERROR(SEARCH("RS",AU12)))</formula>
    </cfRule>
    <cfRule type="containsText" dxfId="177" priority="207" operator="containsText" text="PF">
      <formula>NOT(ISERROR(SEARCH("PF",AU12)))</formula>
    </cfRule>
  </conditionalFormatting>
  <conditionalFormatting sqref="AU12">
    <cfRule type="containsText" dxfId="176" priority="194" operator="containsText" text="rc">
      <formula>NOT(ISERROR(SEARCH("rc",AU12)))</formula>
    </cfRule>
    <cfRule type="containsText" dxfId="175" priority="195" operator="containsText" text="sf">
      <formula>NOT(ISERROR(SEARCH("sf",AU12)))</formula>
    </cfRule>
    <cfRule type="containsText" dxfId="174" priority="196" operator="containsText" text="rq">
      <formula>NOT(ISERROR(SEARCH("rq",AU12)))</formula>
    </cfRule>
    <cfRule type="containsText" dxfId="173" priority="197" operator="containsText" text="rf">
      <formula>NOT(ISERROR(SEARCH("rf",AU12)))</formula>
    </cfRule>
  </conditionalFormatting>
  <conditionalFormatting sqref="BD12">
    <cfRule type="containsText" dxfId="172" priority="193" operator="containsText" text="FALSE">
      <formula>NOT(ISERROR(SEARCH("FALSE",BD12)))</formula>
    </cfRule>
  </conditionalFormatting>
  <conditionalFormatting sqref="AW86:AW95">
    <cfRule type="containsText" dxfId="171" priority="185" operator="containsText" text="D">
      <formula>NOT(ISERROR(SEARCH("D",AW86)))</formula>
    </cfRule>
    <cfRule type="containsText" dxfId="170" priority="186" operator="containsText" text="F">
      <formula>NOT(ISERROR(SEARCH("F",AW86)))</formula>
    </cfRule>
    <cfRule type="containsText" dxfId="169" priority="188" operator="containsText" text="M">
      <formula>NOT(ISERROR(SEARCH("M",AW86)))</formula>
    </cfRule>
  </conditionalFormatting>
  <conditionalFormatting sqref="AW86:AW95">
    <cfRule type="containsText" dxfId="168" priority="187" operator="containsText" text="A">
      <formula>NOT(ISERROR(SEARCH("A",AW86)))</formula>
    </cfRule>
  </conditionalFormatting>
  <conditionalFormatting sqref="AW101:AW129 AW140">
    <cfRule type="containsText" dxfId="167" priority="173" operator="containsText" text="D">
      <formula>NOT(ISERROR(SEARCH("D",AW101)))</formula>
    </cfRule>
    <cfRule type="containsText" dxfId="166" priority="174" operator="containsText" text="F">
      <formula>NOT(ISERROR(SEARCH("F",AW101)))</formula>
    </cfRule>
    <cfRule type="containsText" dxfId="165" priority="176" operator="containsText" text="M">
      <formula>NOT(ISERROR(SEARCH("M",AW101)))</formula>
    </cfRule>
  </conditionalFormatting>
  <conditionalFormatting sqref="AW101:AW129 AW140">
    <cfRule type="containsText" dxfId="164" priority="175" operator="containsText" text="A">
      <formula>NOT(ISERROR(SEARCH("A",AW101)))</formula>
    </cfRule>
  </conditionalFormatting>
  <conditionalFormatting sqref="AU100">
    <cfRule type="containsText" dxfId="163" priority="171" operator="containsText" text="SW">
      <formula>NOT(ISERROR(SEARCH("SW",AU100)))</formula>
    </cfRule>
    <cfRule type="containsText" dxfId="162" priority="172" operator="containsText" text="SQ">
      <formula>NOT(ISERROR(SEARCH("SQ",AU100)))</formula>
    </cfRule>
    <cfRule type="containsText" dxfId="161" priority="177" operator="containsText" text="PC">
      <formula>NOT(ISERROR(SEARCH("PC",AU100)))</formula>
    </cfRule>
    <cfRule type="containsText" dxfId="160" priority="178" operator="containsText" text="PW">
      <formula>NOT(ISERROR(SEARCH("PW",AU100)))</formula>
    </cfRule>
    <cfRule type="containsText" dxfId="159" priority="179" operator="containsText" text="RS">
      <formula>NOT(ISERROR(SEARCH("RS",AU100)))</formula>
    </cfRule>
    <cfRule type="containsText" dxfId="158" priority="180" operator="containsText" text="PF">
      <formula>NOT(ISERROR(SEARCH("PF",AU100)))</formula>
    </cfRule>
  </conditionalFormatting>
  <conditionalFormatting sqref="AU100">
    <cfRule type="containsText" dxfId="157" priority="167" operator="containsText" text="rc">
      <formula>NOT(ISERROR(SEARCH("rc",AU100)))</formula>
    </cfRule>
    <cfRule type="containsText" dxfId="156" priority="168" operator="containsText" text="sf">
      <formula>NOT(ISERROR(SEARCH("sf",AU100)))</formula>
    </cfRule>
    <cfRule type="containsText" dxfId="155" priority="169" operator="containsText" text="rq">
      <formula>NOT(ISERROR(SEARCH("rq",AU100)))</formula>
    </cfRule>
    <cfRule type="containsText" dxfId="154" priority="170" operator="containsText" text="rf">
      <formula>NOT(ISERROR(SEARCH("rf",AU100)))</formula>
    </cfRule>
  </conditionalFormatting>
  <conditionalFormatting sqref="BD100">
    <cfRule type="containsText" dxfId="153" priority="166" operator="containsText" text="FALSE">
      <formula>NOT(ISERROR(SEARCH("FALSE",BD100)))</formula>
    </cfRule>
  </conditionalFormatting>
  <conditionalFormatting sqref="AW130:AW139">
    <cfRule type="containsText" dxfId="152" priority="162" operator="containsText" text="D">
      <formula>NOT(ISERROR(SEARCH("D",AW130)))</formula>
    </cfRule>
    <cfRule type="containsText" dxfId="151" priority="163" operator="containsText" text="F">
      <formula>NOT(ISERROR(SEARCH("F",AW130)))</formula>
    </cfRule>
    <cfRule type="containsText" dxfId="150" priority="165" operator="containsText" text="M">
      <formula>NOT(ISERROR(SEARCH("M",AW130)))</formula>
    </cfRule>
  </conditionalFormatting>
  <conditionalFormatting sqref="AW130:AW139">
    <cfRule type="containsText" dxfId="149" priority="164" operator="containsText" text="A">
      <formula>NOT(ISERROR(SEARCH("A",AW130)))</formula>
    </cfRule>
  </conditionalFormatting>
  <conditionalFormatting sqref="AW145:AW173 AW184">
    <cfRule type="containsText" dxfId="148" priority="150" operator="containsText" text="D">
      <formula>NOT(ISERROR(SEARCH("D",AW145)))</formula>
    </cfRule>
    <cfRule type="containsText" dxfId="147" priority="151" operator="containsText" text="F">
      <formula>NOT(ISERROR(SEARCH("F",AW145)))</formula>
    </cfRule>
    <cfRule type="containsText" dxfId="146" priority="153" operator="containsText" text="M">
      <formula>NOT(ISERROR(SEARCH("M",AW145)))</formula>
    </cfRule>
  </conditionalFormatting>
  <conditionalFormatting sqref="AW145:AW173 AW184">
    <cfRule type="containsText" dxfId="145" priority="152" operator="containsText" text="A">
      <formula>NOT(ISERROR(SEARCH("A",AW145)))</formula>
    </cfRule>
  </conditionalFormatting>
  <conditionalFormatting sqref="AU144">
    <cfRule type="containsText" dxfId="144" priority="148" operator="containsText" text="SC">
      <formula>NOT(ISERROR(SEARCH("SC",AU144)))</formula>
    </cfRule>
    <cfRule type="containsText" dxfId="143" priority="149" operator="containsText" text="AP">
      <formula>NOT(ISERROR(SEARCH("AP",AU144)))</formula>
    </cfRule>
    <cfRule type="containsText" dxfId="142" priority="695" operator="containsText" text="SS">
      <formula>NOT(ISERROR(SEARCH("SS",AU144)))</formula>
    </cfRule>
    <cfRule type="containsText" dxfId="141" priority="695" operator="containsText" text="PQ">
      <formula>NOT(ISERROR(SEARCH("PQ",AU144)))</formula>
    </cfRule>
    <cfRule type="containsText" dxfId="140" priority="148" operator="containsText" text="SW">
      <formula>NOT(ISERROR(SEARCH("SW",AU144)))</formula>
    </cfRule>
    <cfRule type="containsText" dxfId="139" priority="149" operator="containsText" text="SQ">
      <formula>NOT(ISERROR(SEARCH("SQ",AU144)))</formula>
    </cfRule>
    <cfRule type="containsText" dxfId="138" priority="154" operator="containsText" text="PC">
      <formula>NOT(ISERROR(SEARCH("PC",AU144)))</formula>
    </cfRule>
    <cfRule type="containsText" dxfId="137" priority="155" operator="containsText" text="PW">
      <formula>NOT(ISERROR(SEARCH("PW",AU144)))</formula>
    </cfRule>
    <cfRule type="containsText" dxfId="136" priority="156" operator="containsText" text="RS">
      <formula>NOT(ISERROR(SEARCH("RS",AU144)))</formula>
    </cfRule>
    <cfRule type="containsText" dxfId="135" priority="157" operator="containsText" text="PF">
      <formula>NOT(ISERROR(SEARCH("PF",AU144)))</formula>
    </cfRule>
  </conditionalFormatting>
  <conditionalFormatting sqref="AU144">
    <cfRule type="containsText" dxfId="134" priority="144" operator="containsText" text="rc">
      <formula>NOT(ISERROR(SEARCH("rc",AU144)))</formula>
    </cfRule>
    <cfRule type="containsText" dxfId="133" priority="145" operator="containsText" text="sf">
      <formula>NOT(ISERROR(SEARCH("sf",AU144)))</formula>
    </cfRule>
    <cfRule type="containsText" dxfId="132" priority="146" operator="containsText" text="rq">
      <formula>NOT(ISERROR(SEARCH("rq",AU144)))</formula>
    </cfRule>
    <cfRule type="containsText" dxfId="131" priority="147" operator="containsText" text="rf">
      <formula>NOT(ISERROR(SEARCH("rf",AU144)))</formula>
    </cfRule>
  </conditionalFormatting>
  <conditionalFormatting sqref="BD144">
    <cfRule type="containsText" dxfId="130" priority="143" operator="containsText" text="FALSE">
      <formula>NOT(ISERROR(SEARCH("FALSE",BD144)))</formula>
    </cfRule>
  </conditionalFormatting>
  <conditionalFormatting sqref="AW174:AW183">
    <cfRule type="containsText" dxfId="129" priority="139" operator="containsText" text="D">
      <formula>NOT(ISERROR(SEARCH("D",AW174)))</formula>
    </cfRule>
    <cfRule type="containsText" dxfId="128" priority="140" operator="containsText" text="F">
      <formula>NOT(ISERROR(SEARCH("F",AW174)))</formula>
    </cfRule>
    <cfRule type="containsText" dxfId="127" priority="142" operator="containsText" text="M">
      <formula>NOT(ISERROR(SEARCH("M",AW174)))</formula>
    </cfRule>
  </conditionalFormatting>
  <conditionalFormatting sqref="AW174:AW183">
    <cfRule type="containsText" dxfId="126" priority="141" operator="containsText" text="A">
      <formula>NOT(ISERROR(SEARCH("A",AW174)))</formula>
    </cfRule>
  </conditionalFormatting>
  <conditionalFormatting sqref="AW189:AW217 AW228">
    <cfRule type="containsText" dxfId="125" priority="127" operator="containsText" text="D">
      <formula>NOT(ISERROR(SEARCH("D",AW189)))</formula>
    </cfRule>
    <cfRule type="containsText" dxfId="124" priority="128" operator="containsText" text="F">
      <formula>NOT(ISERROR(SEARCH("F",AW189)))</formula>
    </cfRule>
    <cfRule type="containsText" dxfId="123" priority="130" operator="containsText" text="M">
      <formula>NOT(ISERROR(SEARCH("M",AW189)))</formula>
    </cfRule>
  </conditionalFormatting>
  <conditionalFormatting sqref="AW189:AW217 AW228">
    <cfRule type="containsText" dxfId="122" priority="129" operator="containsText" text="A">
      <formula>NOT(ISERROR(SEARCH("A",AW189)))</formula>
    </cfRule>
  </conditionalFormatting>
  <conditionalFormatting sqref="AU188">
    <cfRule type="containsText" dxfId="121" priority="125" operator="containsText" text="SC">
      <formula>NOT(ISERROR(SEARCH("SC",AU188)))</formula>
    </cfRule>
    <cfRule type="containsText" dxfId="120" priority="126" operator="containsText" text="AP">
      <formula>NOT(ISERROR(SEARCH("AP",AU188)))</formula>
    </cfRule>
    <cfRule type="containsText" dxfId="119" priority="131" operator="containsText" text="PC">
      <formula>NOT(ISERROR(SEARCH("PC",AU188)))</formula>
    </cfRule>
    <cfRule type="containsText" dxfId="118" priority="132" operator="containsText" text="PW">
      <formula>NOT(ISERROR(SEARCH("PW",AU188)))</formula>
    </cfRule>
    <cfRule type="containsText" dxfId="117" priority="133" operator="containsText" text="RS">
      <formula>NOT(ISERROR(SEARCH("RS",AU188)))</formula>
    </cfRule>
    <cfRule type="containsText" dxfId="116" priority="134" operator="containsText" text="PF">
      <formula>NOT(ISERROR(SEARCH("PF",AU188)))</formula>
    </cfRule>
  </conditionalFormatting>
  <conditionalFormatting sqref="AU188">
    <cfRule type="containsText" dxfId="115" priority="121" operator="containsText" text="rc">
      <formula>NOT(ISERROR(SEARCH("rc",AU188)))</formula>
    </cfRule>
    <cfRule type="containsText" dxfId="114" priority="122" operator="containsText" text="sf">
      <formula>NOT(ISERROR(SEARCH("sf",AU188)))</formula>
    </cfRule>
    <cfRule type="containsText" dxfId="113" priority="123" operator="containsText" text="rq">
      <formula>NOT(ISERROR(SEARCH("rq",AU188)))</formula>
    </cfRule>
    <cfRule type="containsText" dxfId="112" priority="124" operator="containsText" text="rf">
      <formula>NOT(ISERROR(SEARCH("rf",AU188)))</formula>
    </cfRule>
  </conditionalFormatting>
  <conditionalFormatting sqref="BD188">
    <cfRule type="containsText" dxfId="111" priority="120" operator="containsText" text="FALSE">
      <formula>NOT(ISERROR(SEARCH("FALSE",BD188)))</formula>
    </cfRule>
  </conditionalFormatting>
  <conditionalFormatting sqref="AW218:AW227">
    <cfRule type="containsText" dxfId="110" priority="116" operator="containsText" text="D">
      <formula>NOT(ISERROR(SEARCH("D",AW218)))</formula>
    </cfRule>
    <cfRule type="containsText" dxfId="109" priority="117" operator="containsText" text="F">
      <formula>NOT(ISERROR(SEARCH("F",AW218)))</formula>
    </cfRule>
    <cfRule type="containsText" dxfId="108" priority="119" operator="containsText" text="M">
      <formula>NOT(ISERROR(SEARCH("M",AW218)))</formula>
    </cfRule>
  </conditionalFormatting>
  <conditionalFormatting sqref="AW218:AW227">
    <cfRule type="containsText" dxfId="107" priority="118" operator="containsText" text="A">
      <formula>NOT(ISERROR(SEARCH("A",AW218)))</formula>
    </cfRule>
  </conditionalFormatting>
  <conditionalFormatting sqref="AW233:AW261 AW272">
    <cfRule type="containsText" dxfId="106" priority="104" operator="containsText" text="D">
      <formula>NOT(ISERROR(SEARCH("D",AW233)))</formula>
    </cfRule>
    <cfRule type="containsText" dxfId="105" priority="105" operator="containsText" text="F">
      <formula>NOT(ISERROR(SEARCH("F",AW233)))</formula>
    </cfRule>
    <cfRule type="containsText" dxfId="104" priority="107" operator="containsText" text="M">
      <formula>NOT(ISERROR(SEARCH("M",AW233)))</formula>
    </cfRule>
  </conditionalFormatting>
  <conditionalFormatting sqref="AW233:AW261 AW272">
    <cfRule type="containsText" dxfId="103" priority="106" operator="containsText" text="A">
      <formula>NOT(ISERROR(SEARCH("A",AW233)))</formula>
    </cfRule>
  </conditionalFormatting>
  <conditionalFormatting sqref="AU232">
    <cfRule type="containsText" dxfId="102" priority="102" operator="containsText" text="SW">
      <formula>NOT(ISERROR(SEARCH("SW",AU232)))</formula>
    </cfRule>
    <cfRule type="containsText" dxfId="101" priority="103" operator="containsText" text="SQ">
      <formula>NOT(ISERROR(SEARCH("SQ",AU232)))</formula>
    </cfRule>
    <cfRule type="containsText" dxfId="100" priority="696" operator="containsText" text="SS">
      <formula>NOT(ISERROR(SEARCH("SS",AU232)))</formula>
    </cfRule>
    <cfRule type="containsText" dxfId="99" priority="696" operator="containsText" text="PQ">
      <formula>NOT(ISERROR(SEARCH("PQ",AU232)))</formula>
    </cfRule>
    <cfRule type="containsText" dxfId="98" priority="102" operator="containsText" text="SC">
      <formula>NOT(ISERROR(SEARCH("SC",AU232)))</formula>
    </cfRule>
    <cfRule type="containsText" dxfId="97" priority="103" operator="containsText" text="AP">
      <formula>NOT(ISERROR(SEARCH("AP",AU232)))</formula>
    </cfRule>
    <cfRule type="containsText" dxfId="96" priority="108" operator="containsText" text="PC">
      <formula>NOT(ISERROR(SEARCH("PC",AU232)))</formula>
    </cfRule>
    <cfRule type="containsText" dxfId="95" priority="109" operator="containsText" text="PW">
      <formula>NOT(ISERROR(SEARCH("PW",AU232)))</formula>
    </cfRule>
    <cfRule type="containsText" dxfId="94" priority="110" operator="containsText" text="RS">
      <formula>NOT(ISERROR(SEARCH("RS",AU232)))</formula>
    </cfRule>
    <cfRule type="containsText" dxfId="93" priority="111" operator="containsText" text="PF">
      <formula>NOT(ISERROR(SEARCH("PF",AU232)))</formula>
    </cfRule>
  </conditionalFormatting>
  <conditionalFormatting sqref="AU232">
    <cfRule type="containsText" dxfId="92" priority="98" operator="containsText" text="rc">
      <formula>NOT(ISERROR(SEARCH("rc",AU232)))</formula>
    </cfRule>
    <cfRule type="containsText" dxfId="91" priority="99" operator="containsText" text="sf">
      <formula>NOT(ISERROR(SEARCH("sf",AU232)))</formula>
    </cfRule>
    <cfRule type="containsText" dxfId="90" priority="100" operator="containsText" text="rq">
      <formula>NOT(ISERROR(SEARCH("rq",AU232)))</formula>
    </cfRule>
    <cfRule type="containsText" dxfId="89" priority="101" operator="containsText" text="rf">
      <formula>NOT(ISERROR(SEARCH("rf",AU232)))</formula>
    </cfRule>
  </conditionalFormatting>
  <conditionalFormatting sqref="BD232">
    <cfRule type="containsText" dxfId="88" priority="97" operator="containsText" text="FALSE">
      <formula>NOT(ISERROR(SEARCH("FALSE",BD232)))</formula>
    </cfRule>
  </conditionalFormatting>
  <conditionalFormatting sqref="AW262:AW271">
    <cfRule type="containsText" dxfId="87" priority="93" operator="containsText" text="D">
      <formula>NOT(ISERROR(SEARCH("D",AW262)))</formula>
    </cfRule>
    <cfRule type="containsText" dxfId="86" priority="94" operator="containsText" text="F">
      <formula>NOT(ISERROR(SEARCH("F",AW262)))</formula>
    </cfRule>
    <cfRule type="containsText" dxfId="85" priority="96" operator="containsText" text="M">
      <formula>NOT(ISERROR(SEARCH("M",AW262)))</formula>
    </cfRule>
  </conditionalFormatting>
  <conditionalFormatting sqref="AW262:AW271">
    <cfRule type="containsText" dxfId="84" priority="95" operator="containsText" text="A">
      <formula>NOT(ISERROR(SEARCH("A",AW262)))</formula>
    </cfRule>
  </conditionalFormatting>
  <conditionalFormatting sqref="AW277:AW305 AW316">
    <cfRule type="containsText" dxfId="83" priority="81" operator="containsText" text="D">
      <formula>NOT(ISERROR(SEARCH("D",AW277)))</formula>
    </cfRule>
    <cfRule type="containsText" dxfId="82" priority="82" operator="containsText" text="F">
      <formula>NOT(ISERROR(SEARCH("F",AW277)))</formula>
    </cfRule>
    <cfRule type="containsText" dxfId="81" priority="84" operator="containsText" text="M">
      <formula>NOT(ISERROR(SEARCH("M",AW277)))</formula>
    </cfRule>
  </conditionalFormatting>
  <conditionalFormatting sqref="AW277:AW305 AW316">
    <cfRule type="containsText" dxfId="80" priority="83" operator="containsText" text="A">
      <formula>NOT(ISERROR(SEARCH("A",AW277)))</formula>
    </cfRule>
  </conditionalFormatting>
  <conditionalFormatting sqref="AU276">
    <cfRule type="containsText" dxfId="79" priority="79" operator="containsText" text="SW">
      <formula>NOT(ISERROR(SEARCH("SW",AU276)))</formula>
    </cfRule>
    <cfRule type="containsText" dxfId="78" priority="80" operator="containsText" text="SQ">
      <formula>NOT(ISERROR(SEARCH("SQ",AU276)))</formula>
    </cfRule>
    <cfRule type="containsText" dxfId="77" priority="85" operator="containsText" text="PC">
      <formula>NOT(ISERROR(SEARCH("PC",AU276)))</formula>
    </cfRule>
    <cfRule type="containsText" dxfId="76" priority="86" operator="containsText" text="PW">
      <formula>NOT(ISERROR(SEARCH("PW",AU276)))</formula>
    </cfRule>
    <cfRule type="containsText" dxfId="75" priority="87" operator="containsText" text="RS">
      <formula>NOT(ISERROR(SEARCH("RS",AU276)))</formula>
    </cfRule>
    <cfRule type="containsText" dxfId="74" priority="88" operator="containsText" text="PF">
      <formula>NOT(ISERROR(SEARCH("PF",AU276)))</formula>
    </cfRule>
  </conditionalFormatting>
  <conditionalFormatting sqref="AU276">
    <cfRule type="containsText" dxfId="73" priority="75" operator="containsText" text="rc">
      <formula>NOT(ISERROR(SEARCH("rc",AU276)))</formula>
    </cfRule>
    <cfRule type="containsText" dxfId="72" priority="76" operator="containsText" text="sf">
      <formula>NOT(ISERROR(SEARCH("sf",AU276)))</formula>
    </cfRule>
    <cfRule type="containsText" dxfId="71" priority="77" operator="containsText" text="rq">
      <formula>NOT(ISERROR(SEARCH("rq",AU276)))</formula>
    </cfRule>
    <cfRule type="containsText" dxfId="70" priority="78" operator="containsText" text="rf">
      <formula>NOT(ISERROR(SEARCH("rf",AU276)))</formula>
    </cfRule>
  </conditionalFormatting>
  <conditionalFormatting sqref="BD276">
    <cfRule type="containsText" dxfId="69" priority="74" operator="containsText" text="FALSE">
      <formula>NOT(ISERROR(SEARCH("FALSE",BD276)))</formula>
    </cfRule>
  </conditionalFormatting>
  <conditionalFormatting sqref="AW306:AW315">
    <cfRule type="containsText" dxfId="68" priority="70" operator="containsText" text="D">
      <formula>NOT(ISERROR(SEARCH("D",AW306)))</formula>
    </cfRule>
    <cfRule type="containsText" dxfId="67" priority="71" operator="containsText" text="F">
      <formula>NOT(ISERROR(SEARCH("F",AW306)))</formula>
    </cfRule>
    <cfRule type="containsText" dxfId="66" priority="73" operator="containsText" text="M">
      <formula>NOT(ISERROR(SEARCH("M",AW306)))</formula>
    </cfRule>
  </conditionalFormatting>
  <conditionalFormatting sqref="AW306:AW315">
    <cfRule type="containsText" dxfId="65" priority="72" operator="containsText" text="A">
      <formula>NOT(ISERROR(SEARCH("A",AW306)))</formula>
    </cfRule>
  </conditionalFormatting>
  <conditionalFormatting sqref="AW321:AW349 AW360">
    <cfRule type="containsText" dxfId="64" priority="58" operator="containsText" text="D">
      <formula>NOT(ISERROR(SEARCH("D",AW321)))</formula>
    </cfRule>
    <cfRule type="containsText" dxfId="63" priority="59" operator="containsText" text="F">
      <formula>NOT(ISERROR(SEARCH("F",AW321)))</formula>
    </cfRule>
    <cfRule type="containsText" dxfId="62" priority="61" operator="containsText" text="M">
      <formula>NOT(ISERROR(SEARCH("M",AW321)))</formula>
    </cfRule>
  </conditionalFormatting>
  <conditionalFormatting sqref="AW321:AW349 AW360">
    <cfRule type="containsText" dxfId="61" priority="60" operator="containsText" text="A">
      <formula>NOT(ISERROR(SEARCH("A",AW321)))</formula>
    </cfRule>
  </conditionalFormatting>
  <conditionalFormatting sqref="AU320">
    <cfRule type="containsText" dxfId="60" priority="56" operator="containsText" text="SC">
      <formula>NOT(ISERROR(SEARCH("SC",AU320)))</formula>
    </cfRule>
    <cfRule type="containsText" dxfId="59" priority="57" operator="containsText" text="AP">
      <formula>NOT(ISERROR(SEARCH("AP",AU320)))</formula>
    </cfRule>
    <cfRule type="containsText" dxfId="58" priority="697" operator="containsText" text="SS">
      <formula>NOT(ISERROR(SEARCH("SS",AU320)))</formula>
    </cfRule>
    <cfRule type="containsText" dxfId="57" priority="697" operator="containsText" text="PQ">
      <formula>NOT(ISERROR(SEARCH("PQ",AU320)))</formula>
    </cfRule>
    <cfRule type="containsText" dxfId="56" priority="56" operator="containsText" text="SW">
      <formula>NOT(ISERROR(SEARCH("SW",AU320)))</formula>
    </cfRule>
    <cfRule type="containsText" dxfId="55" priority="57" operator="containsText" text="SQ">
      <formula>NOT(ISERROR(SEARCH("SQ",AU320)))</formula>
    </cfRule>
    <cfRule type="containsText" dxfId="54" priority="62" operator="containsText" text="PC">
      <formula>NOT(ISERROR(SEARCH("PC",AU320)))</formula>
    </cfRule>
    <cfRule type="containsText" dxfId="53" priority="63" operator="containsText" text="PW">
      <formula>NOT(ISERROR(SEARCH("PW",AU320)))</formula>
    </cfRule>
    <cfRule type="containsText" dxfId="52" priority="64" operator="containsText" text="RS">
      <formula>NOT(ISERROR(SEARCH("RS",AU320)))</formula>
    </cfRule>
    <cfRule type="containsText" dxfId="51" priority="65" operator="containsText" text="PF">
      <formula>NOT(ISERROR(SEARCH("PF",AU320)))</formula>
    </cfRule>
  </conditionalFormatting>
  <conditionalFormatting sqref="AU320">
    <cfRule type="containsText" dxfId="50" priority="52" operator="containsText" text="rc">
      <formula>NOT(ISERROR(SEARCH("rc",AU320)))</formula>
    </cfRule>
    <cfRule type="containsText" dxfId="49" priority="53" operator="containsText" text="sf">
      <formula>NOT(ISERROR(SEARCH("sf",AU320)))</formula>
    </cfRule>
    <cfRule type="containsText" dxfId="48" priority="54" operator="containsText" text="rq">
      <formula>NOT(ISERROR(SEARCH("rq",AU320)))</formula>
    </cfRule>
    <cfRule type="containsText" dxfId="47" priority="55" operator="containsText" text="rf">
      <formula>NOT(ISERROR(SEARCH("rf",AU320)))</formula>
    </cfRule>
  </conditionalFormatting>
  <conditionalFormatting sqref="BD320">
    <cfRule type="containsText" dxfId="46" priority="51" operator="containsText" text="FALSE">
      <formula>NOT(ISERROR(SEARCH("FALSE",BD320)))</formula>
    </cfRule>
  </conditionalFormatting>
  <conditionalFormatting sqref="AW350:AW359">
    <cfRule type="containsText" dxfId="45" priority="47" operator="containsText" text="D">
      <formula>NOT(ISERROR(SEARCH("D",AW350)))</formula>
    </cfRule>
    <cfRule type="containsText" dxfId="44" priority="48" operator="containsText" text="F">
      <formula>NOT(ISERROR(SEARCH("F",AW350)))</formula>
    </cfRule>
    <cfRule type="containsText" dxfId="43" priority="50" operator="containsText" text="M">
      <formula>NOT(ISERROR(SEARCH("M",AW350)))</formula>
    </cfRule>
  </conditionalFormatting>
  <conditionalFormatting sqref="AW350:AW359">
    <cfRule type="containsText" dxfId="42" priority="49" operator="containsText" text="A">
      <formula>NOT(ISERROR(SEARCH("A",AW350)))</formula>
    </cfRule>
  </conditionalFormatting>
  <conditionalFormatting sqref="AW365:AW393 AW404">
    <cfRule type="containsText" dxfId="41" priority="35" operator="containsText" text="D">
      <formula>NOT(ISERROR(SEARCH("D",AW365)))</formula>
    </cfRule>
    <cfRule type="containsText" dxfId="40" priority="36" operator="containsText" text="F">
      <formula>NOT(ISERROR(SEARCH("F",AW365)))</formula>
    </cfRule>
    <cfRule type="containsText" dxfId="39" priority="38" operator="containsText" text="M">
      <formula>NOT(ISERROR(SEARCH("M",AW365)))</formula>
    </cfRule>
  </conditionalFormatting>
  <conditionalFormatting sqref="AW365:AW393 AW404">
    <cfRule type="containsText" dxfId="38" priority="37" operator="containsText" text="A">
      <formula>NOT(ISERROR(SEARCH("A",AW365)))</formula>
    </cfRule>
  </conditionalFormatting>
  <conditionalFormatting sqref="AU364">
    <cfRule type="containsText" dxfId="37" priority="33" operator="containsText" text="SC">
      <formula>NOT(ISERROR(SEARCH("SC",AU364)))</formula>
    </cfRule>
    <cfRule type="containsText" dxfId="36" priority="34" operator="containsText" text="AP">
      <formula>NOT(ISERROR(SEARCH("AP",AU364)))</formula>
    </cfRule>
    <cfRule type="containsText" dxfId="35" priority="39" operator="containsText" text="PC">
      <formula>NOT(ISERROR(SEARCH("PC",AU364)))</formula>
    </cfRule>
    <cfRule type="containsText" dxfId="34" priority="40" operator="containsText" text="PW">
      <formula>NOT(ISERROR(SEARCH("PW",AU364)))</formula>
    </cfRule>
    <cfRule type="containsText" dxfId="33" priority="41" operator="containsText" text="RS">
      <formula>NOT(ISERROR(SEARCH("RS",AU364)))</formula>
    </cfRule>
    <cfRule type="containsText" dxfId="32" priority="42" operator="containsText" text="PF">
      <formula>NOT(ISERROR(SEARCH("PF",AU364)))</formula>
    </cfRule>
  </conditionalFormatting>
  <conditionalFormatting sqref="AU364">
    <cfRule type="containsText" dxfId="31" priority="29" operator="containsText" text="rc">
      <formula>NOT(ISERROR(SEARCH("rc",AU364)))</formula>
    </cfRule>
    <cfRule type="containsText" dxfId="30" priority="30" operator="containsText" text="sf">
      <formula>NOT(ISERROR(SEARCH("sf",AU364)))</formula>
    </cfRule>
    <cfRule type="containsText" dxfId="29" priority="31" operator="containsText" text="rq">
      <formula>NOT(ISERROR(SEARCH("rq",AU364)))</formula>
    </cfRule>
    <cfRule type="containsText" dxfId="28" priority="32" operator="containsText" text="rf">
      <formula>NOT(ISERROR(SEARCH("rf",AU364)))</formula>
    </cfRule>
  </conditionalFormatting>
  <conditionalFormatting sqref="BD364">
    <cfRule type="containsText" dxfId="27" priority="28" operator="containsText" text="FALSE">
      <formula>NOT(ISERROR(SEARCH("FALSE",BD364)))</formula>
    </cfRule>
  </conditionalFormatting>
  <conditionalFormatting sqref="AW394:AW403">
    <cfRule type="containsText" dxfId="26" priority="24" operator="containsText" text="D">
      <formula>NOT(ISERROR(SEARCH("D",AW394)))</formula>
    </cfRule>
    <cfRule type="containsText" dxfId="25" priority="25" operator="containsText" text="F">
      <formula>NOT(ISERROR(SEARCH("F",AW394)))</formula>
    </cfRule>
    <cfRule type="containsText" dxfId="24" priority="27" operator="containsText" text="M">
      <formula>NOT(ISERROR(SEARCH("M",AW394)))</formula>
    </cfRule>
  </conditionalFormatting>
  <conditionalFormatting sqref="AW394:AW403">
    <cfRule type="containsText" dxfId="23" priority="26" operator="containsText" text="A">
      <formula>NOT(ISERROR(SEARCH("A",AW394)))</formula>
    </cfRule>
  </conditionalFormatting>
  <conditionalFormatting sqref="AW409:AW437 AW448">
    <cfRule type="containsText" dxfId="22" priority="12" operator="containsText" text="D">
      <formula>NOT(ISERROR(SEARCH("D",AW409)))</formula>
    </cfRule>
    <cfRule type="containsText" dxfId="21" priority="13" operator="containsText" text="F">
      <formula>NOT(ISERROR(SEARCH("F",AW409)))</formula>
    </cfRule>
    <cfRule type="containsText" dxfId="20" priority="15" operator="containsText" text="M">
      <formula>NOT(ISERROR(SEARCH("M",AW409)))</formula>
    </cfRule>
  </conditionalFormatting>
  <conditionalFormatting sqref="AW409:AW437 AW448">
    <cfRule type="containsText" dxfId="19" priority="14" operator="containsText" text="A">
      <formula>NOT(ISERROR(SEARCH("A",AW409)))</formula>
    </cfRule>
  </conditionalFormatting>
  <conditionalFormatting sqref="AU408">
    <cfRule type="containsText" dxfId="18" priority="10" operator="containsText" text="SW">
      <formula>NOT(ISERROR(SEARCH("SW",AU408)))</formula>
    </cfRule>
    <cfRule type="containsText" dxfId="17" priority="11" operator="containsText" text="SQ">
      <formula>NOT(ISERROR(SEARCH("SQ",AU408)))</formula>
    </cfRule>
    <cfRule type="containsText" dxfId="16" priority="698" operator="containsText" text="SS">
      <formula>NOT(ISERROR(SEARCH("SS",AU408)))</formula>
    </cfRule>
    <cfRule type="containsText" dxfId="15" priority="698" operator="containsText" text="PQ">
      <formula>NOT(ISERROR(SEARCH("PQ",AU408)))</formula>
    </cfRule>
    <cfRule type="containsText" dxfId="14" priority="10" operator="containsText" text="SC">
      <formula>NOT(ISERROR(SEARCH("SC",AU408)))</formula>
    </cfRule>
    <cfRule type="containsText" dxfId="13" priority="11" operator="containsText" text="AP">
      <formula>NOT(ISERROR(SEARCH("AP",AU408)))</formula>
    </cfRule>
    <cfRule type="containsText" dxfId="12" priority="16" operator="containsText" text="PC">
      <formula>NOT(ISERROR(SEARCH("PC",AU408)))</formula>
    </cfRule>
    <cfRule type="containsText" dxfId="11" priority="17" operator="containsText" text="PW">
      <formula>NOT(ISERROR(SEARCH("PW",AU408)))</formula>
    </cfRule>
    <cfRule type="containsText" dxfId="10" priority="18" operator="containsText" text="RS">
      <formula>NOT(ISERROR(SEARCH("RS",AU408)))</formula>
    </cfRule>
    <cfRule type="containsText" dxfId="9" priority="19" operator="containsText" text="PF">
      <formula>NOT(ISERROR(SEARCH("PF",AU408)))</formula>
    </cfRule>
  </conditionalFormatting>
  <conditionalFormatting sqref="AU408">
    <cfRule type="containsText" dxfId="8" priority="6" operator="containsText" text="rc">
      <formula>NOT(ISERROR(SEARCH("rc",AU408)))</formula>
    </cfRule>
    <cfRule type="containsText" dxfId="7" priority="7" operator="containsText" text="sf">
      <formula>NOT(ISERROR(SEARCH("sf",AU408)))</formula>
    </cfRule>
    <cfRule type="containsText" dxfId="6" priority="8" operator="containsText" text="rq">
      <formula>NOT(ISERROR(SEARCH("rq",AU408)))</formula>
    </cfRule>
    <cfRule type="containsText" dxfId="5" priority="9" operator="containsText" text="rf">
      <formula>NOT(ISERROR(SEARCH("rf",AU408)))</formula>
    </cfRule>
  </conditionalFormatting>
  <conditionalFormatting sqref="BD408">
    <cfRule type="containsText" dxfId="4" priority="5" operator="containsText" text="FALSE">
      <formula>NOT(ISERROR(SEARCH("FALSE",BD408)))</formula>
    </cfRule>
  </conditionalFormatting>
  <conditionalFormatting sqref="AW438:AW447">
    <cfRule type="containsText" dxfId="3" priority="1" operator="containsText" text="D">
      <formula>NOT(ISERROR(SEARCH("D",AW438)))</formula>
    </cfRule>
    <cfRule type="containsText" dxfId="2" priority="2" operator="containsText" text="F">
      <formula>NOT(ISERROR(SEARCH("F",AW438)))</formula>
    </cfRule>
    <cfRule type="containsText" dxfId="1" priority="4" operator="containsText" text="M">
      <formula>NOT(ISERROR(SEARCH("M",AW438)))</formula>
    </cfRule>
  </conditionalFormatting>
  <conditionalFormatting sqref="AW438:AW447">
    <cfRule type="containsText" dxfId="0" priority="3" operator="containsText" text="A">
      <formula>NOT(ISERROR(SEARCH("A",AW438)))</formula>
    </cfRule>
  </conditionalFormatting>
  <dataValidations disablePrompts="1" count="1">
    <dataValidation type="list" allowBlank="1" showInputMessage="1" sqref="BO101 BO145 BO57 BO13 BO189 BO233 BO277 BO321 BO365 BO409" xr:uid="{00000000-0002-0000-0400-000000000000}">
      <formula1>"DAY SHIFT, NIGHT SHIFT"</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I595"/>
  <sheetViews>
    <sheetView workbookViewId="0">
      <selection activeCell="A2" sqref="A2"/>
    </sheetView>
  </sheetViews>
  <sheetFormatPr defaultColWidth="16" defaultRowHeight="12.75"/>
  <cols>
    <col min="1" max="3" width="16" style="2"/>
    <col min="4" max="6" width="16" style="276"/>
    <col min="7" max="7" width="0" style="275" hidden="1" customWidth="1"/>
    <col min="8" max="16384" width="16" style="271"/>
  </cols>
  <sheetData>
    <row r="1" spans="1:9" ht="26.25" thickBot="1">
      <c r="A1" s="560" t="s">
        <v>142</v>
      </c>
      <c r="B1" s="561" t="s">
        <v>143</v>
      </c>
      <c r="C1" s="561" t="s">
        <v>144</v>
      </c>
      <c r="D1" s="561" t="s">
        <v>145</v>
      </c>
      <c r="E1" s="561" t="s">
        <v>146</v>
      </c>
      <c r="F1" s="562" t="s">
        <v>147</v>
      </c>
      <c r="G1" s="274" t="s">
        <v>148</v>
      </c>
    </row>
    <row r="2" spans="1:9">
      <c r="G2" s="275">
        <f>SUM(D2:F2)</f>
        <v>0</v>
      </c>
      <c r="I2" s="273" t="s">
        <v>83</v>
      </c>
    </row>
    <row r="3" spans="1:9">
      <c r="G3" s="275">
        <f t="shared" ref="G3:G66" si="0">SUM(D3:F3)</f>
        <v>0</v>
      </c>
      <c r="I3" s="275">
        <f xml:space="preserve"> SUMIF(C:C,"Finney, Mark L",G:G)</f>
        <v>0</v>
      </c>
    </row>
    <row r="4" spans="1:9">
      <c r="G4" s="275">
        <f t="shared" si="0"/>
        <v>0</v>
      </c>
    </row>
    <row r="5" spans="1:9">
      <c r="G5" s="275">
        <f t="shared" si="0"/>
        <v>0</v>
      </c>
      <c r="I5" s="273" t="s">
        <v>82</v>
      </c>
    </row>
    <row r="6" spans="1:9">
      <c r="G6" s="275">
        <f t="shared" si="0"/>
        <v>0</v>
      </c>
      <c r="I6" s="275">
        <f xml:space="preserve"> SUMIF(C:C,"Deloney, Cecil R",G:G)</f>
        <v>0</v>
      </c>
    </row>
    <row r="7" spans="1:9">
      <c r="G7" s="275">
        <f t="shared" si="0"/>
        <v>0</v>
      </c>
    </row>
    <row r="8" spans="1:9">
      <c r="G8" s="275">
        <f t="shared" si="0"/>
        <v>0</v>
      </c>
    </row>
    <row r="9" spans="1:9">
      <c r="G9" s="275">
        <f t="shared" si="0"/>
        <v>0</v>
      </c>
    </row>
    <row r="10" spans="1:9">
      <c r="G10" s="275">
        <f t="shared" si="0"/>
        <v>0</v>
      </c>
      <c r="I10" s="272"/>
    </row>
    <row r="11" spans="1:9">
      <c r="G11" s="275">
        <f t="shared" si="0"/>
        <v>0</v>
      </c>
    </row>
    <row r="12" spans="1:9">
      <c r="G12" s="275">
        <f t="shared" si="0"/>
        <v>0</v>
      </c>
    </row>
    <row r="13" spans="1:9">
      <c r="G13" s="275">
        <f t="shared" si="0"/>
        <v>0</v>
      </c>
    </row>
    <row r="14" spans="1:9">
      <c r="G14" s="275">
        <f t="shared" si="0"/>
        <v>0</v>
      </c>
    </row>
    <row r="15" spans="1:9">
      <c r="G15" s="275">
        <f t="shared" si="0"/>
        <v>0</v>
      </c>
    </row>
    <row r="16" spans="1:9">
      <c r="G16" s="275">
        <f t="shared" si="0"/>
        <v>0</v>
      </c>
    </row>
    <row r="17" spans="7:7">
      <c r="G17" s="275">
        <f t="shared" si="0"/>
        <v>0</v>
      </c>
    </row>
    <row r="18" spans="7:7">
      <c r="G18" s="275">
        <f t="shared" si="0"/>
        <v>0</v>
      </c>
    </row>
    <row r="19" spans="7:7">
      <c r="G19" s="275">
        <f t="shared" si="0"/>
        <v>0</v>
      </c>
    </row>
    <row r="20" spans="7:7">
      <c r="G20" s="275">
        <f t="shared" si="0"/>
        <v>0</v>
      </c>
    </row>
    <row r="21" spans="7:7">
      <c r="G21" s="275">
        <f t="shared" si="0"/>
        <v>0</v>
      </c>
    </row>
    <row r="22" spans="7:7">
      <c r="G22" s="275">
        <f t="shared" si="0"/>
        <v>0</v>
      </c>
    </row>
    <row r="23" spans="7:7">
      <c r="G23" s="275">
        <f t="shared" si="0"/>
        <v>0</v>
      </c>
    </row>
    <row r="24" spans="7:7">
      <c r="G24" s="275">
        <f t="shared" si="0"/>
        <v>0</v>
      </c>
    </row>
    <row r="25" spans="7:7">
      <c r="G25" s="275">
        <f t="shared" si="0"/>
        <v>0</v>
      </c>
    </row>
    <row r="26" spans="7:7">
      <c r="G26" s="275">
        <f t="shared" si="0"/>
        <v>0</v>
      </c>
    </row>
    <row r="27" spans="7:7">
      <c r="G27" s="275">
        <f t="shared" si="0"/>
        <v>0</v>
      </c>
    </row>
    <row r="28" spans="7:7">
      <c r="G28" s="275">
        <f t="shared" si="0"/>
        <v>0</v>
      </c>
    </row>
    <row r="29" spans="7:7">
      <c r="G29" s="275">
        <f t="shared" si="0"/>
        <v>0</v>
      </c>
    </row>
    <row r="30" spans="7:7">
      <c r="G30" s="275">
        <f t="shared" si="0"/>
        <v>0</v>
      </c>
    </row>
    <row r="31" spans="7:7">
      <c r="G31" s="275">
        <f t="shared" si="0"/>
        <v>0</v>
      </c>
    </row>
    <row r="32" spans="7:7">
      <c r="G32" s="275">
        <f t="shared" si="0"/>
        <v>0</v>
      </c>
    </row>
    <row r="33" spans="7:7">
      <c r="G33" s="275">
        <f t="shared" si="0"/>
        <v>0</v>
      </c>
    </row>
    <row r="34" spans="7:7">
      <c r="G34" s="275">
        <f t="shared" si="0"/>
        <v>0</v>
      </c>
    </row>
    <row r="35" spans="7:7">
      <c r="G35" s="275">
        <f t="shared" si="0"/>
        <v>0</v>
      </c>
    </row>
    <row r="36" spans="7:7">
      <c r="G36" s="275">
        <f t="shared" si="0"/>
        <v>0</v>
      </c>
    </row>
    <row r="37" spans="7:7">
      <c r="G37" s="275">
        <f t="shared" si="0"/>
        <v>0</v>
      </c>
    </row>
    <row r="38" spans="7:7">
      <c r="G38" s="275">
        <f t="shared" si="0"/>
        <v>0</v>
      </c>
    </row>
    <row r="39" spans="7:7">
      <c r="G39" s="275">
        <f t="shared" si="0"/>
        <v>0</v>
      </c>
    </row>
    <row r="40" spans="7:7">
      <c r="G40" s="275">
        <f t="shared" si="0"/>
        <v>0</v>
      </c>
    </row>
    <row r="41" spans="7:7">
      <c r="G41" s="275">
        <f t="shared" si="0"/>
        <v>0</v>
      </c>
    </row>
    <row r="42" spans="7:7">
      <c r="G42" s="275">
        <f t="shared" si="0"/>
        <v>0</v>
      </c>
    </row>
    <row r="43" spans="7:7">
      <c r="G43" s="275">
        <f t="shared" si="0"/>
        <v>0</v>
      </c>
    </row>
    <row r="44" spans="7:7">
      <c r="G44" s="275">
        <f t="shared" si="0"/>
        <v>0</v>
      </c>
    </row>
    <row r="45" spans="7:7">
      <c r="G45" s="275">
        <f t="shared" si="0"/>
        <v>0</v>
      </c>
    </row>
    <row r="46" spans="7:7">
      <c r="G46" s="275">
        <f t="shared" si="0"/>
        <v>0</v>
      </c>
    </row>
    <row r="47" spans="7:7">
      <c r="G47" s="275">
        <f t="shared" si="0"/>
        <v>0</v>
      </c>
    </row>
    <row r="48" spans="7:7">
      <c r="G48" s="275">
        <f>SUM(D48:F48)</f>
        <v>0</v>
      </c>
    </row>
    <row r="49" spans="7:7">
      <c r="G49" s="275">
        <f t="shared" si="0"/>
        <v>0</v>
      </c>
    </row>
    <row r="50" spans="7:7">
      <c r="G50" s="275">
        <f t="shared" si="0"/>
        <v>0</v>
      </c>
    </row>
    <row r="51" spans="7:7">
      <c r="G51" s="275">
        <f t="shared" si="0"/>
        <v>0</v>
      </c>
    </row>
    <row r="52" spans="7:7">
      <c r="G52" s="275">
        <f t="shared" si="0"/>
        <v>0</v>
      </c>
    </row>
    <row r="53" spans="7:7">
      <c r="G53" s="275">
        <f t="shared" si="0"/>
        <v>0</v>
      </c>
    </row>
    <row r="54" spans="7:7">
      <c r="G54" s="275">
        <f t="shared" si="0"/>
        <v>0</v>
      </c>
    </row>
    <row r="55" spans="7:7">
      <c r="G55" s="275">
        <f t="shared" si="0"/>
        <v>0</v>
      </c>
    </row>
    <row r="56" spans="7:7">
      <c r="G56" s="275">
        <f t="shared" si="0"/>
        <v>0</v>
      </c>
    </row>
    <row r="57" spans="7:7">
      <c r="G57" s="275">
        <f t="shared" si="0"/>
        <v>0</v>
      </c>
    </row>
    <row r="58" spans="7:7">
      <c r="G58" s="275">
        <f t="shared" si="0"/>
        <v>0</v>
      </c>
    </row>
    <row r="59" spans="7:7">
      <c r="G59" s="275">
        <f t="shared" si="0"/>
        <v>0</v>
      </c>
    </row>
    <row r="60" spans="7:7">
      <c r="G60" s="275">
        <f t="shared" si="0"/>
        <v>0</v>
      </c>
    </row>
    <row r="61" spans="7:7">
      <c r="G61" s="275">
        <f t="shared" si="0"/>
        <v>0</v>
      </c>
    </row>
    <row r="62" spans="7:7">
      <c r="G62" s="275">
        <f t="shared" si="0"/>
        <v>0</v>
      </c>
    </row>
    <row r="63" spans="7:7">
      <c r="G63" s="275">
        <f t="shared" si="0"/>
        <v>0</v>
      </c>
    </row>
    <row r="64" spans="7:7">
      <c r="G64" s="275">
        <f t="shared" si="0"/>
        <v>0</v>
      </c>
    </row>
    <row r="65" spans="7:7">
      <c r="G65" s="275">
        <f t="shared" si="0"/>
        <v>0</v>
      </c>
    </row>
    <row r="66" spans="7:7">
      <c r="G66" s="275">
        <f t="shared" si="0"/>
        <v>0</v>
      </c>
    </row>
    <row r="67" spans="7:7">
      <c r="G67" s="275">
        <f t="shared" ref="G67:G83" si="1">SUM(D67:F67)</f>
        <v>0</v>
      </c>
    </row>
    <row r="68" spans="7:7">
      <c r="G68" s="275">
        <f t="shared" si="1"/>
        <v>0</v>
      </c>
    </row>
    <row r="69" spans="7:7">
      <c r="G69" s="275">
        <f t="shared" si="1"/>
        <v>0</v>
      </c>
    </row>
    <row r="70" spans="7:7">
      <c r="G70" s="275">
        <f t="shared" si="1"/>
        <v>0</v>
      </c>
    </row>
    <row r="71" spans="7:7">
      <c r="G71" s="275">
        <f t="shared" si="1"/>
        <v>0</v>
      </c>
    </row>
    <row r="72" spans="7:7">
      <c r="G72" s="275">
        <f t="shared" si="1"/>
        <v>0</v>
      </c>
    </row>
    <row r="73" spans="7:7">
      <c r="G73" s="275">
        <f t="shared" si="1"/>
        <v>0</v>
      </c>
    </row>
    <row r="74" spans="7:7">
      <c r="G74" s="275">
        <f t="shared" si="1"/>
        <v>0</v>
      </c>
    </row>
    <row r="75" spans="7:7">
      <c r="G75" s="275">
        <f t="shared" si="1"/>
        <v>0</v>
      </c>
    </row>
    <row r="76" spans="7:7">
      <c r="G76" s="275">
        <f t="shared" si="1"/>
        <v>0</v>
      </c>
    </row>
    <row r="77" spans="7:7">
      <c r="G77" s="275">
        <f t="shared" si="1"/>
        <v>0</v>
      </c>
    </row>
    <row r="78" spans="7:7">
      <c r="G78" s="275">
        <f t="shared" si="1"/>
        <v>0</v>
      </c>
    </row>
    <row r="79" spans="7:7">
      <c r="G79" s="275">
        <f t="shared" si="1"/>
        <v>0</v>
      </c>
    </row>
    <row r="80" spans="7:7">
      <c r="G80" s="275">
        <f t="shared" si="1"/>
        <v>0</v>
      </c>
    </row>
    <row r="81" spans="7:7">
      <c r="G81" s="275">
        <f t="shared" si="1"/>
        <v>0</v>
      </c>
    </row>
    <row r="82" spans="7:7">
      <c r="G82" s="275">
        <f t="shared" si="1"/>
        <v>0</v>
      </c>
    </row>
    <row r="83" spans="7:7">
      <c r="G83" s="275">
        <f t="shared" si="1"/>
        <v>0</v>
      </c>
    </row>
    <row r="84" spans="7:7">
      <c r="G84" s="275">
        <f>SUM(D84:F84)</f>
        <v>0</v>
      </c>
    </row>
    <row r="85" spans="7:7">
      <c r="G85" s="275">
        <f t="shared" ref="G85:G148" si="2">SUM(D85:F85)</f>
        <v>0</v>
      </c>
    </row>
    <row r="86" spans="7:7">
      <c r="G86" s="275">
        <f t="shared" si="2"/>
        <v>0</v>
      </c>
    </row>
    <row r="87" spans="7:7">
      <c r="G87" s="275">
        <f t="shared" si="2"/>
        <v>0</v>
      </c>
    </row>
    <row r="88" spans="7:7">
      <c r="G88" s="275">
        <f t="shared" si="2"/>
        <v>0</v>
      </c>
    </row>
    <row r="89" spans="7:7">
      <c r="G89" s="275">
        <f t="shared" si="2"/>
        <v>0</v>
      </c>
    </row>
    <row r="90" spans="7:7">
      <c r="G90" s="275">
        <f t="shared" si="2"/>
        <v>0</v>
      </c>
    </row>
    <row r="91" spans="7:7">
      <c r="G91" s="275">
        <f t="shared" si="2"/>
        <v>0</v>
      </c>
    </row>
    <row r="92" spans="7:7">
      <c r="G92" s="275">
        <f t="shared" si="2"/>
        <v>0</v>
      </c>
    </row>
    <row r="93" spans="7:7">
      <c r="G93" s="275">
        <f t="shared" si="2"/>
        <v>0</v>
      </c>
    </row>
    <row r="94" spans="7:7">
      <c r="G94" s="275">
        <f t="shared" si="2"/>
        <v>0</v>
      </c>
    </row>
    <row r="95" spans="7:7">
      <c r="G95" s="275">
        <f t="shared" si="2"/>
        <v>0</v>
      </c>
    </row>
    <row r="96" spans="7:7">
      <c r="G96" s="275">
        <f t="shared" si="2"/>
        <v>0</v>
      </c>
    </row>
    <row r="97" spans="7:7">
      <c r="G97" s="275">
        <f t="shared" si="2"/>
        <v>0</v>
      </c>
    </row>
    <row r="98" spans="7:7">
      <c r="G98" s="275">
        <f t="shared" si="2"/>
        <v>0</v>
      </c>
    </row>
    <row r="99" spans="7:7">
      <c r="G99" s="275">
        <f t="shared" si="2"/>
        <v>0</v>
      </c>
    </row>
    <row r="100" spans="7:7">
      <c r="G100" s="275">
        <f t="shared" si="2"/>
        <v>0</v>
      </c>
    </row>
    <row r="101" spans="7:7">
      <c r="G101" s="275">
        <f t="shared" si="2"/>
        <v>0</v>
      </c>
    </row>
    <row r="102" spans="7:7">
      <c r="G102" s="275">
        <f t="shared" si="2"/>
        <v>0</v>
      </c>
    </row>
    <row r="103" spans="7:7">
      <c r="G103" s="275">
        <f t="shared" si="2"/>
        <v>0</v>
      </c>
    </row>
    <row r="104" spans="7:7">
      <c r="G104" s="275">
        <f t="shared" si="2"/>
        <v>0</v>
      </c>
    </row>
    <row r="105" spans="7:7">
      <c r="G105" s="275">
        <f t="shared" si="2"/>
        <v>0</v>
      </c>
    </row>
    <row r="106" spans="7:7">
      <c r="G106" s="275">
        <f t="shared" si="2"/>
        <v>0</v>
      </c>
    </row>
    <row r="107" spans="7:7">
      <c r="G107" s="275">
        <f t="shared" si="2"/>
        <v>0</v>
      </c>
    </row>
    <row r="108" spans="7:7">
      <c r="G108" s="275">
        <f t="shared" si="2"/>
        <v>0</v>
      </c>
    </row>
    <row r="109" spans="7:7">
      <c r="G109" s="275">
        <f t="shared" si="2"/>
        <v>0</v>
      </c>
    </row>
    <row r="110" spans="7:7">
      <c r="G110" s="275">
        <f t="shared" si="2"/>
        <v>0</v>
      </c>
    </row>
    <row r="111" spans="7:7">
      <c r="G111" s="275">
        <f t="shared" si="2"/>
        <v>0</v>
      </c>
    </row>
    <row r="112" spans="7:7">
      <c r="G112" s="275">
        <f t="shared" si="2"/>
        <v>0</v>
      </c>
    </row>
    <row r="113" spans="7:7">
      <c r="G113" s="275">
        <f t="shared" si="2"/>
        <v>0</v>
      </c>
    </row>
    <row r="114" spans="7:7">
      <c r="G114" s="275">
        <f t="shared" si="2"/>
        <v>0</v>
      </c>
    </row>
    <row r="115" spans="7:7">
      <c r="G115" s="275">
        <f t="shared" si="2"/>
        <v>0</v>
      </c>
    </row>
    <row r="116" spans="7:7">
      <c r="G116" s="275">
        <f t="shared" si="2"/>
        <v>0</v>
      </c>
    </row>
    <row r="117" spans="7:7">
      <c r="G117" s="275">
        <f t="shared" si="2"/>
        <v>0</v>
      </c>
    </row>
    <row r="118" spans="7:7">
      <c r="G118" s="275">
        <f t="shared" si="2"/>
        <v>0</v>
      </c>
    </row>
    <row r="119" spans="7:7">
      <c r="G119" s="275">
        <f t="shared" si="2"/>
        <v>0</v>
      </c>
    </row>
    <row r="120" spans="7:7">
      <c r="G120" s="275">
        <f t="shared" si="2"/>
        <v>0</v>
      </c>
    </row>
    <row r="121" spans="7:7">
      <c r="G121" s="275">
        <f t="shared" si="2"/>
        <v>0</v>
      </c>
    </row>
    <row r="122" spans="7:7">
      <c r="G122" s="275">
        <f t="shared" si="2"/>
        <v>0</v>
      </c>
    </row>
    <row r="123" spans="7:7">
      <c r="G123" s="275">
        <f t="shared" si="2"/>
        <v>0</v>
      </c>
    </row>
    <row r="124" spans="7:7">
      <c r="G124" s="275">
        <f t="shared" si="2"/>
        <v>0</v>
      </c>
    </row>
    <row r="125" spans="7:7">
      <c r="G125" s="275">
        <f t="shared" si="2"/>
        <v>0</v>
      </c>
    </row>
    <row r="126" spans="7:7">
      <c r="G126" s="275">
        <f t="shared" si="2"/>
        <v>0</v>
      </c>
    </row>
    <row r="127" spans="7:7">
      <c r="G127" s="275">
        <f t="shared" si="2"/>
        <v>0</v>
      </c>
    </row>
    <row r="128" spans="7:7">
      <c r="G128" s="275">
        <f t="shared" si="2"/>
        <v>0</v>
      </c>
    </row>
    <row r="129" spans="7:7">
      <c r="G129" s="275">
        <f t="shared" si="2"/>
        <v>0</v>
      </c>
    </row>
    <row r="130" spans="7:7">
      <c r="G130" s="275">
        <f>SUM(D130:F130)</f>
        <v>0</v>
      </c>
    </row>
    <row r="131" spans="7:7">
      <c r="G131" s="275">
        <f t="shared" si="2"/>
        <v>0</v>
      </c>
    </row>
    <row r="132" spans="7:7">
      <c r="G132" s="275">
        <f t="shared" si="2"/>
        <v>0</v>
      </c>
    </row>
    <row r="133" spans="7:7">
      <c r="G133" s="275">
        <f t="shared" si="2"/>
        <v>0</v>
      </c>
    </row>
    <row r="134" spans="7:7">
      <c r="G134" s="275">
        <f t="shared" si="2"/>
        <v>0</v>
      </c>
    </row>
    <row r="135" spans="7:7">
      <c r="G135" s="275">
        <f t="shared" si="2"/>
        <v>0</v>
      </c>
    </row>
    <row r="136" spans="7:7">
      <c r="G136" s="275">
        <f t="shared" si="2"/>
        <v>0</v>
      </c>
    </row>
    <row r="137" spans="7:7">
      <c r="G137" s="275">
        <f t="shared" si="2"/>
        <v>0</v>
      </c>
    </row>
    <row r="138" spans="7:7">
      <c r="G138" s="275">
        <f t="shared" si="2"/>
        <v>0</v>
      </c>
    </row>
    <row r="139" spans="7:7">
      <c r="G139" s="275">
        <f t="shared" si="2"/>
        <v>0</v>
      </c>
    </row>
    <row r="140" spans="7:7">
      <c r="G140" s="275">
        <f t="shared" si="2"/>
        <v>0</v>
      </c>
    </row>
    <row r="141" spans="7:7">
      <c r="G141" s="275">
        <f t="shared" si="2"/>
        <v>0</v>
      </c>
    </row>
    <row r="142" spans="7:7">
      <c r="G142" s="275">
        <f t="shared" si="2"/>
        <v>0</v>
      </c>
    </row>
    <row r="143" spans="7:7">
      <c r="G143" s="275">
        <f t="shared" si="2"/>
        <v>0</v>
      </c>
    </row>
    <row r="144" spans="7:7">
      <c r="G144" s="275">
        <f t="shared" si="2"/>
        <v>0</v>
      </c>
    </row>
    <row r="145" spans="7:7">
      <c r="G145" s="275">
        <f t="shared" si="2"/>
        <v>0</v>
      </c>
    </row>
    <row r="146" spans="7:7">
      <c r="G146" s="275">
        <f t="shared" si="2"/>
        <v>0</v>
      </c>
    </row>
    <row r="147" spans="7:7">
      <c r="G147" s="275">
        <f t="shared" si="2"/>
        <v>0</v>
      </c>
    </row>
    <row r="148" spans="7:7">
      <c r="G148" s="275">
        <f t="shared" si="2"/>
        <v>0</v>
      </c>
    </row>
    <row r="149" spans="7:7">
      <c r="G149" s="275">
        <f t="shared" ref="G149:G212" si="3">SUM(D149:F149)</f>
        <v>0</v>
      </c>
    </row>
    <row r="150" spans="7:7">
      <c r="G150" s="275">
        <f t="shared" si="3"/>
        <v>0</v>
      </c>
    </row>
    <row r="151" spans="7:7">
      <c r="G151" s="275">
        <f t="shared" si="3"/>
        <v>0</v>
      </c>
    </row>
    <row r="152" spans="7:7">
      <c r="G152" s="275">
        <f t="shared" si="3"/>
        <v>0</v>
      </c>
    </row>
    <row r="153" spans="7:7">
      <c r="G153" s="275">
        <f t="shared" si="3"/>
        <v>0</v>
      </c>
    </row>
    <row r="154" spans="7:7">
      <c r="G154" s="275">
        <f t="shared" si="3"/>
        <v>0</v>
      </c>
    </row>
    <row r="155" spans="7:7">
      <c r="G155" s="275">
        <f t="shared" si="3"/>
        <v>0</v>
      </c>
    </row>
    <row r="156" spans="7:7">
      <c r="G156" s="275">
        <f t="shared" si="3"/>
        <v>0</v>
      </c>
    </row>
    <row r="157" spans="7:7">
      <c r="G157" s="275">
        <f t="shared" si="3"/>
        <v>0</v>
      </c>
    </row>
    <row r="158" spans="7:7">
      <c r="G158" s="275">
        <f t="shared" si="3"/>
        <v>0</v>
      </c>
    </row>
    <row r="159" spans="7:7">
      <c r="G159" s="275">
        <f t="shared" si="3"/>
        <v>0</v>
      </c>
    </row>
    <row r="160" spans="7:7">
      <c r="G160" s="275">
        <f t="shared" si="3"/>
        <v>0</v>
      </c>
    </row>
    <row r="161" spans="7:7">
      <c r="G161" s="275">
        <f t="shared" si="3"/>
        <v>0</v>
      </c>
    </row>
    <row r="162" spans="7:7">
      <c r="G162" s="275">
        <f t="shared" si="3"/>
        <v>0</v>
      </c>
    </row>
    <row r="163" spans="7:7">
      <c r="G163" s="275">
        <f t="shared" si="3"/>
        <v>0</v>
      </c>
    </row>
    <row r="164" spans="7:7">
      <c r="G164" s="275">
        <f t="shared" si="3"/>
        <v>0</v>
      </c>
    </row>
    <row r="165" spans="7:7">
      <c r="G165" s="275">
        <f t="shared" si="3"/>
        <v>0</v>
      </c>
    </row>
    <row r="166" spans="7:7">
      <c r="G166" s="275">
        <f t="shared" si="3"/>
        <v>0</v>
      </c>
    </row>
    <row r="167" spans="7:7">
      <c r="G167" s="275">
        <f t="shared" si="3"/>
        <v>0</v>
      </c>
    </row>
    <row r="168" spans="7:7">
      <c r="G168" s="275">
        <f t="shared" si="3"/>
        <v>0</v>
      </c>
    </row>
    <row r="169" spans="7:7">
      <c r="G169" s="275">
        <f t="shared" si="3"/>
        <v>0</v>
      </c>
    </row>
    <row r="170" spans="7:7">
      <c r="G170" s="275">
        <f t="shared" si="3"/>
        <v>0</v>
      </c>
    </row>
    <row r="171" spans="7:7">
      <c r="G171" s="275">
        <f t="shared" si="3"/>
        <v>0</v>
      </c>
    </row>
    <row r="172" spans="7:7">
      <c r="G172" s="275">
        <f t="shared" si="3"/>
        <v>0</v>
      </c>
    </row>
    <row r="173" spans="7:7">
      <c r="G173" s="275">
        <f t="shared" si="3"/>
        <v>0</v>
      </c>
    </row>
    <row r="174" spans="7:7">
      <c r="G174" s="275">
        <f t="shared" si="3"/>
        <v>0</v>
      </c>
    </row>
    <row r="175" spans="7:7">
      <c r="G175" s="275">
        <f t="shared" si="3"/>
        <v>0</v>
      </c>
    </row>
    <row r="176" spans="7:7">
      <c r="G176" s="275">
        <f t="shared" si="3"/>
        <v>0</v>
      </c>
    </row>
    <row r="177" spans="7:7">
      <c r="G177" s="275">
        <f t="shared" si="3"/>
        <v>0</v>
      </c>
    </row>
    <row r="178" spans="7:7">
      <c r="G178" s="275">
        <f t="shared" si="3"/>
        <v>0</v>
      </c>
    </row>
    <row r="179" spans="7:7">
      <c r="G179" s="275">
        <f t="shared" si="3"/>
        <v>0</v>
      </c>
    </row>
    <row r="180" spans="7:7">
      <c r="G180" s="275">
        <f t="shared" si="3"/>
        <v>0</v>
      </c>
    </row>
    <row r="181" spans="7:7">
      <c r="G181" s="275">
        <f t="shared" si="3"/>
        <v>0</v>
      </c>
    </row>
    <row r="182" spans="7:7">
      <c r="G182" s="275">
        <f t="shared" si="3"/>
        <v>0</v>
      </c>
    </row>
    <row r="183" spans="7:7">
      <c r="G183" s="275">
        <f t="shared" si="3"/>
        <v>0</v>
      </c>
    </row>
    <row r="184" spans="7:7">
      <c r="G184" s="275">
        <f t="shared" si="3"/>
        <v>0</v>
      </c>
    </row>
    <row r="185" spans="7:7">
      <c r="G185" s="275">
        <f t="shared" si="3"/>
        <v>0</v>
      </c>
    </row>
    <row r="186" spans="7:7">
      <c r="G186" s="275">
        <f t="shared" si="3"/>
        <v>0</v>
      </c>
    </row>
    <row r="187" spans="7:7">
      <c r="G187" s="275">
        <f t="shared" si="3"/>
        <v>0</v>
      </c>
    </row>
    <row r="188" spans="7:7">
      <c r="G188" s="275">
        <f t="shared" si="3"/>
        <v>0</v>
      </c>
    </row>
    <row r="189" spans="7:7">
      <c r="G189" s="275">
        <f t="shared" si="3"/>
        <v>0</v>
      </c>
    </row>
    <row r="190" spans="7:7">
      <c r="G190" s="275">
        <f t="shared" si="3"/>
        <v>0</v>
      </c>
    </row>
    <row r="191" spans="7:7">
      <c r="G191" s="275">
        <f t="shared" si="3"/>
        <v>0</v>
      </c>
    </row>
    <row r="192" spans="7:7">
      <c r="G192" s="275">
        <f t="shared" si="3"/>
        <v>0</v>
      </c>
    </row>
    <row r="193" spans="7:7">
      <c r="G193" s="275">
        <f t="shared" si="3"/>
        <v>0</v>
      </c>
    </row>
    <row r="194" spans="7:7">
      <c r="G194" s="275">
        <f t="shared" si="3"/>
        <v>0</v>
      </c>
    </row>
    <row r="195" spans="7:7">
      <c r="G195" s="275">
        <f t="shared" si="3"/>
        <v>0</v>
      </c>
    </row>
    <row r="196" spans="7:7">
      <c r="G196" s="275">
        <f t="shared" si="3"/>
        <v>0</v>
      </c>
    </row>
    <row r="197" spans="7:7">
      <c r="G197" s="275">
        <f t="shared" si="3"/>
        <v>0</v>
      </c>
    </row>
    <row r="198" spans="7:7">
      <c r="G198" s="275">
        <f t="shared" si="3"/>
        <v>0</v>
      </c>
    </row>
    <row r="199" spans="7:7">
      <c r="G199" s="275">
        <f t="shared" si="3"/>
        <v>0</v>
      </c>
    </row>
    <row r="200" spans="7:7">
      <c r="G200" s="275">
        <f t="shared" si="3"/>
        <v>0</v>
      </c>
    </row>
    <row r="201" spans="7:7">
      <c r="G201" s="275">
        <f t="shared" si="3"/>
        <v>0</v>
      </c>
    </row>
    <row r="202" spans="7:7">
      <c r="G202" s="275">
        <f t="shared" si="3"/>
        <v>0</v>
      </c>
    </row>
    <row r="203" spans="7:7">
      <c r="G203" s="275">
        <f t="shared" si="3"/>
        <v>0</v>
      </c>
    </row>
    <row r="204" spans="7:7">
      <c r="G204" s="275">
        <f t="shared" si="3"/>
        <v>0</v>
      </c>
    </row>
    <row r="205" spans="7:7">
      <c r="G205" s="275">
        <f t="shared" si="3"/>
        <v>0</v>
      </c>
    </row>
    <row r="206" spans="7:7">
      <c r="G206" s="275">
        <f t="shared" si="3"/>
        <v>0</v>
      </c>
    </row>
    <row r="207" spans="7:7">
      <c r="G207" s="275">
        <f t="shared" si="3"/>
        <v>0</v>
      </c>
    </row>
    <row r="208" spans="7:7">
      <c r="G208" s="275">
        <f t="shared" si="3"/>
        <v>0</v>
      </c>
    </row>
    <row r="209" spans="7:7">
      <c r="G209" s="275">
        <f t="shared" si="3"/>
        <v>0</v>
      </c>
    </row>
    <row r="210" spans="7:7">
      <c r="G210" s="275">
        <f t="shared" si="3"/>
        <v>0</v>
      </c>
    </row>
    <row r="211" spans="7:7">
      <c r="G211" s="275">
        <f t="shared" si="3"/>
        <v>0</v>
      </c>
    </row>
    <row r="212" spans="7:7">
      <c r="G212" s="275">
        <f t="shared" si="3"/>
        <v>0</v>
      </c>
    </row>
    <row r="213" spans="7:7">
      <c r="G213" s="275">
        <f t="shared" ref="G213:G276" si="4">SUM(D213:F213)</f>
        <v>0</v>
      </c>
    </row>
    <row r="214" spans="7:7">
      <c r="G214" s="275">
        <f t="shared" si="4"/>
        <v>0</v>
      </c>
    </row>
    <row r="215" spans="7:7">
      <c r="G215" s="275">
        <f t="shared" si="4"/>
        <v>0</v>
      </c>
    </row>
    <row r="216" spans="7:7">
      <c r="G216" s="275">
        <f t="shared" si="4"/>
        <v>0</v>
      </c>
    </row>
    <row r="217" spans="7:7">
      <c r="G217" s="275">
        <f t="shared" si="4"/>
        <v>0</v>
      </c>
    </row>
    <row r="218" spans="7:7">
      <c r="G218" s="275">
        <f t="shared" si="4"/>
        <v>0</v>
      </c>
    </row>
    <row r="219" spans="7:7">
      <c r="G219" s="275">
        <f t="shared" si="4"/>
        <v>0</v>
      </c>
    </row>
    <row r="220" spans="7:7">
      <c r="G220" s="275">
        <f t="shared" si="4"/>
        <v>0</v>
      </c>
    </row>
    <row r="221" spans="7:7">
      <c r="G221" s="275">
        <f t="shared" si="4"/>
        <v>0</v>
      </c>
    </row>
    <row r="222" spans="7:7">
      <c r="G222" s="275">
        <f t="shared" si="4"/>
        <v>0</v>
      </c>
    </row>
    <row r="223" spans="7:7">
      <c r="G223" s="275">
        <f t="shared" si="4"/>
        <v>0</v>
      </c>
    </row>
    <row r="224" spans="7:7">
      <c r="G224" s="275">
        <f t="shared" si="4"/>
        <v>0</v>
      </c>
    </row>
    <row r="225" spans="7:7">
      <c r="G225" s="275">
        <f t="shared" si="4"/>
        <v>0</v>
      </c>
    </row>
    <row r="226" spans="7:7">
      <c r="G226" s="275">
        <f t="shared" si="4"/>
        <v>0</v>
      </c>
    </row>
    <row r="227" spans="7:7">
      <c r="G227" s="275">
        <f t="shared" si="4"/>
        <v>0</v>
      </c>
    </row>
    <row r="228" spans="7:7">
      <c r="G228" s="275">
        <f t="shared" si="4"/>
        <v>0</v>
      </c>
    </row>
    <row r="229" spans="7:7">
      <c r="G229" s="275">
        <f t="shared" si="4"/>
        <v>0</v>
      </c>
    </row>
    <row r="230" spans="7:7">
      <c r="G230" s="275">
        <f t="shared" si="4"/>
        <v>0</v>
      </c>
    </row>
    <row r="231" spans="7:7">
      <c r="G231" s="275">
        <f t="shared" si="4"/>
        <v>0</v>
      </c>
    </row>
    <row r="232" spans="7:7">
      <c r="G232" s="275">
        <f t="shared" si="4"/>
        <v>0</v>
      </c>
    </row>
    <row r="233" spans="7:7">
      <c r="G233" s="275">
        <f t="shared" si="4"/>
        <v>0</v>
      </c>
    </row>
    <row r="234" spans="7:7">
      <c r="G234" s="275">
        <f t="shared" si="4"/>
        <v>0</v>
      </c>
    </row>
    <row r="235" spans="7:7">
      <c r="G235" s="275">
        <f t="shared" si="4"/>
        <v>0</v>
      </c>
    </row>
    <row r="236" spans="7:7">
      <c r="G236" s="275">
        <f t="shared" si="4"/>
        <v>0</v>
      </c>
    </row>
    <row r="237" spans="7:7">
      <c r="G237" s="275">
        <f t="shared" si="4"/>
        <v>0</v>
      </c>
    </row>
    <row r="238" spans="7:7">
      <c r="G238" s="275">
        <f t="shared" si="4"/>
        <v>0</v>
      </c>
    </row>
    <row r="239" spans="7:7">
      <c r="G239" s="275">
        <f t="shared" si="4"/>
        <v>0</v>
      </c>
    </row>
    <row r="240" spans="7:7">
      <c r="G240" s="275">
        <f t="shared" si="4"/>
        <v>0</v>
      </c>
    </row>
    <row r="241" spans="7:7">
      <c r="G241" s="275">
        <f t="shared" si="4"/>
        <v>0</v>
      </c>
    </row>
    <row r="242" spans="7:7">
      <c r="G242" s="275">
        <f t="shared" si="4"/>
        <v>0</v>
      </c>
    </row>
    <row r="243" spans="7:7">
      <c r="G243" s="275">
        <f t="shared" si="4"/>
        <v>0</v>
      </c>
    </row>
    <row r="244" spans="7:7">
      <c r="G244" s="275">
        <f t="shared" si="4"/>
        <v>0</v>
      </c>
    </row>
    <row r="245" spans="7:7">
      <c r="G245" s="275">
        <f t="shared" si="4"/>
        <v>0</v>
      </c>
    </row>
    <row r="246" spans="7:7">
      <c r="G246" s="275">
        <f t="shared" si="4"/>
        <v>0</v>
      </c>
    </row>
    <row r="247" spans="7:7">
      <c r="G247" s="275">
        <f t="shared" si="4"/>
        <v>0</v>
      </c>
    </row>
    <row r="248" spans="7:7">
      <c r="G248" s="275">
        <f t="shared" si="4"/>
        <v>0</v>
      </c>
    </row>
    <row r="249" spans="7:7">
      <c r="G249" s="275">
        <f t="shared" si="4"/>
        <v>0</v>
      </c>
    </row>
    <row r="250" spans="7:7">
      <c r="G250" s="275">
        <f t="shared" si="4"/>
        <v>0</v>
      </c>
    </row>
    <row r="251" spans="7:7">
      <c r="G251" s="275">
        <f t="shared" si="4"/>
        <v>0</v>
      </c>
    </row>
    <row r="252" spans="7:7">
      <c r="G252" s="275">
        <f t="shared" si="4"/>
        <v>0</v>
      </c>
    </row>
    <row r="253" spans="7:7">
      <c r="G253" s="275">
        <f t="shared" si="4"/>
        <v>0</v>
      </c>
    </row>
    <row r="254" spans="7:7">
      <c r="G254" s="275">
        <f t="shared" si="4"/>
        <v>0</v>
      </c>
    </row>
    <row r="255" spans="7:7">
      <c r="G255" s="275">
        <f t="shared" si="4"/>
        <v>0</v>
      </c>
    </row>
    <row r="256" spans="7:7">
      <c r="G256" s="275">
        <f t="shared" si="4"/>
        <v>0</v>
      </c>
    </row>
    <row r="257" spans="7:7">
      <c r="G257" s="275">
        <f t="shared" si="4"/>
        <v>0</v>
      </c>
    </row>
    <row r="258" spans="7:7">
      <c r="G258" s="275">
        <f t="shared" si="4"/>
        <v>0</v>
      </c>
    </row>
    <row r="259" spans="7:7">
      <c r="G259" s="275">
        <f t="shared" si="4"/>
        <v>0</v>
      </c>
    </row>
    <row r="260" spans="7:7">
      <c r="G260" s="275">
        <f t="shared" si="4"/>
        <v>0</v>
      </c>
    </row>
    <row r="261" spans="7:7">
      <c r="G261" s="275">
        <f t="shared" si="4"/>
        <v>0</v>
      </c>
    </row>
    <row r="262" spans="7:7">
      <c r="G262" s="275">
        <f t="shared" si="4"/>
        <v>0</v>
      </c>
    </row>
    <row r="263" spans="7:7">
      <c r="G263" s="275">
        <f t="shared" si="4"/>
        <v>0</v>
      </c>
    </row>
    <row r="264" spans="7:7">
      <c r="G264" s="275">
        <f t="shared" si="4"/>
        <v>0</v>
      </c>
    </row>
    <row r="265" spans="7:7">
      <c r="G265" s="275">
        <f t="shared" si="4"/>
        <v>0</v>
      </c>
    </row>
    <row r="266" spans="7:7">
      <c r="G266" s="275">
        <f t="shared" si="4"/>
        <v>0</v>
      </c>
    </row>
    <row r="267" spans="7:7">
      <c r="G267" s="275">
        <f t="shared" si="4"/>
        <v>0</v>
      </c>
    </row>
    <row r="268" spans="7:7">
      <c r="G268" s="275">
        <f t="shared" si="4"/>
        <v>0</v>
      </c>
    </row>
    <row r="269" spans="7:7">
      <c r="G269" s="275">
        <f t="shared" si="4"/>
        <v>0</v>
      </c>
    </row>
    <row r="270" spans="7:7">
      <c r="G270" s="275">
        <f t="shared" si="4"/>
        <v>0</v>
      </c>
    </row>
    <row r="271" spans="7:7">
      <c r="G271" s="275">
        <f t="shared" si="4"/>
        <v>0</v>
      </c>
    </row>
    <row r="272" spans="7:7">
      <c r="G272" s="275">
        <f t="shared" si="4"/>
        <v>0</v>
      </c>
    </row>
    <row r="273" spans="7:7">
      <c r="G273" s="275">
        <f t="shared" si="4"/>
        <v>0</v>
      </c>
    </row>
    <row r="274" spans="7:7">
      <c r="G274" s="275">
        <f t="shared" si="4"/>
        <v>0</v>
      </c>
    </row>
    <row r="275" spans="7:7">
      <c r="G275" s="275">
        <f t="shared" si="4"/>
        <v>0</v>
      </c>
    </row>
    <row r="276" spans="7:7">
      <c r="G276" s="275">
        <f t="shared" si="4"/>
        <v>0</v>
      </c>
    </row>
    <row r="277" spans="7:7">
      <c r="G277" s="275">
        <f t="shared" ref="G277:G340" si="5">SUM(D277:F277)</f>
        <v>0</v>
      </c>
    </row>
    <row r="278" spans="7:7">
      <c r="G278" s="275">
        <f t="shared" si="5"/>
        <v>0</v>
      </c>
    </row>
    <row r="279" spans="7:7">
      <c r="G279" s="275">
        <f t="shared" si="5"/>
        <v>0</v>
      </c>
    </row>
    <row r="280" spans="7:7">
      <c r="G280" s="275">
        <f t="shared" si="5"/>
        <v>0</v>
      </c>
    </row>
    <row r="281" spans="7:7">
      <c r="G281" s="275">
        <f t="shared" si="5"/>
        <v>0</v>
      </c>
    </row>
    <row r="282" spans="7:7">
      <c r="G282" s="275">
        <f t="shared" si="5"/>
        <v>0</v>
      </c>
    </row>
    <row r="283" spans="7:7">
      <c r="G283" s="275">
        <f t="shared" si="5"/>
        <v>0</v>
      </c>
    </row>
    <row r="284" spans="7:7">
      <c r="G284" s="275">
        <f t="shared" si="5"/>
        <v>0</v>
      </c>
    </row>
    <row r="285" spans="7:7">
      <c r="G285" s="275">
        <f t="shared" si="5"/>
        <v>0</v>
      </c>
    </row>
    <row r="286" spans="7:7">
      <c r="G286" s="275">
        <f t="shared" si="5"/>
        <v>0</v>
      </c>
    </row>
    <row r="287" spans="7:7">
      <c r="G287" s="275">
        <f t="shared" si="5"/>
        <v>0</v>
      </c>
    </row>
    <row r="288" spans="7:7">
      <c r="G288" s="275">
        <f t="shared" si="5"/>
        <v>0</v>
      </c>
    </row>
    <row r="289" spans="7:7">
      <c r="G289" s="275">
        <f t="shared" si="5"/>
        <v>0</v>
      </c>
    </row>
    <row r="290" spans="7:7">
      <c r="G290" s="275">
        <f t="shared" si="5"/>
        <v>0</v>
      </c>
    </row>
    <row r="291" spans="7:7">
      <c r="G291" s="275">
        <f t="shared" si="5"/>
        <v>0</v>
      </c>
    </row>
    <row r="292" spans="7:7">
      <c r="G292" s="275">
        <f t="shared" si="5"/>
        <v>0</v>
      </c>
    </row>
    <row r="293" spans="7:7">
      <c r="G293" s="275">
        <f t="shared" si="5"/>
        <v>0</v>
      </c>
    </row>
    <row r="294" spans="7:7">
      <c r="G294" s="275">
        <f t="shared" si="5"/>
        <v>0</v>
      </c>
    </row>
    <row r="295" spans="7:7">
      <c r="G295" s="275">
        <f t="shared" si="5"/>
        <v>0</v>
      </c>
    </row>
    <row r="296" spans="7:7">
      <c r="G296" s="275">
        <f t="shared" si="5"/>
        <v>0</v>
      </c>
    </row>
    <row r="297" spans="7:7">
      <c r="G297" s="275">
        <f t="shared" si="5"/>
        <v>0</v>
      </c>
    </row>
    <row r="298" spans="7:7">
      <c r="G298" s="275">
        <f t="shared" si="5"/>
        <v>0</v>
      </c>
    </row>
    <row r="299" spans="7:7">
      <c r="G299" s="275">
        <f t="shared" si="5"/>
        <v>0</v>
      </c>
    </row>
    <row r="300" spans="7:7">
      <c r="G300" s="275">
        <f t="shared" si="5"/>
        <v>0</v>
      </c>
    </row>
    <row r="301" spans="7:7">
      <c r="G301" s="275">
        <f t="shared" si="5"/>
        <v>0</v>
      </c>
    </row>
    <row r="302" spans="7:7">
      <c r="G302" s="275">
        <f t="shared" si="5"/>
        <v>0</v>
      </c>
    </row>
    <row r="303" spans="7:7">
      <c r="G303" s="275">
        <f t="shared" si="5"/>
        <v>0</v>
      </c>
    </row>
    <row r="304" spans="7:7">
      <c r="G304" s="275">
        <f t="shared" si="5"/>
        <v>0</v>
      </c>
    </row>
    <row r="305" spans="7:7">
      <c r="G305" s="275">
        <f t="shared" si="5"/>
        <v>0</v>
      </c>
    </row>
    <row r="306" spans="7:7">
      <c r="G306" s="275">
        <f t="shared" si="5"/>
        <v>0</v>
      </c>
    </row>
    <row r="307" spans="7:7">
      <c r="G307" s="275">
        <f t="shared" si="5"/>
        <v>0</v>
      </c>
    </row>
    <row r="308" spans="7:7">
      <c r="G308" s="275">
        <f t="shared" si="5"/>
        <v>0</v>
      </c>
    </row>
    <row r="309" spans="7:7">
      <c r="G309" s="275">
        <f t="shared" si="5"/>
        <v>0</v>
      </c>
    </row>
    <row r="310" spans="7:7">
      <c r="G310" s="275">
        <f t="shared" si="5"/>
        <v>0</v>
      </c>
    </row>
    <row r="311" spans="7:7">
      <c r="G311" s="275">
        <f t="shared" si="5"/>
        <v>0</v>
      </c>
    </row>
    <row r="312" spans="7:7">
      <c r="G312" s="275">
        <f t="shared" si="5"/>
        <v>0</v>
      </c>
    </row>
    <row r="313" spans="7:7">
      <c r="G313" s="275">
        <f t="shared" si="5"/>
        <v>0</v>
      </c>
    </row>
    <row r="314" spans="7:7">
      <c r="G314" s="275">
        <f t="shared" si="5"/>
        <v>0</v>
      </c>
    </row>
    <row r="315" spans="7:7">
      <c r="G315" s="275">
        <f t="shared" si="5"/>
        <v>0</v>
      </c>
    </row>
    <row r="316" spans="7:7">
      <c r="G316" s="275">
        <f t="shared" si="5"/>
        <v>0</v>
      </c>
    </row>
    <row r="317" spans="7:7">
      <c r="G317" s="275">
        <f t="shared" si="5"/>
        <v>0</v>
      </c>
    </row>
    <row r="318" spans="7:7">
      <c r="G318" s="275">
        <f t="shared" si="5"/>
        <v>0</v>
      </c>
    </row>
    <row r="319" spans="7:7">
      <c r="G319" s="275">
        <f t="shared" si="5"/>
        <v>0</v>
      </c>
    </row>
    <row r="320" spans="7:7">
      <c r="G320" s="275">
        <f t="shared" si="5"/>
        <v>0</v>
      </c>
    </row>
    <row r="321" spans="7:7">
      <c r="G321" s="275">
        <f t="shared" si="5"/>
        <v>0</v>
      </c>
    </row>
    <row r="322" spans="7:7">
      <c r="G322" s="275">
        <f t="shared" si="5"/>
        <v>0</v>
      </c>
    </row>
    <row r="323" spans="7:7">
      <c r="G323" s="275">
        <f t="shared" si="5"/>
        <v>0</v>
      </c>
    </row>
    <row r="324" spans="7:7">
      <c r="G324" s="275">
        <f t="shared" si="5"/>
        <v>0</v>
      </c>
    </row>
    <row r="325" spans="7:7">
      <c r="G325" s="275">
        <f t="shared" si="5"/>
        <v>0</v>
      </c>
    </row>
    <row r="326" spans="7:7">
      <c r="G326" s="275">
        <f t="shared" si="5"/>
        <v>0</v>
      </c>
    </row>
    <row r="327" spans="7:7">
      <c r="G327" s="275">
        <f t="shared" si="5"/>
        <v>0</v>
      </c>
    </row>
    <row r="328" spans="7:7">
      <c r="G328" s="275">
        <f t="shared" si="5"/>
        <v>0</v>
      </c>
    </row>
    <row r="329" spans="7:7">
      <c r="G329" s="275">
        <f t="shared" si="5"/>
        <v>0</v>
      </c>
    </row>
    <row r="330" spans="7:7">
      <c r="G330" s="275">
        <f t="shared" si="5"/>
        <v>0</v>
      </c>
    </row>
    <row r="331" spans="7:7">
      <c r="G331" s="275">
        <f t="shared" si="5"/>
        <v>0</v>
      </c>
    </row>
    <row r="332" spans="7:7">
      <c r="G332" s="275">
        <f t="shared" si="5"/>
        <v>0</v>
      </c>
    </row>
    <row r="333" spans="7:7">
      <c r="G333" s="275">
        <f t="shared" si="5"/>
        <v>0</v>
      </c>
    </row>
    <row r="334" spans="7:7">
      <c r="G334" s="275">
        <f t="shared" si="5"/>
        <v>0</v>
      </c>
    </row>
    <row r="335" spans="7:7">
      <c r="G335" s="275">
        <f t="shared" si="5"/>
        <v>0</v>
      </c>
    </row>
    <row r="336" spans="7:7">
      <c r="G336" s="275">
        <f t="shared" si="5"/>
        <v>0</v>
      </c>
    </row>
    <row r="337" spans="7:7">
      <c r="G337" s="275">
        <f t="shared" si="5"/>
        <v>0</v>
      </c>
    </row>
    <row r="338" spans="7:7">
      <c r="G338" s="275">
        <f t="shared" si="5"/>
        <v>0</v>
      </c>
    </row>
    <row r="339" spans="7:7">
      <c r="G339" s="275">
        <f t="shared" si="5"/>
        <v>0</v>
      </c>
    </row>
    <row r="340" spans="7:7">
      <c r="G340" s="275">
        <f t="shared" si="5"/>
        <v>0</v>
      </c>
    </row>
    <row r="341" spans="7:7">
      <c r="G341" s="275">
        <f t="shared" ref="G341:G404" si="6">SUM(D341:F341)</f>
        <v>0</v>
      </c>
    </row>
    <row r="342" spans="7:7">
      <c r="G342" s="275">
        <f t="shared" si="6"/>
        <v>0</v>
      </c>
    </row>
    <row r="343" spans="7:7">
      <c r="G343" s="275">
        <f t="shared" si="6"/>
        <v>0</v>
      </c>
    </row>
    <row r="344" spans="7:7">
      <c r="G344" s="275">
        <f t="shared" si="6"/>
        <v>0</v>
      </c>
    </row>
    <row r="345" spans="7:7">
      <c r="G345" s="275">
        <f t="shared" si="6"/>
        <v>0</v>
      </c>
    </row>
    <row r="346" spans="7:7">
      <c r="G346" s="275">
        <f t="shared" si="6"/>
        <v>0</v>
      </c>
    </row>
    <row r="347" spans="7:7">
      <c r="G347" s="275">
        <f t="shared" si="6"/>
        <v>0</v>
      </c>
    </row>
    <row r="348" spans="7:7">
      <c r="G348" s="275">
        <f t="shared" si="6"/>
        <v>0</v>
      </c>
    </row>
    <row r="349" spans="7:7">
      <c r="G349" s="275">
        <f t="shared" si="6"/>
        <v>0</v>
      </c>
    </row>
    <row r="350" spans="7:7">
      <c r="G350" s="275">
        <f t="shared" si="6"/>
        <v>0</v>
      </c>
    </row>
    <row r="351" spans="7:7">
      <c r="G351" s="275">
        <f t="shared" si="6"/>
        <v>0</v>
      </c>
    </row>
    <row r="352" spans="7:7">
      <c r="G352" s="275">
        <f t="shared" si="6"/>
        <v>0</v>
      </c>
    </row>
    <row r="353" spans="7:7">
      <c r="G353" s="275">
        <f t="shared" si="6"/>
        <v>0</v>
      </c>
    </row>
    <row r="354" spans="7:7">
      <c r="G354" s="275">
        <f t="shared" si="6"/>
        <v>0</v>
      </c>
    </row>
    <row r="355" spans="7:7">
      <c r="G355" s="275">
        <f t="shared" si="6"/>
        <v>0</v>
      </c>
    </row>
    <row r="356" spans="7:7">
      <c r="G356" s="275">
        <f t="shared" si="6"/>
        <v>0</v>
      </c>
    </row>
    <row r="357" spans="7:7">
      <c r="G357" s="275">
        <f t="shared" si="6"/>
        <v>0</v>
      </c>
    </row>
    <row r="358" spans="7:7">
      <c r="G358" s="275">
        <f t="shared" si="6"/>
        <v>0</v>
      </c>
    </row>
    <row r="359" spans="7:7">
      <c r="G359" s="275">
        <f t="shared" si="6"/>
        <v>0</v>
      </c>
    </row>
    <row r="360" spans="7:7">
      <c r="G360" s="275">
        <f t="shared" si="6"/>
        <v>0</v>
      </c>
    </row>
    <row r="361" spans="7:7">
      <c r="G361" s="275">
        <f t="shared" si="6"/>
        <v>0</v>
      </c>
    </row>
    <row r="362" spans="7:7">
      <c r="G362" s="275">
        <f t="shared" si="6"/>
        <v>0</v>
      </c>
    </row>
    <row r="363" spans="7:7">
      <c r="G363" s="275">
        <f t="shared" si="6"/>
        <v>0</v>
      </c>
    </row>
    <row r="364" spans="7:7">
      <c r="G364" s="275">
        <f t="shared" si="6"/>
        <v>0</v>
      </c>
    </row>
    <row r="365" spans="7:7">
      <c r="G365" s="275">
        <f t="shared" si="6"/>
        <v>0</v>
      </c>
    </row>
    <row r="366" spans="7:7">
      <c r="G366" s="275">
        <f t="shared" si="6"/>
        <v>0</v>
      </c>
    </row>
    <row r="367" spans="7:7">
      <c r="G367" s="275">
        <f t="shared" si="6"/>
        <v>0</v>
      </c>
    </row>
    <row r="368" spans="7:7">
      <c r="G368" s="275">
        <f t="shared" si="6"/>
        <v>0</v>
      </c>
    </row>
    <row r="369" spans="7:7">
      <c r="G369" s="275">
        <f t="shared" si="6"/>
        <v>0</v>
      </c>
    </row>
    <row r="370" spans="7:7">
      <c r="G370" s="275">
        <f t="shared" si="6"/>
        <v>0</v>
      </c>
    </row>
    <row r="371" spans="7:7">
      <c r="G371" s="275">
        <f t="shared" si="6"/>
        <v>0</v>
      </c>
    </row>
    <row r="372" spans="7:7">
      <c r="G372" s="275">
        <f t="shared" si="6"/>
        <v>0</v>
      </c>
    </row>
    <row r="373" spans="7:7">
      <c r="G373" s="275">
        <f t="shared" si="6"/>
        <v>0</v>
      </c>
    </row>
    <row r="374" spans="7:7">
      <c r="G374" s="275">
        <f t="shared" si="6"/>
        <v>0</v>
      </c>
    </row>
    <row r="375" spans="7:7">
      <c r="G375" s="275">
        <f t="shared" si="6"/>
        <v>0</v>
      </c>
    </row>
    <row r="376" spans="7:7">
      <c r="G376" s="275">
        <f t="shared" si="6"/>
        <v>0</v>
      </c>
    </row>
    <row r="377" spans="7:7">
      <c r="G377" s="275">
        <f t="shared" si="6"/>
        <v>0</v>
      </c>
    </row>
    <row r="378" spans="7:7">
      <c r="G378" s="275">
        <f t="shared" si="6"/>
        <v>0</v>
      </c>
    </row>
    <row r="379" spans="7:7">
      <c r="G379" s="275">
        <f t="shared" si="6"/>
        <v>0</v>
      </c>
    </row>
    <row r="380" spans="7:7">
      <c r="G380" s="275">
        <f t="shared" si="6"/>
        <v>0</v>
      </c>
    </row>
    <row r="381" spans="7:7">
      <c r="G381" s="275">
        <f t="shared" si="6"/>
        <v>0</v>
      </c>
    </row>
    <row r="382" spans="7:7">
      <c r="G382" s="275">
        <f t="shared" si="6"/>
        <v>0</v>
      </c>
    </row>
    <row r="383" spans="7:7">
      <c r="G383" s="275">
        <f t="shared" si="6"/>
        <v>0</v>
      </c>
    </row>
    <row r="384" spans="7:7">
      <c r="G384" s="275">
        <f t="shared" si="6"/>
        <v>0</v>
      </c>
    </row>
    <row r="385" spans="7:7">
      <c r="G385" s="275">
        <f t="shared" si="6"/>
        <v>0</v>
      </c>
    </row>
    <row r="386" spans="7:7">
      <c r="G386" s="275">
        <f t="shared" si="6"/>
        <v>0</v>
      </c>
    </row>
    <row r="387" spans="7:7">
      <c r="G387" s="275">
        <f t="shared" si="6"/>
        <v>0</v>
      </c>
    </row>
    <row r="388" spans="7:7">
      <c r="G388" s="275">
        <f t="shared" si="6"/>
        <v>0</v>
      </c>
    </row>
    <row r="389" spans="7:7">
      <c r="G389" s="275">
        <f t="shared" si="6"/>
        <v>0</v>
      </c>
    </row>
    <row r="390" spans="7:7">
      <c r="G390" s="275">
        <f t="shared" si="6"/>
        <v>0</v>
      </c>
    </row>
    <row r="391" spans="7:7">
      <c r="G391" s="275">
        <f t="shared" si="6"/>
        <v>0</v>
      </c>
    </row>
    <row r="392" spans="7:7">
      <c r="G392" s="275">
        <f t="shared" si="6"/>
        <v>0</v>
      </c>
    </row>
    <row r="393" spans="7:7">
      <c r="G393" s="275">
        <f t="shared" si="6"/>
        <v>0</v>
      </c>
    </row>
    <row r="394" spans="7:7">
      <c r="G394" s="275">
        <f t="shared" si="6"/>
        <v>0</v>
      </c>
    </row>
    <row r="395" spans="7:7">
      <c r="G395" s="275">
        <f t="shared" si="6"/>
        <v>0</v>
      </c>
    </row>
    <row r="396" spans="7:7">
      <c r="G396" s="275">
        <f t="shared" si="6"/>
        <v>0</v>
      </c>
    </row>
    <row r="397" spans="7:7">
      <c r="G397" s="275">
        <f t="shared" si="6"/>
        <v>0</v>
      </c>
    </row>
    <row r="398" spans="7:7">
      <c r="G398" s="275">
        <f t="shared" si="6"/>
        <v>0</v>
      </c>
    </row>
    <row r="399" spans="7:7">
      <c r="G399" s="275">
        <f t="shared" si="6"/>
        <v>0</v>
      </c>
    </row>
    <row r="400" spans="7:7">
      <c r="G400" s="275">
        <f t="shared" si="6"/>
        <v>0</v>
      </c>
    </row>
    <row r="401" spans="7:7">
      <c r="G401" s="275">
        <f t="shared" si="6"/>
        <v>0</v>
      </c>
    </row>
    <row r="402" spans="7:7">
      <c r="G402" s="275">
        <f t="shared" si="6"/>
        <v>0</v>
      </c>
    </row>
    <row r="403" spans="7:7">
      <c r="G403" s="275">
        <f t="shared" si="6"/>
        <v>0</v>
      </c>
    </row>
    <row r="404" spans="7:7">
      <c r="G404" s="275">
        <f t="shared" si="6"/>
        <v>0</v>
      </c>
    </row>
    <row r="405" spans="7:7">
      <c r="G405" s="275">
        <f t="shared" ref="G405:G468" si="7">SUM(D405:F405)</f>
        <v>0</v>
      </c>
    </row>
    <row r="406" spans="7:7">
      <c r="G406" s="275">
        <f t="shared" si="7"/>
        <v>0</v>
      </c>
    </row>
    <row r="407" spans="7:7">
      <c r="G407" s="275">
        <f t="shared" si="7"/>
        <v>0</v>
      </c>
    </row>
    <row r="408" spans="7:7">
      <c r="G408" s="275">
        <f t="shared" si="7"/>
        <v>0</v>
      </c>
    </row>
    <row r="409" spans="7:7">
      <c r="G409" s="275">
        <f t="shared" si="7"/>
        <v>0</v>
      </c>
    </row>
    <row r="410" spans="7:7">
      <c r="G410" s="275">
        <f t="shared" si="7"/>
        <v>0</v>
      </c>
    </row>
    <row r="411" spans="7:7">
      <c r="G411" s="275">
        <f t="shared" si="7"/>
        <v>0</v>
      </c>
    </row>
    <row r="412" spans="7:7">
      <c r="G412" s="275">
        <f t="shared" si="7"/>
        <v>0</v>
      </c>
    </row>
    <row r="413" spans="7:7">
      <c r="G413" s="275">
        <f t="shared" si="7"/>
        <v>0</v>
      </c>
    </row>
    <row r="414" spans="7:7">
      <c r="G414" s="275">
        <f t="shared" si="7"/>
        <v>0</v>
      </c>
    </row>
    <row r="415" spans="7:7">
      <c r="G415" s="275">
        <f t="shared" si="7"/>
        <v>0</v>
      </c>
    </row>
    <row r="416" spans="7:7">
      <c r="G416" s="275">
        <f t="shared" si="7"/>
        <v>0</v>
      </c>
    </row>
    <row r="417" spans="7:7">
      <c r="G417" s="275">
        <f t="shared" si="7"/>
        <v>0</v>
      </c>
    </row>
    <row r="418" spans="7:7">
      <c r="G418" s="275">
        <f t="shared" si="7"/>
        <v>0</v>
      </c>
    </row>
    <row r="419" spans="7:7">
      <c r="G419" s="275">
        <f t="shared" si="7"/>
        <v>0</v>
      </c>
    </row>
    <row r="420" spans="7:7">
      <c r="G420" s="275">
        <f t="shared" si="7"/>
        <v>0</v>
      </c>
    </row>
    <row r="421" spans="7:7">
      <c r="G421" s="275">
        <f t="shared" si="7"/>
        <v>0</v>
      </c>
    </row>
    <row r="422" spans="7:7">
      <c r="G422" s="275">
        <f t="shared" si="7"/>
        <v>0</v>
      </c>
    </row>
    <row r="423" spans="7:7">
      <c r="G423" s="275">
        <f t="shared" si="7"/>
        <v>0</v>
      </c>
    </row>
    <row r="424" spans="7:7">
      <c r="G424" s="275">
        <f t="shared" si="7"/>
        <v>0</v>
      </c>
    </row>
    <row r="425" spans="7:7">
      <c r="G425" s="275">
        <f t="shared" si="7"/>
        <v>0</v>
      </c>
    </row>
    <row r="426" spans="7:7">
      <c r="G426" s="275">
        <f t="shared" si="7"/>
        <v>0</v>
      </c>
    </row>
    <row r="427" spans="7:7">
      <c r="G427" s="275">
        <f t="shared" si="7"/>
        <v>0</v>
      </c>
    </row>
    <row r="428" spans="7:7">
      <c r="G428" s="275">
        <f t="shared" si="7"/>
        <v>0</v>
      </c>
    </row>
    <row r="429" spans="7:7">
      <c r="G429" s="275">
        <f t="shared" si="7"/>
        <v>0</v>
      </c>
    </row>
    <row r="430" spans="7:7">
      <c r="G430" s="275">
        <f t="shared" si="7"/>
        <v>0</v>
      </c>
    </row>
    <row r="431" spans="7:7">
      <c r="G431" s="275">
        <f t="shared" si="7"/>
        <v>0</v>
      </c>
    </row>
    <row r="432" spans="7:7">
      <c r="G432" s="275">
        <f t="shared" si="7"/>
        <v>0</v>
      </c>
    </row>
    <row r="433" spans="7:7">
      <c r="G433" s="275">
        <f t="shared" si="7"/>
        <v>0</v>
      </c>
    </row>
    <row r="434" spans="7:7">
      <c r="G434" s="275">
        <f t="shared" si="7"/>
        <v>0</v>
      </c>
    </row>
    <row r="435" spans="7:7">
      <c r="G435" s="275">
        <f t="shared" si="7"/>
        <v>0</v>
      </c>
    </row>
    <row r="436" spans="7:7">
      <c r="G436" s="275">
        <f t="shared" si="7"/>
        <v>0</v>
      </c>
    </row>
    <row r="437" spans="7:7">
      <c r="G437" s="275">
        <f t="shared" si="7"/>
        <v>0</v>
      </c>
    </row>
    <row r="438" spans="7:7">
      <c r="G438" s="275">
        <f t="shared" si="7"/>
        <v>0</v>
      </c>
    </row>
    <row r="439" spans="7:7">
      <c r="G439" s="275">
        <f t="shared" si="7"/>
        <v>0</v>
      </c>
    </row>
    <row r="440" spans="7:7">
      <c r="G440" s="275">
        <f t="shared" si="7"/>
        <v>0</v>
      </c>
    </row>
    <row r="441" spans="7:7">
      <c r="G441" s="275">
        <f t="shared" si="7"/>
        <v>0</v>
      </c>
    </row>
    <row r="442" spans="7:7">
      <c r="G442" s="275">
        <f t="shared" si="7"/>
        <v>0</v>
      </c>
    </row>
    <row r="443" spans="7:7">
      <c r="G443" s="275">
        <f t="shared" si="7"/>
        <v>0</v>
      </c>
    </row>
    <row r="444" spans="7:7">
      <c r="G444" s="275">
        <f t="shared" si="7"/>
        <v>0</v>
      </c>
    </row>
    <row r="445" spans="7:7">
      <c r="G445" s="275">
        <f t="shared" si="7"/>
        <v>0</v>
      </c>
    </row>
    <row r="446" spans="7:7">
      <c r="G446" s="275">
        <f t="shared" si="7"/>
        <v>0</v>
      </c>
    </row>
    <row r="447" spans="7:7">
      <c r="G447" s="275">
        <f t="shared" si="7"/>
        <v>0</v>
      </c>
    </row>
    <row r="448" spans="7:7">
      <c r="G448" s="275">
        <f t="shared" si="7"/>
        <v>0</v>
      </c>
    </row>
    <row r="449" spans="7:7">
      <c r="G449" s="275">
        <f t="shared" si="7"/>
        <v>0</v>
      </c>
    </row>
    <row r="450" spans="7:7">
      <c r="G450" s="275">
        <f t="shared" si="7"/>
        <v>0</v>
      </c>
    </row>
    <row r="451" spans="7:7">
      <c r="G451" s="275">
        <f t="shared" si="7"/>
        <v>0</v>
      </c>
    </row>
    <row r="452" spans="7:7">
      <c r="G452" s="275">
        <f t="shared" si="7"/>
        <v>0</v>
      </c>
    </row>
    <row r="453" spans="7:7">
      <c r="G453" s="275">
        <f t="shared" si="7"/>
        <v>0</v>
      </c>
    </row>
    <row r="454" spans="7:7">
      <c r="G454" s="275">
        <f t="shared" si="7"/>
        <v>0</v>
      </c>
    </row>
    <row r="455" spans="7:7">
      <c r="G455" s="275">
        <f t="shared" si="7"/>
        <v>0</v>
      </c>
    </row>
    <row r="456" spans="7:7">
      <c r="G456" s="275">
        <f t="shared" si="7"/>
        <v>0</v>
      </c>
    </row>
    <row r="457" spans="7:7">
      <c r="G457" s="275">
        <f t="shared" si="7"/>
        <v>0</v>
      </c>
    </row>
    <row r="458" spans="7:7">
      <c r="G458" s="275">
        <f t="shared" si="7"/>
        <v>0</v>
      </c>
    </row>
    <row r="459" spans="7:7">
      <c r="G459" s="275">
        <f t="shared" si="7"/>
        <v>0</v>
      </c>
    </row>
    <row r="460" spans="7:7">
      <c r="G460" s="275">
        <f t="shared" si="7"/>
        <v>0</v>
      </c>
    </row>
    <row r="461" spans="7:7">
      <c r="G461" s="275">
        <f t="shared" si="7"/>
        <v>0</v>
      </c>
    </row>
    <row r="462" spans="7:7">
      <c r="G462" s="275">
        <f t="shared" si="7"/>
        <v>0</v>
      </c>
    </row>
    <row r="463" spans="7:7">
      <c r="G463" s="275">
        <f t="shared" si="7"/>
        <v>0</v>
      </c>
    </row>
    <row r="464" spans="7:7">
      <c r="G464" s="275">
        <f t="shared" si="7"/>
        <v>0</v>
      </c>
    </row>
    <row r="465" spans="7:7">
      <c r="G465" s="275">
        <f t="shared" si="7"/>
        <v>0</v>
      </c>
    </row>
    <row r="466" spans="7:7">
      <c r="G466" s="275">
        <f t="shared" si="7"/>
        <v>0</v>
      </c>
    </row>
    <row r="467" spans="7:7">
      <c r="G467" s="275">
        <f t="shared" si="7"/>
        <v>0</v>
      </c>
    </row>
    <row r="468" spans="7:7">
      <c r="G468" s="275">
        <f t="shared" si="7"/>
        <v>0</v>
      </c>
    </row>
    <row r="469" spans="7:7">
      <c r="G469" s="275">
        <f t="shared" ref="G469:G532" si="8">SUM(D469:F469)</f>
        <v>0</v>
      </c>
    </row>
    <row r="470" spans="7:7">
      <c r="G470" s="275">
        <f t="shared" si="8"/>
        <v>0</v>
      </c>
    </row>
    <row r="471" spans="7:7">
      <c r="G471" s="275">
        <f t="shared" si="8"/>
        <v>0</v>
      </c>
    </row>
    <row r="472" spans="7:7">
      <c r="G472" s="275">
        <f t="shared" si="8"/>
        <v>0</v>
      </c>
    </row>
    <row r="473" spans="7:7">
      <c r="G473" s="275">
        <f t="shared" si="8"/>
        <v>0</v>
      </c>
    </row>
    <row r="474" spans="7:7">
      <c r="G474" s="275">
        <f t="shared" si="8"/>
        <v>0</v>
      </c>
    </row>
    <row r="475" spans="7:7">
      <c r="G475" s="275">
        <f t="shared" si="8"/>
        <v>0</v>
      </c>
    </row>
    <row r="476" spans="7:7">
      <c r="G476" s="275">
        <f t="shared" si="8"/>
        <v>0</v>
      </c>
    </row>
    <row r="477" spans="7:7">
      <c r="G477" s="275">
        <f t="shared" si="8"/>
        <v>0</v>
      </c>
    </row>
    <row r="478" spans="7:7">
      <c r="G478" s="275">
        <f t="shared" si="8"/>
        <v>0</v>
      </c>
    </row>
    <row r="479" spans="7:7">
      <c r="G479" s="275">
        <f t="shared" si="8"/>
        <v>0</v>
      </c>
    </row>
    <row r="480" spans="7:7">
      <c r="G480" s="275">
        <f t="shared" si="8"/>
        <v>0</v>
      </c>
    </row>
    <row r="481" spans="7:7">
      <c r="G481" s="275">
        <f t="shared" si="8"/>
        <v>0</v>
      </c>
    </row>
    <row r="482" spans="7:7">
      <c r="G482" s="275">
        <f t="shared" si="8"/>
        <v>0</v>
      </c>
    </row>
    <row r="483" spans="7:7">
      <c r="G483" s="275">
        <f t="shared" si="8"/>
        <v>0</v>
      </c>
    </row>
    <row r="484" spans="7:7">
      <c r="G484" s="275">
        <f t="shared" si="8"/>
        <v>0</v>
      </c>
    </row>
    <row r="485" spans="7:7">
      <c r="G485" s="275">
        <f t="shared" si="8"/>
        <v>0</v>
      </c>
    </row>
    <row r="486" spans="7:7">
      <c r="G486" s="275">
        <f t="shared" si="8"/>
        <v>0</v>
      </c>
    </row>
    <row r="487" spans="7:7">
      <c r="G487" s="275">
        <f t="shared" si="8"/>
        <v>0</v>
      </c>
    </row>
    <row r="488" spans="7:7">
      <c r="G488" s="275">
        <f t="shared" si="8"/>
        <v>0</v>
      </c>
    </row>
    <row r="489" spans="7:7">
      <c r="G489" s="275">
        <f t="shared" si="8"/>
        <v>0</v>
      </c>
    </row>
    <row r="490" spans="7:7">
      <c r="G490" s="275">
        <f t="shared" si="8"/>
        <v>0</v>
      </c>
    </row>
    <row r="491" spans="7:7">
      <c r="G491" s="275">
        <f t="shared" si="8"/>
        <v>0</v>
      </c>
    </row>
    <row r="492" spans="7:7">
      <c r="G492" s="275">
        <f t="shared" si="8"/>
        <v>0</v>
      </c>
    </row>
    <row r="493" spans="7:7">
      <c r="G493" s="275">
        <f t="shared" si="8"/>
        <v>0</v>
      </c>
    </row>
    <row r="494" spans="7:7">
      <c r="G494" s="275">
        <f t="shared" si="8"/>
        <v>0</v>
      </c>
    </row>
    <row r="495" spans="7:7">
      <c r="G495" s="275">
        <f t="shared" si="8"/>
        <v>0</v>
      </c>
    </row>
    <row r="496" spans="7:7">
      <c r="G496" s="275">
        <f t="shared" si="8"/>
        <v>0</v>
      </c>
    </row>
    <row r="497" spans="7:7">
      <c r="G497" s="275">
        <f t="shared" si="8"/>
        <v>0</v>
      </c>
    </row>
    <row r="498" spans="7:7">
      <c r="G498" s="275">
        <f t="shared" si="8"/>
        <v>0</v>
      </c>
    </row>
    <row r="499" spans="7:7">
      <c r="G499" s="275">
        <f t="shared" si="8"/>
        <v>0</v>
      </c>
    </row>
    <row r="500" spans="7:7">
      <c r="G500" s="275">
        <f t="shared" si="8"/>
        <v>0</v>
      </c>
    </row>
    <row r="501" spans="7:7">
      <c r="G501" s="275">
        <f t="shared" si="8"/>
        <v>0</v>
      </c>
    </row>
    <row r="502" spans="7:7">
      <c r="G502" s="275">
        <f t="shared" si="8"/>
        <v>0</v>
      </c>
    </row>
    <row r="503" spans="7:7">
      <c r="G503" s="275">
        <f t="shared" si="8"/>
        <v>0</v>
      </c>
    </row>
    <row r="504" spans="7:7">
      <c r="G504" s="275">
        <f t="shared" si="8"/>
        <v>0</v>
      </c>
    </row>
    <row r="505" spans="7:7">
      <c r="G505" s="275">
        <f t="shared" si="8"/>
        <v>0</v>
      </c>
    </row>
    <row r="506" spans="7:7">
      <c r="G506" s="275">
        <f t="shared" si="8"/>
        <v>0</v>
      </c>
    </row>
    <row r="507" spans="7:7">
      <c r="G507" s="275">
        <f t="shared" si="8"/>
        <v>0</v>
      </c>
    </row>
    <row r="508" spans="7:7">
      <c r="G508" s="275">
        <f t="shared" si="8"/>
        <v>0</v>
      </c>
    </row>
    <row r="509" spans="7:7">
      <c r="G509" s="275">
        <f t="shared" si="8"/>
        <v>0</v>
      </c>
    </row>
    <row r="510" spans="7:7">
      <c r="G510" s="275">
        <f t="shared" si="8"/>
        <v>0</v>
      </c>
    </row>
    <row r="511" spans="7:7">
      <c r="G511" s="275">
        <f t="shared" si="8"/>
        <v>0</v>
      </c>
    </row>
    <row r="512" spans="7:7">
      <c r="G512" s="275">
        <f t="shared" si="8"/>
        <v>0</v>
      </c>
    </row>
    <row r="513" spans="7:7">
      <c r="G513" s="275">
        <f t="shared" si="8"/>
        <v>0</v>
      </c>
    </row>
    <row r="514" spans="7:7">
      <c r="G514" s="275">
        <f t="shared" si="8"/>
        <v>0</v>
      </c>
    </row>
    <row r="515" spans="7:7">
      <c r="G515" s="275">
        <f t="shared" si="8"/>
        <v>0</v>
      </c>
    </row>
    <row r="516" spans="7:7">
      <c r="G516" s="275">
        <f t="shared" si="8"/>
        <v>0</v>
      </c>
    </row>
    <row r="517" spans="7:7">
      <c r="G517" s="275">
        <f t="shared" si="8"/>
        <v>0</v>
      </c>
    </row>
    <row r="518" spans="7:7">
      <c r="G518" s="275">
        <f t="shared" si="8"/>
        <v>0</v>
      </c>
    </row>
    <row r="519" spans="7:7">
      <c r="G519" s="275">
        <f t="shared" si="8"/>
        <v>0</v>
      </c>
    </row>
    <row r="520" spans="7:7">
      <c r="G520" s="275">
        <f t="shared" si="8"/>
        <v>0</v>
      </c>
    </row>
    <row r="521" spans="7:7">
      <c r="G521" s="275">
        <f t="shared" si="8"/>
        <v>0</v>
      </c>
    </row>
    <row r="522" spans="7:7">
      <c r="G522" s="275">
        <f t="shared" si="8"/>
        <v>0</v>
      </c>
    </row>
    <row r="523" spans="7:7">
      <c r="G523" s="275">
        <f t="shared" si="8"/>
        <v>0</v>
      </c>
    </row>
    <row r="524" spans="7:7">
      <c r="G524" s="275">
        <f t="shared" si="8"/>
        <v>0</v>
      </c>
    </row>
    <row r="525" spans="7:7">
      <c r="G525" s="275">
        <f t="shared" si="8"/>
        <v>0</v>
      </c>
    </row>
    <row r="526" spans="7:7">
      <c r="G526" s="275">
        <f t="shared" si="8"/>
        <v>0</v>
      </c>
    </row>
    <row r="527" spans="7:7">
      <c r="G527" s="275">
        <f t="shared" si="8"/>
        <v>0</v>
      </c>
    </row>
    <row r="528" spans="7:7">
      <c r="G528" s="275">
        <f t="shared" si="8"/>
        <v>0</v>
      </c>
    </row>
    <row r="529" spans="7:7">
      <c r="G529" s="275">
        <f t="shared" si="8"/>
        <v>0</v>
      </c>
    </row>
    <row r="530" spans="7:7">
      <c r="G530" s="275">
        <f t="shared" si="8"/>
        <v>0</v>
      </c>
    </row>
    <row r="531" spans="7:7">
      <c r="G531" s="275">
        <f t="shared" si="8"/>
        <v>0</v>
      </c>
    </row>
    <row r="532" spans="7:7">
      <c r="G532" s="275">
        <f t="shared" si="8"/>
        <v>0</v>
      </c>
    </row>
    <row r="533" spans="7:7">
      <c r="G533" s="275">
        <f t="shared" ref="G533:G595" si="9">SUM(D533:F533)</f>
        <v>0</v>
      </c>
    </row>
    <row r="534" spans="7:7">
      <c r="G534" s="275">
        <f t="shared" si="9"/>
        <v>0</v>
      </c>
    </row>
    <row r="535" spans="7:7">
      <c r="G535" s="275">
        <f t="shared" si="9"/>
        <v>0</v>
      </c>
    </row>
    <row r="536" spans="7:7">
      <c r="G536" s="275">
        <f t="shared" si="9"/>
        <v>0</v>
      </c>
    </row>
    <row r="537" spans="7:7">
      <c r="G537" s="275">
        <f t="shared" si="9"/>
        <v>0</v>
      </c>
    </row>
    <row r="538" spans="7:7">
      <c r="G538" s="275">
        <f t="shared" si="9"/>
        <v>0</v>
      </c>
    </row>
    <row r="539" spans="7:7">
      <c r="G539" s="275">
        <f t="shared" si="9"/>
        <v>0</v>
      </c>
    </row>
    <row r="540" spans="7:7">
      <c r="G540" s="275">
        <f t="shared" si="9"/>
        <v>0</v>
      </c>
    </row>
    <row r="541" spans="7:7">
      <c r="G541" s="275">
        <f t="shared" si="9"/>
        <v>0</v>
      </c>
    </row>
    <row r="542" spans="7:7">
      <c r="G542" s="275">
        <f t="shared" si="9"/>
        <v>0</v>
      </c>
    </row>
    <row r="543" spans="7:7">
      <c r="G543" s="275">
        <f t="shared" si="9"/>
        <v>0</v>
      </c>
    </row>
    <row r="544" spans="7:7">
      <c r="G544" s="275">
        <f t="shared" si="9"/>
        <v>0</v>
      </c>
    </row>
    <row r="545" spans="7:7">
      <c r="G545" s="275">
        <f t="shared" si="9"/>
        <v>0</v>
      </c>
    </row>
    <row r="546" spans="7:7">
      <c r="G546" s="275">
        <f t="shared" si="9"/>
        <v>0</v>
      </c>
    </row>
    <row r="547" spans="7:7">
      <c r="G547" s="275">
        <f t="shared" si="9"/>
        <v>0</v>
      </c>
    </row>
    <row r="548" spans="7:7">
      <c r="G548" s="275">
        <f t="shared" si="9"/>
        <v>0</v>
      </c>
    </row>
    <row r="549" spans="7:7">
      <c r="G549" s="275">
        <f t="shared" si="9"/>
        <v>0</v>
      </c>
    </row>
    <row r="550" spans="7:7">
      <c r="G550" s="275">
        <f t="shared" si="9"/>
        <v>0</v>
      </c>
    </row>
    <row r="551" spans="7:7">
      <c r="G551" s="275">
        <f t="shared" si="9"/>
        <v>0</v>
      </c>
    </row>
    <row r="552" spans="7:7">
      <c r="G552" s="275">
        <f t="shared" si="9"/>
        <v>0</v>
      </c>
    </row>
    <row r="553" spans="7:7">
      <c r="G553" s="275">
        <f t="shared" si="9"/>
        <v>0</v>
      </c>
    </row>
    <row r="554" spans="7:7">
      <c r="G554" s="275">
        <f t="shared" si="9"/>
        <v>0</v>
      </c>
    </row>
    <row r="555" spans="7:7">
      <c r="G555" s="275">
        <f t="shared" si="9"/>
        <v>0</v>
      </c>
    </row>
    <row r="556" spans="7:7">
      <c r="G556" s="275">
        <f t="shared" si="9"/>
        <v>0</v>
      </c>
    </row>
    <row r="557" spans="7:7">
      <c r="G557" s="275">
        <f t="shared" si="9"/>
        <v>0</v>
      </c>
    </row>
    <row r="558" spans="7:7">
      <c r="G558" s="275">
        <f t="shared" si="9"/>
        <v>0</v>
      </c>
    </row>
    <row r="559" spans="7:7">
      <c r="G559" s="275">
        <f t="shared" si="9"/>
        <v>0</v>
      </c>
    </row>
    <row r="560" spans="7:7">
      <c r="G560" s="275">
        <f t="shared" si="9"/>
        <v>0</v>
      </c>
    </row>
    <row r="561" spans="7:7">
      <c r="G561" s="275">
        <f t="shared" si="9"/>
        <v>0</v>
      </c>
    </row>
    <row r="562" spans="7:7">
      <c r="G562" s="275">
        <f t="shared" si="9"/>
        <v>0</v>
      </c>
    </row>
    <row r="563" spans="7:7">
      <c r="G563" s="275">
        <f t="shared" si="9"/>
        <v>0</v>
      </c>
    </row>
    <row r="564" spans="7:7">
      <c r="G564" s="275">
        <f t="shared" si="9"/>
        <v>0</v>
      </c>
    </row>
    <row r="565" spans="7:7">
      <c r="G565" s="275">
        <f t="shared" si="9"/>
        <v>0</v>
      </c>
    </row>
    <row r="566" spans="7:7">
      <c r="G566" s="275">
        <f t="shared" si="9"/>
        <v>0</v>
      </c>
    </row>
    <row r="567" spans="7:7">
      <c r="G567" s="275">
        <f t="shared" si="9"/>
        <v>0</v>
      </c>
    </row>
    <row r="568" spans="7:7">
      <c r="G568" s="275">
        <f t="shared" si="9"/>
        <v>0</v>
      </c>
    </row>
    <row r="569" spans="7:7">
      <c r="G569" s="275">
        <f t="shared" si="9"/>
        <v>0</v>
      </c>
    </row>
    <row r="570" spans="7:7">
      <c r="G570" s="275">
        <f t="shared" si="9"/>
        <v>0</v>
      </c>
    </row>
    <row r="571" spans="7:7">
      <c r="G571" s="275">
        <f t="shared" si="9"/>
        <v>0</v>
      </c>
    </row>
    <row r="572" spans="7:7">
      <c r="G572" s="275">
        <f t="shared" si="9"/>
        <v>0</v>
      </c>
    </row>
    <row r="573" spans="7:7">
      <c r="G573" s="275">
        <f t="shared" si="9"/>
        <v>0</v>
      </c>
    </row>
    <row r="574" spans="7:7">
      <c r="G574" s="275">
        <f t="shared" si="9"/>
        <v>0</v>
      </c>
    </row>
    <row r="575" spans="7:7">
      <c r="G575" s="275">
        <f t="shared" si="9"/>
        <v>0</v>
      </c>
    </row>
    <row r="576" spans="7:7">
      <c r="G576" s="275">
        <f t="shared" si="9"/>
        <v>0</v>
      </c>
    </row>
    <row r="577" spans="7:7">
      <c r="G577" s="275">
        <f t="shared" si="9"/>
        <v>0</v>
      </c>
    </row>
    <row r="578" spans="7:7">
      <c r="G578" s="275">
        <f t="shared" si="9"/>
        <v>0</v>
      </c>
    </row>
    <row r="579" spans="7:7">
      <c r="G579" s="275">
        <f t="shared" si="9"/>
        <v>0</v>
      </c>
    </row>
    <row r="580" spans="7:7">
      <c r="G580" s="275">
        <f t="shared" si="9"/>
        <v>0</v>
      </c>
    </row>
    <row r="581" spans="7:7">
      <c r="G581" s="275">
        <f t="shared" si="9"/>
        <v>0</v>
      </c>
    </row>
    <row r="582" spans="7:7">
      <c r="G582" s="275">
        <f t="shared" si="9"/>
        <v>0</v>
      </c>
    </row>
    <row r="583" spans="7:7">
      <c r="G583" s="275">
        <f t="shared" si="9"/>
        <v>0</v>
      </c>
    </row>
    <row r="584" spans="7:7">
      <c r="G584" s="275">
        <f t="shared" si="9"/>
        <v>0</v>
      </c>
    </row>
    <row r="585" spans="7:7">
      <c r="G585" s="275">
        <f t="shared" si="9"/>
        <v>0</v>
      </c>
    </row>
    <row r="586" spans="7:7">
      <c r="G586" s="275">
        <f t="shared" si="9"/>
        <v>0</v>
      </c>
    </row>
    <row r="587" spans="7:7">
      <c r="G587" s="275">
        <f t="shared" si="9"/>
        <v>0</v>
      </c>
    </row>
    <row r="588" spans="7:7">
      <c r="G588" s="275">
        <f t="shared" si="9"/>
        <v>0</v>
      </c>
    </row>
    <row r="589" spans="7:7">
      <c r="G589" s="275">
        <f t="shared" si="9"/>
        <v>0</v>
      </c>
    </row>
    <row r="590" spans="7:7">
      <c r="G590" s="275">
        <f t="shared" si="9"/>
        <v>0</v>
      </c>
    </row>
    <row r="591" spans="7:7">
      <c r="G591" s="275">
        <f t="shared" si="9"/>
        <v>0</v>
      </c>
    </row>
    <row r="592" spans="7:7">
      <c r="G592" s="275">
        <f t="shared" si="9"/>
        <v>0</v>
      </c>
    </row>
    <row r="593" spans="7:7">
      <c r="G593" s="275">
        <f t="shared" si="9"/>
        <v>0</v>
      </c>
    </row>
    <row r="594" spans="7:7">
      <c r="G594" s="275">
        <f t="shared" si="9"/>
        <v>0</v>
      </c>
    </row>
    <row r="595" spans="7:7">
      <c r="G595" s="275">
        <f t="shared" si="9"/>
        <v>0</v>
      </c>
    </row>
  </sheetData>
  <sortState ref="A2:F1048576">
    <sortCondition ref="C1"/>
  </sortState>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FindReplaceAll">
                <anchor moveWithCells="1" sizeWithCells="1">
                  <from>
                    <xdr:col>7</xdr:col>
                    <xdr:colOff>38100</xdr:colOff>
                    <xdr:row>6</xdr:row>
                    <xdr:rowOff>133350</xdr:rowOff>
                  </from>
                  <to>
                    <xdr:col>7</xdr:col>
                    <xdr:colOff>1028700</xdr:colOff>
                    <xdr:row>9</xdr:row>
                    <xdr:rowOff>142875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K51"/>
  <sheetViews>
    <sheetView topLeftCell="G17" workbookViewId="0">
      <selection activeCell="J34" sqref="J34"/>
    </sheetView>
  </sheetViews>
  <sheetFormatPr defaultRowHeight="12.75"/>
  <cols>
    <col min="1" max="1" width="0" style="150" hidden="1" customWidth="1"/>
    <col min="2" max="2" width="10.42578125" style="150" hidden="1" customWidth="1"/>
    <col min="3" max="3" width="11.140625" style="150" hidden="1" customWidth="1"/>
    <col min="4" max="4" width="14.28515625" style="150" hidden="1" customWidth="1"/>
    <col min="5" max="5" width="11" style="150" hidden="1" customWidth="1"/>
    <col min="6" max="6" width="12.140625" style="150" hidden="1" customWidth="1"/>
    <col min="7" max="7" width="12.5703125" style="150" customWidth="1"/>
    <col min="8" max="8" width="13.7109375" style="150" customWidth="1"/>
    <col min="9" max="10" width="10.7109375" style="150" customWidth="1"/>
    <col min="11" max="11" width="5.7109375" style="150" customWidth="1"/>
    <col min="12" max="12" width="2" style="150" customWidth="1"/>
    <col min="13" max="13" width="13.28515625" style="150" customWidth="1"/>
    <col min="14" max="14" width="2" style="150" customWidth="1"/>
    <col min="15" max="15" width="15.7109375" style="150" customWidth="1"/>
    <col min="16" max="16" width="15.28515625" style="150" customWidth="1"/>
    <col min="17" max="17" width="14.7109375" style="150" customWidth="1"/>
    <col min="18" max="18" width="10.85546875" style="150" customWidth="1"/>
    <col min="19" max="19" width="9.42578125" style="150" customWidth="1"/>
    <col min="20" max="20" width="10" style="150" customWidth="1"/>
    <col min="21" max="21" width="9.42578125" style="150" customWidth="1"/>
    <col min="22" max="22" width="12" style="150" customWidth="1"/>
    <col min="23" max="23" width="1" style="150" customWidth="1"/>
    <col min="24" max="24" width="13" style="150" customWidth="1"/>
    <col min="25" max="25" width="8.140625" style="150" customWidth="1"/>
    <col min="26" max="26" width="0.28515625" style="150" customWidth="1"/>
    <col min="27" max="27" width="12.140625" style="150" customWidth="1"/>
    <col min="28" max="28" width="8" style="150" customWidth="1"/>
    <col min="29" max="29" width="0.28515625" style="150" customWidth="1"/>
    <col min="30" max="30" width="11.140625" style="150" customWidth="1"/>
    <col min="31" max="263" width="9.140625" style="150"/>
    <col min="264" max="264" width="10.42578125" style="150" customWidth="1"/>
    <col min="265" max="265" width="11.140625" style="150" customWidth="1"/>
    <col min="266" max="266" width="14.28515625" style="150" customWidth="1"/>
    <col min="267" max="267" width="11" style="150" customWidth="1"/>
    <col min="268" max="268" width="11.42578125" style="150" customWidth="1"/>
    <col min="269" max="269" width="12.5703125" style="150" customWidth="1"/>
    <col min="270" max="270" width="12.42578125" style="150" customWidth="1"/>
    <col min="271" max="271" width="10.7109375" style="150" customWidth="1"/>
    <col min="272" max="272" width="9.5703125" style="150" customWidth="1"/>
    <col min="273" max="273" width="11.7109375" style="150" customWidth="1"/>
    <col min="274" max="274" width="11" style="150" customWidth="1"/>
    <col min="275" max="281" width="9.140625" style="150"/>
    <col min="282" max="282" width="15.140625" style="150" customWidth="1"/>
    <col min="283" max="283" width="11.140625" style="150" customWidth="1"/>
    <col min="284" max="519" width="9.140625" style="150"/>
    <col min="520" max="520" width="10.42578125" style="150" customWidth="1"/>
    <col min="521" max="521" width="11.140625" style="150" customWidth="1"/>
    <col min="522" max="522" width="14.28515625" style="150" customWidth="1"/>
    <col min="523" max="523" width="11" style="150" customWidth="1"/>
    <col min="524" max="524" width="11.42578125" style="150" customWidth="1"/>
    <col min="525" max="525" width="12.5703125" style="150" customWidth="1"/>
    <col min="526" max="526" width="12.42578125" style="150" customWidth="1"/>
    <col min="527" max="527" width="10.7109375" style="150" customWidth="1"/>
    <col min="528" max="528" width="9.5703125" style="150" customWidth="1"/>
    <col min="529" max="529" width="11.7109375" style="150" customWidth="1"/>
    <col min="530" max="530" width="11" style="150" customWidth="1"/>
    <col min="531" max="537" width="9.140625" style="150"/>
    <col min="538" max="538" width="15.140625" style="150" customWidth="1"/>
    <col min="539" max="539" width="11.140625" style="150" customWidth="1"/>
    <col min="540" max="775" width="9.140625" style="150"/>
    <col min="776" max="776" width="10.42578125" style="150" customWidth="1"/>
    <col min="777" max="777" width="11.140625" style="150" customWidth="1"/>
    <col min="778" max="778" width="14.28515625" style="150" customWidth="1"/>
    <col min="779" max="779" width="11" style="150" customWidth="1"/>
    <col min="780" max="780" width="11.42578125" style="150" customWidth="1"/>
    <col min="781" max="781" width="12.5703125" style="150" customWidth="1"/>
    <col min="782" max="782" width="12.42578125" style="150" customWidth="1"/>
    <col min="783" max="783" width="10.7109375" style="150" customWidth="1"/>
    <col min="784" max="784" width="9.5703125" style="150" customWidth="1"/>
    <col min="785" max="785" width="11.7109375" style="150" customWidth="1"/>
    <col min="786" max="786" width="11" style="150" customWidth="1"/>
    <col min="787" max="793" width="9.140625" style="150"/>
    <col min="794" max="794" width="15.140625" style="150" customWidth="1"/>
    <col min="795" max="795" width="11.140625" style="150" customWidth="1"/>
    <col min="796" max="1031" width="9.140625" style="150"/>
    <col min="1032" max="1032" width="10.42578125" style="150" customWidth="1"/>
    <col min="1033" max="1033" width="11.140625" style="150" customWidth="1"/>
    <col min="1034" max="1034" width="14.28515625" style="150" customWidth="1"/>
    <col min="1035" max="1035" width="11" style="150" customWidth="1"/>
    <col min="1036" max="1036" width="11.42578125" style="150" customWidth="1"/>
    <col min="1037" max="1037" width="12.5703125" style="150" customWidth="1"/>
    <col min="1038" max="1038" width="12.42578125" style="150" customWidth="1"/>
    <col min="1039" max="1039" width="10.7109375" style="150" customWidth="1"/>
    <col min="1040" max="1040" width="9.5703125" style="150" customWidth="1"/>
    <col min="1041" max="1041" width="11.7109375" style="150" customWidth="1"/>
    <col min="1042" max="1042" width="11" style="150" customWidth="1"/>
    <col min="1043" max="1049" width="9.140625" style="150"/>
    <col min="1050" max="1050" width="15.140625" style="150" customWidth="1"/>
    <col min="1051" max="1051" width="11.140625" style="150" customWidth="1"/>
    <col min="1052" max="1287" width="9.140625" style="150"/>
    <col min="1288" max="1288" width="10.42578125" style="150" customWidth="1"/>
    <col min="1289" max="1289" width="11.140625" style="150" customWidth="1"/>
    <col min="1290" max="1290" width="14.28515625" style="150" customWidth="1"/>
    <col min="1291" max="1291" width="11" style="150" customWidth="1"/>
    <col min="1292" max="1292" width="11.42578125" style="150" customWidth="1"/>
    <col min="1293" max="1293" width="12.5703125" style="150" customWidth="1"/>
    <col min="1294" max="1294" width="12.42578125" style="150" customWidth="1"/>
    <col min="1295" max="1295" width="10.7109375" style="150" customWidth="1"/>
    <col min="1296" max="1296" width="9.5703125" style="150" customWidth="1"/>
    <col min="1297" max="1297" width="11.7109375" style="150" customWidth="1"/>
    <col min="1298" max="1298" width="11" style="150" customWidth="1"/>
    <col min="1299" max="1305" width="9.140625" style="150"/>
    <col min="1306" max="1306" width="15.140625" style="150" customWidth="1"/>
    <col min="1307" max="1307" width="11.140625" style="150" customWidth="1"/>
    <col min="1308" max="1543" width="9.140625" style="150"/>
    <col min="1544" max="1544" width="10.42578125" style="150" customWidth="1"/>
    <col min="1545" max="1545" width="11.140625" style="150" customWidth="1"/>
    <col min="1546" max="1546" width="14.28515625" style="150" customWidth="1"/>
    <col min="1547" max="1547" width="11" style="150" customWidth="1"/>
    <col min="1548" max="1548" width="11.42578125" style="150" customWidth="1"/>
    <col min="1549" max="1549" width="12.5703125" style="150" customWidth="1"/>
    <col min="1550" max="1550" width="12.42578125" style="150" customWidth="1"/>
    <col min="1551" max="1551" width="10.7109375" style="150" customWidth="1"/>
    <col min="1552" max="1552" width="9.5703125" style="150" customWidth="1"/>
    <col min="1553" max="1553" width="11.7109375" style="150" customWidth="1"/>
    <col min="1554" max="1554" width="11" style="150" customWidth="1"/>
    <col min="1555" max="1561" width="9.140625" style="150"/>
    <col min="1562" max="1562" width="15.140625" style="150" customWidth="1"/>
    <col min="1563" max="1563" width="11.140625" style="150" customWidth="1"/>
    <col min="1564" max="1799" width="9.140625" style="150"/>
    <col min="1800" max="1800" width="10.42578125" style="150" customWidth="1"/>
    <col min="1801" max="1801" width="11.140625" style="150" customWidth="1"/>
    <col min="1802" max="1802" width="14.28515625" style="150" customWidth="1"/>
    <col min="1803" max="1803" width="11" style="150" customWidth="1"/>
    <col min="1804" max="1804" width="11.42578125" style="150" customWidth="1"/>
    <col min="1805" max="1805" width="12.5703125" style="150" customWidth="1"/>
    <col min="1806" max="1806" width="12.42578125" style="150" customWidth="1"/>
    <col min="1807" max="1807" width="10.7109375" style="150" customWidth="1"/>
    <col min="1808" max="1808" width="9.5703125" style="150" customWidth="1"/>
    <col min="1809" max="1809" width="11.7109375" style="150" customWidth="1"/>
    <col min="1810" max="1810" width="11" style="150" customWidth="1"/>
    <col min="1811" max="1817" width="9.140625" style="150"/>
    <col min="1818" max="1818" width="15.140625" style="150" customWidth="1"/>
    <col min="1819" max="1819" width="11.140625" style="150" customWidth="1"/>
    <col min="1820" max="2055" width="9.140625" style="150"/>
    <col min="2056" max="2056" width="10.42578125" style="150" customWidth="1"/>
    <col min="2057" max="2057" width="11.140625" style="150" customWidth="1"/>
    <col min="2058" max="2058" width="14.28515625" style="150" customWidth="1"/>
    <col min="2059" max="2059" width="11" style="150" customWidth="1"/>
    <col min="2060" max="2060" width="11.42578125" style="150" customWidth="1"/>
    <col min="2061" max="2061" width="12.5703125" style="150" customWidth="1"/>
    <col min="2062" max="2062" width="12.42578125" style="150" customWidth="1"/>
    <col min="2063" max="2063" width="10.7109375" style="150" customWidth="1"/>
    <col min="2064" max="2064" width="9.5703125" style="150" customWidth="1"/>
    <col min="2065" max="2065" width="11.7109375" style="150" customWidth="1"/>
    <col min="2066" max="2066" width="11" style="150" customWidth="1"/>
    <col min="2067" max="2073" width="9.140625" style="150"/>
    <col min="2074" max="2074" width="15.140625" style="150" customWidth="1"/>
    <col min="2075" max="2075" width="11.140625" style="150" customWidth="1"/>
    <col min="2076" max="2311" width="9.140625" style="150"/>
    <col min="2312" max="2312" width="10.42578125" style="150" customWidth="1"/>
    <col min="2313" max="2313" width="11.140625" style="150" customWidth="1"/>
    <col min="2314" max="2314" width="14.28515625" style="150" customWidth="1"/>
    <col min="2315" max="2315" width="11" style="150" customWidth="1"/>
    <col min="2316" max="2316" width="11.42578125" style="150" customWidth="1"/>
    <col min="2317" max="2317" width="12.5703125" style="150" customWidth="1"/>
    <col min="2318" max="2318" width="12.42578125" style="150" customWidth="1"/>
    <col min="2319" max="2319" width="10.7109375" style="150" customWidth="1"/>
    <col min="2320" max="2320" width="9.5703125" style="150" customWidth="1"/>
    <col min="2321" max="2321" width="11.7109375" style="150" customWidth="1"/>
    <col min="2322" max="2322" width="11" style="150" customWidth="1"/>
    <col min="2323" max="2329" width="9.140625" style="150"/>
    <col min="2330" max="2330" width="15.140625" style="150" customWidth="1"/>
    <col min="2331" max="2331" width="11.140625" style="150" customWidth="1"/>
    <col min="2332" max="2567" width="9.140625" style="150"/>
    <col min="2568" max="2568" width="10.42578125" style="150" customWidth="1"/>
    <col min="2569" max="2569" width="11.140625" style="150" customWidth="1"/>
    <col min="2570" max="2570" width="14.28515625" style="150" customWidth="1"/>
    <col min="2571" max="2571" width="11" style="150" customWidth="1"/>
    <col min="2572" max="2572" width="11.42578125" style="150" customWidth="1"/>
    <col min="2573" max="2573" width="12.5703125" style="150" customWidth="1"/>
    <col min="2574" max="2574" width="12.42578125" style="150" customWidth="1"/>
    <col min="2575" max="2575" width="10.7109375" style="150" customWidth="1"/>
    <col min="2576" max="2576" width="9.5703125" style="150" customWidth="1"/>
    <col min="2577" max="2577" width="11.7109375" style="150" customWidth="1"/>
    <col min="2578" max="2578" width="11" style="150" customWidth="1"/>
    <col min="2579" max="2585" width="9.140625" style="150"/>
    <col min="2586" max="2586" width="15.140625" style="150" customWidth="1"/>
    <col min="2587" max="2587" width="11.140625" style="150" customWidth="1"/>
    <col min="2588" max="2823" width="9.140625" style="150"/>
    <col min="2824" max="2824" width="10.42578125" style="150" customWidth="1"/>
    <col min="2825" max="2825" width="11.140625" style="150" customWidth="1"/>
    <col min="2826" max="2826" width="14.28515625" style="150" customWidth="1"/>
    <col min="2827" max="2827" width="11" style="150" customWidth="1"/>
    <col min="2828" max="2828" width="11.42578125" style="150" customWidth="1"/>
    <col min="2829" max="2829" width="12.5703125" style="150" customWidth="1"/>
    <col min="2830" max="2830" width="12.42578125" style="150" customWidth="1"/>
    <col min="2831" max="2831" width="10.7109375" style="150" customWidth="1"/>
    <col min="2832" max="2832" width="9.5703125" style="150" customWidth="1"/>
    <col min="2833" max="2833" width="11.7109375" style="150" customWidth="1"/>
    <col min="2834" max="2834" width="11" style="150" customWidth="1"/>
    <col min="2835" max="2841" width="9.140625" style="150"/>
    <col min="2842" max="2842" width="15.140625" style="150" customWidth="1"/>
    <col min="2843" max="2843" width="11.140625" style="150" customWidth="1"/>
    <col min="2844" max="3079" width="9.140625" style="150"/>
    <col min="3080" max="3080" width="10.42578125" style="150" customWidth="1"/>
    <col min="3081" max="3081" width="11.140625" style="150" customWidth="1"/>
    <col min="3082" max="3082" width="14.28515625" style="150" customWidth="1"/>
    <col min="3083" max="3083" width="11" style="150" customWidth="1"/>
    <col min="3084" max="3084" width="11.42578125" style="150" customWidth="1"/>
    <col min="3085" max="3085" width="12.5703125" style="150" customWidth="1"/>
    <col min="3086" max="3086" width="12.42578125" style="150" customWidth="1"/>
    <col min="3087" max="3087" width="10.7109375" style="150" customWidth="1"/>
    <col min="3088" max="3088" width="9.5703125" style="150" customWidth="1"/>
    <col min="3089" max="3089" width="11.7109375" style="150" customWidth="1"/>
    <col min="3090" max="3090" width="11" style="150" customWidth="1"/>
    <col min="3091" max="3097" width="9.140625" style="150"/>
    <col min="3098" max="3098" width="15.140625" style="150" customWidth="1"/>
    <col min="3099" max="3099" width="11.140625" style="150" customWidth="1"/>
    <col min="3100" max="3335" width="9.140625" style="150"/>
    <col min="3336" max="3336" width="10.42578125" style="150" customWidth="1"/>
    <col min="3337" max="3337" width="11.140625" style="150" customWidth="1"/>
    <col min="3338" max="3338" width="14.28515625" style="150" customWidth="1"/>
    <col min="3339" max="3339" width="11" style="150" customWidth="1"/>
    <col min="3340" max="3340" width="11.42578125" style="150" customWidth="1"/>
    <col min="3341" max="3341" width="12.5703125" style="150" customWidth="1"/>
    <col min="3342" max="3342" width="12.42578125" style="150" customWidth="1"/>
    <col min="3343" max="3343" width="10.7109375" style="150" customWidth="1"/>
    <col min="3344" max="3344" width="9.5703125" style="150" customWidth="1"/>
    <col min="3345" max="3345" width="11.7109375" style="150" customWidth="1"/>
    <col min="3346" max="3346" width="11" style="150" customWidth="1"/>
    <col min="3347" max="3353" width="9.140625" style="150"/>
    <col min="3354" max="3354" width="15.140625" style="150" customWidth="1"/>
    <col min="3355" max="3355" width="11.140625" style="150" customWidth="1"/>
    <col min="3356" max="3591" width="9.140625" style="150"/>
    <col min="3592" max="3592" width="10.42578125" style="150" customWidth="1"/>
    <col min="3593" max="3593" width="11.140625" style="150" customWidth="1"/>
    <col min="3594" max="3594" width="14.28515625" style="150" customWidth="1"/>
    <col min="3595" max="3595" width="11" style="150" customWidth="1"/>
    <col min="3596" max="3596" width="11.42578125" style="150" customWidth="1"/>
    <col min="3597" max="3597" width="12.5703125" style="150" customWidth="1"/>
    <col min="3598" max="3598" width="12.42578125" style="150" customWidth="1"/>
    <col min="3599" max="3599" width="10.7109375" style="150" customWidth="1"/>
    <col min="3600" max="3600" width="9.5703125" style="150" customWidth="1"/>
    <col min="3601" max="3601" width="11.7109375" style="150" customWidth="1"/>
    <col min="3602" max="3602" width="11" style="150" customWidth="1"/>
    <col min="3603" max="3609" width="9.140625" style="150"/>
    <col min="3610" max="3610" width="15.140625" style="150" customWidth="1"/>
    <col min="3611" max="3611" width="11.140625" style="150" customWidth="1"/>
    <col min="3612" max="3847" width="9.140625" style="150"/>
    <col min="3848" max="3848" width="10.42578125" style="150" customWidth="1"/>
    <col min="3849" max="3849" width="11.140625" style="150" customWidth="1"/>
    <col min="3850" max="3850" width="14.28515625" style="150" customWidth="1"/>
    <col min="3851" max="3851" width="11" style="150" customWidth="1"/>
    <col min="3852" max="3852" width="11.42578125" style="150" customWidth="1"/>
    <col min="3853" max="3853" width="12.5703125" style="150" customWidth="1"/>
    <col min="3854" max="3854" width="12.42578125" style="150" customWidth="1"/>
    <col min="3855" max="3855" width="10.7109375" style="150" customWidth="1"/>
    <col min="3856" max="3856" width="9.5703125" style="150" customWidth="1"/>
    <col min="3857" max="3857" width="11.7109375" style="150" customWidth="1"/>
    <col min="3858" max="3858" width="11" style="150" customWidth="1"/>
    <col min="3859" max="3865" width="9.140625" style="150"/>
    <col min="3866" max="3866" width="15.140625" style="150" customWidth="1"/>
    <col min="3867" max="3867" width="11.140625" style="150" customWidth="1"/>
    <col min="3868" max="4103" width="9.140625" style="150"/>
    <col min="4104" max="4104" width="10.42578125" style="150" customWidth="1"/>
    <col min="4105" max="4105" width="11.140625" style="150" customWidth="1"/>
    <col min="4106" max="4106" width="14.28515625" style="150" customWidth="1"/>
    <col min="4107" max="4107" width="11" style="150" customWidth="1"/>
    <col min="4108" max="4108" width="11.42578125" style="150" customWidth="1"/>
    <col min="4109" max="4109" width="12.5703125" style="150" customWidth="1"/>
    <col min="4110" max="4110" width="12.42578125" style="150" customWidth="1"/>
    <col min="4111" max="4111" width="10.7109375" style="150" customWidth="1"/>
    <col min="4112" max="4112" width="9.5703125" style="150" customWidth="1"/>
    <col min="4113" max="4113" width="11.7109375" style="150" customWidth="1"/>
    <col min="4114" max="4114" width="11" style="150" customWidth="1"/>
    <col min="4115" max="4121" width="9.140625" style="150"/>
    <col min="4122" max="4122" width="15.140625" style="150" customWidth="1"/>
    <col min="4123" max="4123" width="11.140625" style="150" customWidth="1"/>
    <col min="4124" max="4359" width="9.140625" style="150"/>
    <col min="4360" max="4360" width="10.42578125" style="150" customWidth="1"/>
    <col min="4361" max="4361" width="11.140625" style="150" customWidth="1"/>
    <col min="4362" max="4362" width="14.28515625" style="150" customWidth="1"/>
    <col min="4363" max="4363" width="11" style="150" customWidth="1"/>
    <col min="4364" max="4364" width="11.42578125" style="150" customWidth="1"/>
    <col min="4365" max="4365" width="12.5703125" style="150" customWidth="1"/>
    <col min="4366" max="4366" width="12.42578125" style="150" customWidth="1"/>
    <col min="4367" max="4367" width="10.7109375" style="150" customWidth="1"/>
    <col min="4368" max="4368" width="9.5703125" style="150" customWidth="1"/>
    <col min="4369" max="4369" width="11.7109375" style="150" customWidth="1"/>
    <col min="4370" max="4370" width="11" style="150" customWidth="1"/>
    <col min="4371" max="4377" width="9.140625" style="150"/>
    <col min="4378" max="4378" width="15.140625" style="150" customWidth="1"/>
    <col min="4379" max="4379" width="11.140625" style="150" customWidth="1"/>
    <col min="4380" max="4615" width="9.140625" style="150"/>
    <col min="4616" max="4616" width="10.42578125" style="150" customWidth="1"/>
    <col min="4617" max="4617" width="11.140625" style="150" customWidth="1"/>
    <col min="4618" max="4618" width="14.28515625" style="150" customWidth="1"/>
    <col min="4619" max="4619" width="11" style="150" customWidth="1"/>
    <col min="4620" max="4620" width="11.42578125" style="150" customWidth="1"/>
    <col min="4621" max="4621" width="12.5703125" style="150" customWidth="1"/>
    <col min="4622" max="4622" width="12.42578125" style="150" customWidth="1"/>
    <col min="4623" max="4623" width="10.7109375" style="150" customWidth="1"/>
    <col min="4624" max="4624" width="9.5703125" style="150" customWidth="1"/>
    <col min="4625" max="4625" width="11.7109375" style="150" customWidth="1"/>
    <col min="4626" max="4626" width="11" style="150" customWidth="1"/>
    <col min="4627" max="4633" width="9.140625" style="150"/>
    <col min="4634" max="4634" width="15.140625" style="150" customWidth="1"/>
    <col min="4635" max="4635" width="11.140625" style="150" customWidth="1"/>
    <col min="4636" max="4871" width="9.140625" style="150"/>
    <col min="4872" max="4872" width="10.42578125" style="150" customWidth="1"/>
    <col min="4873" max="4873" width="11.140625" style="150" customWidth="1"/>
    <col min="4874" max="4874" width="14.28515625" style="150" customWidth="1"/>
    <col min="4875" max="4875" width="11" style="150" customWidth="1"/>
    <col min="4876" max="4876" width="11.42578125" style="150" customWidth="1"/>
    <col min="4877" max="4877" width="12.5703125" style="150" customWidth="1"/>
    <col min="4878" max="4878" width="12.42578125" style="150" customWidth="1"/>
    <col min="4879" max="4879" width="10.7109375" style="150" customWidth="1"/>
    <col min="4880" max="4880" width="9.5703125" style="150" customWidth="1"/>
    <col min="4881" max="4881" width="11.7109375" style="150" customWidth="1"/>
    <col min="4882" max="4882" width="11" style="150" customWidth="1"/>
    <col min="4883" max="4889" width="9.140625" style="150"/>
    <col min="4890" max="4890" width="15.140625" style="150" customWidth="1"/>
    <col min="4891" max="4891" width="11.140625" style="150" customWidth="1"/>
    <col min="4892" max="5127" width="9.140625" style="150"/>
    <col min="5128" max="5128" width="10.42578125" style="150" customWidth="1"/>
    <col min="5129" max="5129" width="11.140625" style="150" customWidth="1"/>
    <col min="5130" max="5130" width="14.28515625" style="150" customWidth="1"/>
    <col min="5131" max="5131" width="11" style="150" customWidth="1"/>
    <col min="5132" max="5132" width="11.42578125" style="150" customWidth="1"/>
    <col min="5133" max="5133" width="12.5703125" style="150" customWidth="1"/>
    <col min="5134" max="5134" width="12.42578125" style="150" customWidth="1"/>
    <col min="5135" max="5135" width="10.7109375" style="150" customWidth="1"/>
    <col min="5136" max="5136" width="9.5703125" style="150" customWidth="1"/>
    <col min="5137" max="5137" width="11.7109375" style="150" customWidth="1"/>
    <col min="5138" max="5138" width="11" style="150" customWidth="1"/>
    <col min="5139" max="5145" width="9.140625" style="150"/>
    <col min="5146" max="5146" width="15.140625" style="150" customWidth="1"/>
    <col min="5147" max="5147" width="11.140625" style="150" customWidth="1"/>
    <col min="5148" max="5383" width="9.140625" style="150"/>
    <col min="5384" max="5384" width="10.42578125" style="150" customWidth="1"/>
    <col min="5385" max="5385" width="11.140625" style="150" customWidth="1"/>
    <col min="5386" max="5386" width="14.28515625" style="150" customWidth="1"/>
    <col min="5387" max="5387" width="11" style="150" customWidth="1"/>
    <col min="5388" max="5388" width="11.42578125" style="150" customWidth="1"/>
    <col min="5389" max="5389" width="12.5703125" style="150" customWidth="1"/>
    <col min="5390" max="5390" width="12.42578125" style="150" customWidth="1"/>
    <col min="5391" max="5391" width="10.7109375" style="150" customWidth="1"/>
    <col min="5392" max="5392" width="9.5703125" style="150" customWidth="1"/>
    <col min="5393" max="5393" width="11.7109375" style="150" customWidth="1"/>
    <col min="5394" max="5394" width="11" style="150" customWidth="1"/>
    <col min="5395" max="5401" width="9.140625" style="150"/>
    <col min="5402" max="5402" width="15.140625" style="150" customWidth="1"/>
    <col min="5403" max="5403" width="11.140625" style="150" customWidth="1"/>
    <col min="5404" max="5639" width="9.140625" style="150"/>
    <col min="5640" max="5640" width="10.42578125" style="150" customWidth="1"/>
    <col min="5641" max="5641" width="11.140625" style="150" customWidth="1"/>
    <col min="5642" max="5642" width="14.28515625" style="150" customWidth="1"/>
    <col min="5643" max="5643" width="11" style="150" customWidth="1"/>
    <col min="5644" max="5644" width="11.42578125" style="150" customWidth="1"/>
    <col min="5645" max="5645" width="12.5703125" style="150" customWidth="1"/>
    <col min="5646" max="5646" width="12.42578125" style="150" customWidth="1"/>
    <col min="5647" max="5647" width="10.7109375" style="150" customWidth="1"/>
    <col min="5648" max="5648" width="9.5703125" style="150" customWidth="1"/>
    <col min="5649" max="5649" width="11.7109375" style="150" customWidth="1"/>
    <col min="5650" max="5650" width="11" style="150" customWidth="1"/>
    <col min="5651" max="5657" width="9.140625" style="150"/>
    <col min="5658" max="5658" width="15.140625" style="150" customWidth="1"/>
    <col min="5659" max="5659" width="11.140625" style="150" customWidth="1"/>
    <col min="5660" max="5895" width="9.140625" style="150"/>
    <col min="5896" max="5896" width="10.42578125" style="150" customWidth="1"/>
    <col min="5897" max="5897" width="11.140625" style="150" customWidth="1"/>
    <col min="5898" max="5898" width="14.28515625" style="150" customWidth="1"/>
    <col min="5899" max="5899" width="11" style="150" customWidth="1"/>
    <col min="5900" max="5900" width="11.42578125" style="150" customWidth="1"/>
    <col min="5901" max="5901" width="12.5703125" style="150" customWidth="1"/>
    <col min="5902" max="5902" width="12.42578125" style="150" customWidth="1"/>
    <col min="5903" max="5903" width="10.7109375" style="150" customWidth="1"/>
    <col min="5904" max="5904" width="9.5703125" style="150" customWidth="1"/>
    <col min="5905" max="5905" width="11.7109375" style="150" customWidth="1"/>
    <col min="5906" max="5906" width="11" style="150" customWidth="1"/>
    <col min="5907" max="5913" width="9.140625" style="150"/>
    <col min="5914" max="5914" width="15.140625" style="150" customWidth="1"/>
    <col min="5915" max="5915" width="11.140625" style="150" customWidth="1"/>
    <col min="5916" max="6151" width="9.140625" style="150"/>
    <col min="6152" max="6152" width="10.42578125" style="150" customWidth="1"/>
    <col min="6153" max="6153" width="11.140625" style="150" customWidth="1"/>
    <col min="6154" max="6154" width="14.28515625" style="150" customWidth="1"/>
    <col min="6155" max="6155" width="11" style="150" customWidth="1"/>
    <col min="6156" max="6156" width="11.42578125" style="150" customWidth="1"/>
    <col min="6157" max="6157" width="12.5703125" style="150" customWidth="1"/>
    <col min="6158" max="6158" width="12.42578125" style="150" customWidth="1"/>
    <col min="6159" max="6159" width="10.7109375" style="150" customWidth="1"/>
    <col min="6160" max="6160" width="9.5703125" style="150" customWidth="1"/>
    <col min="6161" max="6161" width="11.7109375" style="150" customWidth="1"/>
    <col min="6162" max="6162" width="11" style="150" customWidth="1"/>
    <col min="6163" max="6169" width="9.140625" style="150"/>
    <col min="6170" max="6170" width="15.140625" style="150" customWidth="1"/>
    <col min="6171" max="6171" width="11.140625" style="150" customWidth="1"/>
    <col min="6172" max="6407" width="9.140625" style="150"/>
    <col min="6408" max="6408" width="10.42578125" style="150" customWidth="1"/>
    <col min="6409" max="6409" width="11.140625" style="150" customWidth="1"/>
    <col min="6410" max="6410" width="14.28515625" style="150" customWidth="1"/>
    <col min="6411" max="6411" width="11" style="150" customWidth="1"/>
    <col min="6412" max="6412" width="11.42578125" style="150" customWidth="1"/>
    <col min="6413" max="6413" width="12.5703125" style="150" customWidth="1"/>
    <col min="6414" max="6414" width="12.42578125" style="150" customWidth="1"/>
    <col min="6415" max="6415" width="10.7109375" style="150" customWidth="1"/>
    <col min="6416" max="6416" width="9.5703125" style="150" customWidth="1"/>
    <col min="6417" max="6417" width="11.7109375" style="150" customWidth="1"/>
    <col min="6418" max="6418" width="11" style="150" customWidth="1"/>
    <col min="6419" max="6425" width="9.140625" style="150"/>
    <col min="6426" max="6426" width="15.140625" style="150" customWidth="1"/>
    <col min="6427" max="6427" width="11.140625" style="150" customWidth="1"/>
    <col min="6428" max="6663" width="9.140625" style="150"/>
    <col min="6664" max="6664" width="10.42578125" style="150" customWidth="1"/>
    <col min="6665" max="6665" width="11.140625" style="150" customWidth="1"/>
    <col min="6666" max="6666" width="14.28515625" style="150" customWidth="1"/>
    <col min="6667" max="6667" width="11" style="150" customWidth="1"/>
    <col min="6668" max="6668" width="11.42578125" style="150" customWidth="1"/>
    <col min="6669" max="6669" width="12.5703125" style="150" customWidth="1"/>
    <col min="6670" max="6670" width="12.42578125" style="150" customWidth="1"/>
    <col min="6671" max="6671" width="10.7109375" style="150" customWidth="1"/>
    <col min="6672" max="6672" width="9.5703125" style="150" customWidth="1"/>
    <col min="6673" max="6673" width="11.7109375" style="150" customWidth="1"/>
    <col min="6674" max="6674" width="11" style="150" customWidth="1"/>
    <col min="6675" max="6681" width="9.140625" style="150"/>
    <col min="6682" max="6682" width="15.140625" style="150" customWidth="1"/>
    <col min="6683" max="6683" width="11.140625" style="150" customWidth="1"/>
    <col min="6684" max="6919" width="9.140625" style="150"/>
    <col min="6920" max="6920" width="10.42578125" style="150" customWidth="1"/>
    <col min="6921" max="6921" width="11.140625" style="150" customWidth="1"/>
    <col min="6922" max="6922" width="14.28515625" style="150" customWidth="1"/>
    <col min="6923" max="6923" width="11" style="150" customWidth="1"/>
    <col min="6924" max="6924" width="11.42578125" style="150" customWidth="1"/>
    <col min="6925" max="6925" width="12.5703125" style="150" customWidth="1"/>
    <col min="6926" max="6926" width="12.42578125" style="150" customWidth="1"/>
    <col min="6927" max="6927" width="10.7109375" style="150" customWidth="1"/>
    <col min="6928" max="6928" width="9.5703125" style="150" customWidth="1"/>
    <col min="6929" max="6929" width="11.7109375" style="150" customWidth="1"/>
    <col min="6930" max="6930" width="11" style="150" customWidth="1"/>
    <col min="6931" max="6937" width="9.140625" style="150"/>
    <col min="6938" max="6938" width="15.140625" style="150" customWidth="1"/>
    <col min="6939" max="6939" width="11.140625" style="150" customWidth="1"/>
    <col min="6940" max="7175" width="9.140625" style="150"/>
    <col min="7176" max="7176" width="10.42578125" style="150" customWidth="1"/>
    <col min="7177" max="7177" width="11.140625" style="150" customWidth="1"/>
    <col min="7178" max="7178" width="14.28515625" style="150" customWidth="1"/>
    <col min="7179" max="7179" width="11" style="150" customWidth="1"/>
    <col min="7180" max="7180" width="11.42578125" style="150" customWidth="1"/>
    <col min="7181" max="7181" width="12.5703125" style="150" customWidth="1"/>
    <col min="7182" max="7182" width="12.42578125" style="150" customWidth="1"/>
    <col min="7183" max="7183" width="10.7109375" style="150" customWidth="1"/>
    <col min="7184" max="7184" width="9.5703125" style="150" customWidth="1"/>
    <col min="7185" max="7185" width="11.7109375" style="150" customWidth="1"/>
    <col min="7186" max="7186" width="11" style="150" customWidth="1"/>
    <col min="7187" max="7193" width="9.140625" style="150"/>
    <col min="7194" max="7194" width="15.140625" style="150" customWidth="1"/>
    <col min="7195" max="7195" width="11.140625" style="150" customWidth="1"/>
    <col min="7196" max="7431" width="9.140625" style="150"/>
    <col min="7432" max="7432" width="10.42578125" style="150" customWidth="1"/>
    <col min="7433" max="7433" width="11.140625" style="150" customWidth="1"/>
    <col min="7434" max="7434" width="14.28515625" style="150" customWidth="1"/>
    <col min="7435" max="7435" width="11" style="150" customWidth="1"/>
    <col min="7436" max="7436" width="11.42578125" style="150" customWidth="1"/>
    <col min="7437" max="7437" width="12.5703125" style="150" customWidth="1"/>
    <col min="7438" max="7438" width="12.42578125" style="150" customWidth="1"/>
    <col min="7439" max="7439" width="10.7109375" style="150" customWidth="1"/>
    <col min="7440" max="7440" width="9.5703125" style="150" customWidth="1"/>
    <col min="7441" max="7441" width="11.7109375" style="150" customWidth="1"/>
    <col min="7442" max="7442" width="11" style="150" customWidth="1"/>
    <col min="7443" max="7449" width="9.140625" style="150"/>
    <col min="7450" max="7450" width="15.140625" style="150" customWidth="1"/>
    <col min="7451" max="7451" width="11.140625" style="150" customWidth="1"/>
    <col min="7452" max="7687" width="9.140625" style="150"/>
    <col min="7688" max="7688" width="10.42578125" style="150" customWidth="1"/>
    <col min="7689" max="7689" width="11.140625" style="150" customWidth="1"/>
    <col min="7690" max="7690" width="14.28515625" style="150" customWidth="1"/>
    <col min="7691" max="7691" width="11" style="150" customWidth="1"/>
    <col min="7692" max="7692" width="11.42578125" style="150" customWidth="1"/>
    <col min="7693" max="7693" width="12.5703125" style="150" customWidth="1"/>
    <col min="7694" max="7694" width="12.42578125" style="150" customWidth="1"/>
    <col min="7695" max="7695" width="10.7109375" style="150" customWidth="1"/>
    <col min="7696" max="7696" width="9.5703125" style="150" customWidth="1"/>
    <col min="7697" max="7697" width="11.7109375" style="150" customWidth="1"/>
    <col min="7698" max="7698" width="11" style="150" customWidth="1"/>
    <col min="7699" max="7705" width="9.140625" style="150"/>
    <col min="7706" max="7706" width="15.140625" style="150" customWidth="1"/>
    <col min="7707" max="7707" width="11.140625" style="150" customWidth="1"/>
    <col min="7708" max="7943" width="9.140625" style="150"/>
    <col min="7944" max="7944" width="10.42578125" style="150" customWidth="1"/>
    <col min="7945" max="7945" width="11.140625" style="150" customWidth="1"/>
    <col min="7946" max="7946" width="14.28515625" style="150" customWidth="1"/>
    <col min="7947" max="7947" width="11" style="150" customWidth="1"/>
    <col min="7948" max="7948" width="11.42578125" style="150" customWidth="1"/>
    <col min="7949" max="7949" width="12.5703125" style="150" customWidth="1"/>
    <col min="7950" max="7950" width="12.42578125" style="150" customWidth="1"/>
    <col min="7951" max="7951" width="10.7109375" style="150" customWidth="1"/>
    <col min="7952" max="7952" width="9.5703125" style="150" customWidth="1"/>
    <col min="7953" max="7953" width="11.7109375" style="150" customWidth="1"/>
    <col min="7954" max="7954" width="11" style="150" customWidth="1"/>
    <col min="7955" max="7961" width="9.140625" style="150"/>
    <col min="7962" max="7962" width="15.140625" style="150" customWidth="1"/>
    <col min="7963" max="7963" width="11.140625" style="150" customWidth="1"/>
    <col min="7964" max="8199" width="9.140625" style="150"/>
    <col min="8200" max="8200" width="10.42578125" style="150" customWidth="1"/>
    <col min="8201" max="8201" width="11.140625" style="150" customWidth="1"/>
    <col min="8202" max="8202" width="14.28515625" style="150" customWidth="1"/>
    <col min="8203" max="8203" width="11" style="150" customWidth="1"/>
    <col min="8204" max="8204" width="11.42578125" style="150" customWidth="1"/>
    <col min="8205" max="8205" width="12.5703125" style="150" customWidth="1"/>
    <col min="8206" max="8206" width="12.42578125" style="150" customWidth="1"/>
    <col min="8207" max="8207" width="10.7109375" style="150" customWidth="1"/>
    <col min="8208" max="8208" width="9.5703125" style="150" customWidth="1"/>
    <col min="8209" max="8209" width="11.7109375" style="150" customWidth="1"/>
    <col min="8210" max="8210" width="11" style="150" customWidth="1"/>
    <col min="8211" max="8217" width="9.140625" style="150"/>
    <col min="8218" max="8218" width="15.140625" style="150" customWidth="1"/>
    <col min="8219" max="8219" width="11.140625" style="150" customWidth="1"/>
    <col min="8220" max="8455" width="9.140625" style="150"/>
    <col min="8456" max="8456" width="10.42578125" style="150" customWidth="1"/>
    <col min="8457" max="8457" width="11.140625" style="150" customWidth="1"/>
    <col min="8458" max="8458" width="14.28515625" style="150" customWidth="1"/>
    <col min="8459" max="8459" width="11" style="150" customWidth="1"/>
    <col min="8460" max="8460" width="11.42578125" style="150" customWidth="1"/>
    <col min="8461" max="8461" width="12.5703125" style="150" customWidth="1"/>
    <col min="8462" max="8462" width="12.42578125" style="150" customWidth="1"/>
    <col min="8463" max="8463" width="10.7109375" style="150" customWidth="1"/>
    <col min="8464" max="8464" width="9.5703125" style="150" customWidth="1"/>
    <col min="8465" max="8465" width="11.7109375" style="150" customWidth="1"/>
    <col min="8466" max="8466" width="11" style="150" customWidth="1"/>
    <col min="8467" max="8473" width="9.140625" style="150"/>
    <col min="8474" max="8474" width="15.140625" style="150" customWidth="1"/>
    <col min="8475" max="8475" width="11.140625" style="150" customWidth="1"/>
    <col min="8476" max="8711" width="9.140625" style="150"/>
    <col min="8712" max="8712" width="10.42578125" style="150" customWidth="1"/>
    <col min="8713" max="8713" width="11.140625" style="150" customWidth="1"/>
    <col min="8714" max="8714" width="14.28515625" style="150" customWidth="1"/>
    <col min="8715" max="8715" width="11" style="150" customWidth="1"/>
    <col min="8716" max="8716" width="11.42578125" style="150" customWidth="1"/>
    <col min="8717" max="8717" width="12.5703125" style="150" customWidth="1"/>
    <col min="8718" max="8718" width="12.42578125" style="150" customWidth="1"/>
    <col min="8719" max="8719" width="10.7109375" style="150" customWidth="1"/>
    <col min="8720" max="8720" width="9.5703125" style="150" customWidth="1"/>
    <col min="8721" max="8721" width="11.7109375" style="150" customWidth="1"/>
    <col min="8722" max="8722" width="11" style="150" customWidth="1"/>
    <col min="8723" max="8729" width="9.140625" style="150"/>
    <col min="8730" max="8730" width="15.140625" style="150" customWidth="1"/>
    <col min="8731" max="8731" width="11.140625" style="150" customWidth="1"/>
    <col min="8732" max="8967" width="9.140625" style="150"/>
    <col min="8968" max="8968" width="10.42578125" style="150" customWidth="1"/>
    <col min="8969" max="8969" width="11.140625" style="150" customWidth="1"/>
    <col min="8970" max="8970" width="14.28515625" style="150" customWidth="1"/>
    <col min="8971" max="8971" width="11" style="150" customWidth="1"/>
    <col min="8972" max="8972" width="11.42578125" style="150" customWidth="1"/>
    <col min="8973" max="8973" width="12.5703125" style="150" customWidth="1"/>
    <col min="8974" max="8974" width="12.42578125" style="150" customWidth="1"/>
    <col min="8975" max="8975" width="10.7109375" style="150" customWidth="1"/>
    <col min="8976" max="8976" width="9.5703125" style="150" customWidth="1"/>
    <col min="8977" max="8977" width="11.7109375" style="150" customWidth="1"/>
    <col min="8978" max="8978" width="11" style="150" customWidth="1"/>
    <col min="8979" max="8985" width="9.140625" style="150"/>
    <col min="8986" max="8986" width="15.140625" style="150" customWidth="1"/>
    <col min="8987" max="8987" width="11.140625" style="150" customWidth="1"/>
    <col min="8988" max="9223" width="9.140625" style="150"/>
    <col min="9224" max="9224" width="10.42578125" style="150" customWidth="1"/>
    <col min="9225" max="9225" width="11.140625" style="150" customWidth="1"/>
    <col min="9226" max="9226" width="14.28515625" style="150" customWidth="1"/>
    <col min="9227" max="9227" width="11" style="150" customWidth="1"/>
    <col min="9228" max="9228" width="11.42578125" style="150" customWidth="1"/>
    <col min="9229" max="9229" width="12.5703125" style="150" customWidth="1"/>
    <col min="9230" max="9230" width="12.42578125" style="150" customWidth="1"/>
    <col min="9231" max="9231" width="10.7109375" style="150" customWidth="1"/>
    <col min="9232" max="9232" width="9.5703125" style="150" customWidth="1"/>
    <col min="9233" max="9233" width="11.7109375" style="150" customWidth="1"/>
    <col min="9234" max="9234" width="11" style="150" customWidth="1"/>
    <col min="9235" max="9241" width="9.140625" style="150"/>
    <col min="9242" max="9242" width="15.140625" style="150" customWidth="1"/>
    <col min="9243" max="9243" width="11.140625" style="150" customWidth="1"/>
    <col min="9244" max="9479" width="9.140625" style="150"/>
    <col min="9480" max="9480" width="10.42578125" style="150" customWidth="1"/>
    <col min="9481" max="9481" width="11.140625" style="150" customWidth="1"/>
    <col min="9482" max="9482" width="14.28515625" style="150" customWidth="1"/>
    <col min="9483" max="9483" width="11" style="150" customWidth="1"/>
    <col min="9484" max="9484" width="11.42578125" style="150" customWidth="1"/>
    <col min="9485" max="9485" width="12.5703125" style="150" customWidth="1"/>
    <col min="9486" max="9486" width="12.42578125" style="150" customWidth="1"/>
    <col min="9487" max="9487" width="10.7109375" style="150" customWidth="1"/>
    <col min="9488" max="9488" width="9.5703125" style="150" customWidth="1"/>
    <col min="9489" max="9489" width="11.7109375" style="150" customWidth="1"/>
    <col min="9490" max="9490" width="11" style="150" customWidth="1"/>
    <col min="9491" max="9497" width="9.140625" style="150"/>
    <col min="9498" max="9498" width="15.140625" style="150" customWidth="1"/>
    <col min="9499" max="9499" width="11.140625" style="150" customWidth="1"/>
    <col min="9500" max="9735" width="9.140625" style="150"/>
    <col min="9736" max="9736" width="10.42578125" style="150" customWidth="1"/>
    <col min="9737" max="9737" width="11.140625" style="150" customWidth="1"/>
    <col min="9738" max="9738" width="14.28515625" style="150" customWidth="1"/>
    <col min="9739" max="9739" width="11" style="150" customWidth="1"/>
    <col min="9740" max="9740" width="11.42578125" style="150" customWidth="1"/>
    <col min="9741" max="9741" width="12.5703125" style="150" customWidth="1"/>
    <col min="9742" max="9742" width="12.42578125" style="150" customWidth="1"/>
    <col min="9743" max="9743" width="10.7109375" style="150" customWidth="1"/>
    <col min="9744" max="9744" width="9.5703125" style="150" customWidth="1"/>
    <col min="9745" max="9745" width="11.7109375" style="150" customWidth="1"/>
    <col min="9746" max="9746" width="11" style="150" customWidth="1"/>
    <col min="9747" max="9753" width="9.140625" style="150"/>
    <col min="9754" max="9754" width="15.140625" style="150" customWidth="1"/>
    <col min="9755" max="9755" width="11.140625" style="150" customWidth="1"/>
    <col min="9756" max="9991" width="9.140625" style="150"/>
    <col min="9992" max="9992" width="10.42578125" style="150" customWidth="1"/>
    <col min="9993" max="9993" width="11.140625" style="150" customWidth="1"/>
    <col min="9994" max="9994" width="14.28515625" style="150" customWidth="1"/>
    <col min="9995" max="9995" width="11" style="150" customWidth="1"/>
    <col min="9996" max="9996" width="11.42578125" style="150" customWidth="1"/>
    <col min="9997" max="9997" width="12.5703125" style="150" customWidth="1"/>
    <col min="9998" max="9998" width="12.42578125" style="150" customWidth="1"/>
    <col min="9999" max="9999" width="10.7109375" style="150" customWidth="1"/>
    <col min="10000" max="10000" width="9.5703125" style="150" customWidth="1"/>
    <col min="10001" max="10001" width="11.7109375" style="150" customWidth="1"/>
    <col min="10002" max="10002" width="11" style="150" customWidth="1"/>
    <col min="10003" max="10009" width="9.140625" style="150"/>
    <col min="10010" max="10010" width="15.140625" style="150" customWidth="1"/>
    <col min="10011" max="10011" width="11.140625" style="150" customWidth="1"/>
    <col min="10012" max="10247" width="9.140625" style="150"/>
    <col min="10248" max="10248" width="10.42578125" style="150" customWidth="1"/>
    <col min="10249" max="10249" width="11.140625" style="150" customWidth="1"/>
    <col min="10250" max="10250" width="14.28515625" style="150" customWidth="1"/>
    <col min="10251" max="10251" width="11" style="150" customWidth="1"/>
    <col min="10252" max="10252" width="11.42578125" style="150" customWidth="1"/>
    <col min="10253" max="10253" width="12.5703125" style="150" customWidth="1"/>
    <col min="10254" max="10254" width="12.42578125" style="150" customWidth="1"/>
    <col min="10255" max="10255" width="10.7109375" style="150" customWidth="1"/>
    <col min="10256" max="10256" width="9.5703125" style="150" customWidth="1"/>
    <col min="10257" max="10257" width="11.7109375" style="150" customWidth="1"/>
    <col min="10258" max="10258" width="11" style="150" customWidth="1"/>
    <col min="10259" max="10265" width="9.140625" style="150"/>
    <col min="10266" max="10266" width="15.140625" style="150" customWidth="1"/>
    <col min="10267" max="10267" width="11.140625" style="150" customWidth="1"/>
    <col min="10268" max="10503" width="9.140625" style="150"/>
    <col min="10504" max="10504" width="10.42578125" style="150" customWidth="1"/>
    <col min="10505" max="10505" width="11.140625" style="150" customWidth="1"/>
    <col min="10506" max="10506" width="14.28515625" style="150" customWidth="1"/>
    <col min="10507" max="10507" width="11" style="150" customWidth="1"/>
    <col min="10508" max="10508" width="11.42578125" style="150" customWidth="1"/>
    <col min="10509" max="10509" width="12.5703125" style="150" customWidth="1"/>
    <col min="10510" max="10510" width="12.42578125" style="150" customWidth="1"/>
    <col min="10511" max="10511" width="10.7109375" style="150" customWidth="1"/>
    <col min="10512" max="10512" width="9.5703125" style="150" customWidth="1"/>
    <col min="10513" max="10513" width="11.7109375" style="150" customWidth="1"/>
    <col min="10514" max="10514" width="11" style="150" customWidth="1"/>
    <col min="10515" max="10521" width="9.140625" style="150"/>
    <col min="10522" max="10522" width="15.140625" style="150" customWidth="1"/>
    <col min="10523" max="10523" width="11.140625" style="150" customWidth="1"/>
    <col min="10524" max="10759" width="9.140625" style="150"/>
    <col min="10760" max="10760" width="10.42578125" style="150" customWidth="1"/>
    <col min="10761" max="10761" width="11.140625" style="150" customWidth="1"/>
    <col min="10762" max="10762" width="14.28515625" style="150" customWidth="1"/>
    <col min="10763" max="10763" width="11" style="150" customWidth="1"/>
    <col min="10764" max="10764" width="11.42578125" style="150" customWidth="1"/>
    <col min="10765" max="10765" width="12.5703125" style="150" customWidth="1"/>
    <col min="10766" max="10766" width="12.42578125" style="150" customWidth="1"/>
    <col min="10767" max="10767" width="10.7109375" style="150" customWidth="1"/>
    <col min="10768" max="10768" width="9.5703125" style="150" customWidth="1"/>
    <col min="10769" max="10769" width="11.7109375" style="150" customWidth="1"/>
    <col min="10770" max="10770" width="11" style="150" customWidth="1"/>
    <col min="10771" max="10777" width="9.140625" style="150"/>
    <col min="10778" max="10778" width="15.140625" style="150" customWidth="1"/>
    <col min="10779" max="10779" width="11.140625" style="150" customWidth="1"/>
    <col min="10780" max="11015" width="9.140625" style="150"/>
    <col min="11016" max="11016" width="10.42578125" style="150" customWidth="1"/>
    <col min="11017" max="11017" width="11.140625" style="150" customWidth="1"/>
    <col min="11018" max="11018" width="14.28515625" style="150" customWidth="1"/>
    <col min="11019" max="11019" width="11" style="150" customWidth="1"/>
    <col min="11020" max="11020" width="11.42578125" style="150" customWidth="1"/>
    <col min="11021" max="11021" width="12.5703125" style="150" customWidth="1"/>
    <col min="11022" max="11022" width="12.42578125" style="150" customWidth="1"/>
    <col min="11023" max="11023" width="10.7109375" style="150" customWidth="1"/>
    <col min="11024" max="11024" width="9.5703125" style="150" customWidth="1"/>
    <col min="11025" max="11025" width="11.7109375" style="150" customWidth="1"/>
    <col min="11026" max="11026" width="11" style="150" customWidth="1"/>
    <col min="11027" max="11033" width="9.140625" style="150"/>
    <col min="11034" max="11034" width="15.140625" style="150" customWidth="1"/>
    <col min="11035" max="11035" width="11.140625" style="150" customWidth="1"/>
    <col min="11036" max="11271" width="9.140625" style="150"/>
    <col min="11272" max="11272" width="10.42578125" style="150" customWidth="1"/>
    <col min="11273" max="11273" width="11.140625" style="150" customWidth="1"/>
    <col min="11274" max="11274" width="14.28515625" style="150" customWidth="1"/>
    <col min="11275" max="11275" width="11" style="150" customWidth="1"/>
    <col min="11276" max="11276" width="11.42578125" style="150" customWidth="1"/>
    <col min="11277" max="11277" width="12.5703125" style="150" customWidth="1"/>
    <col min="11278" max="11278" width="12.42578125" style="150" customWidth="1"/>
    <col min="11279" max="11279" width="10.7109375" style="150" customWidth="1"/>
    <col min="11280" max="11280" width="9.5703125" style="150" customWidth="1"/>
    <col min="11281" max="11281" width="11.7109375" style="150" customWidth="1"/>
    <col min="11282" max="11282" width="11" style="150" customWidth="1"/>
    <col min="11283" max="11289" width="9.140625" style="150"/>
    <col min="11290" max="11290" width="15.140625" style="150" customWidth="1"/>
    <col min="11291" max="11291" width="11.140625" style="150" customWidth="1"/>
    <col min="11292" max="11527" width="9.140625" style="150"/>
    <col min="11528" max="11528" width="10.42578125" style="150" customWidth="1"/>
    <col min="11529" max="11529" width="11.140625" style="150" customWidth="1"/>
    <col min="11530" max="11530" width="14.28515625" style="150" customWidth="1"/>
    <col min="11531" max="11531" width="11" style="150" customWidth="1"/>
    <col min="11532" max="11532" width="11.42578125" style="150" customWidth="1"/>
    <col min="11533" max="11533" width="12.5703125" style="150" customWidth="1"/>
    <col min="11534" max="11534" width="12.42578125" style="150" customWidth="1"/>
    <col min="11535" max="11535" width="10.7109375" style="150" customWidth="1"/>
    <col min="11536" max="11536" width="9.5703125" style="150" customWidth="1"/>
    <col min="11537" max="11537" width="11.7109375" style="150" customWidth="1"/>
    <col min="11538" max="11538" width="11" style="150" customWidth="1"/>
    <col min="11539" max="11545" width="9.140625" style="150"/>
    <col min="11546" max="11546" width="15.140625" style="150" customWidth="1"/>
    <col min="11547" max="11547" width="11.140625" style="150" customWidth="1"/>
    <col min="11548" max="11783" width="9.140625" style="150"/>
    <col min="11784" max="11784" width="10.42578125" style="150" customWidth="1"/>
    <col min="11785" max="11785" width="11.140625" style="150" customWidth="1"/>
    <col min="11786" max="11786" width="14.28515625" style="150" customWidth="1"/>
    <col min="11787" max="11787" width="11" style="150" customWidth="1"/>
    <col min="11788" max="11788" width="11.42578125" style="150" customWidth="1"/>
    <col min="11789" max="11789" width="12.5703125" style="150" customWidth="1"/>
    <col min="11790" max="11790" width="12.42578125" style="150" customWidth="1"/>
    <col min="11791" max="11791" width="10.7109375" style="150" customWidth="1"/>
    <col min="11792" max="11792" width="9.5703125" style="150" customWidth="1"/>
    <col min="11793" max="11793" width="11.7109375" style="150" customWidth="1"/>
    <col min="11794" max="11794" width="11" style="150" customWidth="1"/>
    <col min="11795" max="11801" width="9.140625" style="150"/>
    <col min="11802" max="11802" width="15.140625" style="150" customWidth="1"/>
    <col min="11803" max="11803" width="11.140625" style="150" customWidth="1"/>
    <col min="11804" max="12039" width="9.140625" style="150"/>
    <col min="12040" max="12040" width="10.42578125" style="150" customWidth="1"/>
    <col min="12041" max="12041" width="11.140625" style="150" customWidth="1"/>
    <col min="12042" max="12042" width="14.28515625" style="150" customWidth="1"/>
    <col min="12043" max="12043" width="11" style="150" customWidth="1"/>
    <col min="12044" max="12044" width="11.42578125" style="150" customWidth="1"/>
    <col min="12045" max="12045" width="12.5703125" style="150" customWidth="1"/>
    <col min="12046" max="12046" width="12.42578125" style="150" customWidth="1"/>
    <col min="12047" max="12047" width="10.7109375" style="150" customWidth="1"/>
    <col min="12048" max="12048" width="9.5703125" style="150" customWidth="1"/>
    <col min="12049" max="12049" width="11.7109375" style="150" customWidth="1"/>
    <col min="12050" max="12050" width="11" style="150" customWidth="1"/>
    <col min="12051" max="12057" width="9.140625" style="150"/>
    <col min="12058" max="12058" width="15.140625" style="150" customWidth="1"/>
    <col min="12059" max="12059" width="11.140625" style="150" customWidth="1"/>
    <col min="12060" max="12295" width="9.140625" style="150"/>
    <col min="12296" max="12296" width="10.42578125" style="150" customWidth="1"/>
    <col min="12297" max="12297" width="11.140625" style="150" customWidth="1"/>
    <col min="12298" max="12298" width="14.28515625" style="150" customWidth="1"/>
    <col min="12299" max="12299" width="11" style="150" customWidth="1"/>
    <col min="12300" max="12300" width="11.42578125" style="150" customWidth="1"/>
    <col min="12301" max="12301" width="12.5703125" style="150" customWidth="1"/>
    <col min="12302" max="12302" width="12.42578125" style="150" customWidth="1"/>
    <col min="12303" max="12303" width="10.7109375" style="150" customWidth="1"/>
    <col min="12304" max="12304" width="9.5703125" style="150" customWidth="1"/>
    <col min="12305" max="12305" width="11.7109375" style="150" customWidth="1"/>
    <col min="12306" max="12306" width="11" style="150" customWidth="1"/>
    <col min="12307" max="12313" width="9.140625" style="150"/>
    <col min="12314" max="12314" width="15.140625" style="150" customWidth="1"/>
    <col min="12315" max="12315" width="11.140625" style="150" customWidth="1"/>
    <col min="12316" max="12551" width="9.140625" style="150"/>
    <col min="12552" max="12552" width="10.42578125" style="150" customWidth="1"/>
    <col min="12553" max="12553" width="11.140625" style="150" customWidth="1"/>
    <col min="12554" max="12554" width="14.28515625" style="150" customWidth="1"/>
    <col min="12555" max="12555" width="11" style="150" customWidth="1"/>
    <col min="12556" max="12556" width="11.42578125" style="150" customWidth="1"/>
    <col min="12557" max="12557" width="12.5703125" style="150" customWidth="1"/>
    <col min="12558" max="12558" width="12.42578125" style="150" customWidth="1"/>
    <col min="12559" max="12559" width="10.7109375" style="150" customWidth="1"/>
    <col min="12560" max="12560" width="9.5703125" style="150" customWidth="1"/>
    <col min="12561" max="12561" width="11.7109375" style="150" customWidth="1"/>
    <col min="12562" max="12562" width="11" style="150" customWidth="1"/>
    <col min="12563" max="12569" width="9.140625" style="150"/>
    <col min="12570" max="12570" width="15.140625" style="150" customWidth="1"/>
    <col min="12571" max="12571" width="11.140625" style="150" customWidth="1"/>
    <col min="12572" max="12807" width="9.140625" style="150"/>
    <col min="12808" max="12808" width="10.42578125" style="150" customWidth="1"/>
    <col min="12809" max="12809" width="11.140625" style="150" customWidth="1"/>
    <col min="12810" max="12810" width="14.28515625" style="150" customWidth="1"/>
    <col min="12811" max="12811" width="11" style="150" customWidth="1"/>
    <col min="12812" max="12812" width="11.42578125" style="150" customWidth="1"/>
    <col min="12813" max="12813" width="12.5703125" style="150" customWidth="1"/>
    <col min="12814" max="12814" width="12.42578125" style="150" customWidth="1"/>
    <col min="12815" max="12815" width="10.7109375" style="150" customWidth="1"/>
    <col min="12816" max="12816" width="9.5703125" style="150" customWidth="1"/>
    <col min="12817" max="12817" width="11.7109375" style="150" customWidth="1"/>
    <col min="12818" max="12818" width="11" style="150" customWidth="1"/>
    <col min="12819" max="12825" width="9.140625" style="150"/>
    <col min="12826" max="12826" width="15.140625" style="150" customWidth="1"/>
    <col min="12827" max="12827" width="11.140625" style="150" customWidth="1"/>
    <col min="12828" max="13063" width="9.140625" style="150"/>
    <col min="13064" max="13064" width="10.42578125" style="150" customWidth="1"/>
    <col min="13065" max="13065" width="11.140625" style="150" customWidth="1"/>
    <col min="13066" max="13066" width="14.28515625" style="150" customWidth="1"/>
    <col min="13067" max="13067" width="11" style="150" customWidth="1"/>
    <col min="13068" max="13068" width="11.42578125" style="150" customWidth="1"/>
    <col min="13069" max="13069" width="12.5703125" style="150" customWidth="1"/>
    <col min="13070" max="13070" width="12.42578125" style="150" customWidth="1"/>
    <col min="13071" max="13071" width="10.7109375" style="150" customWidth="1"/>
    <col min="13072" max="13072" width="9.5703125" style="150" customWidth="1"/>
    <col min="13073" max="13073" width="11.7109375" style="150" customWidth="1"/>
    <col min="13074" max="13074" width="11" style="150" customWidth="1"/>
    <col min="13075" max="13081" width="9.140625" style="150"/>
    <col min="13082" max="13082" width="15.140625" style="150" customWidth="1"/>
    <col min="13083" max="13083" width="11.140625" style="150" customWidth="1"/>
    <col min="13084" max="13319" width="9.140625" style="150"/>
    <col min="13320" max="13320" width="10.42578125" style="150" customWidth="1"/>
    <col min="13321" max="13321" width="11.140625" style="150" customWidth="1"/>
    <col min="13322" max="13322" width="14.28515625" style="150" customWidth="1"/>
    <col min="13323" max="13323" width="11" style="150" customWidth="1"/>
    <col min="13324" max="13324" width="11.42578125" style="150" customWidth="1"/>
    <col min="13325" max="13325" width="12.5703125" style="150" customWidth="1"/>
    <col min="13326" max="13326" width="12.42578125" style="150" customWidth="1"/>
    <col min="13327" max="13327" width="10.7109375" style="150" customWidth="1"/>
    <col min="13328" max="13328" width="9.5703125" style="150" customWidth="1"/>
    <col min="13329" max="13329" width="11.7109375" style="150" customWidth="1"/>
    <col min="13330" max="13330" width="11" style="150" customWidth="1"/>
    <col min="13331" max="13337" width="9.140625" style="150"/>
    <col min="13338" max="13338" width="15.140625" style="150" customWidth="1"/>
    <col min="13339" max="13339" width="11.140625" style="150" customWidth="1"/>
    <col min="13340" max="13575" width="9.140625" style="150"/>
    <col min="13576" max="13576" width="10.42578125" style="150" customWidth="1"/>
    <col min="13577" max="13577" width="11.140625" style="150" customWidth="1"/>
    <col min="13578" max="13578" width="14.28515625" style="150" customWidth="1"/>
    <col min="13579" max="13579" width="11" style="150" customWidth="1"/>
    <col min="13580" max="13580" width="11.42578125" style="150" customWidth="1"/>
    <col min="13581" max="13581" width="12.5703125" style="150" customWidth="1"/>
    <col min="13582" max="13582" width="12.42578125" style="150" customWidth="1"/>
    <col min="13583" max="13583" width="10.7109375" style="150" customWidth="1"/>
    <col min="13584" max="13584" width="9.5703125" style="150" customWidth="1"/>
    <col min="13585" max="13585" width="11.7109375" style="150" customWidth="1"/>
    <col min="13586" max="13586" width="11" style="150" customWidth="1"/>
    <col min="13587" max="13593" width="9.140625" style="150"/>
    <col min="13594" max="13594" width="15.140625" style="150" customWidth="1"/>
    <col min="13595" max="13595" width="11.140625" style="150" customWidth="1"/>
    <col min="13596" max="13831" width="9.140625" style="150"/>
    <col min="13832" max="13832" width="10.42578125" style="150" customWidth="1"/>
    <col min="13833" max="13833" width="11.140625" style="150" customWidth="1"/>
    <col min="13834" max="13834" width="14.28515625" style="150" customWidth="1"/>
    <col min="13835" max="13835" width="11" style="150" customWidth="1"/>
    <col min="13836" max="13836" width="11.42578125" style="150" customWidth="1"/>
    <col min="13837" max="13837" width="12.5703125" style="150" customWidth="1"/>
    <col min="13838" max="13838" width="12.42578125" style="150" customWidth="1"/>
    <col min="13839" max="13839" width="10.7109375" style="150" customWidth="1"/>
    <col min="13840" max="13840" width="9.5703125" style="150" customWidth="1"/>
    <col min="13841" max="13841" width="11.7109375" style="150" customWidth="1"/>
    <col min="13842" max="13842" width="11" style="150" customWidth="1"/>
    <col min="13843" max="13849" width="9.140625" style="150"/>
    <col min="13850" max="13850" width="15.140625" style="150" customWidth="1"/>
    <col min="13851" max="13851" width="11.140625" style="150" customWidth="1"/>
    <col min="13852" max="14087" width="9.140625" style="150"/>
    <col min="14088" max="14088" width="10.42578125" style="150" customWidth="1"/>
    <col min="14089" max="14089" width="11.140625" style="150" customWidth="1"/>
    <col min="14090" max="14090" width="14.28515625" style="150" customWidth="1"/>
    <col min="14091" max="14091" width="11" style="150" customWidth="1"/>
    <col min="14092" max="14092" width="11.42578125" style="150" customWidth="1"/>
    <col min="14093" max="14093" width="12.5703125" style="150" customWidth="1"/>
    <col min="14094" max="14094" width="12.42578125" style="150" customWidth="1"/>
    <col min="14095" max="14095" width="10.7109375" style="150" customWidth="1"/>
    <col min="14096" max="14096" width="9.5703125" style="150" customWidth="1"/>
    <col min="14097" max="14097" width="11.7109375" style="150" customWidth="1"/>
    <col min="14098" max="14098" width="11" style="150" customWidth="1"/>
    <col min="14099" max="14105" width="9.140625" style="150"/>
    <col min="14106" max="14106" width="15.140625" style="150" customWidth="1"/>
    <col min="14107" max="14107" width="11.140625" style="150" customWidth="1"/>
    <col min="14108" max="14343" width="9.140625" style="150"/>
    <col min="14344" max="14344" width="10.42578125" style="150" customWidth="1"/>
    <col min="14345" max="14345" width="11.140625" style="150" customWidth="1"/>
    <col min="14346" max="14346" width="14.28515625" style="150" customWidth="1"/>
    <col min="14347" max="14347" width="11" style="150" customWidth="1"/>
    <col min="14348" max="14348" width="11.42578125" style="150" customWidth="1"/>
    <col min="14349" max="14349" width="12.5703125" style="150" customWidth="1"/>
    <col min="14350" max="14350" width="12.42578125" style="150" customWidth="1"/>
    <col min="14351" max="14351" width="10.7109375" style="150" customWidth="1"/>
    <col min="14352" max="14352" width="9.5703125" style="150" customWidth="1"/>
    <col min="14353" max="14353" width="11.7109375" style="150" customWidth="1"/>
    <col min="14354" max="14354" width="11" style="150" customWidth="1"/>
    <col min="14355" max="14361" width="9.140625" style="150"/>
    <col min="14362" max="14362" width="15.140625" style="150" customWidth="1"/>
    <col min="14363" max="14363" width="11.140625" style="150" customWidth="1"/>
    <col min="14364" max="14599" width="9.140625" style="150"/>
    <col min="14600" max="14600" width="10.42578125" style="150" customWidth="1"/>
    <col min="14601" max="14601" width="11.140625" style="150" customWidth="1"/>
    <col min="14602" max="14602" width="14.28515625" style="150" customWidth="1"/>
    <col min="14603" max="14603" width="11" style="150" customWidth="1"/>
    <col min="14604" max="14604" width="11.42578125" style="150" customWidth="1"/>
    <col min="14605" max="14605" width="12.5703125" style="150" customWidth="1"/>
    <col min="14606" max="14606" width="12.42578125" style="150" customWidth="1"/>
    <col min="14607" max="14607" width="10.7109375" style="150" customWidth="1"/>
    <col min="14608" max="14608" width="9.5703125" style="150" customWidth="1"/>
    <col min="14609" max="14609" width="11.7109375" style="150" customWidth="1"/>
    <col min="14610" max="14610" width="11" style="150" customWidth="1"/>
    <col min="14611" max="14617" width="9.140625" style="150"/>
    <col min="14618" max="14618" width="15.140625" style="150" customWidth="1"/>
    <col min="14619" max="14619" width="11.140625" style="150" customWidth="1"/>
    <col min="14620" max="14855" width="9.140625" style="150"/>
    <col min="14856" max="14856" width="10.42578125" style="150" customWidth="1"/>
    <col min="14857" max="14857" width="11.140625" style="150" customWidth="1"/>
    <col min="14858" max="14858" width="14.28515625" style="150" customWidth="1"/>
    <col min="14859" max="14859" width="11" style="150" customWidth="1"/>
    <col min="14860" max="14860" width="11.42578125" style="150" customWidth="1"/>
    <col min="14861" max="14861" width="12.5703125" style="150" customWidth="1"/>
    <col min="14862" max="14862" width="12.42578125" style="150" customWidth="1"/>
    <col min="14863" max="14863" width="10.7109375" style="150" customWidth="1"/>
    <col min="14864" max="14864" width="9.5703125" style="150" customWidth="1"/>
    <col min="14865" max="14865" width="11.7109375" style="150" customWidth="1"/>
    <col min="14866" max="14866" width="11" style="150" customWidth="1"/>
    <col min="14867" max="14873" width="9.140625" style="150"/>
    <col min="14874" max="14874" width="15.140625" style="150" customWidth="1"/>
    <col min="14875" max="14875" width="11.140625" style="150" customWidth="1"/>
    <col min="14876" max="15111" width="9.140625" style="150"/>
    <col min="15112" max="15112" width="10.42578125" style="150" customWidth="1"/>
    <col min="15113" max="15113" width="11.140625" style="150" customWidth="1"/>
    <col min="15114" max="15114" width="14.28515625" style="150" customWidth="1"/>
    <col min="15115" max="15115" width="11" style="150" customWidth="1"/>
    <col min="15116" max="15116" width="11.42578125" style="150" customWidth="1"/>
    <col min="15117" max="15117" width="12.5703125" style="150" customWidth="1"/>
    <col min="15118" max="15118" width="12.42578125" style="150" customWidth="1"/>
    <col min="15119" max="15119" width="10.7109375" style="150" customWidth="1"/>
    <col min="15120" max="15120" width="9.5703125" style="150" customWidth="1"/>
    <col min="15121" max="15121" width="11.7109375" style="150" customWidth="1"/>
    <col min="15122" max="15122" width="11" style="150" customWidth="1"/>
    <col min="15123" max="15129" width="9.140625" style="150"/>
    <col min="15130" max="15130" width="15.140625" style="150" customWidth="1"/>
    <col min="15131" max="15131" width="11.140625" style="150" customWidth="1"/>
    <col min="15132" max="15367" width="9.140625" style="150"/>
    <col min="15368" max="15368" width="10.42578125" style="150" customWidth="1"/>
    <col min="15369" max="15369" width="11.140625" style="150" customWidth="1"/>
    <col min="15370" max="15370" width="14.28515625" style="150" customWidth="1"/>
    <col min="15371" max="15371" width="11" style="150" customWidth="1"/>
    <col min="15372" max="15372" width="11.42578125" style="150" customWidth="1"/>
    <col min="15373" max="15373" width="12.5703125" style="150" customWidth="1"/>
    <col min="15374" max="15374" width="12.42578125" style="150" customWidth="1"/>
    <col min="15375" max="15375" width="10.7109375" style="150" customWidth="1"/>
    <col min="15376" max="15376" width="9.5703125" style="150" customWidth="1"/>
    <col min="15377" max="15377" width="11.7109375" style="150" customWidth="1"/>
    <col min="15378" max="15378" width="11" style="150" customWidth="1"/>
    <col min="15379" max="15385" width="9.140625" style="150"/>
    <col min="15386" max="15386" width="15.140625" style="150" customWidth="1"/>
    <col min="15387" max="15387" width="11.140625" style="150" customWidth="1"/>
    <col min="15388" max="15623" width="9.140625" style="150"/>
    <col min="15624" max="15624" width="10.42578125" style="150" customWidth="1"/>
    <col min="15625" max="15625" width="11.140625" style="150" customWidth="1"/>
    <col min="15626" max="15626" width="14.28515625" style="150" customWidth="1"/>
    <col min="15627" max="15627" width="11" style="150" customWidth="1"/>
    <col min="15628" max="15628" width="11.42578125" style="150" customWidth="1"/>
    <col min="15629" max="15629" width="12.5703125" style="150" customWidth="1"/>
    <col min="15630" max="15630" width="12.42578125" style="150" customWidth="1"/>
    <col min="15631" max="15631" width="10.7109375" style="150" customWidth="1"/>
    <col min="15632" max="15632" width="9.5703125" style="150" customWidth="1"/>
    <col min="15633" max="15633" width="11.7109375" style="150" customWidth="1"/>
    <col min="15634" max="15634" width="11" style="150" customWidth="1"/>
    <col min="15635" max="15641" width="9.140625" style="150"/>
    <col min="15642" max="15642" width="15.140625" style="150" customWidth="1"/>
    <col min="15643" max="15643" width="11.140625" style="150" customWidth="1"/>
    <col min="15644" max="15879" width="9.140625" style="150"/>
    <col min="15880" max="15880" width="10.42578125" style="150" customWidth="1"/>
    <col min="15881" max="15881" width="11.140625" style="150" customWidth="1"/>
    <col min="15882" max="15882" width="14.28515625" style="150" customWidth="1"/>
    <col min="15883" max="15883" width="11" style="150" customWidth="1"/>
    <col min="15884" max="15884" width="11.42578125" style="150" customWidth="1"/>
    <col min="15885" max="15885" width="12.5703125" style="150" customWidth="1"/>
    <col min="15886" max="15886" width="12.42578125" style="150" customWidth="1"/>
    <col min="15887" max="15887" width="10.7109375" style="150" customWidth="1"/>
    <col min="15888" max="15888" width="9.5703125" style="150" customWidth="1"/>
    <col min="15889" max="15889" width="11.7109375" style="150" customWidth="1"/>
    <col min="15890" max="15890" width="11" style="150" customWidth="1"/>
    <col min="15891" max="15897" width="9.140625" style="150"/>
    <col min="15898" max="15898" width="15.140625" style="150" customWidth="1"/>
    <col min="15899" max="15899" width="11.140625" style="150" customWidth="1"/>
    <col min="15900" max="16135" width="9.140625" style="150"/>
    <col min="16136" max="16136" width="10.42578125" style="150" customWidth="1"/>
    <col min="16137" max="16137" width="11.140625" style="150" customWidth="1"/>
    <col min="16138" max="16138" width="14.28515625" style="150" customWidth="1"/>
    <col min="16139" max="16139" width="11" style="150" customWidth="1"/>
    <col min="16140" max="16140" width="11.42578125" style="150" customWidth="1"/>
    <col min="16141" max="16141" width="12.5703125" style="150" customWidth="1"/>
    <col min="16142" max="16142" width="12.42578125" style="150" customWidth="1"/>
    <col min="16143" max="16143" width="10.7109375" style="150" customWidth="1"/>
    <col min="16144" max="16144" width="9.5703125" style="150" customWidth="1"/>
    <col min="16145" max="16145" width="11.7109375" style="150" customWidth="1"/>
    <col min="16146" max="16146" width="11" style="150" customWidth="1"/>
    <col min="16147" max="16153" width="9.140625" style="150"/>
    <col min="16154" max="16154" width="15.140625" style="150" customWidth="1"/>
    <col min="16155" max="16155" width="11.140625" style="150" customWidth="1"/>
    <col min="16156" max="16384" width="9.140625" style="150"/>
  </cols>
  <sheetData>
    <row r="1" spans="1:24" ht="13.5" hidden="1" thickBot="1">
      <c r="C1" s="154"/>
      <c r="D1" s="623"/>
      <c r="E1" s="623"/>
      <c r="F1" s="154"/>
      <c r="G1" s="154"/>
      <c r="L1" s="153"/>
      <c r="M1" s="154"/>
      <c r="N1" s="154"/>
      <c r="O1" s="154"/>
      <c r="P1" s="154"/>
      <c r="Q1" s="228"/>
      <c r="R1" s="228"/>
      <c r="S1" s="228"/>
      <c r="T1" s="228"/>
      <c r="U1" s="228"/>
      <c r="V1" s="154"/>
    </row>
    <row r="2" spans="1:24" ht="15.75" hidden="1" thickBot="1">
      <c r="D2" s="270"/>
      <c r="E2" s="269"/>
      <c r="F2" s="268" t="s">
        <v>114</v>
      </c>
      <c r="H2" s="624" t="s">
        <v>141</v>
      </c>
      <c r="I2" s="625"/>
      <c r="J2" s="625"/>
      <c r="K2" s="626"/>
      <c r="L2" s="267"/>
      <c r="M2" s="620" t="s">
        <v>140</v>
      </c>
      <c r="N2" s="627"/>
      <c r="O2" s="627"/>
      <c r="W2" s="264"/>
    </row>
    <row r="3" spans="1:24" ht="15.75" hidden="1" thickBot="1">
      <c r="D3" s="220"/>
      <c r="E3" s="240" t="s">
        <v>135</v>
      </c>
      <c r="F3" s="266" t="s">
        <v>16</v>
      </c>
      <c r="H3" s="628" t="s">
        <v>139</v>
      </c>
      <c r="I3" s="629"/>
      <c r="J3" s="629"/>
      <c r="K3" s="630"/>
      <c r="L3" s="265"/>
      <c r="M3" s="240" t="s">
        <v>138</v>
      </c>
      <c r="N3" s="240" t="s">
        <v>137</v>
      </c>
      <c r="O3" s="241" t="s">
        <v>16</v>
      </c>
      <c r="W3" s="264"/>
      <c r="X3" s="151"/>
    </row>
    <row r="4" spans="1:24" ht="15.75" hidden="1" thickBot="1">
      <c r="B4" s="249" t="s">
        <v>136</v>
      </c>
      <c r="C4" s="252" t="s">
        <v>135</v>
      </c>
      <c r="D4" s="249" t="s">
        <v>104</v>
      </c>
      <c r="E4" s="263" t="s">
        <v>103</v>
      </c>
      <c r="F4" s="263" t="s">
        <v>103</v>
      </c>
      <c r="H4" s="262" t="s">
        <v>97</v>
      </c>
      <c r="I4" s="261" t="s">
        <v>96</v>
      </c>
      <c r="J4" s="260"/>
      <c r="K4" s="260" t="s">
        <v>94</v>
      </c>
      <c r="L4" s="259"/>
      <c r="M4" s="236"/>
      <c r="N4" s="236"/>
      <c r="O4" s="236"/>
      <c r="W4" s="258"/>
      <c r="X4" s="151"/>
    </row>
    <row r="5" spans="1:24" ht="15" hidden="1">
      <c r="B5" s="257">
        <f>D5/D7</f>
        <v>0.56028368794326244</v>
      </c>
      <c r="C5" s="244" t="s">
        <v>100</v>
      </c>
      <c r="D5" s="256">
        <v>79</v>
      </c>
      <c r="E5" s="255">
        <v>8</v>
      </c>
      <c r="F5" s="255">
        <f>D5*E5</f>
        <v>632</v>
      </c>
      <c r="H5" s="256">
        <f>F5*H28</f>
        <v>8216</v>
      </c>
      <c r="I5" s="255">
        <f>F5*I28</f>
        <v>9480</v>
      </c>
      <c r="J5" s="254"/>
      <c r="K5" s="254">
        <f>F5*K28</f>
        <v>11376</v>
      </c>
      <c r="L5" s="254"/>
      <c r="M5" s="253">
        <f>H5/1000</f>
        <v>8.2159999999999993</v>
      </c>
      <c r="N5" s="253">
        <f>H6/1000</f>
        <v>6.4480000000000004</v>
      </c>
      <c r="O5" s="253">
        <f>SUM(M5:N5)</f>
        <v>14.664</v>
      </c>
      <c r="W5" s="246"/>
      <c r="X5" s="151"/>
    </row>
    <row r="6" spans="1:24" ht="15.75" hidden="1" thickBot="1">
      <c r="B6" s="251">
        <f>D6/D7</f>
        <v>0.43971631205673761</v>
      </c>
      <c r="C6" s="250" t="s">
        <v>99</v>
      </c>
      <c r="D6" s="248">
        <v>62</v>
      </c>
      <c r="E6" s="248">
        <v>8</v>
      </c>
      <c r="F6" s="248">
        <f>D6*E6</f>
        <v>496</v>
      </c>
      <c r="H6" s="249">
        <f>F6*H28</f>
        <v>6448</v>
      </c>
      <c r="I6" s="248">
        <f>F6*I28</f>
        <v>7440</v>
      </c>
      <c r="J6" s="252"/>
      <c r="K6" s="252">
        <f>F6*K28</f>
        <v>8928</v>
      </c>
      <c r="L6" s="252"/>
      <c r="M6" s="238">
        <f>I5/1000</f>
        <v>9.48</v>
      </c>
      <c r="N6" s="248">
        <f>I6/1000</f>
        <v>7.44</v>
      </c>
      <c r="O6" s="238">
        <f>SUM(M6:N6)</f>
        <v>16.920000000000002</v>
      </c>
      <c r="W6" s="246"/>
      <c r="X6" s="151"/>
    </row>
    <row r="7" spans="1:24" ht="15.75" hidden="1" thickBot="1">
      <c r="B7" s="251">
        <f>SUM(B5:B6)</f>
        <v>1</v>
      </c>
      <c r="C7" s="250" t="s">
        <v>16</v>
      </c>
      <c r="D7" s="249">
        <f>SUM(D5:D6)</f>
        <v>141</v>
      </c>
      <c r="E7" s="248">
        <f>SUM(E5:E6)</f>
        <v>16</v>
      </c>
      <c r="F7" s="248">
        <f>SUM(F5:F6)</f>
        <v>1128</v>
      </c>
      <c r="H7" s="243">
        <f>SUM(H5:H6)</f>
        <v>14664</v>
      </c>
      <c r="I7" s="236">
        <f>SUM(I5:I6)</f>
        <v>16920</v>
      </c>
      <c r="J7" s="242"/>
      <c r="K7" s="242">
        <f>SUM(K5:K6)</f>
        <v>20304</v>
      </c>
      <c r="L7" s="242"/>
      <c r="M7" s="247">
        <f>K5/1000</f>
        <v>11.375999999999999</v>
      </c>
      <c r="N7" s="247">
        <f>K6/1000</f>
        <v>8.9280000000000008</v>
      </c>
      <c r="O7" s="247">
        <f>SUM(M7:N7)</f>
        <v>20.304000000000002</v>
      </c>
      <c r="W7" s="246"/>
      <c r="X7" s="151"/>
    </row>
    <row r="8" spans="1:24" hidden="1">
      <c r="G8" s="151"/>
      <c r="H8" s="151"/>
      <c r="I8" s="151"/>
      <c r="J8" s="151"/>
      <c r="K8" s="151"/>
      <c r="L8" s="151"/>
      <c r="W8" s="151"/>
      <c r="X8" s="151"/>
    </row>
    <row r="9" spans="1:24" ht="15" hidden="1">
      <c r="A9" s="245" t="s">
        <v>16</v>
      </c>
      <c r="B9" s="244" t="s">
        <v>134</v>
      </c>
      <c r="C9" s="235"/>
      <c r="D9" s="235"/>
      <c r="E9" s="235"/>
      <c r="G9" s="151"/>
      <c r="H9" s="151"/>
      <c r="I9" s="151"/>
      <c r="J9" s="151"/>
      <c r="K9" s="151"/>
      <c r="L9" s="151"/>
      <c r="W9" s="151"/>
      <c r="X9" s="151"/>
    </row>
    <row r="10" spans="1:24" ht="15.75" hidden="1" thickBot="1">
      <c r="A10" s="243"/>
      <c r="B10" s="242" t="s">
        <v>133</v>
      </c>
      <c r="C10" s="235"/>
      <c r="D10" s="235"/>
      <c r="E10" s="235"/>
      <c r="G10" s="151"/>
      <c r="H10" s="151"/>
      <c r="I10" s="151"/>
      <c r="J10" s="151"/>
      <c r="K10" s="151"/>
      <c r="L10" s="151"/>
      <c r="W10" s="151"/>
      <c r="X10" s="151"/>
    </row>
    <row r="11" spans="1:24" ht="15" hidden="1">
      <c r="A11" s="235"/>
      <c r="B11" s="235"/>
      <c r="C11" s="241" t="s">
        <v>132</v>
      </c>
      <c r="D11" s="240" t="s">
        <v>131</v>
      </c>
      <c r="E11" s="240" t="s">
        <v>130</v>
      </c>
      <c r="G11" s="151"/>
      <c r="H11" s="151"/>
      <c r="I11" s="151"/>
      <c r="J11" s="151"/>
      <c r="K11" s="151"/>
      <c r="L11" s="151"/>
      <c r="W11" s="151"/>
      <c r="X11" s="151"/>
    </row>
    <row r="12" spans="1:24" ht="15.75" hidden="1" thickBot="1">
      <c r="A12" s="620" t="s">
        <v>129</v>
      </c>
      <c r="B12" s="621"/>
      <c r="C12" s="239">
        <f>M30/C13</f>
        <v>0</v>
      </c>
      <c r="D12" s="238">
        <f>M30/D13</f>
        <v>0</v>
      </c>
      <c r="E12" s="237">
        <f>M30/E13</f>
        <v>0</v>
      </c>
      <c r="G12" s="151"/>
      <c r="H12" s="151"/>
      <c r="I12" s="151"/>
      <c r="J12" s="151"/>
      <c r="K12" s="151"/>
      <c r="L12" s="151"/>
      <c r="W12" s="151"/>
      <c r="X12" s="151"/>
    </row>
    <row r="13" spans="1:24" ht="15.75" hidden="1" thickBot="1">
      <c r="A13" s="620" t="s">
        <v>128</v>
      </c>
      <c r="B13" s="621"/>
      <c r="C13" s="236">
        <f>I19</f>
        <v>14248</v>
      </c>
      <c r="D13" s="236">
        <f>I22</f>
        <v>17810</v>
      </c>
      <c r="E13" s="236">
        <f>I25</f>
        <v>21372</v>
      </c>
      <c r="G13" s="151"/>
      <c r="H13" s="151"/>
      <c r="I13" s="151"/>
      <c r="J13" s="151"/>
      <c r="K13" s="151"/>
      <c r="L13" s="151"/>
      <c r="V13" s="151"/>
      <c r="W13" s="151"/>
      <c r="X13" s="151"/>
    </row>
    <row r="14" spans="1:24" ht="15" hidden="1">
      <c r="A14" s="235"/>
      <c r="B14" s="235"/>
      <c r="C14" s="235"/>
      <c r="D14" s="235"/>
      <c r="E14" s="235"/>
      <c r="G14" s="151"/>
      <c r="H14" s="151"/>
      <c r="I14" s="151"/>
      <c r="J14" s="151"/>
      <c r="K14" s="151"/>
      <c r="L14" s="151"/>
      <c r="N14" s="156"/>
      <c r="O14" s="156"/>
      <c r="P14" s="156"/>
      <c r="Q14" s="156"/>
      <c r="R14" s="156"/>
      <c r="S14" s="156"/>
      <c r="T14" s="156"/>
      <c r="U14" s="156"/>
      <c r="V14" s="156"/>
      <c r="W14" s="156"/>
      <c r="X14" s="151"/>
    </row>
    <row r="15" spans="1:24" ht="15" hidden="1">
      <c r="A15" s="235"/>
      <c r="B15" s="235" t="s">
        <v>127</v>
      </c>
      <c r="C15" s="235" t="s">
        <v>126</v>
      </c>
      <c r="D15" s="235"/>
      <c r="E15" s="235"/>
      <c r="F15" s="156"/>
      <c r="G15" s="156"/>
      <c r="H15" s="156"/>
      <c r="I15" s="156"/>
      <c r="J15" s="156"/>
      <c r="K15" s="156"/>
      <c r="L15" s="156"/>
      <c r="M15" s="156"/>
      <c r="N15" s="156"/>
      <c r="O15" s="156"/>
      <c r="P15" s="156"/>
      <c r="Q15" s="156"/>
      <c r="R15" s="156"/>
      <c r="S15" s="156"/>
      <c r="T15" s="156"/>
      <c r="U15" s="156"/>
      <c r="V15" s="156"/>
      <c r="W15" s="156"/>
      <c r="X15" s="151"/>
    </row>
    <row r="16" spans="1:24" ht="15" hidden="1">
      <c r="A16" s="235"/>
      <c r="B16" s="235" t="s">
        <v>125</v>
      </c>
      <c r="C16" s="235"/>
      <c r="D16" s="235"/>
      <c r="E16" s="235"/>
      <c r="F16" s="156"/>
      <c r="G16" s="224"/>
      <c r="H16" s="234"/>
      <c r="I16" s="234"/>
      <c r="J16" s="234"/>
      <c r="K16" s="234"/>
      <c r="L16" s="234"/>
      <c r="M16" s="156"/>
      <c r="N16" s="156"/>
      <c r="O16" s="156"/>
      <c r="P16" s="156"/>
      <c r="Q16" s="156"/>
      <c r="R16" s="156"/>
      <c r="S16" s="156"/>
      <c r="T16" s="156"/>
      <c r="U16" s="156"/>
      <c r="V16" s="156"/>
      <c r="W16" s="156"/>
      <c r="X16" s="151"/>
    </row>
    <row r="17" spans="6:37">
      <c r="F17" s="156"/>
      <c r="G17" s="224"/>
      <c r="H17" s="156"/>
      <c r="I17" s="156"/>
      <c r="J17" s="156"/>
      <c r="K17" s="156"/>
      <c r="L17" s="156"/>
      <c r="M17" s="156"/>
      <c r="N17" s="156"/>
      <c r="O17" s="156"/>
      <c r="P17" s="156"/>
      <c r="Q17" s="156"/>
      <c r="R17" s="156"/>
      <c r="S17" s="156"/>
      <c r="T17" s="156"/>
      <c r="U17" s="156"/>
      <c r="V17" s="156"/>
      <c r="W17" s="156"/>
      <c r="X17" s="151"/>
    </row>
    <row r="18" spans="6:37" s="230" customFormat="1" ht="13.5" thickBot="1">
      <c r="F18" s="231"/>
      <c r="G18" s="233"/>
      <c r="H18" s="231"/>
      <c r="I18" s="231"/>
      <c r="J18" s="231"/>
      <c r="K18" s="231"/>
      <c r="L18" s="231"/>
      <c r="M18" s="231"/>
      <c r="N18" s="231"/>
      <c r="O18" s="232"/>
      <c r="P18" s="231"/>
      <c r="Q18" s="232"/>
      <c r="R18" s="231"/>
      <c r="S18" s="231"/>
      <c r="T18" s="232"/>
      <c r="U18" s="232"/>
      <c r="V18" s="231"/>
      <c r="W18" s="231"/>
    </row>
    <row r="19" spans="6:37" ht="13.5" hidden="1" thickBot="1">
      <c r="F19" s="156"/>
      <c r="G19" s="154">
        <f>IF((M30/I19)&lt;M33,1,0)</f>
        <v>0</v>
      </c>
      <c r="H19" s="224" t="s">
        <v>124</v>
      </c>
      <c r="I19" s="150">
        <f>(I33*8*H28)+(I34*8*H28)</f>
        <v>14248</v>
      </c>
      <c r="K19" s="156"/>
      <c r="L19" s="156"/>
      <c r="M19" s="156"/>
      <c r="N19" s="224"/>
      <c r="O19" s="156"/>
      <c r="P19" s="156"/>
      <c r="Q19" s="156"/>
      <c r="R19" s="156"/>
      <c r="S19" s="156"/>
      <c r="T19" s="156"/>
      <c r="U19" s="156"/>
      <c r="V19" s="156"/>
      <c r="W19" s="156"/>
    </row>
    <row r="20" spans="6:37" ht="13.5" hidden="1" thickBot="1">
      <c r="F20" s="156"/>
      <c r="G20" s="154">
        <f>IF((M30/I20)&lt;M33,1,0)</f>
        <v>0</v>
      </c>
      <c r="H20" s="224" t="s">
        <v>123</v>
      </c>
      <c r="I20" s="224">
        <f>(I33*8*I28)+(I34*8*I28)</f>
        <v>16440</v>
      </c>
      <c r="J20" s="224"/>
      <c r="K20" s="156"/>
      <c r="L20" s="156"/>
      <c r="M20" s="156"/>
      <c r="N20" s="156"/>
      <c r="T20" s="156"/>
      <c r="U20" s="156"/>
      <c r="V20" s="156"/>
      <c r="W20" s="156"/>
    </row>
    <row r="21" spans="6:37" ht="13.5" hidden="1" thickBot="1">
      <c r="F21" s="156"/>
      <c r="G21" s="154">
        <f>IF((M30/I21)&lt;M33,1,0)</f>
        <v>0</v>
      </c>
      <c r="H21" s="224" t="s">
        <v>122</v>
      </c>
      <c r="I21" s="224">
        <f>(I33*8*K28)+(I34*8*K28)</f>
        <v>19728</v>
      </c>
      <c r="J21" s="224"/>
      <c r="K21" s="156"/>
      <c r="L21" s="156"/>
      <c r="M21" s="156"/>
      <c r="N21" s="224"/>
      <c r="T21" s="156"/>
      <c r="U21" s="156"/>
      <c r="V21" s="156"/>
      <c r="W21" s="156"/>
    </row>
    <row r="22" spans="6:37" ht="13.5" hidden="1" thickBot="1">
      <c r="F22" s="156"/>
      <c r="G22" s="154">
        <f>IF((M30/I22)&lt;M33,1,0)</f>
        <v>0</v>
      </c>
      <c r="H22" s="229" t="s">
        <v>121</v>
      </c>
      <c r="I22" s="150">
        <f>(I33*10*H28)+(I34*10*H28)</f>
        <v>17810</v>
      </c>
      <c r="K22" s="156"/>
      <c r="L22" s="156"/>
      <c r="M22" s="156"/>
      <c r="N22" s="224"/>
      <c r="T22" s="156"/>
      <c r="U22" s="156"/>
      <c r="V22" s="156"/>
      <c r="W22" s="156"/>
    </row>
    <row r="23" spans="6:37" ht="13.5" hidden="1" thickBot="1">
      <c r="F23" s="156"/>
      <c r="G23" s="154">
        <f>IF((M30/I23)&lt;M33,1,0)</f>
        <v>0</v>
      </c>
      <c r="H23" s="224" t="s">
        <v>120</v>
      </c>
      <c r="I23" s="150">
        <f>(I33*10*I28)+(I34*10*I28)</f>
        <v>20550</v>
      </c>
      <c r="K23" s="156"/>
      <c r="L23" s="156"/>
      <c r="M23" s="156"/>
      <c r="N23" s="224"/>
      <c r="T23" s="156"/>
      <c r="U23" s="156"/>
      <c r="V23" s="156"/>
      <c r="W23" s="156"/>
    </row>
    <row r="24" spans="6:37" ht="13.5" hidden="1" thickBot="1">
      <c r="F24" s="156"/>
      <c r="G24" s="154">
        <f>IF((M30/I24)&lt;M33,1,0)</f>
        <v>0</v>
      </c>
      <c r="H24" s="224" t="s">
        <v>119</v>
      </c>
      <c r="I24" s="150">
        <f>(I33*10*K28)+(I34*10*K28)</f>
        <v>24660</v>
      </c>
      <c r="K24" s="156"/>
      <c r="L24" s="156"/>
      <c r="M24" s="156"/>
      <c r="N24" s="224"/>
      <c r="T24" s="156"/>
      <c r="U24" s="156"/>
      <c r="V24" s="156"/>
      <c r="W24" s="156"/>
    </row>
    <row r="25" spans="6:37" ht="13.5" hidden="1" thickBot="1">
      <c r="F25" s="156"/>
      <c r="G25" s="154">
        <f>IF((M30/I25)&lt;M33,1,0)</f>
        <v>0</v>
      </c>
      <c r="H25" s="155" t="s">
        <v>118</v>
      </c>
      <c r="I25" s="150">
        <f>(I33*12*H28)+(I34*12*H28)</f>
        <v>21372</v>
      </c>
      <c r="K25" s="156"/>
      <c r="L25" s="156"/>
      <c r="M25" s="156"/>
      <c r="N25" s="224"/>
      <c r="T25" s="156"/>
      <c r="U25" s="156"/>
      <c r="V25" s="156"/>
      <c r="W25" s="156"/>
    </row>
    <row r="26" spans="6:37" ht="13.5" hidden="1" thickBot="1">
      <c r="F26" s="156"/>
      <c r="G26" s="154">
        <f>IF((M30/I26)&lt;M33,1,0)</f>
        <v>0</v>
      </c>
      <c r="H26" s="224" t="s">
        <v>117</v>
      </c>
      <c r="I26" s="150">
        <f>(I33*12*I28)+(I34*12*I28)</f>
        <v>24660</v>
      </c>
      <c r="K26" s="156"/>
      <c r="L26" s="156"/>
      <c r="M26" s="156"/>
      <c r="N26" s="224"/>
      <c r="T26" s="156"/>
      <c r="U26" s="156"/>
      <c r="V26" s="156"/>
      <c r="W26" s="156"/>
    </row>
    <row r="27" spans="6:37" ht="13.5" hidden="1" thickBot="1">
      <c r="F27" s="156"/>
      <c r="G27" s="154">
        <f>IF((M30/I27)&lt;M33,1,0)</f>
        <v>0</v>
      </c>
      <c r="H27" s="224" t="s">
        <v>116</v>
      </c>
      <c r="I27" s="150">
        <f>(I33*12*K28)+(I34*12*K28)</f>
        <v>29592</v>
      </c>
      <c r="N27" s="224"/>
      <c r="T27" s="156"/>
      <c r="U27" s="156"/>
      <c r="V27" s="156"/>
      <c r="W27" s="156"/>
    </row>
    <row r="28" spans="6:37" ht="21.75" thickBot="1">
      <c r="G28" s="282" t="s">
        <v>115</v>
      </c>
      <c r="H28" s="283">
        <v>13</v>
      </c>
      <c r="I28" s="283">
        <v>15</v>
      </c>
      <c r="J28" s="283"/>
      <c r="K28" s="283">
        <v>18</v>
      </c>
      <c r="N28" s="224"/>
      <c r="O28" s="615" t="s">
        <v>114</v>
      </c>
      <c r="P28" s="616"/>
      <c r="Q28" s="616"/>
      <c r="R28" s="616"/>
      <c r="S28" s="616"/>
      <c r="T28" s="616"/>
      <c r="U28" s="616"/>
      <c r="V28" s="617"/>
      <c r="W28" s="227"/>
      <c r="X28" s="608" t="s">
        <v>8</v>
      </c>
      <c r="Y28" s="609"/>
      <c r="Z28" s="609"/>
      <c r="AA28" s="609"/>
      <c r="AB28" s="609"/>
      <c r="AC28" s="609"/>
      <c r="AD28" s="609"/>
      <c r="AE28" s="610"/>
      <c r="AF28" s="226"/>
      <c r="AG28" s="156"/>
      <c r="AH28" s="156"/>
      <c r="AI28" s="156"/>
      <c r="AJ28" s="156"/>
      <c r="AK28" s="156"/>
    </row>
    <row r="29" spans="6:37" ht="20.100000000000001" customHeight="1" thickBot="1">
      <c r="M29" s="225" t="s">
        <v>113</v>
      </c>
      <c r="N29" s="224"/>
      <c r="O29" s="223" t="s">
        <v>112</v>
      </c>
      <c r="P29" s="221" t="s">
        <v>111</v>
      </c>
      <c r="Q29" s="222" t="s">
        <v>110</v>
      </c>
      <c r="R29" s="635" t="s">
        <v>109</v>
      </c>
      <c r="S29" s="636"/>
      <c r="T29" s="618" t="s">
        <v>108</v>
      </c>
      <c r="U29" s="619"/>
      <c r="V29" s="221" t="s">
        <v>107</v>
      </c>
      <c r="W29" s="172"/>
      <c r="X29" s="220"/>
      <c r="Y29" s="154"/>
      <c r="Z29" s="219"/>
      <c r="AA29" s="154"/>
      <c r="AB29" s="154"/>
      <c r="AC29" s="219"/>
      <c r="AD29" s="154"/>
      <c r="AE29" s="205"/>
      <c r="AF29" s="156"/>
      <c r="AG29" s="156"/>
      <c r="AH29" s="156"/>
      <c r="AI29" s="156"/>
      <c r="AJ29" s="156"/>
      <c r="AK29" s="156"/>
    </row>
    <row r="30" spans="6:37" ht="20.100000000000001" customHeight="1" thickBot="1">
      <c r="H30" s="631" t="s">
        <v>106</v>
      </c>
      <c r="I30" s="632"/>
      <c r="J30" s="218">
        <v>8</v>
      </c>
      <c r="M30" s="217"/>
      <c r="N30" s="156"/>
      <c r="O30" s="216" t="str">
        <f t="array" ref="O30">IFERROR(INDEX(HOURS,SMALL(IF(('[2]CURRENT WIP'!$D$1=$G$19:H27),MATCH(ROW(HOURS),ROW(HOURS)),""),ROW('[2]CURRENT WIP'!B1)),COLUMN('[2]CURRENT WIP'!B1)),"")</f>
        <v/>
      </c>
      <c r="P30" s="215" t="str">
        <f t="array" ref="P30">IFERROR(INDEX(HOURS,SMALL(IF(('[2]CURRENT WIP'!$D$1=$G$19:I27),MATCH(ROW(HOURS),ROW(HOURS)),""),ROW('[2]CURRENT WIP'!C1)),COLUMN('[2]CURRENT WIP'!C1)),"")</f>
        <v/>
      </c>
      <c r="Q30" s="214" t="str">
        <f t="shared" ref="Q30:Q38" si="0">IFERROR($M$30/P30, " ")</f>
        <v xml:space="preserve"> </v>
      </c>
      <c r="R30" s="214" t="str">
        <f t="shared" ref="R30:R38" si="1">IFERROR($I$33*LEFT(O30,2), " ")</f>
        <v xml:space="preserve"> </v>
      </c>
      <c r="S30" s="213" t="str">
        <f t="shared" ref="S30:S38" si="2">IFERROR($B$5*V30, " ")</f>
        <v xml:space="preserve"> </v>
      </c>
      <c r="T30" s="214" t="str">
        <f t="shared" ref="T30:T38" si="3">IFERROR($I$34*LEFT(O30,2), " ")</f>
        <v xml:space="preserve"> </v>
      </c>
      <c r="U30" s="213" t="str">
        <f t="shared" ref="U30:U38" si="4">IFERROR($B$6*V30, " ")</f>
        <v xml:space="preserve"> </v>
      </c>
      <c r="V30" s="213" t="str">
        <f t="shared" ref="V30:V38" si="5">IFERROR(P30/1000, " ")</f>
        <v xml:space="preserve"> </v>
      </c>
      <c r="W30" s="172"/>
      <c r="X30" s="212" t="s">
        <v>103</v>
      </c>
      <c r="Y30" s="211">
        <f>'HEAD COUNT'!I3</f>
        <v>0</v>
      </c>
      <c r="Z30" s="206"/>
      <c r="AA30" s="212" t="s">
        <v>103</v>
      </c>
      <c r="AB30" s="211">
        <f>'HEAD COUNT'!I6</f>
        <v>0</v>
      </c>
      <c r="AC30" s="206"/>
      <c r="AD30" s="212" t="s">
        <v>103</v>
      </c>
      <c r="AE30" s="210">
        <f>SUM(Y30,AB30)</f>
        <v>0</v>
      </c>
      <c r="AF30" s="156"/>
      <c r="AG30" s="156"/>
      <c r="AH30" s="156"/>
      <c r="AI30" s="156"/>
      <c r="AJ30" s="156"/>
      <c r="AK30" s="156"/>
    </row>
    <row r="31" spans="6:37" ht="20.100000000000001" customHeight="1" thickBot="1">
      <c r="N31" s="156"/>
      <c r="O31" s="176" t="str">
        <f t="array" ref="O31">IFERROR(INDEX(HOURS,SMALL(IF(('[2]CURRENT WIP'!$D$1=$G$19:H28),MATCH(ROW(HOURS),ROW(HOURS)),""),ROW('[2]CURRENT WIP'!B2)),COLUMN('[2]CURRENT WIP'!B2)),"")</f>
        <v/>
      </c>
      <c r="P31" s="175" t="str">
        <f t="array" ref="P31">IFERROR(INDEX(HOURS,SMALL(IF(('[2]CURRENT WIP'!$D$1=$G$19:I28),MATCH(ROW(HOURS),ROW(HOURS)),""),ROW('[2]CURRENT WIP'!C2)),COLUMN('[2]CURRENT WIP'!C2)),"")</f>
        <v/>
      </c>
      <c r="Q31" s="174" t="str">
        <f t="shared" si="0"/>
        <v xml:space="preserve"> </v>
      </c>
      <c r="R31" s="174" t="str">
        <f t="shared" si="1"/>
        <v xml:space="preserve"> </v>
      </c>
      <c r="S31" s="173" t="str">
        <f t="shared" si="2"/>
        <v xml:space="preserve"> </v>
      </c>
      <c r="T31" s="174" t="str">
        <f t="shared" si="3"/>
        <v xml:space="preserve"> </v>
      </c>
      <c r="U31" s="173" t="str">
        <f t="shared" si="4"/>
        <v xml:space="preserve"> </v>
      </c>
      <c r="V31" s="173" t="str">
        <f t="shared" si="5"/>
        <v xml:space="preserve"> </v>
      </c>
      <c r="W31" s="172"/>
      <c r="X31" s="614" t="s">
        <v>105</v>
      </c>
      <c r="Y31" s="211"/>
      <c r="Z31" s="206"/>
      <c r="AA31" s="614" t="s">
        <v>105</v>
      </c>
      <c r="AB31" s="211"/>
      <c r="AC31" s="206"/>
      <c r="AD31" s="614" t="s">
        <v>105</v>
      </c>
      <c r="AE31" s="210">
        <f>SUM(Y31,AB31)</f>
        <v>0</v>
      </c>
      <c r="AF31" s="204"/>
      <c r="AG31" s="209"/>
      <c r="AH31" s="209"/>
      <c r="AI31" s="209"/>
      <c r="AJ31" s="156"/>
      <c r="AK31" s="156"/>
    </row>
    <row r="32" spans="6:37" ht="20.100000000000001" customHeight="1" thickBot="1">
      <c r="G32" s="154"/>
      <c r="H32" s="633" t="s">
        <v>104</v>
      </c>
      <c r="I32" s="634"/>
      <c r="J32" s="208" t="s">
        <v>103</v>
      </c>
      <c r="K32" s="207" t="s">
        <v>58</v>
      </c>
      <c r="M32" s="187" t="s">
        <v>102</v>
      </c>
      <c r="N32" s="156"/>
      <c r="O32" s="176" t="str">
        <f t="array" ref="O32">IFERROR(INDEX(HOURS,SMALL(IF(('[2]CURRENT WIP'!$D$1=$G$19:H29),MATCH(ROW(HOURS),ROW(HOURS)),""),ROW('[2]CURRENT WIP'!B3)),COLUMN('[2]CURRENT WIP'!B3)),"")</f>
        <v/>
      </c>
      <c r="P32" s="175" t="str">
        <f t="array" ref="P32">IFERROR(INDEX(HOURS,SMALL(IF(('[2]CURRENT WIP'!$D$1=$G$19:I29),MATCH(ROW(HOURS),ROW(HOURS)),""),ROW('[2]CURRENT WIP'!C3)),COLUMN('[2]CURRENT WIP'!C3)),"")</f>
        <v/>
      </c>
      <c r="Q32" s="174" t="str">
        <f t="shared" si="0"/>
        <v xml:space="preserve"> </v>
      </c>
      <c r="R32" s="174" t="str">
        <f t="shared" si="1"/>
        <v xml:space="preserve"> </v>
      </c>
      <c r="S32" s="173" t="str">
        <f t="shared" si="2"/>
        <v xml:space="preserve"> </v>
      </c>
      <c r="T32" s="174" t="str">
        <f t="shared" si="3"/>
        <v xml:space="preserve"> </v>
      </c>
      <c r="U32" s="173" t="str">
        <f t="shared" si="4"/>
        <v xml:space="preserve"> </v>
      </c>
      <c r="V32" s="173" t="str">
        <f t="shared" si="5"/>
        <v xml:space="preserve"> </v>
      </c>
      <c r="W32" s="172"/>
      <c r="X32" s="614"/>
      <c r="Y32" s="154"/>
      <c r="Z32" s="206"/>
      <c r="AA32" s="614"/>
      <c r="AB32" s="154"/>
      <c r="AC32" s="206"/>
      <c r="AD32" s="614"/>
      <c r="AE32" s="205"/>
      <c r="AF32" s="204"/>
      <c r="AG32" s="203"/>
      <c r="AH32" s="203"/>
      <c r="AI32" s="203"/>
      <c r="AJ32" s="156"/>
      <c r="AK32" s="156"/>
    </row>
    <row r="33" spans="7:37" ht="20.100000000000001" customHeight="1" thickBot="1">
      <c r="G33" s="154"/>
      <c r="H33" s="202" t="s">
        <v>100</v>
      </c>
      <c r="I33" s="201">
        <v>72</v>
      </c>
      <c r="J33" s="200">
        <v>650</v>
      </c>
      <c r="K33" s="199">
        <f>I33/I35</f>
        <v>0.52554744525547448</v>
      </c>
      <c r="M33" s="198"/>
      <c r="N33" s="156"/>
      <c r="O33" s="176" t="str">
        <f t="array" ref="O33">IFERROR(INDEX(HOURS,SMALL(IF(('[2]CURRENT WIP'!$D$1=$G$19:H30),MATCH(ROW(HOURS),ROW(HOURS)),""),ROW('[2]CURRENT WIP'!B4)),COLUMN('[2]CURRENT WIP'!B4)),"")</f>
        <v/>
      </c>
      <c r="P33" s="175" t="str">
        <f t="array" ref="P33">IFERROR(INDEX(HOURS,SMALL(IF(('[2]CURRENT WIP'!$D$1=$G$19:I30),MATCH(ROW(HOURS),ROW(HOURS)),""),ROW('[2]CURRENT WIP'!C4)),COLUMN('[2]CURRENT WIP'!C4)),"")</f>
        <v/>
      </c>
      <c r="Q33" s="174" t="str">
        <f t="shared" si="0"/>
        <v xml:space="preserve"> </v>
      </c>
      <c r="R33" s="174" t="str">
        <f t="shared" si="1"/>
        <v xml:space="preserve"> </v>
      </c>
      <c r="S33" s="173" t="str">
        <f t="shared" si="2"/>
        <v xml:space="preserve"> </v>
      </c>
      <c r="T33" s="174" t="str">
        <f t="shared" si="3"/>
        <v xml:space="preserve"> </v>
      </c>
      <c r="U33" s="173" t="str">
        <f t="shared" si="4"/>
        <v xml:space="preserve"> </v>
      </c>
      <c r="V33" s="173" t="str">
        <f t="shared" si="5"/>
        <v xml:space="preserve"> </v>
      </c>
      <c r="W33" s="172"/>
      <c r="X33" s="611" t="s">
        <v>101</v>
      </c>
      <c r="Y33" s="612"/>
      <c r="Z33" s="612"/>
      <c r="AA33" s="612"/>
      <c r="AB33" s="612"/>
      <c r="AC33" s="612"/>
      <c r="AD33" s="612"/>
      <c r="AE33" s="613"/>
      <c r="AF33" s="156"/>
      <c r="AG33" s="156"/>
      <c r="AH33" s="156"/>
      <c r="AI33" s="156"/>
      <c r="AJ33" s="156"/>
      <c r="AK33" s="156"/>
    </row>
    <row r="34" spans="7:37" ht="20.100000000000001" customHeight="1" thickBot="1">
      <c r="H34" s="197" t="s">
        <v>99</v>
      </c>
      <c r="I34" s="196">
        <v>65</v>
      </c>
      <c r="J34" s="195">
        <v>450</v>
      </c>
      <c r="K34" s="194">
        <f>I34/I35</f>
        <v>0.47445255474452552</v>
      </c>
      <c r="N34" s="156"/>
      <c r="O34" s="176" t="str">
        <f t="array" ref="O34">IFERROR(INDEX(HOURS,SMALL(IF(('[2]CURRENT WIP'!$D$1=$G$19:H31),MATCH(ROW(HOURS),ROW(HOURS)),""),ROW('[2]CURRENT WIP'!B5)),COLUMN('[2]CURRENT WIP'!B5)),"")</f>
        <v/>
      </c>
      <c r="P34" s="175" t="str">
        <f t="array" ref="P34">IFERROR(INDEX(HOURS,SMALL(IF(('[2]CURRENT WIP'!$D$1=$G$19:I31),MATCH(ROW(HOURS),ROW(HOURS)),""),ROW('[2]CURRENT WIP'!C5)),COLUMN('[2]CURRENT WIP'!C5)),"")</f>
        <v/>
      </c>
      <c r="Q34" s="174" t="str">
        <f t="shared" si="0"/>
        <v xml:space="preserve"> </v>
      </c>
      <c r="R34" s="174" t="str">
        <f t="shared" si="1"/>
        <v xml:space="preserve"> </v>
      </c>
      <c r="S34" s="173" t="str">
        <f t="shared" si="2"/>
        <v xml:space="preserve"> </v>
      </c>
      <c r="T34" s="174" t="str">
        <f t="shared" si="3"/>
        <v xml:space="preserve"> </v>
      </c>
      <c r="U34" s="173" t="str">
        <f t="shared" si="4"/>
        <v xml:space="preserve"> </v>
      </c>
      <c r="V34" s="173" t="str">
        <f t="shared" si="5"/>
        <v xml:space="preserve"> </v>
      </c>
      <c r="W34" s="172"/>
      <c r="X34" s="602" t="s">
        <v>100</v>
      </c>
      <c r="Y34" s="603"/>
      <c r="Z34" s="193"/>
      <c r="AA34" s="604" t="s">
        <v>99</v>
      </c>
      <c r="AB34" s="605"/>
      <c r="AC34" s="192"/>
      <c r="AD34" s="606" t="s">
        <v>16</v>
      </c>
      <c r="AE34" s="607"/>
      <c r="AF34" s="156"/>
      <c r="AG34" s="156"/>
      <c r="AH34" s="156"/>
      <c r="AI34" s="156"/>
      <c r="AJ34" s="156"/>
      <c r="AK34" s="156"/>
    </row>
    <row r="35" spans="7:37" ht="20.100000000000001" customHeight="1" thickBot="1">
      <c r="H35" s="191" t="s">
        <v>16</v>
      </c>
      <c r="I35" s="190">
        <f>SUM(I33:I34)</f>
        <v>137</v>
      </c>
      <c r="J35" s="189">
        <f>SUM(J33:J34)</f>
        <v>1100</v>
      </c>
      <c r="K35" s="188">
        <f>SUM(K33:K34)</f>
        <v>1</v>
      </c>
      <c r="M35" s="187" t="s">
        <v>98</v>
      </c>
      <c r="N35" s="156"/>
      <c r="O35" s="176" t="str">
        <f t="array" ref="O35">IFERROR(INDEX(HOURS,SMALL(IF(('[2]CURRENT WIP'!$D$1=$G$19:H32),MATCH(ROW(HOURS),ROW(HOURS)),""),ROW('[2]CURRENT WIP'!B6)),COLUMN('[2]CURRENT WIP'!B6)),"")</f>
        <v/>
      </c>
      <c r="P35" s="175" t="str">
        <f t="array" ref="P35">IFERROR(INDEX(HOURS,SMALL(IF(('[2]CURRENT WIP'!$D$1=$G$19:I32),MATCH(ROW(HOURS),ROW(HOURS)),""),ROW('[2]CURRENT WIP'!C6)),COLUMN('[2]CURRENT WIP'!C6)),"")</f>
        <v/>
      </c>
      <c r="Q35" s="174" t="str">
        <f t="shared" si="0"/>
        <v xml:space="preserve"> </v>
      </c>
      <c r="R35" s="174" t="str">
        <f t="shared" si="1"/>
        <v xml:space="preserve"> </v>
      </c>
      <c r="S35" s="173" t="str">
        <f t="shared" si="2"/>
        <v xml:space="preserve"> </v>
      </c>
      <c r="T35" s="174" t="str">
        <f t="shared" si="3"/>
        <v xml:space="preserve"> </v>
      </c>
      <c r="U35" s="173" t="str">
        <f t="shared" si="4"/>
        <v xml:space="preserve"> </v>
      </c>
      <c r="V35" s="173" t="str">
        <f t="shared" si="5"/>
        <v xml:space="preserve"> </v>
      </c>
      <c r="W35" s="172"/>
      <c r="X35" s="186" t="s">
        <v>97</v>
      </c>
      <c r="Y35" s="185">
        <f>Y31/((I33*J30*H28))</f>
        <v>0</v>
      </c>
      <c r="Z35" s="169"/>
      <c r="AA35" s="184" t="s">
        <v>97</v>
      </c>
      <c r="AB35" s="185">
        <f>AB31/(I34*J30*H28)</f>
        <v>0</v>
      </c>
      <c r="AC35" s="169"/>
      <c r="AD35" s="184" t="s">
        <v>97</v>
      </c>
      <c r="AE35" s="183">
        <f>AE31/((I33*J30*H28)+(I34*J30*H28))</f>
        <v>0</v>
      </c>
      <c r="AF35" s="156"/>
      <c r="AG35" s="156"/>
      <c r="AH35" s="156"/>
      <c r="AI35" s="156"/>
      <c r="AJ35" s="156"/>
      <c r="AK35" s="156"/>
    </row>
    <row r="36" spans="7:37" ht="20.100000000000001" customHeight="1" thickBot="1">
      <c r="M36" s="182" t="e">
        <f>M30/M33</f>
        <v>#DIV/0!</v>
      </c>
      <c r="N36" s="156"/>
      <c r="O36" s="176" t="str">
        <f t="array" ref="O36">IFERROR(INDEX(HOURS,SMALL(IF(('[2]CURRENT WIP'!$D$1=$G$19:H33),MATCH(ROW(HOURS),ROW(HOURS)),""),ROW('[2]CURRENT WIP'!B7)),COLUMN('[2]CURRENT WIP'!B7)),"")</f>
        <v/>
      </c>
      <c r="P36" s="175" t="str">
        <f t="array" ref="P36">IFERROR(INDEX(HOURS,SMALL(IF(('[2]CURRENT WIP'!$D$1=$G$19:I33),MATCH(ROW(HOURS),ROW(HOURS)),""),ROW('[2]CURRENT WIP'!C7)),COLUMN('[2]CURRENT WIP'!C7)),"")</f>
        <v/>
      </c>
      <c r="Q36" s="174" t="str">
        <f t="shared" si="0"/>
        <v xml:space="preserve"> </v>
      </c>
      <c r="R36" s="174" t="str">
        <f t="shared" si="1"/>
        <v xml:space="preserve"> </v>
      </c>
      <c r="S36" s="173" t="str">
        <f t="shared" si="2"/>
        <v xml:space="preserve"> </v>
      </c>
      <c r="T36" s="174" t="str">
        <f t="shared" si="3"/>
        <v xml:space="preserve"> </v>
      </c>
      <c r="U36" s="173" t="str">
        <f t="shared" si="4"/>
        <v xml:space="preserve"> </v>
      </c>
      <c r="V36" s="173" t="str">
        <f t="shared" si="5"/>
        <v xml:space="preserve"> </v>
      </c>
      <c r="W36" s="172"/>
      <c r="X36" s="181" t="s">
        <v>96</v>
      </c>
      <c r="Y36" s="180">
        <f>Y31/((I33*J30*I28))</f>
        <v>0</v>
      </c>
      <c r="Z36" s="169"/>
      <c r="AA36" s="179" t="s">
        <v>96</v>
      </c>
      <c r="AB36" s="180">
        <f>AB31/((I34*J30*I28))</f>
        <v>0</v>
      </c>
      <c r="AC36" s="169"/>
      <c r="AD36" s="179" t="s">
        <v>96</v>
      </c>
      <c r="AE36" s="178">
        <f>AE31/((I33*J30*I28)+(I34*J30*I28))</f>
        <v>0</v>
      </c>
      <c r="AF36" s="156"/>
      <c r="AG36" s="156"/>
      <c r="AH36" s="156"/>
      <c r="AI36" s="156"/>
      <c r="AJ36" s="156"/>
      <c r="AK36" s="156"/>
    </row>
    <row r="37" spans="7:37" ht="20.100000000000001" customHeight="1" thickBot="1">
      <c r="H37" s="154"/>
      <c r="I37" s="154"/>
      <c r="J37" s="154"/>
      <c r="K37" s="154"/>
      <c r="M37" s="177" t="s">
        <v>95</v>
      </c>
      <c r="N37" s="156"/>
      <c r="O37" s="176" t="str">
        <f t="array" ref="O37">IFERROR(INDEX(HOURS,SMALL(IF(('[2]CURRENT WIP'!$D$1=$G$19:H34),MATCH(ROW(HOURS),ROW(HOURS)),""),ROW('[2]CURRENT WIP'!B8)),COLUMN('[2]CURRENT WIP'!B8)),"")</f>
        <v/>
      </c>
      <c r="P37" s="175" t="str">
        <f t="array" ref="P37">IFERROR(INDEX(HOURS,SMALL(IF(('[2]CURRENT WIP'!$D$1=$G$19:I34),MATCH(ROW(HOURS),ROW(HOURS)),""),ROW('[2]CURRENT WIP'!C8)),COLUMN('[2]CURRENT WIP'!C8)),"")</f>
        <v/>
      </c>
      <c r="Q37" s="174" t="str">
        <f t="shared" si="0"/>
        <v xml:space="preserve"> </v>
      </c>
      <c r="R37" s="174" t="str">
        <f t="shared" si="1"/>
        <v xml:space="preserve"> </v>
      </c>
      <c r="S37" s="173" t="str">
        <f t="shared" si="2"/>
        <v xml:space="preserve"> </v>
      </c>
      <c r="T37" s="174" t="str">
        <f t="shared" si="3"/>
        <v xml:space="preserve"> </v>
      </c>
      <c r="U37" s="173" t="str">
        <f t="shared" si="4"/>
        <v xml:space="preserve"> </v>
      </c>
      <c r="V37" s="173" t="str">
        <f t="shared" si="5"/>
        <v xml:space="preserve"> </v>
      </c>
      <c r="W37" s="172"/>
      <c r="X37" s="171" t="s">
        <v>94</v>
      </c>
      <c r="Y37" s="170">
        <f>Y31/((I33*J30*K28))</f>
        <v>0</v>
      </c>
      <c r="Z37" s="169"/>
      <c r="AA37" s="168" t="s">
        <v>94</v>
      </c>
      <c r="AB37" s="170">
        <f>AB31/((I34*J30*K28))</f>
        <v>0</v>
      </c>
      <c r="AC37" s="169"/>
      <c r="AD37" s="168" t="s">
        <v>94</v>
      </c>
      <c r="AE37" s="167">
        <f>AE31/((I33*J30*K28)+(I34*J30*K28))</f>
        <v>0</v>
      </c>
      <c r="AF37" s="156"/>
      <c r="AG37" s="156"/>
      <c r="AH37" s="156"/>
      <c r="AI37" s="156"/>
      <c r="AJ37" s="156"/>
      <c r="AK37" s="156"/>
    </row>
    <row r="38" spans="7:37" ht="20.100000000000001" customHeight="1" thickBot="1">
      <c r="N38" s="156"/>
      <c r="O38" s="166" t="str">
        <f t="array" ref="O38">IFERROR(INDEX(HOURS,SMALL(IF(('[2]CURRENT WIP'!$D$1=$G$19:H35),MATCH(ROW(HOURS),ROW(HOURS)),""),ROW('[2]CURRENT WIP'!B9)),COLUMN('[2]CURRENT WIP'!B9)),"")</f>
        <v/>
      </c>
      <c r="P38" s="165" t="str">
        <f t="array" ref="P38">IFERROR(INDEX(HOURS,SMALL(IF(('[2]CURRENT WIP'!$D$1=$G$19:I35),MATCH(ROW(HOURS),ROW(HOURS)),""),ROW('[2]CURRENT WIP'!C9)),COLUMN('[2]CURRENT WIP'!C9)),"")</f>
        <v/>
      </c>
      <c r="Q38" s="164" t="str">
        <f t="shared" si="0"/>
        <v xml:space="preserve"> </v>
      </c>
      <c r="R38" s="164" t="str">
        <f t="shared" si="1"/>
        <v xml:space="preserve"> </v>
      </c>
      <c r="S38" s="163" t="str">
        <f t="shared" si="2"/>
        <v xml:space="preserve"> </v>
      </c>
      <c r="T38" s="164" t="str">
        <f t="shared" si="3"/>
        <v xml:space="preserve"> </v>
      </c>
      <c r="U38" s="163" t="str">
        <f t="shared" si="4"/>
        <v xml:space="preserve"> </v>
      </c>
      <c r="V38" s="163" t="str">
        <f t="shared" si="5"/>
        <v xml:space="preserve"> </v>
      </c>
      <c r="W38" s="162"/>
      <c r="X38" s="161"/>
      <c r="Y38" s="160"/>
      <c r="Z38" s="159"/>
      <c r="AA38" s="599" t="s">
        <v>93</v>
      </c>
      <c r="AB38" s="600"/>
      <c r="AC38" s="600"/>
      <c r="AD38" s="601"/>
      <c r="AE38" s="158" t="e">
        <f>AE31/AE30</f>
        <v>#DIV/0!</v>
      </c>
      <c r="AF38" s="156"/>
      <c r="AG38" s="156"/>
      <c r="AH38" s="156"/>
      <c r="AI38" s="156"/>
      <c r="AJ38" s="156"/>
      <c r="AK38" s="156"/>
    </row>
    <row r="39" spans="7:37">
      <c r="N39" s="156"/>
      <c r="T39" s="156"/>
      <c r="U39" s="156"/>
      <c r="V39" s="156"/>
      <c r="W39" s="156"/>
    </row>
    <row r="40" spans="7:37">
      <c r="N40" s="156"/>
      <c r="T40" s="156"/>
      <c r="U40" s="156"/>
      <c r="V40" s="156"/>
      <c r="W40" s="156"/>
    </row>
    <row r="41" spans="7:37">
      <c r="N41" s="156"/>
      <c r="V41" s="157"/>
      <c r="W41" s="156"/>
    </row>
    <row r="42" spans="7:37">
      <c r="N42" s="156"/>
      <c r="V42" s="157"/>
      <c r="W42" s="156"/>
    </row>
    <row r="43" spans="7:37">
      <c r="N43" s="156"/>
      <c r="W43" s="156"/>
    </row>
    <row r="44" spans="7:37">
      <c r="W44" s="156"/>
    </row>
    <row r="45" spans="7:37">
      <c r="W45" s="156"/>
    </row>
    <row r="46" spans="7:37">
      <c r="S46" s="622"/>
      <c r="T46" s="622"/>
      <c r="U46" s="153"/>
      <c r="V46" s="155"/>
    </row>
    <row r="47" spans="7:37">
      <c r="S47" s="154"/>
      <c r="T47" s="154"/>
      <c r="U47" s="154"/>
      <c r="V47" s="151"/>
    </row>
    <row r="48" spans="7:37">
      <c r="S48" s="154"/>
      <c r="T48" s="154"/>
      <c r="U48" s="154"/>
      <c r="V48" s="151"/>
    </row>
    <row r="49" spans="19:22">
      <c r="S49" s="154"/>
      <c r="T49" s="153"/>
      <c r="U49" s="152"/>
      <c r="V49" s="151"/>
    </row>
    <row r="50" spans="19:22">
      <c r="T50" s="151"/>
      <c r="U50" s="151"/>
      <c r="V50" s="151"/>
    </row>
    <row r="51" spans="19:22">
      <c r="U51" s="151"/>
      <c r="V51" s="151"/>
    </row>
  </sheetData>
  <mergeCells count="21">
    <mergeCell ref="O28:V28"/>
    <mergeCell ref="T29:U29"/>
    <mergeCell ref="A13:B13"/>
    <mergeCell ref="S46:T46"/>
    <mergeCell ref="D1:E1"/>
    <mergeCell ref="H2:K2"/>
    <mergeCell ref="M2:O2"/>
    <mergeCell ref="H3:K3"/>
    <mergeCell ref="A12:B12"/>
    <mergeCell ref="H30:I30"/>
    <mergeCell ref="H32:I32"/>
    <mergeCell ref="R29:S29"/>
    <mergeCell ref="AA38:AD38"/>
    <mergeCell ref="X34:Y34"/>
    <mergeCell ref="AA34:AB34"/>
    <mergeCell ref="AD34:AE34"/>
    <mergeCell ref="X28:AE28"/>
    <mergeCell ref="X33:AE33"/>
    <mergeCell ref="X31:X32"/>
    <mergeCell ref="AA31:AA32"/>
    <mergeCell ref="AD31:AD32"/>
  </mergeCells>
  <dataValidations disablePrompts="1" count="8">
    <dataValidation type="list" allowBlank="1" showInputMessage="1" showErrorMessage="1" sqref="J30" xr:uid="{00000000-0002-0000-0600-000000000000}">
      <formula1>"8, 10, 12"</formula1>
    </dataValidation>
    <dataValidation type="list" allowBlank="1" showInputMessage="1" showErrorMessage="1" sqref="E13" xr:uid="{00000000-0002-0000-0600-000001000000}">
      <formula1>$I$25:$I$27</formula1>
    </dataValidation>
    <dataValidation type="list" allowBlank="1" showInputMessage="1" showErrorMessage="1" sqref="D13" xr:uid="{00000000-0002-0000-0600-000002000000}">
      <formula1>$I$22:$I$24</formula1>
    </dataValidation>
    <dataValidation type="list" allowBlank="1" showInputMessage="1" showErrorMessage="1" sqref="C13" xr:uid="{00000000-0002-0000-0600-000003000000}">
      <formula1>$I$19:$I$21</formula1>
    </dataValidation>
    <dataValidation type="list" allowBlank="1" showInputMessage="1" showErrorMessage="1" sqref="E5:E6 JG5:JG6 TC5:TC6 ACY5:ACY6 AMU5:AMU6 AWQ5:AWQ6 BGM5:BGM6 BQI5:BQI6 CAE5:CAE6 CKA5:CKA6 CTW5:CTW6 DDS5:DDS6 DNO5:DNO6 DXK5:DXK6 EHG5:EHG6 ERC5:ERC6 FAY5:FAY6 FKU5:FKU6 FUQ5:FUQ6 GEM5:GEM6 GOI5:GOI6 GYE5:GYE6 HIA5:HIA6 HRW5:HRW6 IBS5:IBS6 ILO5:ILO6 IVK5:IVK6 JFG5:JFG6 JPC5:JPC6 JYY5:JYY6 KIU5:KIU6 KSQ5:KSQ6 LCM5:LCM6 LMI5:LMI6 LWE5:LWE6 MGA5:MGA6 MPW5:MPW6 MZS5:MZS6 NJO5:NJO6 NTK5:NTK6 ODG5:ODG6 ONC5:ONC6 OWY5:OWY6 PGU5:PGU6 PQQ5:PQQ6 QAM5:QAM6 QKI5:QKI6 QUE5:QUE6 REA5:REA6 RNW5:RNW6 RXS5:RXS6 SHO5:SHO6 SRK5:SRK6 TBG5:TBG6 TLC5:TLC6 TUY5:TUY6 UEU5:UEU6 UOQ5:UOQ6 UYM5:UYM6 VII5:VII6 VSE5:VSE6 WCA5:WCA6 WLW5:WLW6 WVS5:WVS6 E65541:E65542 JG65541:JG65542 TC65541:TC65542 ACY65541:ACY65542 AMU65541:AMU65542 AWQ65541:AWQ65542 BGM65541:BGM65542 BQI65541:BQI65542 CAE65541:CAE65542 CKA65541:CKA65542 CTW65541:CTW65542 DDS65541:DDS65542 DNO65541:DNO65542 DXK65541:DXK65542 EHG65541:EHG65542 ERC65541:ERC65542 FAY65541:FAY65542 FKU65541:FKU65542 FUQ65541:FUQ65542 GEM65541:GEM65542 GOI65541:GOI65542 GYE65541:GYE65542 HIA65541:HIA65542 HRW65541:HRW65542 IBS65541:IBS65542 ILO65541:ILO65542 IVK65541:IVK65542 JFG65541:JFG65542 JPC65541:JPC65542 JYY65541:JYY65542 KIU65541:KIU65542 KSQ65541:KSQ65542 LCM65541:LCM65542 LMI65541:LMI65542 LWE65541:LWE65542 MGA65541:MGA65542 MPW65541:MPW65542 MZS65541:MZS65542 NJO65541:NJO65542 NTK65541:NTK65542 ODG65541:ODG65542 ONC65541:ONC65542 OWY65541:OWY65542 PGU65541:PGU65542 PQQ65541:PQQ65542 QAM65541:QAM65542 QKI65541:QKI65542 QUE65541:QUE65542 REA65541:REA65542 RNW65541:RNW65542 RXS65541:RXS65542 SHO65541:SHO65542 SRK65541:SRK65542 TBG65541:TBG65542 TLC65541:TLC65542 TUY65541:TUY65542 UEU65541:UEU65542 UOQ65541:UOQ65542 UYM65541:UYM65542 VII65541:VII65542 VSE65541:VSE65542 WCA65541:WCA65542 WLW65541:WLW65542 WVS65541:WVS65542 E131077:E131078 JG131077:JG131078 TC131077:TC131078 ACY131077:ACY131078 AMU131077:AMU131078 AWQ131077:AWQ131078 BGM131077:BGM131078 BQI131077:BQI131078 CAE131077:CAE131078 CKA131077:CKA131078 CTW131077:CTW131078 DDS131077:DDS131078 DNO131077:DNO131078 DXK131077:DXK131078 EHG131077:EHG131078 ERC131077:ERC131078 FAY131077:FAY131078 FKU131077:FKU131078 FUQ131077:FUQ131078 GEM131077:GEM131078 GOI131077:GOI131078 GYE131077:GYE131078 HIA131077:HIA131078 HRW131077:HRW131078 IBS131077:IBS131078 ILO131077:ILO131078 IVK131077:IVK131078 JFG131077:JFG131078 JPC131077:JPC131078 JYY131077:JYY131078 KIU131077:KIU131078 KSQ131077:KSQ131078 LCM131077:LCM131078 LMI131077:LMI131078 LWE131077:LWE131078 MGA131077:MGA131078 MPW131077:MPW131078 MZS131077:MZS131078 NJO131077:NJO131078 NTK131077:NTK131078 ODG131077:ODG131078 ONC131077:ONC131078 OWY131077:OWY131078 PGU131077:PGU131078 PQQ131077:PQQ131078 QAM131077:QAM131078 QKI131077:QKI131078 QUE131077:QUE131078 REA131077:REA131078 RNW131077:RNW131078 RXS131077:RXS131078 SHO131077:SHO131078 SRK131077:SRK131078 TBG131077:TBG131078 TLC131077:TLC131078 TUY131077:TUY131078 UEU131077:UEU131078 UOQ131077:UOQ131078 UYM131077:UYM131078 VII131077:VII131078 VSE131077:VSE131078 WCA131077:WCA131078 WLW131077:WLW131078 WVS131077:WVS131078 E196613:E196614 JG196613:JG196614 TC196613:TC196614 ACY196613:ACY196614 AMU196613:AMU196614 AWQ196613:AWQ196614 BGM196613:BGM196614 BQI196613:BQI196614 CAE196613:CAE196614 CKA196613:CKA196614 CTW196613:CTW196614 DDS196613:DDS196614 DNO196613:DNO196614 DXK196613:DXK196614 EHG196613:EHG196614 ERC196613:ERC196614 FAY196613:FAY196614 FKU196613:FKU196614 FUQ196613:FUQ196614 GEM196613:GEM196614 GOI196613:GOI196614 GYE196613:GYE196614 HIA196613:HIA196614 HRW196613:HRW196614 IBS196613:IBS196614 ILO196613:ILO196614 IVK196613:IVK196614 JFG196613:JFG196614 JPC196613:JPC196614 JYY196613:JYY196614 KIU196613:KIU196614 KSQ196613:KSQ196614 LCM196613:LCM196614 LMI196613:LMI196614 LWE196613:LWE196614 MGA196613:MGA196614 MPW196613:MPW196614 MZS196613:MZS196614 NJO196613:NJO196614 NTK196613:NTK196614 ODG196613:ODG196614 ONC196613:ONC196614 OWY196613:OWY196614 PGU196613:PGU196614 PQQ196613:PQQ196614 QAM196613:QAM196614 QKI196613:QKI196614 QUE196613:QUE196614 REA196613:REA196614 RNW196613:RNW196614 RXS196613:RXS196614 SHO196613:SHO196614 SRK196613:SRK196614 TBG196613:TBG196614 TLC196613:TLC196614 TUY196613:TUY196614 UEU196613:UEU196614 UOQ196613:UOQ196614 UYM196613:UYM196614 VII196613:VII196614 VSE196613:VSE196614 WCA196613:WCA196614 WLW196613:WLW196614 WVS196613:WVS196614 E262149:E262150 JG262149:JG262150 TC262149:TC262150 ACY262149:ACY262150 AMU262149:AMU262150 AWQ262149:AWQ262150 BGM262149:BGM262150 BQI262149:BQI262150 CAE262149:CAE262150 CKA262149:CKA262150 CTW262149:CTW262150 DDS262149:DDS262150 DNO262149:DNO262150 DXK262149:DXK262150 EHG262149:EHG262150 ERC262149:ERC262150 FAY262149:FAY262150 FKU262149:FKU262150 FUQ262149:FUQ262150 GEM262149:GEM262150 GOI262149:GOI262150 GYE262149:GYE262150 HIA262149:HIA262150 HRW262149:HRW262150 IBS262149:IBS262150 ILO262149:ILO262150 IVK262149:IVK262150 JFG262149:JFG262150 JPC262149:JPC262150 JYY262149:JYY262150 KIU262149:KIU262150 KSQ262149:KSQ262150 LCM262149:LCM262150 LMI262149:LMI262150 LWE262149:LWE262150 MGA262149:MGA262150 MPW262149:MPW262150 MZS262149:MZS262150 NJO262149:NJO262150 NTK262149:NTK262150 ODG262149:ODG262150 ONC262149:ONC262150 OWY262149:OWY262150 PGU262149:PGU262150 PQQ262149:PQQ262150 QAM262149:QAM262150 QKI262149:QKI262150 QUE262149:QUE262150 REA262149:REA262150 RNW262149:RNW262150 RXS262149:RXS262150 SHO262149:SHO262150 SRK262149:SRK262150 TBG262149:TBG262150 TLC262149:TLC262150 TUY262149:TUY262150 UEU262149:UEU262150 UOQ262149:UOQ262150 UYM262149:UYM262150 VII262149:VII262150 VSE262149:VSE262150 WCA262149:WCA262150 WLW262149:WLW262150 WVS262149:WVS262150 E327685:E327686 JG327685:JG327686 TC327685:TC327686 ACY327685:ACY327686 AMU327685:AMU327686 AWQ327685:AWQ327686 BGM327685:BGM327686 BQI327685:BQI327686 CAE327685:CAE327686 CKA327685:CKA327686 CTW327685:CTW327686 DDS327685:DDS327686 DNO327685:DNO327686 DXK327685:DXK327686 EHG327685:EHG327686 ERC327685:ERC327686 FAY327685:FAY327686 FKU327685:FKU327686 FUQ327685:FUQ327686 GEM327685:GEM327686 GOI327685:GOI327686 GYE327685:GYE327686 HIA327685:HIA327686 HRW327685:HRW327686 IBS327685:IBS327686 ILO327685:ILO327686 IVK327685:IVK327686 JFG327685:JFG327686 JPC327685:JPC327686 JYY327685:JYY327686 KIU327685:KIU327686 KSQ327685:KSQ327686 LCM327685:LCM327686 LMI327685:LMI327686 LWE327685:LWE327686 MGA327685:MGA327686 MPW327685:MPW327686 MZS327685:MZS327686 NJO327685:NJO327686 NTK327685:NTK327686 ODG327685:ODG327686 ONC327685:ONC327686 OWY327685:OWY327686 PGU327685:PGU327686 PQQ327685:PQQ327686 QAM327685:QAM327686 QKI327685:QKI327686 QUE327685:QUE327686 REA327685:REA327686 RNW327685:RNW327686 RXS327685:RXS327686 SHO327685:SHO327686 SRK327685:SRK327686 TBG327685:TBG327686 TLC327685:TLC327686 TUY327685:TUY327686 UEU327685:UEU327686 UOQ327685:UOQ327686 UYM327685:UYM327686 VII327685:VII327686 VSE327685:VSE327686 WCA327685:WCA327686 WLW327685:WLW327686 WVS327685:WVS327686 E393221:E393222 JG393221:JG393222 TC393221:TC393222 ACY393221:ACY393222 AMU393221:AMU393222 AWQ393221:AWQ393222 BGM393221:BGM393222 BQI393221:BQI393222 CAE393221:CAE393222 CKA393221:CKA393222 CTW393221:CTW393222 DDS393221:DDS393222 DNO393221:DNO393222 DXK393221:DXK393222 EHG393221:EHG393222 ERC393221:ERC393222 FAY393221:FAY393222 FKU393221:FKU393222 FUQ393221:FUQ393222 GEM393221:GEM393222 GOI393221:GOI393222 GYE393221:GYE393222 HIA393221:HIA393222 HRW393221:HRW393222 IBS393221:IBS393222 ILO393221:ILO393222 IVK393221:IVK393222 JFG393221:JFG393222 JPC393221:JPC393222 JYY393221:JYY393222 KIU393221:KIU393222 KSQ393221:KSQ393222 LCM393221:LCM393222 LMI393221:LMI393222 LWE393221:LWE393222 MGA393221:MGA393222 MPW393221:MPW393222 MZS393221:MZS393222 NJO393221:NJO393222 NTK393221:NTK393222 ODG393221:ODG393222 ONC393221:ONC393222 OWY393221:OWY393222 PGU393221:PGU393222 PQQ393221:PQQ393222 QAM393221:QAM393222 QKI393221:QKI393222 QUE393221:QUE393222 REA393221:REA393222 RNW393221:RNW393222 RXS393221:RXS393222 SHO393221:SHO393222 SRK393221:SRK393222 TBG393221:TBG393222 TLC393221:TLC393222 TUY393221:TUY393222 UEU393221:UEU393222 UOQ393221:UOQ393222 UYM393221:UYM393222 VII393221:VII393222 VSE393221:VSE393222 WCA393221:WCA393222 WLW393221:WLW393222 WVS393221:WVS393222 E458757:E458758 JG458757:JG458758 TC458757:TC458758 ACY458757:ACY458758 AMU458757:AMU458758 AWQ458757:AWQ458758 BGM458757:BGM458758 BQI458757:BQI458758 CAE458757:CAE458758 CKA458757:CKA458758 CTW458757:CTW458758 DDS458757:DDS458758 DNO458757:DNO458758 DXK458757:DXK458758 EHG458757:EHG458758 ERC458757:ERC458758 FAY458757:FAY458758 FKU458757:FKU458758 FUQ458757:FUQ458758 GEM458757:GEM458758 GOI458757:GOI458758 GYE458757:GYE458758 HIA458757:HIA458758 HRW458757:HRW458758 IBS458757:IBS458758 ILO458757:ILO458758 IVK458757:IVK458758 JFG458757:JFG458758 JPC458757:JPC458758 JYY458757:JYY458758 KIU458757:KIU458758 KSQ458757:KSQ458758 LCM458757:LCM458758 LMI458757:LMI458758 LWE458757:LWE458758 MGA458757:MGA458758 MPW458757:MPW458758 MZS458757:MZS458758 NJO458757:NJO458758 NTK458757:NTK458758 ODG458757:ODG458758 ONC458757:ONC458758 OWY458757:OWY458758 PGU458757:PGU458758 PQQ458757:PQQ458758 QAM458757:QAM458758 QKI458757:QKI458758 QUE458757:QUE458758 REA458757:REA458758 RNW458757:RNW458758 RXS458757:RXS458758 SHO458757:SHO458758 SRK458757:SRK458758 TBG458757:TBG458758 TLC458757:TLC458758 TUY458757:TUY458758 UEU458757:UEU458758 UOQ458757:UOQ458758 UYM458757:UYM458758 VII458757:VII458758 VSE458757:VSE458758 WCA458757:WCA458758 WLW458757:WLW458758 WVS458757:WVS458758 E524293:E524294 JG524293:JG524294 TC524293:TC524294 ACY524293:ACY524294 AMU524293:AMU524294 AWQ524293:AWQ524294 BGM524293:BGM524294 BQI524293:BQI524294 CAE524293:CAE524294 CKA524293:CKA524294 CTW524293:CTW524294 DDS524293:DDS524294 DNO524293:DNO524294 DXK524293:DXK524294 EHG524293:EHG524294 ERC524293:ERC524294 FAY524293:FAY524294 FKU524293:FKU524294 FUQ524293:FUQ524294 GEM524293:GEM524294 GOI524293:GOI524294 GYE524293:GYE524294 HIA524293:HIA524294 HRW524293:HRW524294 IBS524293:IBS524294 ILO524293:ILO524294 IVK524293:IVK524294 JFG524293:JFG524294 JPC524293:JPC524294 JYY524293:JYY524294 KIU524293:KIU524294 KSQ524293:KSQ524294 LCM524293:LCM524294 LMI524293:LMI524294 LWE524293:LWE524294 MGA524293:MGA524294 MPW524293:MPW524294 MZS524293:MZS524294 NJO524293:NJO524294 NTK524293:NTK524294 ODG524293:ODG524294 ONC524293:ONC524294 OWY524293:OWY524294 PGU524293:PGU524294 PQQ524293:PQQ524294 QAM524293:QAM524294 QKI524293:QKI524294 QUE524293:QUE524294 REA524293:REA524294 RNW524293:RNW524294 RXS524293:RXS524294 SHO524293:SHO524294 SRK524293:SRK524294 TBG524293:TBG524294 TLC524293:TLC524294 TUY524293:TUY524294 UEU524293:UEU524294 UOQ524293:UOQ524294 UYM524293:UYM524294 VII524293:VII524294 VSE524293:VSE524294 WCA524293:WCA524294 WLW524293:WLW524294 WVS524293:WVS524294 E589829:E589830 JG589829:JG589830 TC589829:TC589830 ACY589829:ACY589830 AMU589829:AMU589830 AWQ589829:AWQ589830 BGM589829:BGM589830 BQI589829:BQI589830 CAE589829:CAE589830 CKA589829:CKA589830 CTW589829:CTW589830 DDS589829:DDS589830 DNO589829:DNO589830 DXK589829:DXK589830 EHG589829:EHG589830 ERC589829:ERC589830 FAY589829:FAY589830 FKU589829:FKU589830 FUQ589829:FUQ589830 GEM589829:GEM589830 GOI589829:GOI589830 GYE589829:GYE589830 HIA589829:HIA589830 HRW589829:HRW589830 IBS589829:IBS589830 ILO589829:ILO589830 IVK589829:IVK589830 JFG589829:JFG589830 JPC589829:JPC589830 JYY589829:JYY589830 KIU589829:KIU589830 KSQ589829:KSQ589830 LCM589829:LCM589830 LMI589829:LMI589830 LWE589829:LWE589830 MGA589829:MGA589830 MPW589829:MPW589830 MZS589829:MZS589830 NJO589829:NJO589830 NTK589829:NTK589830 ODG589829:ODG589830 ONC589829:ONC589830 OWY589829:OWY589830 PGU589829:PGU589830 PQQ589829:PQQ589830 QAM589829:QAM589830 QKI589829:QKI589830 QUE589829:QUE589830 REA589829:REA589830 RNW589829:RNW589830 RXS589829:RXS589830 SHO589829:SHO589830 SRK589829:SRK589830 TBG589829:TBG589830 TLC589829:TLC589830 TUY589829:TUY589830 UEU589829:UEU589830 UOQ589829:UOQ589830 UYM589829:UYM589830 VII589829:VII589830 VSE589829:VSE589830 WCA589829:WCA589830 WLW589829:WLW589830 WVS589829:WVS589830 E655365:E655366 JG655365:JG655366 TC655365:TC655366 ACY655365:ACY655366 AMU655365:AMU655366 AWQ655365:AWQ655366 BGM655365:BGM655366 BQI655365:BQI655366 CAE655365:CAE655366 CKA655365:CKA655366 CTW655365:CTW655366 DDS655365:DDS655366 DNO655365:DNO655366 DXK655365:DXK655366 EHG655365:EHG655366 ERC655365:ERC655366 FAY655365:FAY655366 FKU655365:FKU655366 FUQ655365:FUQ655366 GEM655365:GEM655366 GOI655365:GOI655366 GYE655365:GYE655366 HIA655365:HIA655366 HRW655365:HRW655366 IBS655365:IBS655366 ILO655365:ILO655366 IVK655365:IVK655366 JFG655365:JFG655366 JPC655365:JPC655366 JYY655365:JYY655366 KIU655365:KIU655366 KSQ655365:KSQ655366 LCM655365:LCM655366 LMI655365:LMI655366 LWE655365:LWE655366 MGA655365:MGA655366 MPW655365:MPW655366 MZS655365:MZS655366 NJO655365:NJO655366 NTK655365:NTK655366 ODG655365:ODG655366 ONC655365:ONC655366 OWY655365:OWY655366 PGU655365:PGU655366 PQQ655365:PQQ655366 QAM655365:QAM655366 QKI655365:QKI655366 QUE655365:QUE655366 REA655365:REA655366 RNW655365:RNW655366 RXS655365:RXS655366 SHO655365:SHO655366 SRK655365:SRK655366 TBG655365:TBG655366 TLC655365:TLC655366 TUY655365:TUY655366 UEU655365:UEU655366 UOQ655365:UOQ655366 UYM655365:UYM655366 VII655365:VII655366 VSE655365:VSE655366 WCA655365:WCA655366 WLW655365:WLW655366 WVS655365:WVS655366 E720901:E720902 JG720901:JG720902 TC720901:TC720902 ACY720901:ACY720902 AMU720901:AMU720902 AWQ720901:AWQ720902 BGM720901:BGM720902 BQI720901:BQI720902 CAE720901:CAE720902 CKA720901:CKA720902 CTW720901:CTW720902 DDS720901:DDS720902 DNO720901:DNO720902 DXK720901:DXK720902 EHG720901:EHG720902 ERC720901:ERC720902 FAY720901:FAY720902 FKU720901:FKU720902 FUQ720901:FUQ720902 GEM720901:GEM720902 GOI720901:GOI720902 GYE720901:GYE720902 HIA720901:HIA720902 HRW720901:HRW720902 IBS720901:IBS720902 ILO720901:ILO720902 IVK720901:IVK720902 JFG720901:JFG720902 JPC720901:JPC720902 JYY720901:JYY720902 KIU720901:KIU720902 KSQ720901:KSQ720902 LCM720901:LCM720902 LMI720901:LMI720902 LWE720901:LWE720902 MGA720901:MGA720902 MPW720901:MPW720902 MZS720901:MZS720902 NJO720901:NJO720902 NTK720901:NTK720902 ODG720901:ODG720902 ONC720901:ONC720902 OWY720901:OWY720902 PGU720901:PGU720902 PQQ720901:PQQ720902 QAM720901:QAM720902 QKI720901:QKI720902 QUE720901:QUE720902 REA720901:REA720902 RNW720901:RNW720902 RXS720901:RXS720902 SHO720901:SHO720902 SRK720901:SRK720902 TBG720901:TBG720902 TLC720901:TLC720902 TUY720901:TUY720902 UEU720901:UEU720902 UOQ720901:UOQ720902 UYM720901:UYM720902 VII720901:VII720902 VSE720901:VSE720902 WCA720901:WCA720902 WLW720901:WLW720902 WVS720901:WVS720902 E786437:E786438 JG786437:JG786438 TC786437:TC786438 ACY786437:ACY786438 AMU786437:AMU786438 AWQ786437:AWQ786438 BGM786437:BGM786438 BQI786437:BQI786438 CAE786437:CAE786438 CKA786437:CKA786438 CTW786437:CTW786438 DDS786437:DDS786438 DNO786437:DNO786438 DXK786437:DXK786438 EHG786437:EHG786438 ERC786437:ERC786438 FAY786437:FAY786438 FKU786437:FKU786438 FUQ786437:FUQ786438 GEM786437:GEM786438 GOI786437:GOI786438 GYE786437:GYE786438 HIA786437:HIA786438 HRW786437:HRW786438 IBS786437:IBS786438 ILO786437:ILO786438 IVK786437:IVK786438 JFG786437:JFG786438 JPC786437:JPC786438 JYY786437:JYY786438 KIU786437:KIU786438 KSQ786437:KSQ786438 LCM786437:LCM786438 LMI786437:LMI786438 LWE786437:LWE786438 MGA786437:MGA786438 MPW786437:MPW786438 MZS786437:MZS786438 NJO786437:NJO786438 NTK786437:NTK786438 ODG786437:ODG786438 ONC786437:ONC786438 OWY786437:OWY786438 PGU786437:PGU786438 PQQ786437:PQQ786438 QAM786437:QAM786438 QKI786437:QKI786438 QUE786437:QUE786438 REA786437:REA786438 RNW786437:RNW786438 RXS786437:RXS786438 SHO786437:SHO786438 SRK786437:SRK786438 TBG786437:TBG786438 TLC786437:TLC786438 TUY786437:TUY786438 UEU786437:UEU786438 UOQ786437:UOQ786438 UYM786437:UYM786438 VII786437:VII786438 VSE786437:VSE786438 WCA786437:WCA786438 WLW786437:WLW786438 WVS786437:WVS786438 E851973:E851974 JG851973:JG851974 TC851973:TC851974 ACY851973:ACY851974 AMU851973:AMU851974 AWQ851973:AWQ851974 BGM851973:BGM851974 BQI851973:BQI851974 CAE851973:CAE851974 CKA851973:CKA851974 CTW851973:CTW851974 DDS851973:DDS851974 DNO851973:DNO851974 DXK851973:DXK851974 EHG851973:EHG851974 ERC851973:ERC851974 FAY851973:FAY851974 FKU851973:FKU851974 FUQ851973:FUQ851974 GEM851973:GEM851974 GOI851973:GOI851974 GYE851973:GYE851974 HIA851973:HIA851974 HRW851973:HRW851974 IBS851973:IBS851974 ILO851973:ILO851974 IVK851973:IVK851974 JFG851973:JFG851974 JPC851973:JPC851974 JYY851973:JYY851974 KIU851973:KIU851974 KSQ851973:KSQ851974 LCM851973:LCM851974 LMI851973:LMI851974 LWE851973:LWE851974 MGA851973:MGA851974 MPW851973:MPW851974 MZS851973:MZS851974 NJO851973:NJO851974 NTK851973:NTK851974 ODG851973:ODG851974 ONC851973:ONC851974 OWY851973:OWY851974 PGU851973:PGU851974 PQQ851973:PQQ851974 QAM851973:QAM851974 QKI851973:QKI851974 QUE851973:QUE851974 REA851973:REA851974 RNW851973:RNW851974 RXS851973:RXS851974 SHO851973:SHO851974 SRK851973:SRK851974 TBG851973:TBG851974 TLC851973:TLC851974 TUY851973:TUY851974 UEU851973:UEU851974 UOQ851973:UOQ851974 UYM851973:UYM851974 VII851973:VII851974 VSE851973:VSE851974 WCA851973:WCA851974 WLW851973:WLW851974 WVS851973:WVS851974 E917509:E917510 JG917509:JG917510 TC917509:TC917510 ACY917509:ACY917510 AMU917509:AMU917510 AWQ917509:AWQ917510 BGM917509:BGM917510 BQI917509:BQI917510 CAE917509:CAE917510 CKA917509:CKA917510 CTW917509:CTW917510 DDS917509:DDS917510 DNO917509:DNO917510 DXK917509:DXK917510 EHG917509:EHG917510 ERC917509:ERC917510 FAY917509:FAY917510 FKU917509:FKU917510 FUQ917509:FUQ917510 GEM917509:GEM917510 GOI917509:GOI917510 GYE917509:GYE917510 HIA917509:HIA917510 HRW917509:HRW917510 IBS917509:IBS917510 ILO917509:ILO917510 IVK917509:IVK917510 JFG917509:JFG917510 JPC917509:JPC917510 JYY917509:JYY917510 KIU917509:KIU917510 KSQ917509:KSQ917510 LCM917509:LCM917510 LMI917509:LMI917510 LWE917509:LWE917510 MGA917509:MGA917510 MPW917509:MPW917510 MZS917509:MZS917510 NJO917509:NJO917510 NTK917509:NTK917510 ODG917509:ODG917510 ONC917509:ONC917510 OWY917509:OWY917510 PGU917509:PGU917510 PQQ917509:PQQ917510 QAM917509:QAM917510 QKI917509:QKI917510 QUE917509:QUE917510 REA917509:REA917510 RNW917509:RNW917510 RXS917509:RXS917510 SHO917509:SHO917510 SRK917509:SRK917510 TBG917509:TBG917510 TLC917509:TLC917510 TUY917509:TUY917510 UEU917509:UEU917510 UOQ917509:UOQ917510 UYM917509:UYM917510 VII917509:VII917510 VSE917509:VSE917510 WCA917509:WCA917510 WLW917509:WLW917510 WVS917509:WVS917510 E983045:E983046 JG983045:JG983046 TC983045:TC983046 ACY983045:ACY983046 AMU983045:AMU983046 AWQ983045:AWQ983046 BGM983045:BGM983046 BQI983045:BQI983046 CAE983045:CAE983046 CKA983045:CKA983046 CTW983045:CTW983046 DDS983045:DDS983046 DNO983045:DNO983046 DXK983045:DXK983046 EHG983045:EHG983046 ERC983045:ERC983046 FAY983045:FAY983046 FKU983045:FKU983046 FUQ983045:FUQ983046 GEM983045:GEM983046 GOI983045:GOI983046 GYE983045:GYE983046 HIA983045:HIA983046 HRW983045:HRW983046 IBS983045:IBS983046 ILO983045:ILO983046 IVK983045:IVK983046 JFG983045:JFG983046 JPC983045:JPC983046 JYY983045:JYY983046 KIU983045:KIU983046 KSQ983045:KSQ983046 LCM983045:LCM983046 LMI983045:LMI983046 LWE983045:LWE983046 MGA983045:MGA983046 MPW983045:MPW983046 MZS983045:MZS983046 NJO983045:NJO983046 NTK983045:NTK983046 ODG983045:ODG983046 ONC983045:ONC983046 OWY983045:OWY983046 PGU983045:PGU983046 PQQ983045:PQQ983046 QAM983045:QAM983046 QKI983045:QKI983046 QUE983045:QUE983046 REA983045:REA983046 RNW983045:RNW983046 RXS983045:RXS983046 SHO983045:SHO983046 SRK983045:SRK983046 TBG983045:TBG983046 TLC983045:TLC983046 TUY983045:TUY983046 UEU983045:UEU983046 UOQ983045:UOQ983046 UYM983045:UYM983046 VII983045:VII983046 VSE983045:VSE983046 WCA983045:WCA983046 WLW983045:WLW983046 WVS983045:WVS983046" xr:uid="{00000000-0002-0000-0600-000004000000}">
      <formula1>"0,6,8,10,12"</formula1>
    </dataValidation>
    <dataValidation type="list" allowBlank="1" showInputMessage="1" showErrorMessage="1" sqref="WVQ983072 JE32 TA32 ACW32 AMS32 AWO32 BGK32 BQG32 CAC32 CJY32 CTU32 DDQ32 DNM32 DXI32 EHE32 ERA32 FAW32 FKS32 FUO32 GEK32 GOG32 GYC32 HHY32 HRU32 IBQ32 ILM32 IVI32 JFE32 JPA32 JYW32 KIS32 KSO32 LCK32 LMG32 LWC32 MFY32 MPU32 MZQ32 NJM32 NTI32 ODE32 ONA32 OWW32 PGS32 PQO32 QAK32 QKG32 QUC32 RDY32 RNU32 RXQ32 SHM32 SRI32 TBE32 TLA32 TUW32 UES32 UOO32 UYK32 VIG32 VSC32 WBY32 WLU32 WVQ32 C65568 JE65568 TA65568 ACW65568 AMS65568 AWO65568 BGK65568 BQG65568 CAC65568 CJY65568 CTU65568 DDQ65568 DNM65568 DXI65568 EHE65568 ERA65568 FAW65568 FKS65568 FUO65568 GEK65568 GOG65568 GYC65568 HHY65568 HRU65568 IBQ65568 ILM65568 IVI65568 JFE65568 JPA65568 JYW65568 KIS65568 KSO65568 LCK65568 LMG65568 LWC65568 MFY65568 MPU65568 MZQ65568 NJM65568 NTI65568 ODE65568 ONA65568 OWW65568 PGS65568 PQO65568 QAK65568 QKG65568 QUC65568 RDY65568 RNU65568 RXQ65568 SHM65568 SRI65568 TBE65568 TLA65568 TUW65568 UES65568 UOO65568 UYK65568 VIG65568 VSC65568 WBY65568 WLU65568 WVQ65568 C131104 JE131104 TA131104 ACW131104 AMS131104 AWO131104 BGK131104 BQG131104 CAC131104 CJY131104 CTU131104 DDQ131104 DNM131104 DXI131104 EHE131104 ERA131104 FAW131104 FKS131104 FUO131104 GEK131104 GOG131104 GYC131104 HHY131104 HRU131104 IBQ131104 ILM131104 IVI131104 JFE131104 JPA131104 JYW131104 KIS131104 KSO131104 LCK131104 LMG131104 LWC131104 MFY131104 MPU131104 MZQ131104 NJM131104 NTI131104 ODE131104 ONA131104 OWW131104 PGS131104 PQO131104 QAK131104 QKG131104 QUC131104 RDY131104 RNU131104 RXQ131104 SHM131104 SRI131104 TBE131104 TLA131104 TUW131104 UES131104 UOO131104 UYK131104 VIG131104 VSC131104 WBY131104 WLU131104 WVQ131104 C196640 JE196640 TA196640 ACW196640 AMS196640 AWO196640 BGK196640 BQG196640 CAC196640 CJY196640 CTU196640 DDQ196640 DNM196640 DXI196640 EHE196640 ERA196640 FAW196640 FKS196640 FUO196640 GEK196640 GOG196640 GYC196640 HHY196640 HRU196640 IBQ196640 ILM196640 IVI196640 JFE196640 JPA196640 JYW196640 KIS196640 KSO196640 LCK196640 LMG196640 LWC196640 MFY196640 MPU196640 MZQ196640 NJM196640 NTI196640 ODE196640 ONA196640 OWW196640 PGS196640 PQO196640 QAK196640 QKG196640 QUC196640 RDY196640 RNU196640 RXQ196640 SHM196640 SRI196640 TBE196640 TLA196640 TUW196640 UES196640 UOO196640 UYK196640 VIG196640 VSC196640 WBY196640 WLU196640 WVQ196640 C262176 JE262176 TA262176 ACW262176 AMS262176 AWO262176 BGK262176 BQG262176 CAC262176 CJY262176 CTU262176 DDQ262176 DNM262176 DXI262176 EHE262176 ERA262176 FAW262176 FKS262176 FUO262176 GEK262176 GOG262176 GYC262176 HHY262176 HRU262176 IBQ262176 ILM262176 IVI262176 JFE262176 JPA262176 JYW262176 KIS262176 KSO262176 LCK262176 LMG262176 LWC262176 MFY262176 MPU262176 MZQ262176 NJM262176 NTI262176 ODE262176 ONA262176 OWW262176 PGS262176 PQO262176 QAK262176 QKG262176 QUC262176 RDY262176 RNU262176 RXQ262176 SHM262176 SRI262176 TBE262176 TLA262176 TUW262176 UES262176 UOO262176 UYK262176 VIG262176 VSC262176 WBY262176 WLU262176 WVQ262176 C327712 JE327712 TA327712 ACW327712 AMS327712 AWO327712 BGK327712 BQG327712 CAC327712 CJY327712 CTU327712 DDQ327712 DNM327712 DXI327712 EHE327712 ERA327712 FAW327712 FKS327712 FUO327712 GEK327712 GOG327712 GYC327712 HHY327712 HRU327712 IBQ327712 ILM327712 IVI327712 JFE327712 JPA327712 JYW327712 KIS327712 KSO327712 LCK327712 LMG327712 LWC327712 MFY327712 MPU327712 MZQ327712 NJM327712 NTI327712 ODE327712 ONA327712 OWW327712 PGS327712 PQO327712 QAK327712 QKG327712 QUC327712 RDY327712 RNU327712 RXQ327712 SHM327712 SRI327712 TBE327712 TLA327712 TUW327712 UES327712 UOO327712 UYK327712 VIG327712 VSC327712 WBY327712 WLU327712 WVQ327712 C393248 JE393248 TA393248 ACW393248 AMS393248 AWO393248 BGK393248 BQG393248 CAC393248 CJY393248 CTU393248 DDQ393248 DNM393248 DXI393248 EHE393248 ERA393248 FAW393248 FKS393248 FUO393248 GEK393248 GOG393248 GYC393248 HHY393248 HRU393248 IBQ393248 ILM393248 IVI393248 JFE393248 JPA393248 JYW393248 KIS393248 KSO393248 LCK393248 LMG393248 LWC393248 MFY393248 MPU393248 MZQ393248 NJM393248 NTI393248 ODE393248 ONA393248 OWW393248 PGS393248 PQO393248 QAK393248 QKG393248 QUC393248 RDY393248 RNU393248 RXQ393248 SHM393248 SRI393248 TBE393248 TLA393248 TUW393248 UES393248 UOO393248 UYK393248 VIG393248 VSC393248 WBY393248 WLU393248 WVQ393248 C458784 JE458784 TA458784 ACW458784 AMS458784 AWO458784 BGK458784 BQG458784 CAC458784 CJY458784 CTU458784 DDQ458784 DNM458784 DXI458784 EHE458784 ERA458784 FAW458784 FKS458784 FUO458784 GEK458784 GOG458784 GYC458784 HHY458784 HRU458784 IBQ458784 ILM458784 IVI458784 JFE458784 JPA458784 JYW458784 KIS458784 KSO458784 LCK458784 LMG458784 LWC458784 MFY458784 MPU458784 MZQ458784 NJM458784 NTI458784 ODE458784 ONA458784 OWW458784 PGS458784 PQO458784 QAK458784 QKG458784 QUC458784 RDY458784 RNU458784 RXQ458784 SHM458784 SRI458784 TBE458784 TLA458784 TUW458784 UES458784 UOO458784 UYK458784 VIG458784 VSC458784 WBY458784 WLU458784 WVQ458784 C524320 JE524320 TA524320 ACW524320 AMS524320 AWO524320 BGK524320 BQG524320 CAC524320 CJY524320 CTU524320 DDQ524320 DNM524320 DXI524320 EHE524320 ERA524320 FAW524320 FKS524320 FUO524320 GEK524320 GOG524320 GYC524320 HHY524320 HRU524320 IBQ524320 ILM524320 IVI524320 JFE524320 JPA524320 JYW524320 KIS524320 KSO524320 LCK524320 LMG524320 LWC524320 MFY524320 MPU524320 MZQ524320 NJM524320 NTI524320 ODE524320 ONA524320 OWW524320 PGS524320 PQO524320 QAK524320 QKG524320 QUC524320 RDY524320 RNU524320 RXQ524320 SHM524320 SRI524320 TBE524320 TLA524320 TUW524320 UES524320 UOO524320 UYK524320 VIG524320 VSC524320 WBY524320 WLU524320 WVQ524320 C589856 JE589856 TA589856 ACW589856 AMS589856 AWO589856 BGK589856 BQG589856 CAC589856 CJY589856 CTU589856 DDQ589856 DNM589856 DXI589856 EHE589856 ERA589856 FAW589856 FKS589856 FUO589856 GEK589856 GOG589856 GYC589856 HHY589856 HRU589856 IBQ589856 ILM589856 IVI589856 JFE589856 JPA589856 JYW589856 KIS589856 KSO589856 LCK589856 LMG589856 LWC589856 MFY589856 MPU589856 MZQ589856 NJM589856 NTI589856 ODE589856 ONA589856 OWW589856 PGS589856 PQO589856 QAK589856 QKG589856 QUC589856 RDY589856 RNU589856 RXQ589856 SHM589856 SRI589856 TBE589856 TLA589856 TUW589856 UES589856 UOO589856 UYK589856 VIG589856 VSC589856 WBY589856 WLU589856 WVQ589856 C655392 JE655392 TA655392 ACW655392 AMS655392 AWO655392 BGK655392 BQG655392 CAC655392 CJY655392 CTU655392 DDQ655392 DNM655392 DXI655392 EHE655392 ERA655392 FAW655392 FKS655392 FUO655392 GEK655392 GOG655392 GYC655392 HHY655392 HRU655392 IBQ655392 ILM655392 IVI655392 JFE655392 JPA655392 JYW655392 KIS655392 KSO655392 LCK655392 LMG655392 LWC655392 MFY655392 MPU655392 MZQ655392 NJM655392 NTI655392 ODE655392 ONA655392 OWW655392 PGS655392 PQO655392 QAK655392 QKG655392 QUC655392 RDY655392 RNU655392 RXQ655392 SHM655392 SRI655392 TBE655392 TLA655392 TUW655392 UES655392 UOO655392 UYK655392 VIG655392 VSC655392 WBY655392 WLU655392 WVQ655392 C720928 JE720928 TA720928 ACW720928 AMS720928 AWO720928 BGK720928 BQG720928 CAC720928 CJY720928 CTU720928 DDQ720928 DNM720928 DXI720928 EHE720928 ERA720928 FAW720928 FKS720928 FUO720928 GEK720928 GOG720928 GYC720928 HHY720928 HRU720928 IBQ720928 ILM720928 IVI720928 JFE720928 JPA720928 JYW720928 KIS720928 KSO720928 LCK720928 LMG720928 LWC720928 MFY720928 MPU720928 MZQ720928 NJM720928 NTI720928 ODE720928 ONA720928 OWW720928 PGS720928 PQO720928 QAK720928 QKG720928 QUC720928 RDY720928 RNU720928 RXQ720928 SHM720928 SRI720928 TBE720928 TLA720928 TUW720928 UES720928 UOO720928 UYK720928 VIG720928 VSC720928 WBY720928 WLU720928 WVQ720928 C786464 JE786464 TA786464 ACW786464 AMS786464 AWO786464 BGK786464 BQG786464 CAC786464 CJY786464 CTU786464 DDQ786464 DNM786464 DXI786464 EHE786464 ERA786464 FAW786464 FKS786464 FUO786464 GEK786464 GOG786464 GYC786464 HHY786464 HRU786464 IBQ786464 ILM786464 IVI786464 JFE786464 JPA786464 JYW786464 KIS786464 KSO786464 LCK786464 LMG786464 LWC786464 MFY786464 MPU786464 MZQ786464 NJM786464 NTI786464 ODE786464 ONA786464 OWW786464 PGS786464 PQO786464 QAK786464 QKG786464 QUC786464 RDY786464 RNU786464 RXQ786464 SHM786464 SRI786464 TBE786464 TLA786464 TUW786464 UES786464 UOO786464 UYK786464 VIG786464 VSC786464 WBY786464 WLU786464 WVQ786464 C852000 JE852000 TA852000 ACW852000 AMS852000 AWO852000 BGK852000 BQG852000 CAC852000 CJY852000 CTU852000 DDQ852000 DNM852000 DXI852000 EHE852000 ERA852000 FAW852000 FKS852000 FUO852000 GEK852000 GOG852000 GYC852000 HHY852000 HRU852000 IBQ852000 ILM852000 IVI852000 JFE852000 JPA852000 JYW852000 KIS852000 KSO852000 LCK852000 LMG852000 LWC852000 MFY852000 MPU852000 MZQ852000 NJM852000 NTI852000 ODE852000 ONA852000 OWW852000 PGS852000 PQO852000 QAK852000 QKG852000 QUC852000 RDY852000 RNU852000 RXQ852000 SHM852000 SRI852000 TBE852000 TLA852000 TUW852000 UES852000 UOO852000 UYK852000 VIG852000 VSC852000 WBY852000 WLU852000 WVQ852000 C917536 JE917536 TA917536 ACW917536 AMS917536 AWO917536 BGK917536 BQG917536 CAC917536 CJY917536 CTU917536 DDQ917536 DNM917536 DXI917536 EHE917536 ERA917536 FAW917536 FKS917536 FUO917536 GEK917536 GOG917536 GYC917536 HHY917536 HRU917536 IBQ917536 ILM917536 IVI917536 JFE917536 JPA917536 JYW917536 KIS917536 KSO917536 LCK917536 LMG917536 LWC917536 MFY917536 MPU917536 MZQ917536 NJM917536 NTI917536 ODE917536 ONA917536 OWW917536 PGS917536 PQO917536 QAK917536 QKG917536 QUC917536 RDY917536 RNU917536 RXQ917536 SHM917536 SRI917536 TBE917536 TLA917536 TUW917536 UES917536 UOO917536 UYK917536 VIG917536 VSC917536 WBY917536 WLU917536 WVQ917536 C983072 JE983072 TA983072 ACW983072 AMS983072 AWO983072 BGK983072 BQG983072 CAC983072 CJY983072 CTU983072 DDQ983072 DNM983072 DXI983072 EHE983072 ERA983072 FAW983072 FKS983072 FUO983072 GEK983072 GOG983072 GYC983072 HHY983072 HRU983072 IBQ983072 ILM983072 IVI983072 JFE983072 JPA983072 JYW983072 KIS983072 KSO983072 LCK983072 LMG983072 LWC983072 MFY983072 MPU983072 MZQ983072 NJM983072 NTI983072 ODE983072 ONA983072 OWW983072 PGS983072 PQO983072 QAK983072 QKG983072 QUC983072 RDY983072 RNU983072 RXQ983072 SHM983072 SRI983072 TBE983072 TLA983072 TUW983072 UES983072 UOO983072 UYK983072 VIG983072 VSC983072 WBY983072 WLU983072" xr:uid="{00000000-0002-0000-0600-000005000000}">
      <formula1>"0, 14872, 17160, 20592"</formula1>
    </dataValidation>
    <dataValidation type="list" allowBlank="1" showInputMessage="1" showErrorMessage="1" sqref="WVR983072 JF32 TB32 ACX32 AMT32 AWP32 BGL32 BQH32 CAD32 CJZ32 CTV32 DDR32 DNN32 DXJ32 EHF32 ERB32 FAX32 FKT32 FUP32 GEL32 GOH32 GYD32 HHZ32 HRV32 IBR32 ILN32 IVJ32 JFF32 JPB32 JYX32 KIT32 KSP32 LCL32 LMH32 LWD32 MFZ32 MPV32 MZR32 NJN32 NTJ32 ODF32 ONB32 OWX32 PGT32 PQP32 QAL32 QKH32 QUD32 RDZ32 RNV32 RXR32 SHN32 SRJ32 TBF32 TLB32 TUX32 UET32 UOP32 UYL32 VIH32 VSD32 WBZ32 WLV32 WVR32 D65568 JF65568 TB65568 ACX65568 AMT65568 AWP65568 BGL65568 BQH65568 CAD65568 CJZ65568 CTV65568 DDR65568 DNN65568 DXJ65568 EHF65568 ERB65568 FAX65568 FKT65568 FUP65568 GEL65568 GOH65568 GYD65568 HHZ65568 HRV65568 IBR65568 ILN65568 IVJ65568 JFF65568 JPB65568 JYX65568 KIT65568 KSP65568 LCL65568 LMH65568 LWD65568 MFZ65568 MPV65568 MZR65568 NJN65568 NTJ65568 ODF65568 ONB65568 OWX65568 PGT65568 PQP65568 QAL65568 QKH65568 QUD65568 RDZ65568 RNV65568 RXR65568 SHN65568 SRJ65568 TBF65568 TLB65568 TUX65568 UET65568 UOP65568 UYL65568 VIH65568 VSD65568 WBZ65568 WLV65568 WVR65568 D131104 JF131104 TB131104 ACX131104 AMT131104 AWP131104 BGL131104 BQH131104 CAD131104 CJZ131104 CTV131104 DDR131104 DNN131104 DXJ131104 EHF131104 ERB131104 FAX131104 FKT131104 FUP131104 GEL131104 GOH131104 GYD131104 HHZ131104 HRV131104 IBR131104 ILN131104 IVJ131104 JFF131104 JPB131104 JYX131104 KIT131104 KSP131104 LCL131104 LMH131104 LWD131104 MFZ131104 MPV131104 MZR131104 NJN131104 NTJ131104 ODF131104 ONB131104 OWX131104 PGT131104 PQP131104 QAL131104 QKH131104 QUD131104 RDZ131104 RNV131104 RXR131104 SHN131104 SRJ131104 TBF131104 TLB131104 TUX131104 UET131104 UOP131104 UYL131104 VIH131104 VSD131104 WBZ131104 WLV131104 WVR131104 D196640 JF196640 TB196640 ACX196640 AMT196640 AWP196640 BGL196640 BQH196640 CAD196640 CJZ196640 CTV196640 DDR196640 DNN196640 DXJ196640 EHF196640 ERB196640 FAX196640 FKT196640 FUP196640 GEL196640 GOH196640 GYD196640 HHZ196640 HRV196640 IBR196640 ILN196640 IVJ196640 JFF196640 JPB196640 JYX196640 KIT196640 KSP196640 LCL196640 LMH196640 LWD196640 MFZ196640 MPV196640 MZR196640 NJN196640 NTJ196640 ODF196640 ONB196640 OWX196640 PGT196640 PQP196640 QAL196640 QKH196640 QUD196640 RDZ196640 RNV196640 RXR196640 SHN196640 SRJ196640 TBF196640 TLB196640 TUX196640 UET196640 UOP196640 UYL196640 VIH196640 VSD196640 WBZ196640 WLV196640 WVR196640 D262176 JF262176 TB262176 ACX262176 AMT262176 AWP262176 BGL262176 BQH262176 CAD262176 CJZ262176 CTV262176 DDR262176 DNN262176 DXJ262176 EHF262176 ERB262176 FAX262176 FKT262176 FUP262176 GEL262176 GOH262176 GYD262176 HHZ262176 HRV262176 IBR262176 ILN262176 IVJ262176 JFF262176 JPB262176 JYX262176 KIT262176 KSP262176 LCL262176 LMH262176 LWD262176 MFZ262176 MPV262176 MZR262176 NJN262176 NTJ262176 ODF262176 ONB262176 OWX262176 PGT262176 PQP262176 QAL262176 QKH262176 QUD262176 RDZ262176 RNV262176 RXR262176 SHN262176 SRJ262176 TBF262176 TLB262176 TUX262176 UET262176 UOP262176 UYL262176 VIH262176 VSD262176 WBZ262176 WLV262176 WVR262176 D327712 JF327712 TB327712 ACX327712 AMT327712 AWP327712 BGL327712 BQH327712 CAD327712 CJZ327712 CTV327712 DDR327712 DNN327712 DXJ327712 EHF327712 ERB327712 FAX327712 FKT327712 FUP327712 GEL327712 GOH327712 GYD327712 HHZ327712 HRV327712 IBR327712 ILN327712 IVJ327712 JFF327712 JPB327712 JYX327712 KIT327712 KSP327712 LCL327712 LMH327712 LWD327712 MFZ327712 MPV327712 MZR327712 NJN327712 NTJ327712 ODF327712 ONB327712 OWX327712 PGT327712 PQP327712 QAL327712 QKH327712 QUD327712 RDZ327712 RNV327712 RXR327712 SHN327712 SRJ327712 TBF327712 TLB327712 TUX327712 UET327712 UOP327712 UYL327712 VIH327712 VSD327712 WBZ327712 WLV327712 WVR327712 D393248 JF393248 TB393248 ACX393248 AMT393248 AWP393248 BGL393248 BQH393248 CAD393248 CJZ393248 CTV393248 DDR393248 DNN393248 DXJ393248 EHF393248 ERB393248 FAX393248 FKT393248 FUP393248 GEL393248 GOH393248 GYD393248 HHZ393248 HRV393248 IBR393248 ILN393248 IVJ393248 JFF393248 JPB393248 JYX393248 KIT393248 KSP393248 LCL393248 LMH393248 LWD393248 MFZ393248 MPV393248 MZR393248 NJN393248 NTJ393248 ODF393248 ONB393248 OWX393248 PGT393248 PQP393248 QAL393248 QKH393248 QUD393248 RDZ393248 RNV393248 RXR393248 SHN393248 SRJ393248 TBF393248 TLB393248 TUX393248 UET393248 UOP393248 UYL393248 VIH393248 VSD393248 WBZ393248 WLV393248 WVR393248 D458784 JF458784 TB458784 ACX458784 AMT458784 AWP458784 BGL458784 BQH458784 CAD458784 CJZ458784 CTV458784 DDR458784 DNN458784 DXJ458784 EHF458784 ERB458784 FAX458784 FKT458784 FUP458784 GEL458784 GOH458784 GYD458784 HHZ458784 HRV458784 IBR458784 ILN458784 IVJ458784 JFF458784 JPB458784 JYX458784 KIT458784 KSP458784 LCL458784 LMH458784 LWD458784 MFZ458784 MPV458784 MZR458784 NJN458784 NTJ458784 ODF458784 ONB458784 OWX458784 PGT458784 PQP458784 QAL458784 QKH458784 QUD458784 RDZ458784 RNV458784 RXR458784 SHN458784 SRJ458784 TBF458784 TLB458784 TUX458784 UET458784 UOP458784 UYL458784 VIH458784 VSD458784 WBZ458784 WLV458784 WVR458784 D524320 JF524320 TB524320 ACX524320 AMT524320 AWP524320 BGL524320 BQH524320 CAD524320 CJZ524320 CTV524320 DDR524320 DNN524320 DXJ524320 EHF524320 ERB524320 FAX524320 FKT524320 FUP524320 GEL524320 GOH524320 GYD524320 HHZ524320 HRV524320 IBR524320 ILN524320 IVJ524320 JFF524320 JPB524320 JYX524320 KIT524320 KSP524320 LCL524320 LMH524320 LWD524320 MFZ524320 MPV524320 MZR524320 NJN524320 NTJ524320 ODF524320 ONB524320 OWX524320 PGT524320 PQP524320 QAL524320 QKH524320 QUD524320 RDZ524320 RNV524320 RXR524320 SHN524320 SRJ524320 TBF524320 TLB524320 TUX524320 UET524320 UOP524320 UYL524320 VIH524320 VSD524320 WBZ524320 WLV524320 WVR524320 D589856 JF589856 TB589856 ACX589856 AMT589856 AWP589856 BGL589856 BQH589856 CAD589856 CJZ589856 CTV589856 DDR589856 DNN589856 DXJ589856 EHF589856 ERB589856 FAX589856 FKT589856 FUP589856 GEL589856 GOH589856 GYD589856 HHZ589856 HRV589856 IBR589856 ILN589856 IVJ589856 JFF589856 JPB589856 JYX589856 KIT589856 KSP589856 LCL589856 LMH589856 LWD589856 MFZ589856 MPV589856 MZR589856 NJN589856 NTJ589856 ODF589856 ONB589856 OWX589856 PGT589856 PQP589856 QAL589856 QKH589856 QUD589856 RDZ589856 RNV589856 RXR589856 SHN589856 SRJ589856 TBF589856 TLB589856 TUX589856 UET589856 UOP589856 UYL589856 VIH589856 VSD589856 WBZ589856 WLV589856 WVR589856 D655392 JF655392 TB655392 ACX655392 AMT655392 AWP655392 BGL655392 BQH655392 CAD655392 CJZ655392 CTV655392 DDR655392 DNN655392 DXJ655392 EHF655392 ERB655392 FAX655392 FKT655392 FUP655392 GEL655392 GOH655392 GYD655392 HHZ655392 HRV655392 IBR655392 ILN655392 IVJ655392 JFF655392 JPB655392 JYX655392 KIT655392 KSP655392 LCL655392 LMH655392 LWD655392 MFZ655392 MPV655392 MZR655392 NJN655392 NTJ655392 ODF655392 ONB655392 OWX655392 PGT655392 PQP655392 QAL655392 QKH655392 QUD655392 RDZ655392 RNV655392 RXR655392 SHN655392 SRJ655392 TBF655392 TLB655392 TUX655392 UET655392 UOP655392 UYL655392 VIH655392 VSD655392 WBZ655392 WLV655392 WVR655392 D720928 JF720928 TB720928 ACX720928 AMT720928 AWP720928 BGL720928 BQH720928 CAD720928 CJZ720928 CTV720928 DDR720928 DNN720928 DXJ720928 EHF720928 ERB720928 FAX720928 FKT720928 FUP720928 GEL720928 GOH720928 GYD720928 HHZ720928 HRV720928 IBR720928 ILN720928 IVJ720928 JFF720928 JPB720928 JYX720928 KIT720928 KSP720928 LCL720928 LMH720928 LWD720928 MFZ720928 MPV720928 MZR720928 NJN720928 NTJ720928 ODF720928 ONB720928 OWX720928 PGT720928 PQP720928 QAL720928 QKH720928 QUD720928 RDZ720928 RNV720928 RXR720928 SHN720928 SRJ720928 TBF720928 TLB720928 TUX720928 UET720928 UOP720928 UYL720928 VIH720928 VSD720928 WBZ720928 WLV720928 WVR720928 D786464 JF786464 TB786464 ACX786464 AMT786464 AWP786464 BGL786464 BQH786464 CAD786464 CJZ786464 CTV786464 DDR786464 DNN786464 DXJ786464 EHF786464 ERB786464 FAX786464 FKT786464 FUP786464 GEL786464 GOH786464 GYD786464 HHZ786464 HRV786464 IBR786464 ILN786464 IVJ786464 JFF786464 JPB786464 JYX786464 KIT786464 KSP786464 LCL786464 LMH786464 LWD786464 MFZ786464 MPV786464 MZR786464 NJN786464 NTJ786464 ODF786464 ONB786464 OWX786464 PGT786464 PQP786464 QAL786464 QKH786464 QUD786464 RDZ786464 RNV786464 RXR786464 SHN786464 SRJ786464 TBF786464 TLB786464 TUX786464 UET786464 UOP786464 UYL786464 VIH786464 VSD786464 WBZ786464 WLV786464 WVR786464 D852000 JF852000 TB852000 ACX852000 AMT852000 AWP852000 BGL852000 BQH852000 CAD852000 CJZ852000 CTV852000 DDR852000 DNN852000 DXJ852000 EHF852000 ERB852000 FAX852000 FKT852000 FUP852000 GEL852000 GOH852000 GYD852000 HHZ852000 HRV852000 IBR852000 ILN852000 IVJ852000 JFF852000 JPB852000 JYX852000 KIT852000 KSP852000 LCL852000 LMH852000 LWD852000 MFZ852000 MPV852000 MZR852000 NJN852000 NTJ852000 ODF852000 ONB852000 OWX852000 PGT852000 PQP852000 QAL852000 QKH852000 QUD852000 RDZ852000 RNV852000 RXR852000 SHN852000 SRJ852000 TBF852000 TLB852000 TUX852000 UET852000 UOP852000 UYL852000 VIH852000 VSD852000 WBZ852000 WLV852000 WVR852000 D917536 JF917536 TB917536 ACX917536 AMT917536 AWP917536 BGL917536 BQH917536 CAD917536 CJZ917536 CTV917536 DDR917536 DNN917536 DXJ917536 EHF917536 ERB917536 FAX917536 FKT917536 FUP917536 GEL917536 GOH917536 GYD917536 HHZ917536 HRV917536 IBR917536 ILN917536 IVJ917536 JFF917536 JPB917536 JYX917536 KIT917536 KSP917536 LCL917536 LMH917536 LWD917536 MFZ917536 MPV917536 MZR917536 NJN917536 NTJ917536 ODF917536 ONB917536 OWX917536 PGT917536 PQP917536 QAL917536 QKH917536 QUD917536 RDZ917536 RNV917536 RXR917536 SHN917536 SRJ917536 TBF917536 TLB917536 TUX917536 UET917536 UOP917536 UYL917536 VIH917536 VSD917536 WBZ917536 WLV917536 WVR917536 D983072 JF983072 TB983072 ACX983072 AMT983072 AWP983072 BGL983072 BQH983072 CAD983072 CJZ983072 CTV983072 DDR983072 DNN983072 DXJ983072 EHF983072 ERB983072 FAX983072 FKT983072 FUP983072 GEL983072 GOH983072 GYD983072 HHZ983072 HRV983072 IBR983072 ILN983072 IVJ983072 JFF983072 JPB983072 JYX983072 KIT983072 KSP983072 LCL983072 LMH983072 LWD983072 MFZ983072 MPV983072 MZR983072 NJN983072 NTJ983072 ODF983072 ONB983072 OWX983072 PGT983072 PQP983072 QAL983072 QKH983072 QUD983072 RDZ983072 RNV983072 RXR983072 SHN983072 SRJ983072 TBF983072 TLB983072 TUX983072 UET983072 UOP983072 UYL983072 VIH983072 VSD983072 WBZ983072 WLV983072" xr:uid="{00000000-0002-0000-0600-000006000000}">
      <formula1>"0, 18590, 21450, 25740"</formula1>
    </dataValidation>
    <dataValidation type="list" allowBlank="1" showInputMessage="1" showErrorMessage="1" sqref="WVS983072 JG32 TC32 ACY32 AMU32 AWQ32 BGM32 BQI32 CAE32 CKA32 CTW32 DDS32 DNO32 DXK32 EHG32 ERC32 FAY32 FKU32 FUQ32 GEM32 GOI32 GYE32 HIA32 HRW32 IBS32 ILO32 IVK32 JFG32 JPC32 JYY32 KIU32 KSQ32 LCM32 LMI32 LWE32 MGA32 MPW32 MZS32 NJO32 NTK32 ODG32 ONC32 OWY32 PGU32 PQQ32 QAM32 QKI32 QUE32 REA32 RNW32 RXS32 SHO32 SRK32 TBG32 TLC32 TUY32 UEU32 UOQ32 UYM32 VII32 VSE32 WCA32 WLW32 WVS32 E65568 JG65568 TC65568 ACY65568 AMU65568 AWQ65568 BGM65568 BQI65568 CAE65568 CKA65568 CTW65568 DDS65568 DNO65568 DXK65568 EHG65568 ERC65568 FAY65568 FKU65568 FUQ65568 GEM65568 GOI65568 GYE65568 HIA65568 HRW65568 IBS65568 ILO65568 IVK65568 JFG65568 JPC65568 JYY65568 KIU65568 KSQ65568 LCM65568 LMI65568 LWE65568 MGA65568 MPW65568 MZS65568 NJO65568 NTK65568 ODG65568 ONC65568 OWY65568 PGU65568 PQQ65568 QAM65568 QKI65568 QUE65568 REA65568 RNW65568 RXS65568 SHO65568 SRK65568 TBG65568 TLC65568 TUY65568 UEU65568 UOQ65568 UYM65568 VII65568 VSE65568 WCA65568 WLW65568 WVS65568 E131104 JG131104 TC131104 ACY131104 AMU131104 AWQ131104 BGM131104 BQI131104 CAE131104 CKA131104 CTW131104 DDS131104 DNO131104 DXK131104 EHG131104 ERC131104 FAY131104 FKU131104 FUQ131104 GEM131104 GOI131104 GYE131104 HIA131104 HRW131104 IBS131104 ILO131104 IVK131104 JFG131104 JPC131104 JYY131104 KIU131104 KSQ131104 LCM131104 LMI131104 LWE131104 MGA131104 MPW131104 MZS131104 NJO131104 NTK131104 ODG131104 ONC131104 OWY131104 PGU131104 PQQ131104 QAM131104 QKI131104 QUE131104 REA131104 RNW131104 RXS131104 SHO131104 SRK131104 TBG131104 TLC131104 TUY131104 UEU131104 UOQ131104 UYM131104 VII131104 VSE131104 WCA131104 WLW131104 WVS131104 E196640 JG196640 TC196640 ACY196640 AMU196640 AWQ196640 BGM196640 BQI196640 CAE196640 CKA196640 CTW196640 DDS196640 DNO196640 DXK196640 EHG196640 ERC196640 FAY196640 FKU196640 FUQ196640 GEM196640 GOI196640 GYE196640 HIA196640 HRW196640 IBS196640 ILO196640 IVK196640 JFG196640 JPC196640 JYY196640 KIU196640 KSQ196640 LCM196640 LMI196640 LWE196640 MGA196640 MPW196640 MZS196640 NJO196640 NTK196640 ODG196640 ONC196640 OWY196640 PGU196640 PQQ196640 QAM196640 QKI196640 QUE196640 REA196640 RNW196640 RXS196640 SHO196640 SRK196640 TBG196640 TLC196640 TUY196640 UEU196640 UOQ196640 UYM196640 VII196640 VSE196640 WCA196640 WLW196640 WVS196640 E262176 JG262176 TC262176 ACY262176 AMU262176 AWQ262176 BGM262176 BQI262176 CAE262176 CKA262176 CTW262176 DDS262176 DNO262176 DXK262176 EHG262176 ERC262176 FAY262176 FKU262176 FUQ262176 GEM262176 GOI262176 GYE262176 HIA262176 HRW262176 IBS262176 ILO262176 IVK262176 JFG262176 JPC262176 JYY262176 KIU262176 KSQ262176 LCM262176 LMI262176 LWE262176 MGA262176 MPW262176 MZS262176 NJO262176 NTK262176 ODG262176 ONC262176 OWY262176 PGU262176 PQQ262176 QAM262176 QKI262176 QUE262176 REA262176 RNW262176 RXS262176 SHO262176 SRK262176 TBG262176 TLC262176 TUY262176 UEU262176 UOQ262176 UYM262176 VII262176 VSE262176 WCA262176 WLW262176 WVS262176 E327712 JG327712 TC327712 ACY327712 AMU327712 AWQ327712 BGM327712 BQI327712 CAE327712 CKA327712 CTW327712 DDS327712 DNO327712 DXK327712 EHG327712 ERC327712 FAY327712 FKU327712 FUQ327712 GEM327712 GOI327712 GYE327712 HIA327712 HRW327712 IBS327712 ILO327712 IVK327712 JFG327712 JPC327712 JYY327712 KIU327712 KSQ327712 LCM327712 LMI327712 LWE327712 MGA327712 MPW327712 MZS327712 NJO327712 NTK327712 ODG327712 ONC327712 OWY327712 PGU327712 PQQ327712 QAM327712 QKI327712 QUE327712 REA327712 RNW327712 RXS327712 SHO327712 SRK327712 TBG327712 TLC327712 TUY327712 UEU327712 UOQ327712 UYM327712 VII327712 VSE327712 WCA327712 WLW327712 WVS327712 E393248 JG393248 TC393248 ACY393248 AMU393248 AWQ393248 BGM393248 BQI393248 CAE393248 CKA393248 CTW393248 DDS393248 DNO393248 DXK393248 EHG393248 ERC393248 FAY393248 FKU393248 FUQ393248 GEM393248 GOI393248 GYE393248 HIA393248 HRW393248 IBS393248 ILO393248 IVK393248 JFG393248 JPC393248 JYY393248 KIU393248 KSQ393248 LCM393248 LMI393248 LWE393248 MGA393248 MPW393248 MZS393248 NJO393248 NTK393248 ODG393248 ONC393248 OWY393248 PGU393248 PQQ393248 QAM393248 QKI393248 QUE393248 REA393248 RNW393248 RXS393248 SHO393248 SRK393248 TBG393248 TLC393248 TUY393248 UEU393248 UOQ393248 UYM393248 VII393248 VSE393248 WCA393248 WLW393248 WVS393248 E458784 JG458784 TC458784 ACY458784 AMU458784 AWQ458784 BGM458784 BQI458784 CAE458784 CKA458784 CTW458784 DDS458784 DNO458784 DXK458784 EHG458784 ERC458784 FAY458784 FKU458784 FUQ458784 GEM458784 GOI458784 GYE458784 HIA458784 HRW458784 IBS458784 ILO458784 IVK458784 JFG458784 JPC458784 JYY458784 KIU458784 KSQ458784 LCM458784 LMI458784 LWE458784 MGA458784 MPW458784 MZS458784 NJO458784 NTK458784 ODG458784 ONC458784 OWY458784 PGU458784 PQQ458784 QAM458784 QKI458784 QUE458784 REA458784 RNW458784 RXS458784 SHO458784 SRK458784 TBG458784 TLC458784 TUY458784 UEU458784 UOQ458784 UYM458784 VII458784 VSE458784 WCA458784 WLW458784 WVS458784 E524320 JG524320 TC524320 ACY524320 AMU524320 AWQ524320 BGM524320 BQI524320 CAE524320 CKA524320 CTW524320 DDS524320 DNO524320 DXK524320 EHG524320 ERC524320 FAY524320 FKU524320 FUQ524320 GEM524320 GOI524320 GYE524320 HIA524320 HRW524320 IBS524320 ILO524320 IVK524320 JFG524320 JPC524320 JYY524320 KIU524320 KSQ524320 LCM524320 LMI524320 LWE524320 MGA524320 MPW524320 MZS524320 NJO524320 NTK524320 ODG524320 ONC524320 OWY524320 PGU524320 PQQ524320 QAM524320 QKI524320 QUE524320 REA524320 RNW524320 RXS524320 SHO524320 SRK524320 TBG524320 TLC524320 TUY524320 UEU524320 UOQ524320 UYM524320 VII524320 VSE524320 WCA524320 WLW524320 WVS524320 E589856 JG589856 TC589856 ACY589856 AMU589856 AWQ589856 BGM589856 BQI589856 CAE589856 CKA589856 CTW589856 DDS589856 DNO589856 DXK589856 EHG589856 ERC589856 FAY589856 FKU589856 FUQ589856 GEM589856 GOI589856 GYE589856 HIA589856 HRW589856 IBS589856 ILO589856 IVK589856 JFG589856 JPC589856 JYY589856 KIU589856 KSQ589856 LCM589856 LMI589856 LWE589856 MGA589856 MPW589856 MZS589856 NJO589856 NTK589856 ODG589856 ONC589856 OWY589856 PGU589856 PQQ589856 QAM589856 QKI589856 QUE589856 REA589856 RNW589856 RXS589856 SHO589856 SRK589856 TBG589856 TLC589856 TUY589856 UEU589856 UOQ589856 UYM589856 VII589856 VSE589856 WCA589856 WLW589856 WVS589856 E655392 JG655392 TC655392 ACY655392 AMU655392 AWQ655392 BGM655392 BQI655392 CAE655392 CKA655392 CTW655392 DDS655392 DNO655392 DXK655392 EHG655392 ERC655392 FAY655392 FKU655392 FUQ655392 GEM655392 GOI655392 GYE655392 HIA655392 HRW655392 IBS655392 ILO655392 IVK655392 JFG655392 JPC655392 JYY655392 KIU655392 KSQ655392 LCM655392 LMI655392 LWE655392 MGA655392 MPW655392 MZS655392 NJO655392 NTK655392 ODG655392 ONC655392 OWY655392 PGU655392 PQQ655392 QAM655392 QKI655392 QUE655392 REA655392 RNW655392 RXS655392 SHO655392 SRK655392 TBG655392 TLC655392 TUY655392 UEU655392 UOQ655392 UYM655392 VII655392 VSE655392 WCA655392 WLW655392 WVS655392 E720928 JG720928 TC720928 ACY720928 AMU720928 AWQ720928 BGM720928 BQI720928 CAE720928 CKA720928 CTW720928 DDS720928 DNO720928 DXK720928 EHG720928 ERC720928 FAY720928 FKU720928 FUQ720928 GEM720928 GOI720928 GYE720928 HIA720928 HRW720928 IBS720928 ILO720928 IVK720928 JFG720928 JPC720928 JYY720928 KIU720928 KSQ720928 LCM720928 LMI720928 LWE720928 MGA720928 MPW720928 MZS720928 NJO720928 NTK720928 ODG720928 ONC720928 OWY720928 PGU720928 PQQ720928 QAM720928 QKI720928 QUE720928 REA720928 RNW720928 RXS720928 SHO720928 SRK720928 TBG720928 TLC720928 TUY720928 UEU720928 UOQ720928 UYM720928 VII720928 VSE720928 WCA720928 WLW720928 WVS720928 E786464 JG786464 TC786464 ACY786464 AMU786464 AWQ786464 BGM786464 BQI786464 CAE786464 CKA786464 CTW786464 DDS786464 DNO786464 DXK786464 EHG786464 ERC786464 FAY786464 FKU786464 FUQ786464 GEM786464 GOI786464 GYE786464 HIA786464 HRW786464 IBS786464 ILO786464 IVK786464 JFG786464 JPC786464 JYY786464 KIU786464 KSQ786464 LCM786464 LMI786464 LWE786464 MGA786464 MPW786464 MZS786464 NJO786464 NTK786464 ODG786464 ONC786464 OWY786464 PGU786464 PQQ786464 QAM786464 QKI786464 QUE786464 REA786464 RNW786464 RXS786464 SHO786464 SRK786464 TBG786464 TLC786464 TUY786464 UEU786464 UOQ786464 UYM786464 VII786464 VSE786464 WCA786464 WLW786464 WVS786464 E852000 JG852000 TC852000 ACY852000 AMU852000 AWQ852000 BGM852000 BQI852000 CAE852000 CKA852000 CTW852000 DDS852000 DNO852000 DXK852000 EHG852000 ERC852000 FAY852000 FKU852000 FUQ852000 GEM852000 GOI852000 GYE852000 HIA852000 HRW852000 IBS852000 ILO852000 IVK852000 JFG852000 JPC852000 JYY852000 KIU852000 KSQ852000 LCM852000 LMI852000 LWE852000 MGA852000 MPW852000 MZS852000 NJO852000 NTK852000 ODG852000 ONC852000 OWY852000 PGU852000 PQQ852000 QAM852000 QKI852000 QUE852000 REA852000 RNW852000 RXS852000 SHO852000 SRK852000 TBG852000 TLC852000 TUY852000 UEU852000 UOQ852000 UYM852000 VII852000 VSE852000 WCA852000 WLW852000 WVS852000 E917536 JG917536 TC917536 ACY917536 AMU917536 AWQ917536 BGM917536 BQI917536 CAE917536 CKA917536 CTW917536 DDS917536 DNO917536 DXK917536 EHG917536 ERC917536 FAY917536 FKU917536 FUQ917536 GEM917536 GOI917536 GYE917536 HIA917536 HRW917536 IBS917536 ILO917536 IVK917536 JFG917536 JPC917536 JYY917536 KIU917536 KSQ917536 LCM917536 LMI917536 LWE917536 MGA917536 MPW917536 MZS917536 NJO917536 NTK917536 ODG917536 ONC917536 OWY917536 PGU917536 PQQ917536 QAM917536 QKI917536 QUE917536 REA917536 RNW917536 RXS917536 SHO917536 SRK917536 TBG917536 TLC917536 TUY917536 UEU917536 UOQ917536 UYM917536 VII917536 VSE917536 WCA917536 WLW917536 WVS917536 E983072 JG983072 TC983072 ACY983072 AMU983072 AWQ983072 BGM983072 BQI983072 CAE983072 CKA983072 CTW983072 DDS983072 DNO983072 DXK983072 EHG983072 ERC983072 FAY983072 FKU983072 FUQ983072 GEM983072 GOI983072 GYE983072 HIA983072 HRW983072 IBS983072 ILO983072 IVK983072 JFG983072 JPC983072 JYY983072 KIU983072 KSQ983072 LCM983072 LMI983072 LWE983072 MGA983072 MPW983072 MZS983072 NJO983072 NTK983072 ODG983072 ONC983072 OWY983072 PGU983072 PQQ983072 QAM983072 QKI983072 QUE983072 REA983072 RNW983072 RXS983072 SHO983072 SRK983072 TBG983072 TLC983072 TUY983072 UEU983072 UOQ983072 UYM983072 VII983072 VSE983072 WCA983072 WLW983072" xr:uid="{00000000-0002-0000-0600-000007000000}">
      <formula1>"0, 22308, 25740, 30888"</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B1:BP70"/>
  <sheetViews>
    <sheetView zoomScale="85" zoomScaleNormal="85" workbookViewId="0">
      <selection activeCell="C8" sqref="C8"/>
    </sheetView>
  </sheetViews>
  <sheetFormatPr defaultRowHeight="12.75"/>
  <cols>
    <col min="1" max="11" width="9.140625" style="150"/>
    <col min="12" max="12" width="11.140625" style="150" customWidth="1"/>
    <col min="13" max="13" width="10.5703125" style="150" customWidth="1"/>
    <col min="14" max="14" width="11.28515625" style="150" customWidth="1"/>
    <col min="15" max="15" width="10.5703125" style="150" customWidth="1"/>
    <col min="16" max="16" width="10.28515625" style="150" customWidth="1"/>
    <col min="17" max="17" width="10.140625" style="150" customWidth="1"/>
    <col min="18" max="18" width="10" style="150" bestFit="1" customWidth="1"/>
    <col min="19" max="19" width="7.42578125" style="151" customWidth="1"/>
    <col min="20" max="20" width="7" style="150" customWidth="1"/>
    <col min="21" max="21" width="9.140625" style="150"/>
    <col min="22" max="22" width="11.140625" style="150" customWidth="1"/>
    <col min="23" max="23" width="10.5703125" style="150" customWidth="1"/>
    <col min="24" max="24" width="11.28515625" style="150" customWidth="1"/>
    <col min="25" max="25" width="10.5703125" style="150" customWidth="1"/>
    <col min="26" max="26" width="10.28515625" style="150" customWidth="1"/>
    <col min="27" max="27" width="10.140625" style="150" customWidth="1"/>
    <col min="28" max="28" width="10" style="150" bestFit="1" customWidth="1"/>
    <col min="29" max="31" width="9.140625" style="150"/>
    <col min="32" max="32" width="11.140625" style="150" customWidth="1"/>
    <col min="33" max="33" width="10.5703125" style="150" customWidth="1"/>
    <col min="34" max="34" width="11.28515625" style="150" customWidth="1"/>
    <col min="35" max="35" width="10.5703125" style="150" customWidth="1"/>
    <col min="36" max="36" width="10.28515625" style="150" customWidth="1"/>
    <col min="37" max="37" width="10.140625" style="150" customWidth="1"/>
    <col min="38" max="38" width="10" style="150" bestFit="1" customWidth="1"/>
    <col min="39" max="41" width="9.140625" style="150"/>
    <col min="42" max="42" width="11.140625" style="150" customWidth="1"/>
    <col min="43" max="43" width="10.5703125" style="150" customWidth="1"/>
    <col min="44" max="44" width="11.28515625" style="150" customWidth="1"/>
    <col min="45" max="45" width="10.5703125" style="150" customWidth="1"/>
    <col min="46" max="46" width="10.28515625" style="150" customWidth="1"/>
    <col min="47" max="47" width="10.140625" style="150" customWidth="1"/>
    <col min="48" max="48" width="10" style="150" bestFit="1" customWidth="1"/>
    <col min="49" max="51" width="9.140625" style="150"/>
    <col min="52" max="52" width="11.140625" style="150" customWidth="1"/>
    <col min="53" max="53" width="10.5703125" style="150" customWidth="1"/>
    <col min="54" max="54" width="11.28515625" style="150" customWidth="1"/>
    <col min="55" max="55" width="10.5703125" style="150" customWidth="1"/>
    <col min="56" max="56" width="10.28515625" style="150" customWidth="1"/>
    <col min="57" max="57" width="10.140625" style="150" customWidth="1"/>
    <col min="58" max="58" width="10" style="150" bestFit="1" customWidth="1"/>
    <col min="59" max="61" width="9.140625" style="150"/>
    <col min="62" max="62" width="11.140625" style="150" customWidth="1"/>
    <col min="63" max="63" width="10.5703125" style="150" customWidth="1"/>
    <col min="64" max="64" width="11.28515625" style="150" customWidth="1"/>
    <col min="65" max="65" width="10.5703125" style="150" customWidth="1"/>
    <col min="66" max="66" width="10.28515625" style="150" customWidth="1"/>
    <col min="67" max="67" width="10.140625" style="150" customWidth="1"/>
    <col min="68" max="68" width="10" style="150" bestFit="1" customWidth="1"/>
    <col min="69" max="16384" width="9.140625" style="150"/>
  </cols>
  <sheetData>
    <row r="1" spans="2:68" ht="13.5" thickBot="1">
      <c r="C1" s="277" t="s">
        <v>149</v>
      </c>
      <c r="D1" s="277" t="s">
        <v>149</v>
      </c>
      <c r="E1" s="150" t="s">
        <v>5</v>
      </c>
      <c r="F1" s="150" t="s">
        <v>5</v>
      </c>
      <c r="G1" s="277" t="s">
        <v>149</v>
      </c>
      <c r="H1" s="150" t="s">
        <v>5</v>
      </c>
      <c r="L1" s="154"/>
      <c r="M1" s="671"/>
      <c r="N1" s="671"/>
      <c r="O1" s="154"/>
      <c r="P1" s="154"/>
      <c r="Q1" s="228">
        <v>13</v>
      </c>
      <c r="R1" s="228">
        <v>15</v>
      </c>
      <c r="S1" s="292"/>
      <c r="T1" s="228">
        <v>18</v>
      </c>
      <c r="V1" s="154"/>
      <c r="W1" s="671"/>
      <c r="X1" s="671"/>
      <c r="Y1" s="154"/>
      <c r="Z1" s="154"/>
      <c r="AA1" s="228"/>
      <c r="AB1" s="228"/>
      <c r="AD1" s="300"/>
      <c r="AF1" s="154"/>
      <c r="AG1" s="671"/>
      <c r="AH1" s="671"/>
      <c r="AI1" s="154"/>
      <c r="AJ1" s="154"/>
      <c r="AK1" s="228"/>
      <c r="AL1" s="228"/>
      <c r="AN1" s="300"/>
      <c r="AP1" s="154"/>
      <c r="AQ1" s="671"/>
      <c r="AR1" s="671"/>
      <c r="AS1" s="154"/>
      <c r="AT1" s="154"/>
      <c r="AU1" s="228"/>
      <c r="AV1" s="228"/>
      <c r="AX1" s="300"/>
      <c r="AZ1" s="154"/>
      <c r="BA1" s="671"/>
      <c r="BB1" s="671"/>
      <c r="BC1" s="154"/>
      <c r="BD1" s="154"/>
      <c r="BE1" s="228"/>
      <c r="BF1" s="228"/>
      <c r="BH1" s="300"/>
      <c r="BJ1" s="154"/>
      <c r="BK1" s="671"/>
      <c r="BL1" s="671"/>
      <c r="BM1" s="154"/>
      <c r="BN1" s="154"/>
      <c r="BO1" s="228"/>
      <c r="BP1" s="228"/>
    </row>
    <row r="2" spans="2:68" ht="15.75" thickBot="1">
      <c r="B2" s="277" t="s">
        <v>150</v>
      </c>
      <c r="C2" s="277" t="s">
        <v>151</v>
      </c>
      <c r="D2" s="277" t="s">
        <v>137</v>
      </c>
      <c r="E2" s="277" t="s">
        <v>151</v>
      </c>
      <c r="F2" s="277" t="s">
        <v>137</v>
      </c>
      <c r="G2" s="277" t="s">
        <v>152</v>
      </c>
      <c r="H2" s="277" t="s">
        <v>152</v>
      </c>
      <c r="K2" s="373" t="s">
        <v>7</v>
      </c>
      <c r="L2" s="532">
        <v>42401</v>
      </c>
      <c r="M2" s="674" t="s">
        <v>100</v>
      </c>
      <c r="N2" s="675"/>
      <c r="O2" s="674" t="s">
        <v>99</v>
      </c>
      <c r="P2" s="675"/>
      <c r="Q2" s="676" t="s">
        <v>16</v>
      </c>
      <c r="R2" s="677"/>
      <c r="S2" s="293"/>
      <c r="T2" s="300"/>
      <c r="U2" s="373" t="s">
        <v>7</v>
      </c>
      <c r="V2" s="532">
        <v>42402</v>
      </c>
      <c r="W2" s="674" t="s">
        <v>100</v>
      </c>
      <c r="X2" s="675"/>
      <c r="Y2" s="674" t="s">
        <v>99</v>
      </c>
      <c r="Z2" s="675"/>
      <c r="AA2" s="676" t="s">
        <v>16</v>
      </c>
      <c r="AB2" s="677"/>
      <c r="AD2" s="300"/>
      <c r="AE2" s="373" t="s">
        <v>7</v>
      </c>
      <c r="AF2" s="532">
        <v>42403</v>
      </c>
      <c r="AG2" s="674" t="s">
        <v>100</v>
      </c>
      <c r="AH2" s="675"/>
      <c r="AI2" s="674" t="s">
        <v>99</v>
      </c>
      <c r="AJ2" s="675"/>
      <c r="AK2" s="676" t="s">
        <v>16</v>
      </c>
      <c r="AL2" s="677"/>
      <c r="AN2" s="300"/>
      <c r="AO2" s="373" t="s">
        <v>7</v>
      </c>
      <c r="AP2" s="532">
        <v>42404</v>
      </c>
      <c r="AQ2" s="674" t="s">
        <v>100</v>
      </c>
      <c r="AR2" s="675"/>
      <c r="AS2" s="674" t="s">
        <v>99</v>
      </c>
      <c r="AT2" s="675"/>
      <c r="AU2" s="676" t="s">
        <v>16</v>
      </c>
      <c r="AV2" s="677"/>
      <c r="AX2" s="300"/>
      <c r="AY2" s="373" t="s">
        <v>7</v>
      </c>
      <c r="AZ2" s="532">
        <v>42405</v>
      </c>
      <c r="BA2" s="674" t="s">
        <v>100</v>
      </c>
      <c r="BB2" s="675"/>
      <c r="BC2" s="674" t="s">
        <v>99</v>
      </c>
      <c r="BD2" s="675"/>
      <c r="BE2" s="676" t="s">
        <v>16</v>
      </c>
      <c r="BF2" s="677"/>
      <c r="BH2" s="300"/>
      <c r="BI2" s="373" t="s">
        <v>7</v>
      </c>
      <c r="BJ2" s="532">
        <v>42406</v>
      </c>
      <c r="BK2" s="674" t="s">
        <v>100</v>
      </c>
      <c r="BL2" s="675"/>
      <c r="BM2" s="674" t="s">
        <v>99</v>
      </c>
      <c r="BN2" s="675"/>
      <c r="BO2" s="676" t="s">
        <v>16</v>
      </c>
      <c r="BP2" s="677"/>
    </row>
    <row r="3" spans="2:68" ht="13.5" thickBot="1">
      <c r="B3" s="278">
        <v>42401</v>
      </c>
      <c r="C3" s="150">
        <v>7134</v>
      </c>
      <c r="D3" s="150">
        <v>5386</v>
      </c>
      <c r="E3" s="150">
        <v>193</v>
      </c>
      <c r="F3" s="150">
        <v>163</v>
      </c>
      <c r="G3" s="150">
        <f>C3+D3</f>
        <v>12520</v>
      </c>
      <c r="H3" s="150">
        <f>E3+F3</f>
        <v>356</v>
      </c>
      <c r="K3" s="356"/>
      <c r="L3" s="355"/>
      <c r="M3" s="356"/>
      <c r="N3" s="357"/>
      <c r="O3" s="367"/>
      <c r="P3" s="368"/>
      <c r="Q3" s="369"/>
      <c r="R3" s="368"/>
      <c r="S3" s="156"/>
      <c r="T3" s="300"/>
      <c r="U3" s="356"/>
      <c r="V3" s="355"/>
      <c r="W3" s="356"/>
      <c r="X3" s="357"/>
      <c r="Y3" s="367"/>
      <c r="Z3" s="368"/>
      <c r="AA3" s="369"/>
      <c r="AB3" s="368"/>
      <c r="AD3" s="300"/>
      <c r="AE3" s="356"/>
      <c r="AF3" s="355"/>
      <c r="AG3" s="356"/>
      <c r="AH3" s="357"/>
      <c r="AI3" s="367"/>
      <c r="AJ3" s="368"/>
      <c r="AK3" s="369"/>
      <c r="AL3" s="368"/>
      <c r="AN3" s="300"/>
      <c r="AO3" s="356"/>
      <c r="AP3" s="355"/>
      <c r="AQ3" s="356"/>
      <c r="AR3" s="357"/>
      <c r="AS3" s="367"/>
      <c r="AT3" s="368"/>
      <c r="AU3" s="369"/>
      <c r="AV3" s="368"/>
      <c r="AX3" s="300"/>
      <c r="AY3" s="356"/>
      <c r="AZ3" s="355"/>
      <c r="BA3" s="356"/>
      <c r="BB3" s="357"/>
      <c r="BC3" s="367"/>
      <c r="BD3" s="368"/>
      <c r="BE3" s="369"/>
      <c r="BF3" s="368"/>
      <c r="BH3" s="300"/>
      <c r="BI3" s="356"/>
      <c r="BJ3" s="355"/>
      <c r="BK3" s="356"/>
      <c r="BL3" s="357"/>
      <c r="BM3" s="367"/>
      <c r="BN3" s="368"/>
      <c r="BO3" s="369"/>
      <c r="BP3" s="368"/>
    </row>
    <row r="4" spans="2:68" ht="16.5" thickBot="1">
      <c r="B4" s="278">
        <v>42402</v>
      </c>
      <c r="C4" s="150">
        <v>8139</v>
      </c>
      <c r="D4" s="150">
        <v>7235</v>
      </c>
      <c r="E4" s="150">
        <v>235</v>
      </c>
      <c r="F4" s="150">
        <v>199</v>
      </c>
      <c r="G4" s="150">
        <f t="shared" ref="G4:G32" si="0">C4+D4</f>
        <v>15374</v>
      </c>
      <c r="H4" s="150">
        <f t="shared" ref="H4:H32" si="1">E4+F4</f>
        <v>434</v>
      </c>
      <c r="K4" s="356"/>
      <c r="L4" s="371" t="s">
        <v>155</v>
      </c>
      <c r="M4" s="358" t="s">
        <v>103</v>
      </c>
      <c r="N4" s="279">
        <v>569.5</v>
      </c>
      <c r="O4" s="358" t="s">
        <v>103</v>
      </c>
      <c r="P4" s="279">
        <v>490.5</v>
      </c>
      <c r="Q4" s="359" t="s">
        <v>103</v>
      </c>
      <c r="R4" s="370">
        <f>SUM(N4,P4)</f>
        <v>1060</v>
      </c>
      <c r="S4" s="294"/>
      <c r="T4" s="300"/>
      <c r="U4" s="356"/>
      <c r="V4" s="371" t="s">
        <v>155</v>
      </c>
      <c r="W4" s="358" t="s">
        <v>103</v>
      </c>
      <c r="X4" s="279">
        <v>569.5</v>
      </c>
      <c r="Y4" s="358" t="s">
        <v>103</v>
      </c>
      <c r="Z4" s="279">
        <v>490.5</v>
      </c>
      <c r="AA4" s="359" t="s">
        <v>103</v>
      </c>
      <c r="AB4" s="370">
        <f>SUM(X4,Z4)</f>
        <v>1060</v>
      </c>
      <c r="AD4" s="300"/>
      <c r="AE4" s="356"/>
      <c r="AF4" s="371" t="s">
        <v>155</v>
      </c>
      <c r="AG4" s="358" t="s">
        <v>103</v>
      </c>
      <c r="AH4" s="279">
        <v>569.5</v>
      </c>
      <c r="AI4" s="358" t="s">
        <v>103</v>
      </c>
      <c r="AJ4" s="279">
        <v>490.5</v>
      </c>
      <c r="AK4" s="359" t="s">
        <v>103</v>
      </c>
      <c r="AL4" s="370">
        <f>SUM(AH4,AJ4)</f>
        <v>1060</v>
      </c>
      <c r="AN4" s="300"/>
      <c r="AO4" s="356"/>
      <c r="AP4" s="371" t="s">
        <v>155</v>
      </c>
      <c r="AQ4" s="358" t="s">
        <v>103</v>
      </c>
      <c r="AR4" s="279"/>
      <c r="AS4" s="358" t="s">
        <v>103</v>
      </c>
      <c r="AT4" s="279"/>
      <c r="AU4" s="359" t="s">
        <v>103</v>
      </c>
      <c r="AV4" s="370">
        <f>SUM(AR4,AT4)</f>
        <v>0</v>
      </c>
      <c r="AX4" s="300"/>
      <c r="AY4" s="356"/>
      <c r="AZ4" s="371" t="s">
        <v>155</v>
      </c>
      <c r="BA4" s="358" t="s">
        <v>103</v>
      </c>
      <c r="BB4" s="279"/>
      <c r="BC4" s="358" t="s">
        <v>103</v>
      </c>
      <c r="BD4" s="279"/>
      <c r="BE4" s="359" t="s">
        <v>103</v>
      </c>
      <c r="BF4" s="370">
        <f>SUM(BB4,BD4)</f>
        <v>0</v>
      </c>
      <c r="BH4" s="300"/>
      <c r="BI4" s="356"/>
      <c r="BJ4" s="371" t="s">
        <v>155</v>
      </c>
      <c r="BK4" s="358" t="s">
        <v>103</v>
      </c>
      <c r="BL4" s="279"/>
      <c r="BM4" s="358" t="s">
        <v>103</v>
      </c>
      <c r="BN4" s="279"/>
      <c r="BO4" s="359" t="s">
        <v>103</v>
      </c>
      <c r="BP4" s="370">
        <f>SUM(BL4,BN4)</f>
        <v>0</v>
      </c>
    </row>
    <row r="5" spans="2:68" ht="18.75" thickBot="1">
      <c r="B5" s="278">
        <v>42403</v>
      </c>
      <c r="C5" s="150">
        <v>7230</v>
      </c>
      <c r="D5" s="150">
        <v>6277</v>
      </c>
      <c r="E5" s="150">
        <v>204</v>
      </c>
      <c r="F5" s="150">
        <v>175</v>
      </c>
      <c r="G5" s="150">
        <f t="shared" si="0"/>
        <v>13507</v>
      </c>
      <c r="H5" s="150">
        <f t="shared" si="1"/>
        <v>379</v>
      </c>
      <c r="K5" s="356"/>
      <c r="L5" s="289">
        <v>8</v>
      </c>
      <c r="M5" s="360" t="s">
        <v>5</v>
      </c>
      <c r="N5" s="361">
        <f>VLOOKUP(L2, $B$3:$E$109, 4, FALSE)</f>
        <v>193</v>
      </c>
      <c r="O5" s="358" t="s">
        <v>5</v>
      </c>
      <c r="P5" s="361">
        <f>VLOOKUP(L2, $B$3:$F$109, 5, FALSE)</f>
        <v>163</v>
      </c>
      <c r="Q5" s="359" t="s">
        <v>5</v>
      </c>
      <c r="R5" s="370">
        <f>SUM(N5,P5)</f>
        <v>356</v>
      </c>
      <c r="S5" s="294"/>
      <c r="T5" s="300"/>
      <c r="U5" s="356"/>
      <c r="V5" s="289">
        <v>8</v>
      </c>
      <c r="W5" s="360" t="s">
        <v>5</v>
      </c>
      <c r="X5" s="361">
        <f>VLOOKUP(V2, $B$3:$E$109, 4, FALSE)</f>
        <v>235</v>
      </c>
      <c r="Y5" s="358" t="s">
        <v>5</v>
      </c>
      <c r="Z5" s="361">
        <f>VLOOKUP(V2, $B$3:$F$109, 5, FALSE)</f>
        <v>199</v>
      </c>
      <c r="AA5" s="359" t="s">
        <v>5</v>
      </c>
      <c r="AB5" s="370">
        <f>SUM(X5,Z5)</f>
        <v>434</v>
      </c>
      <c r="AD5" s="300"/>
      <c r="AE5" s="356"/>
      <c r="AF5" s="289">
        <v>8</v>
      </c>
      <c r="AG5" s="360" t="s">
        <v>5</v>
      </c>
      <c r="AH5" s="361">
        <f>VLOOKUP(AF2, $B$3:$E$109, 4, FALSE)</f>
        <v>204</v>
      </c>
      <c r="AI5" s="358" t="s">
        <v>5</v>
      </c>
      <c r="AJ5" s="361">
        <f>VLOOKUP(AF2, $B$3:$F$109, 5, FALSE)</f>
        <v>175</v>
      </c>
      <c r="AK5" s="359" t="s">
        <v>5</v>
      </c>
      <c r="AL5" s="370">
        <f>SUM(AH5,AJ5)</f>
        <v>379</v>
      </c>
      <c r="AN5" s="300"/>
      <c r="AO5" s="356"/>
      <c r="AP5" s="289">
        <v>8</v>
      </c>
      <c r="AQ5" s="360" t="s">
        <v>5</v>
      </c>
      <c r="AR5" s="361">
        <f>VLOOKUP(AP2, $B$3:$E$109, 4, FALSE)</f>
        <v>188</v>
      </c>
      <c r="AS5" s="358" t="s">
        <v>5</v>
      </c>
      <c r="AT5" s="361">
        <f>VLOOKUP(AP2, $B$3:$F$109, 5, FALSE)</f>
        <v>192</v>
      </c>
      <c r="AU5" s="359" t="s">
        <v>5</v>
      </c>
      <c r="AV5" s="370">
        <f>SUM(AR5,AT5)</f>
        <v>380</v>
      </c>
      <c r="AX5" s="300"/>
      <c r="AY5" s="356"/>
      <c r="AZ5" s="289">
        <v>8</v>
      </c>
      <c r="BA5" s="360" t="s">
        <v>5</v>
      </c>
      <c r="BB5" s="361">
        <f>VLOOKUP(AZ2, $B$3:$E$109, 4, FALSE)</f>
        <v>132</v>
      </c>
      <c r="BC5" s="358" t="s">
        <v>5</v>
      </c>
      <c r="BD5" s="361">
        <f>VLOOKUP(AZ2, $B$3:$F$109, 5, FALSE)</f>
        <v>123</v>
      </c>
      <c r="BE5" s="359" t="s">
        <v>5</v>
      </c>
      <c r="BF5" s="370">
        <f>SUM(BB5,BD5)</f>
        <v>255</v>
      </c>
      <c r="BH5" s="300"/>
      <c r="BI5" s="356"/>
      <c r="BJ5" s="289">
        <v>8</v>
      </c>
      <c r="BK5" s="360" t="s">
        <v>5</v>
      </c>
      <c r="BL5" s="361">
        <f>VLOOKUP(BJ2, $B$3:$E$109, 4, FALSE)</f>
        <v>0</v>
      </c>
      <c r="BM5" s="358" t="s">
        <v>5</v>
      </c>
      <c r="BN5" s="361">
        <f>VLOOKUP(BJ2, $B$3:$F$109, 5, FALSE)</f>
        <v>0</v>
      </c>
      <c r="BO5" s="359" t="s">
        <v>5</v>
      </c>
      <c r="BP5" s="370">
        <f>SUM(BL5,BN5)</f>
        <v>0</v>
      </c>
    </row>
    <row r="6" spans="2:68" ht="15.75" customHeight="1">
      <c r="B6" s="278">
        <v>42404</v>
      </c>
      <c r="C6" s="2">
        <v>6061</v>
      </c>
      <c r="D6" s="2">
        <v>7065</v>
      </c>
      <c r="E6" s="2">
        <v>188</v>
      </c>
      <c r="F6" s="2">
        <v>192</v>
      </c>
      <c r="G6" s="2">
        <f t="shared" si="0"/>
        <v>13126</v>
      </c>
      <c r="H6" s="2">
        <f t="shared" si="1"/>
        <v>380</v>
      </c>
      <c r="K6" s="356"/>
      <c r="L6" s="355"/>
      <c r="M6" s="672" t="s">
        <v>105</v>
      </c>
      <c r="N6" s="361">
        <f>VLOOKUP(L2, $B$3:$E$109, 2, FALSE)</f>
        <v>7134</v>
      </c>
      <c r="O6" s="672" t="s">
        <v>105</v>
      </c>
      <c r="P6" s="361">
        <f>VLOOKUP(L2, $B$3:$E$109, 3, FALSE)</f>
        <v>5386</v>
      </c>
      <c r="Q6" s="673" t="s">
        <v>105</v>
      </c>
      <c r="R6" s="370">
        <f>SUM(N6,P6)</f>
        <v>12520</v>
      </c>
      <c r="S6" s="294"/>
      <c r="T6" s="300"/>
      <c r="U6" s="356"/>
      <c r="V6" s="355"/>
      <c r="W6" s="672" t="s">
        <v>105</v>
      </c>
      <c r="X6" s="361">
        <f>VLOOKUP(V2, $B$3:$E$109, 2, FALSE)</f>
        <v>8139</v>
      </c>
      <c r="Y6" s="672" t="s">
        <v>105</v>
      </c>
      <c r="Z6" s="361">
        <f>VLOOKUP(V2, $B$3:$E$109, 3, FALSE)</f>
        <v>7235</v>
      </c>
      <c r="AA6" s="673" t="s">
        <v>105</v>
      </c>
      <c r="AB6" s="370">
        <f>SUM(X6,Z6)</f>
        <v>15374</v>
      </c>
      <c r="AD6" s="300"/>
      <c r="AE6" s="356"/>
      <c r="AF6" s="355"/>
      <c r="AG6" s="672" t="s">
        <v>105</v>
      </c>
      <c r="AH6" s="361">
        <f>VLOOKUP(AF2, $B$3:$E$109, 2, FALSE)</f>
        <v>7230</v>
      </c>
      <c r="AI6" s="672" t="s">
        <v>105</v>
      </c>
      <c r="AJ6" s="361">
        <f>VLOOKUP(AF2, $B$3:$E$109, 3, FALSE)</f>
        <v>6277</v>
      </c>
      <c r="AK6" s="673" t="s">
        <v>105</v>
      </c>
      <c r="AL6" s="370">
        <f>SUM(AH6,AJ6)</f>
        <v>13507</v>
      </c>
      <c r="AN6" s="300"/>
      <c r="AO6" s="356"/>
      <c r="AP6" s="355"/>
      <c r="AQ6" s="672" t="s">
        <v>105</v>
      </c>
      <c r="AR6" s="361">
        <f>VLOOKUP(AP2, $B$3:$E$109, 2, FALSE)</f>
        <v>6061</v>
      </c>
      <c r="AS6" s="672" t="s">
        <v>105</v>
      </c>
      <c r="AT6" s="361">
        <f>VLOOKUP(AP2, $B$3:$E$109, 3, FALSE)</f>
        <v>7065</v>
      </c>
      <c r="AU6" s="673" t="s">
        <v>105</v>
      </c>
      <c r="AV6" s="370">
        <f>SUM(AR6,AT6)</f>
        <v>13126</v>
      </c>
      <c r="AX6" s="300"/>
      <c r="AY6" s="356"/>
      <c r="AZ6" s="355"/>
      <c r="BA6" s="672" t="s">
        <v>105</v>
      </c>
      <c r="BB6" s="361">
        <f>VLOOKUP(AZ2, $B$3:$E$109, 2, FALSE)</f>
        <v>4382</v>
      </c>
      <c r="BC6" s="672" t="s">
        <v>105</v>
      </c>
      <c r="BD6" s="361">
        <f>VLOOKUP(AZ2, $B$3:$E$109, 3, FALSE)</f>
        <v>4859.12</v>
      </c>
      <c r="BE6" s="673" t="s">
        <v>105</v>
      </c>
      <c r="BF6" s="370">
        <f>SUM(BB6,BD6)</f>
        <v>9241.119999999999</v>
      </c>
      <c r="BH6" s="300"/>
      <c r="BI6" s="356"/>
      <c r="BJ6" s="355"/>
      <c r="BK6" s="672" t="s">
        <v>105</v>
      </c>
      <c r="BL6" s="361">
        <f>VLOOKUP(BJ2, $B$3:$E$109, 2, FALSE)</f>
        <v>0</v>
      </c>
      <c r="BM6" s="672" t="s">
        <v>105</v>
      </c>
      <c r="BN6" s="361">
        <f>VLOOKUP(BJ2, $B$3:$E$109, 3, FALSE)</f>
        <v>0</v>
      </c>
      <c r="BO6" s="673" t="s">
        <v>105</v>
      </c>
      <c r="BP6" s="370">
        <f>SUM(BL6,BN6)</f>
        <v>0</v>
      </c>
    </row>
    <row r="7" spans="2:68" ht="17.25" customHeight="1">
      <c r="B7" s="278">
        <v>42405</v>
      </c>
      <c r="C7" s="2">
        <v>4382</v>
      </c>
      <c r="D7" s="337">
        <v>4859.12</v>
      </c>
      <c r="E7" s="2">
        <v>132</v>
      </c>
      <c r="F7" s="2">
        <v>123</v>
      </c>
      <c r="G7" s="337">
        <f t="shared" si="0"/>
        <v>9241.119999999999</v>
      </c>
      <c r="H7" s="2">
        <f t="shared" si="1"/>
        <v>255</v>
      </c>
      <c r="K7" s="704" t="s">
        <v>157</v>
      </c>
      <c r="L7" s="705"/>
      <c r="M7" s="673"/>
      <c r="N7" s="357"/>
      <c r="O7" s="672"/>
      <c r="P7" s="368"/>
      <c r="Q7" s="673"/>
      <c r="R7" s="368"/>
      <c r="S7" s="156"/>
      <c r="T7" s="300"/>
      <c r="U7" s="704" t="s">
        <v>157</v>
      </c>
      <c r="V7" s="705"/>
      <c r="W7" s="673"/>
      <c r="X7" s="357"/>
      <c r="Y7" s="672"/>
      <c r="Z7" s="368"/>
      <c r="AA7" s="673"/>
      <c r="AB7" s="368"/>
      <c r="AD7" s="300"/>
      <c r="AE7" s="704" t="s">
        <v>157</v>
      </c>
      <c r="AF7" s="705"/>
      <c r="AG7" s="673"/>
      <c r="AH7" s="357"/>
      <c r="AI7" s="672"/>
      <c r="AJ7" s="368"/>
      <c r="AK7" s="673"/>
      <c r="AL7" s="368"/>
      <c r="AN7" s="300"/>
      <c r="AO7" s="704" t="s">
        <v>157</v>
      </c>
      <c r="AP7" s="705"/>
      <c r="AQ7" s="673"/>
      <c r="AR7" s="357"/>
      <c r="AS7" s="672"/>
      <c r="AT7" s="368"/>
      <c r="AU7" s="673"/>
      <c r="AV7" s="368"/>
      <c r="AX7" s="300"/>
      <c r="AY7" s="704" t="s">
        <v>157</v>
      </c>
      <c r="AZ7" s="705"/>
      <c r="BA7" s="673"/>
      <c r="BB7" s="357"/>
      <c r="BC7" s="672"/>
      <c r="BD7" s="368"/>
      <c r="BE7" s="673"/>
      <c r="BF7" s="368"/>
      <c r="BH7" s="300"/>
      <c r="BI7" s="704" t="s">
        <v>157</v>
      </c>
      <c r="BJ7" s="705"/>
      <c r="BK7" s="673"/>
      <c r="BL7" s="357"/>
      <c r="BM7" s="672"/>
      <c r="BN7" s="368"/>
      <c r="BO7" s="673"/>
      <c r="BP7" s="368"/>
    </row>
    <row r="8" spans="2:68" ht="15.75">
      <c r="B8" s="278">
        <v>42406</v>
      </c>
      <c r="G8" s="150">
        <f t="shared" si="0"/>
        <v>0</v>
      </c>
      <c r="H8" s="150">
        <f t="shared" si="1"/>
        <v>0</v>
      </c>
      <c r="K8" s="374"/>
      <c r="L8" s="372">
        <f>R4*13</f>
        <v>13780</v>
      </c>
      <c r="M8" s="362"/>
      <c r="N8" s="357"/>
      <c r="O8" s="363"/>
      <c r="P8" s="357"/>
      <c r="Q8" s="364"/>
      <c r="R8" s="357"/>
      <c r="S8" s="156"/>
      <c r="T8" s="300"/>
      <c r="U8" s="374"/>
      <c r="V8" s="372">
        <f>AB4*13</f>
        <v>13780</v>
      </c>
      <c r="W8" s="362"/>
      <c r="X8" s="357"/>
      <c r="Y8" s="363"/>
      <c r="Z8" s="357"/>
      <c r="AA8" s="364"/>
      <c r="AB8" s="357"/>
      <c r="AD8" s="300"/>
      <c r="AE8" s="374"/>
      <c r="AF8" s="372">
        <f>AL4*13</f>
        <v>13780</v>
      </c>
      <c r="AG8" s="362"/>
      <c r="AH8" s="357"/>
      <c r="AI8" s="363"/>
      <c r="AJ8" s="357"/>
      <c r="AK8" s="364"/>
      <c r="AL8" s="357"/>
      <c r="AN8" s="300"/>
      <c r="AO8" s="374"/>
      <c r="AP8" s="372">
        <f>AV4*13</f>
        <v>0</v>
      </c>
      <c r="AQ8" s="362"/>
      <c r="AR8" s="357"/>
      <c r="AS8" s="363"/>
      <c r="AT8" s="357"/>
      <c r="AU8" s="364"/>
      <c r="AV8" s="357"/>
      <c r="AX8" s="300"/>
      <c r="AY8" s="374"/>
      <c r="AZ8" s="372">
        <f>BF4*13</f>
        <v>0</v>
      </c>
      <c r="BA8" s="362"/>
      <c r="BB8" s="357"/>
      <c r="BC8" s="363"/>
      <c r="BD8" s="357"/>
      <c r="BE8" s="364"/>
      <c r="BF8" s="357"/>
      <c r="BH8" s="300"/>
      <c r="BI8" s="374"/>
      <c r="BJ8" s="372">
        <f>BP4*13</f>
        <v>0</v>
      </c>
      <c r="BK8" s="362"/>
      <c r="BL8" s="357"/>
      <c r="BM8" s="363"/>
      <c r="BN8" s="357"/>
      <c r="BO8" s="364"/>
      <c r="BP8" s="357"/>
    </row>
    <row r="9" spans="2:68" ht="18.75">
      <c r="B9" s="278">
        <v>42407</v>
      </c>
      <c r="G9" s="150">
        <f t="shared" si="0"/>
        <v>0</v>
      </c>
      <c r="H9" s="150">
        <f t="shared" si="1"/>
        <v>0</v>
      </c>
      <c r="K9" s="356"/>
      <c r="L9" s="375"/>
      <c r="M9" s="286" t="s">
        <v>97</v>
      </c>
      <c r="N9" s="287">
        <f>N6/((N4*EFFICIENCY!$H$28))</f>
        <v>0.96359829810224895</v>
      </c>
      <c r="O9" s="286" t="s">
        <v>97</v>
      </c>
      <c r="P9" s="287">
        <f>P6/(P4*EFFICIENCY!$H$28)</f>
        <v>0.8446640006273034</v>
      </c>
      <c r="Q9" s="286" t="s">
        <v>97</v>
      </c>
      <c r="R9" s="287">
        <f>R6/(R4*EFFICIENCY!$H$28)</f>
        <v>0.90856313497822927</v>
      </c>
      <c r="S9" s="295"/>
      <c r="T9" s="300"/>
      <c r="U9" s="356"/>
      <c r="V9" s="375"/>
      <c r="W9" s="286" t="s">
        <v>97</v>
      </c>
      <c r="X9" s="287">
        <f>X6/((X4*EFFICIENCY!$H$28))</f>
        <v>1.0993449044370907</v>
      </c>
      <c r="Y9" s="286" t="s">
        <v>97</v>
      </c>
      <c r="Z9" s="287">
        <f>Z6/(Z4*EFFICIENCY!$H$28)</f>
        <v>1.1346349878459969</v>
      </c>
      <c r="AA9" s="286" t="s">
        <v>97</v>
      </c>
      <c r="AB9" s="287">
        <f>AB6/(AB4*EFFICIENCY!$H$28)</f>
        <v>1.1156748911465892</v>
      </c>
      <c r="AD9" s="300"/>
      <c r="AE9" s="356"/>
      <c r="AF9" s="375"/>
      <c r="AG9" s="286" t="s">
        <v>97</v>
      </c>
      <c r="AH9" s="287">
        <f>AH6/((AH4*EFFICIENCY!$H$28))</f>
        <v>0.97656513811035317</v>
      </c>
      <c r="AI9" s="286" t="s">
        <v>97</v>
      </c>
      <c r="AJ9" s="287">
        <f>AJ6/(AJ4*EFFICIENCY!$H$28)</f>
        <v>0.98439582843252571</v>
      </c>
      <c r="AK9" s="286" t="s">
        <v>97</v>
      </c>
      <c r="AL9" s="287">
        <f>AL6/(AL4*EFFICIENCY!$H$28)</f>
        <v>0.98018867924528297</v>
      </c>
      <c r="AN9" s="300"/>
      <c r="AO9" s="356"/>
      <c r="AP9" s="375"/>
      <c r="AQ9" s="286" t="s">
        <v>97</v>
      </c>
      <c r="AR9" s="287" t="e">
        <f>AR6/((AR4*EFFICIENCY!$H$28))</f>
        <v>#DIV/0!</v>
      </c>
      <c r="AS9" s="286" t="s">
        <v>97</v>
      </c>
      <c r="AT9" s="287" t="e">
        <f>AT6/(AT4*EFFICIENCY!$H$28)</f>
        <v>#DIV/0!</v>
      </c>
      <c r="AU9" s="286" t="s">
        <v>97</v>
      </c>
      <c r="AV9" s="287" t="e">
        <f>AV6/(AV4*EFFICIENCY!$H$28)</f>
        <v>#DIV/0!</v>
      </c>
      <c r="AX9" s="300"/>
      <c r="AY9" s="356"/>
      <c r="AZ9" s="375"/>
      <c r="BA9" s="286" t="s">
        <v>97</v>
      </c>
      <c r="BB9" s="287" t="e">
        <f>BB6/((BB4*EFFICIENCY!$H$28))</f>
        <v>#DIV/0!</v>
      </c>
      <c r="BC9" s="286" t="s">
        <v>97</v>
      </c>
      <c r="BD9" s="287" t="e">
        <f>BD6/(BD4*EFFICIENCY!$H$28)</f>
        <v>#DIV/0!</v>
      </c>
      <c r="BE9" s="286" t="s">
        <v>97</v>
      </c>
      <c r="BF9" s="287" t="e">
        <f>BF6/(BF4*EFFICIENCY!$H$28)</f>
        <v>#DIV/0!</v>
      </c>
      <c r="BH9" s="300"/>
      <c r="BI9" s="356"/>
      <c r="BJ9" s="375"/>
      <c r="BK9" s="286" t="s">
        <v>97</v>
      </c>
      <c r="BL9" s="287" t="e">
        <f>BL6/((BL4*EFFICIENCY!$H$28))</f>
        <v>#DIV/0!</v>
      </c>
      <c r="BM9" s="286" t="s">
        <v>97</v>
      </c>
      <c r="BN9" s="287" t="e">
        <f>BN6/(BN4*EFFICIENCY!$H$28)</f>
        <v>#DIV/0!</v>
      </c>
      <c r="BO9" s="286" t="s">
        <v>97</v>
      </c>
      <c r="BP9" s="287" t="e">
        <f>BP6/(BP4*EFFICIENCY!$H$28)</f>
        <v>#DIV/0!</v>
      </c>
    </row>
    <row r="10" spans="2:68" ht="18.75" customHeight="1">
      <c r="B10" s="278">
        <v>42408</v>
      </c>
      <c r="G10" s="150">
        <f t="shared" si="0"/>
        <v>0</v>
      </c>
      <c r="H10" s="150">
        <f t="shared" si="1"/>
        <v>0</v>
      </c>
      <c r="K10" s="356"/>
      <c r="L10" s="355"/>
      <c r="M10" s="280" t="s">
        <v>96</v>
      </c>
      <c r="N10" s="281">
        <f>N6/(N4*EFFICIENCY!$I$28)</f>
        <v>0.83511852502194905</v>
      </c>
      <c r="O10" s="280" t="s">
        <v>96</v>
      </c>
      <c r="P10" s="281">
        <f>P6/(P4*EFFICIENCY!$I$28)</f>
        <v>0.73204213387699624</v>
      </c>
      <c r="Q10" s="280" t="s">
        <v>96</v>
      </c>
      <c r="R10" s="281">
        <f>R6/(R4*EFFICIENCY!$I$28)</f>
        <v>0.78742138364779879</v>
      </c>
      <c r="S10" s="296"/>
      <c r="T10" s="300"/>
      <c r="U10" s="356"/>
      <c r="V10" s="355"/>
      <c r="W10" s="280" t="s">
        <v>96</v>
      </c>
      <c r="X10" s="281">
        <f>X6/(X4*EFFICIENCY!$I$28)</f>
        <v>0.95276558384547849</v>
      </c>
      <c r="Y10" s="280" t="s">
        <v>96</v>
      </c>
      <c r="Z10" s="281">
        <f>Z6/(Z4*EFFICIENCY!$I$28)</f>
        <v>0.98335032279986412</v>
      </c>
      <c r="AA10" s="280" t="s">
        <v>96</v>
      </c>
      <c r="AB10" s="281">
        <f>AB6/(AB4*EFFICIENCY!$I$28)</f>
        <v>0.96691823899371065</v>
      </c>
      <c r="AD10" s="300"/>
      <c r="AE10" s="356"/>
      <c r="AF10" s="355"/>
      <c r="AG10" s="280" t="s">
        <v>96</v>
      </c>
      <c r="AH10" s="281">
        <f>AH6/(AH4*EFFICIENCY!$I$28)</f>
        <v>0.84635645302897278</v>
      </c>
      <c r="AI10" s="280" t="s">
        <v>96</v>
      </c>
      <c r="AJ10" s="281">
        <f>AJ6/(AJ4*EFFICIENCY!$I$28)</f>
        <v>0.8531430513081889</v>
      </c>
      <c r="AK10" s="280" t="s">
        <v>96</v>
      </c>
      <c r="AL10" s="281">
        <f>AL6/(AL4*EFFICIENCY!$I$28)</f>
        <v>0.84949685534591191</v>
      </c>
      <c r="AN10" s="300"/>
      <c r="AO10" s="356"/>
      <c r="AP10" s="355"/>
      <c r="AQ10" s="280" t="s">
        <v>96</v>
      </c>
      <c r="AR10" s="281" t="e">
        <f>AR6/(AR4*EFFICIENCY!$I$28)</f>
        <v>#DIV/0!</v>
      </c>
      <c r="AS10" s="280" t="s">
        <v>96</v>
      </c>
      <c r="AT10" s="281" t="e">
        <f>AT6/(AT4*EFFICIENCY!$I$28)</f>
        <v>#DIV/0!</v>
      </c>
      <c r="AU10" s="280" t="s">
        <v>96</v>
      </c>
      <c r="AV10" s="281" t="e">
        <f>AV6/(AV4*EFFICIENCY!$I$28)</f>
        <v>#DIV/0!</v>
      </c>
      <c r="AX10" s="300"/>
      <c r="AY10" s="356"/>
      <c r="AZ10" s="355"/>
      <c r="BA10" s="280" t="s">
        <v>96</v>
      </c>
      <c r="BB10" s="281" t="e">
        <f>BB6/(BB4*EFFICIENCY!$I$28)</f>
        <v>#DIV/0!</v>
      </c>
      <c r="BC10" s="280" t="s">
        <v>96</v>
      </c>
      <c r="BD10" s="281" t="e">
        <f>BD6/(BD4*EFFICIENCY!$I$28)</f>
        <v>#DIV/0!</v>
      </c>
      <c r="BE10" s="280" t="s">
        <v>96</v>
      </c>
      <c r="BF10" s="281" t="e">
        <f>BF6/(BF4*EFFICIENCY!$I$28)</f>
        <v>#DIV/0!</v>
      </c>
      <c r="BH10" s="300"/>
      <c r="BI10" s="356"/>
      <c r="BJ10" s="355"/>
      <c r="BK10" s="280" t="s">
        <v>96</v>
      </c>
      <c r="BL10" s="281" t="e">
        <f>BL6/(BL4*EFFICIENCY!$I$28)</f>
        <v>#DIV/0!</v>
      </c>
      <c r="BM10" s="280" t="s">
        <v>96</v>
      </c>
      <c r="BN10" s="281" t="e">
        <f>BN6/(BN4*EFFICIENCY!$I$28)</f>
        <v>#DIV/0!</v>
      </c>
      <c r="BO10" s="280" t="s">
        <v>96</v>
      </c>
      <c r="BP10" s="281" t="e">
        <f>BP6/(BP4*EFFICIENCY!$I$28)</f>
        <v>#DIV/0!</v>
      </c>
    </row>
    <row r="11" spans="2:68" ht="17.25" customHeight="1" thickBot="1">
      <c r="B11" s="278">
        <v>42409</v>
      </c>
      <c r="G11" s="150">
        <f t="shared" si="0"/>
        <v>0</v>
      </c>
      <c r="H11" s="150">
        <f t="shared" si="1"/>
        <v>0</v>
      </c>
      <c r="K11" s="692" t="s">
        <v>156</v>
      </c>
      <c r="L11" s="693"/>
      <c r="M11" s="284" t="s">
        <v>94</v>
      </c>
      <c r="N11" s="285">
        <f>N6/((N4*EFFICIENCY!$K$28))</f>
        <v>0.69593210418495755</v>
      </c>
      <c r="O11" s="288" t="s">
        <v>94</v>
      </c>
      <c r="P11" s="285">
        <f>P6/((P4*EFFICIENCY!$K$28))</f>
        <v>0.61003511156416357</v>
      </c>
      <c r="Q11" s="284" t="s">
        <v>94</v>
      </c>
      <c r="R11" s="285">
        <f>R6/((R4*EFFICIENCY!$K$28))</f>
        <v>0.65618448637316562</v>
      </c>
      <c r="S11" s="297"/>
      <c r="T11" s="300"/>
      <c r="U11" s="692" t="s">
        <v>156</v>
      </c>
      <c r="V11" s="693"/>
      <c r="W11" s="284" t="s">
        <v>94</v>
      </c>
      <c r="X11" s="285">
        <f>X6/((X4*EFFICIENCY!$K$28))</f>
        <v>0.79397131987123204</v>
      </c>
      <c r="Y11" s="288" t="s">
        <v>94</v>
      </c>
      <c r="Z11" s="285">
        <f>Z6/((Z4*EFFICIENCY!$K$28))</f>
        <v>0.8194586023332201</v>
      </c>
      <c r="AA11" s="284" t="s">
        <v>94</v>
      </c>
      <c r="AB11" s="285">
        <f>AB6/((AB4*EFFICIENCY!$K$28))</f>
        <v>0.80576519916142553</v>
      </c>
      <c r="AD11" s="300"/>
      <c r="AE11" s="692" t="s">
        <v>156</v>
      </c>
      <c r="AF11" s="693"/>
      <c r="AG11" s="284" t="s">
        <v>94</v>
      </c>
      <c r="AH11" s="285">
        <f>AH6/((AH4*EFFICIENCY!$K$28))</f>
        <v>0.70529704419081063</v>
      </c>
      <c r="AI11" s="288" t="s">
        <v>94</v>
      </c>
      <c r="AJ11" s="285">
        <f>AJ6/((AJ4*EFFICIENCY!$K$28))</f>
        <v>0.71095254275682407</v>
      </c>
      <c r="AK11" s="284" t="s">
        <v>94</v>
      </c>
      <c r="AL11" s="285">
        <f>AL6/((AL4*EFFICIENCY!$K$28))</f>
        <v>0.70791404612159325</v>
      </c>
      <c r="AN11" s="300"/>
      <c r="AO11" s="692" t="s">
        <v>156</v>
      </c>
      <c r="AP11" s="693"/>
      <c r="AQ11" s="284" t="s">
        <v>94</v>
      </c>
      <c r="AR11" s="285" t="e">
        <f>AR6/((AR4*EFFICIENCY!$K$28))</f>
        <v>#DIV/0!</v>
      </c>
      <c r="AS11" s="288" t="s">
        <v>94</v>
      </c>
      <c r="AT11" s="285" t="e">
        <f>AT6/((AT4*EFFICIENCY!$K$28))</f>
        <v>#DIV/0!</v>
      </c>
      <c r="AU11" s="284" t="s">
        <v>94</v>
      </c>
      <c r="AV11" s="285" t="e">
        <f>AV6/((AV4*EFFICIENCY!$K$28))</f>
        <v>#DIV/0!</v>
      </c>
      <c r="AX11" s="300"/>
      <c r="AY11" s="692" t="s">
        <v>156</v>
      </c>
      <c r="AZ11" s="693"/>
      <c r="BA11" s="284" t="s">
        <v>94</v>
      </c>
      <c r="BB11" s="285" t="e">
        <f>BB6/((BB4*EFFICIENCY!$K$28))</f>
        <v>#DIV/0!</v>
      </c>
      <c r="BC11" s="288" t="s">
        <v>94</v>
      </c>
      <c r="BD11" s="285" t="e">
        <f>BD6/((BD4*EFFICIENCY!$K$28))</f>
        <v>#DIV/0!</v>
      </c>
      <c r="BE11" s="284" t="s">
        <v>94</v>
      </c>
      <c r="BF11" s="285" t="e">
        <f>BF6/((BF4*EFFICIENCY!$K$28))</f>
        <v>#DIV/0!</v>
      </c>
      <c r="BH11" s="300"/>
      <c r="BI11" s="692" t="s">
        <v>156</v>
      </c>
      <c r="BJ11" s="693"/>
      <c r="BK11" s="284" t="s">
        <v>94</v>
      </c>
      <c r="BL11" s="285" t="e">
        <f>BL6/((BL4*EFFICIENCY!$K$28))</f>
        <v>#DIV/0!</v>
      </c>
      <c r="BM11" s="288" t="s">
        <v>94</v>
      </c>
      <c r="BN11" s="285" t="e">
        <f>BN6/((BN4*EFFICIENCY!$K$28))</f>
        <v>#DIV/0!</v>
      </c>
      <c r="BO11" s="284" t="s">
        <v>94</v>
      </c>
      <c r="BP11" s="285" t="e">
        <f>BP6/((BP4*EFFICIENCY!$K$28))</f>
        <v>#DIV/0!</v>
      </c>
    </row>
    <row r="12" spans="2:68" ht="16.5" thickBot="1">
      <c r="B12" s="278">
        <v>42410</v>
      </c>
      <c r="G12" s="150">
        <f t="shared" si="0"/>
        <v>0</v>
      </c>
      <c r="H12" s="150">
        <f t="shared" si="1"/>
        <v>0</v>
      </c>
      <c r="K12" s="376"/>
      <c r="L12" s="377">
        <f>R6/R4</f>
        <v>11.811320754716981</v>
      </c>
      <c r="M12" s="678" t="s">
        <v>153</v>
      </c>
      <c r="N12" s="679"/>
      <c r="O12" s="290">
        <v>14263</v>
      </c>
      <c r="P12" s="365"/>
      <c r="Q12" s="365" t="s">
        <v>154</v>
      </c>
      <c r="R12" s="366">
        <f>O12-R6</f>
        <v>1743</v>
      </c>
      <c r="S12" s="298"/>
      <c r="T12" s="300"/>
      <c r="U12" s="376"/>
      <c r="V12" s="377">
        <f>AB6/AB4</f>
        <v>14.503773584905661</v>
      </c>
      <c r="W12" s="678" t="s">
        <v>153</v>
      </c>
      <c r="X12" s="679"/>
      <c r="Y12" s="290">
        <v>14263</v>
      </c>
      <c r="Z12" s="365"/>
      <c r="AA12" s="365" t="s">
        <v>154</v>
      </c>
      <c r="AB12" s="366">
        <f>Y12-AB6</f>
        <v>-1111</v>
      </c>
      <c r="AD12" s="300"/>
      <c r="AE12" s="376"/>
      <c r="AF12" s="377">
        <f>AL6/AL4</f>
        <v>12.742452830188679</v>
      </c>
      <c r="AG12" s="678" t="s">
        <v>153</v>
      </c>
      <c r="AH12" s="679"/>
      <c r="AI12" s="290">
        <v>14263</v>
      </c>
      <c r="AJ12" s="365"/>
      <c r="AK12" s="365" t="s">
        <v>154</v>
      </c>
      <c r="AL12" s="366">
        <f>AI12-AL6</f>
        <v>756</v>
      </c>
      <c r="AN12" s="300"/>
      <c r="AO12" s="376"/>
      <c r="AP12" s="377" t="e">
        <f>AV6/AV4</f>
        <v>#DIV/0!</v>
      </c>
      <c r="AQ12" s="678" t="s">
        <v>153</v>
      </c>
      <c r="AR12" s="679"/>
      <c r="AS12" s="290"/>
      <c r="AT12" s="365"/>
      <c r="AU12" s="365" t="s">
        <v>154</v>
      </c>
      <c r="AV12" s="366">
        <f>AS12-AV6</f>
        <v>-13126</v>
      </c>
      <c r="AX12" s="300"/>
      <c r="AY12" s="376"/>
      <c r="AZ12" s="377" t="e">
        <f>BF6/BF4</f>
        <v>#DIV/0!</v>
      </c>
      <c r="BA12" s="678" t="s">
        <v>153</v>
      </c>
      <c r="BB12" s="679"/>
      <c r="BC12" s="290"/>
      <c r="BD12" s="365"/>
      <c r="BE12" s="365" t="s">
        <v>154</v>
      </c>
      <c r="BF12" s="366">
        <f>BC12-BF6</f>
        <v>-9241.119999999999</v>
      </c>
      <c r="BH12" s="300"/>
      <c r="BI12" s="376"/>
      <c r="BJ12" s="377" t="e">
        <f>BP6/BP4</f>
        <v>#DIV/0!</v>
      </c>
      <c r="BK12" s="678" t="s">
        <v>153</v>
      </c>
      <c r="BL12" s="679"/>
      <c r="BM12" s="290"/>
      <c r="BN12" s="365"/>
      <c r="BO12" s="365" t="s">
        <v>154</v>
      </c>
      <c r="BP12" s="366">
        <f>BM12-BP6</f>
        <v>0</v>
      </c>
    </row>
    <row r="13" spans="2:68" ht="15.75" customHeight="1">
      <c r="B13" s="278">
        <v>42411</v>
      </c>
      <c r="G13" s="150">
        <f t="shared" si="0"/>
        <v>0</v>
      </c>
      <c r="H13" s="150">
        <f t="shared" si="1"/>
        <v>0</v>
      </c>
      <c r="L13" s="154"/>
      <c r="T13" s="300"/>
      <c r="V13" s="154"/>
      <c r="AD13" s="300"/>
      <c r="AF13" s="154"/>
      <c r="AN13" s="300"/>
      <c r="AP13" s="154"/>
      <c r="AX13" s="300"/>
      <c r="AZ13" s="154"/>
      <c r="BH13" s="300"/>
      <c r="BJ13" s="154"/>
    </row>
    <row r="14" spans="2:68" ht="15" customHeight="1" thickBot="1">
      <c r="B14" s="278">
        <v>42412</v>
      </c>
      <c r="G14" s="150">
        <f t="shared" si="0"/>
        <v>0</v>
      </c>
      <c r="H14" s="150">
        <f t="shared" si="1"/>
        <v>0</v>
      </c>
      <c r="K14" s="291"/>
      <c r="L14" s="291"/>
      <c r="M14" s="291"/>
      <c r="N14" s="291"/>
      <c r="O14" s="291"/>
      <c r="P14" s="291"/>
      <c r="Q14" s="291"/>
      <c r="R14" s="291"/>
      <c r="S14" s="299"/>
      <c r="T14" s="301"/>
      <c r="U14" s="291"/>
      <c r="V14" s="291"/>
      <c r="W14" s="291"/>
      <c r="X14" s="291"/>
      <c r="Y14" s="291"/>
      <c r="Z14" s="291"/>
      <c r="AA14" s="291"/>
      <c r="AB14" s="291"/>
      <c r="AC14" s="291"/>
      <c r="AD14" s="301"/>
      <c r="AE14" s="291"/>
      <c r="AF14" s="291"/>
      <c r="AG14" s="291"/>
      <c r="AH14" s="291"/>
      <c r="AI14" s="291"/>
      <c r="AJ14" s="291"/>
      <c r="AK14" s="291"/>
      <c r="AL14" s="291"/>
      <c r="AM14" s="291"/>
      <c r="AN14" s="301"/>
      <c r="AO14" s="291"/>
      <c r="AP14" s="291"/>
      <c r="AQ14" s="291"/>
      <c r="AR14" s="291"/>
      <c r="AS14" s="291"/>
      <c r="AT14" s="291"/>
      <c r="AU14" s="291"/>
      <c r="AV14" s="291"/>
      <c r="AW14" s="291"/>
      <c r="AX14" s="301"/>
      <c r="AY14" s="291"/>
      <c r="AZ14" s="291"/>
      <c r="BA14" s="291"/>
      <c r="BB14" s="291"/>
      <c r="BC14" s="291"/>
      <c r="BD14" s="291"/>
      <c r="BE14" s="291"/>
      <c r="BF14" s="291"/>
      <c r="BG14" s="291"/>
      <c r="BH14" s="300"/>
      <c r="BI14" s="291"/>
      <c r="BJ14" s="291"/>
      <c r="BK14" s="291"/>
      <c r="BL14" s="291"/>
      <c r="BM14" s="291"/>
      <c r="BN14" s="291"/>
      <c r="BO14" s="291"/>
      <c r="BP14" s="291"/>
    </row>
    <row r="15" spans="2:68" ht="15.75" thickBot="1">
      <c r="B15" s="278">
        <v>42413</v>
      </c>
      <c r="G15" s="150">
        <f t="shared" si="0"/>
        <v>0</v>
      </c>
      <c r="H15" s="150">
        <f t="shared" si="1"/>
        <v>0</v>
      </c>
      <c r="K15" s="378" t="s">
        <v>7</v>
      </c>
      <c r="L15" s="533">
        <v>42408</v>
      </c>
      <c r="M15" s="663" t="s">
        <v>100</v>
      </c>
      <c r="N15" s="664"/>
      <c r="O15" s="665" t="s">
        <v>99</v>
      </c>
      <c r="P15" s="666"/>
      <c r="Q15" s="667" t="s">
        <v>16</v>
      </c>
      <c r="R15" s="668"/>
      <c r="S15" s="293"/>
      <c r="T15" s="302"/>
      <c r="U15" s="378" t="s">
        <v>7</v>
      </c>
      <c r="V15" s="533">
        <v>42409</v>
      </c>
      <c r="W15" s="663" t="s">
        <v>100</v>
      </c>
      <c r="X15" s="664"/>
      <c r="Y15" s="665" t="s">
        <v>99</v>
      </c>
      <c r="Z15" s="666"/>
      <c r="AA15" s="667" t="s">
        <v>16</v>
      </c>
      <c r="AB15" s="668"/>
      <c r="AD15" s="300"/>
      <c r="AE15" s="378" t="s">
        <v>7</v>
      </c>
      <c r="AF15" s="533">
        <v>42410</v>
      </c>
      <c r="AG15" s="663" t="s">
        <v>100</v>
      </c>
      <c r="AH15" s="664"/>
      <c r="AI15" s="665" t="s">
        <v>99</v>
      </c>
      <c r="AJ15" s="666"/>
      <c r="AK15" s="667" t="s">
        <v>16</v>
      </c>
      <c r="AL15" s="668"/>
      <c r="AN15" s="300"/>
      <c r="AO15" s="378" t="s">
        <v>7</v>
      </c>
      <c r="AP15" s="533">
        <v>42411</v>
      </c>
      <c r="AQ15" s="663" t="s">
        <v>100</v>
      </c>
      <c r="AR15" s="664"/>
      <c r="AS15" s="665" t="s">
        <v>99</v>
      </c>
      <c r="AT15" s="666"/>
      <c r="AU15" s="667" t="s">
        <v>16</v>
      </c>
      <c r="AV15" s="668"/>
      <c r="AX15" s="300"/>
      <c r="AY15" s="378" t="s">
        <v>7</v>
      </c>
      <c r="AZ15" s="533">
        <v>42412</v>
      </c>
      <c r="BA15" s="663" t="s">
        <v>100</v>
      </c>
      <c r="BB15" s="664"/>
      <c r="BC15" s="665" t="s">
        <v>99</v>
      </c>
      <c r="BD15" s="666"/>
      <c r="BE15" s="667" t="s">
        <v>16</v>
      </c>
      <c r="BF15" s="668"/>
      <c r="BH15" s="300"/>
      <c r="BI15" s="378" t="s">
        <v>7</v>
      </c>
      <c r="BJ15" s="533">
        <v>42413</v>
      </c>
      <c r="BK15" s="663" t="s">
        <v>100</v>
      </c>
      <c r="BL15" s="664"/>
      <c r="BM15" s="665" t="s">
        <v>99</v>
      </c>
      <c r="BN15" s="666"/>
      <c r="BO15" s="667" t="s">
        <v>16</v>
      </c>
      <c r="BP15" s="668"/>
    </row>
    <row r="16" spans="2:68" ht="13.5" thickBot="1">
      <c r="B16" s="278">
        <v>42414</v>
      </c>
      <c r="G16" s="150">
        <f t="shared" si="0"/>
        <v>0</v>
      </c>
      <c r="H16" s="150">
        <f t="shared" si="1"/>
        <v>0</v>
      </c>
      <c r="K16" s="339"/>
      <c r="L16" s="338"/>
      <c r="M16" s="339"/>
      <c r="N16" s="340"/>
      <c r="O16" s="339"/>
      <c r="P16" s="340"/>
      <c r="Q16" s="338"/>
      <c r="R16" s="340"/>
      <c r="S16" s="156"/>
      <c r="T16" s="302"/>
      <c r="U16" s="339"/>
      <c r="V16" s="338"/>
      <c r="W16" s="339"/>
      <c r="X16" s="340"/>
      <c r="Y16" s="339"/>
      <c r="Z16" s="340"/>
      <c r="AA16" s="338"/>
      <c r="AB16" s="340"/>
      <c r="AD16" s="300"/>
      <c r="AE16" s="339"/>
      <c r="AF16" s="338"/>
      <c r="AG16" s="339"/>
      <c r="AH16" s="340"/>
      <c r="AI16" s="339"/>
      <c r="AJ16" s="340"/>
      <c r="AK16" s="338"/>
      <c r="AL16" s="340"/>
      <c r="AN16" s="300"/>
      <c r="AO16" s="339"/>
      <c r="AP16" s="338"/>
      <c r="AQ16" s="339"/>
      <c r="AR16" s="340"/>
      <c r="AS16" s="339"/>
      <c r="AT16" s="340"/>
      <c r="AU16" s="338"/>
      <c r="AV16" s="340"/>
      <c r="AX16" s="300"/>
      <c r="AY16" s="339"/>
      <c r="AZ16" s="338"/>
      <c r="BA16" s="339"/>
      <c r="BB16" s="340"/>
      <c r="BC16" s="339"/>
      <c r="BD16" s="340"/>
      <c r="BE16" s="338"/>
      <c r="BF16" s="340"/>
      <c r="BH16" s="300"/>
      <c r="BI16" s="339"/>
      <c r="BJ16" s="338"/>
      <c r="BK16" s="339"/>
      <c r="BL16" s="340"/>
      <c r="BM16" s="339"/>
      <c r="BN16" s="340"/>
      <c r="BO16" s="338"/>
      <c r="BP16" s="340"/>
    </row>
    <row r="17" spans="2:68" ht="16.5" thickBot="1">
      <c r="B17" s="278">
        <v>42415</v>
      </c>
      <c r="G17" s="150">
        <f t="shared" si="0"/>
        <v>0</v>
      </c>
      <c r="H17" s="150">
        <f t="shared" si="1"/>
        <v>0</v>
      </c>
      <c r="K17" s="339"/>
      <c r="L17" s="341" t="s">
        <v>155</v>
      </c>
      <c r="M17" s="342" t="s">
        <v>103</v>
      </c>
      <c r="N17" s="279"/>
      <c r="O17" s="342" t="s">
        <v>103</v>
      </c>
      <c r="P17" s="279"/>
      <c r="Q17" s="343" t="s">
        <v>103</v>
      </c>
      <c r="R17" s="344">
        <f>SUM(N17,P17)</f>
        <v>0</v>
      </c>
      <c r="S17" s="294"/>
      <c r="T17" s="302"/>
      <c r="U17" s="339"/>
      <c r="V17" s="341" t="s">
        <v>155</v>
      </c>
      <c r="W17" s="342" t="s">
        <v>103</v>
      </c>
      <c r="X17" s="279"/>
      <c r="Y17" s="342" t="s">
        <v>103</v>
      </c>
      <c r="Z17" s="279"/>
      <c r="AA17" s="343" t="s">
        <v>103</v>
      </c>
      <c r="AB17" s="344">
        <f>SUM(X17,Z17)</f>
        <v>0</v>
      </c>
      <c r="AD17" s="300"/>
      <c r="AE17" s="339"/>
      <c r="AF17" s="341" t="s">
        <v>155</v>
      </c>
      <c r="AG17" s="342" t="s">
        <v>103</v>
      </c>
      <c r="AH17" s="279"/>
      <c r="AI17" s="342" t="s">
        <v>103</v>
      </c>
      <c r="AJ17" s="279"/>
      <c r="AK17" s="343" t="s">
        <v>103</v>
      </c>
      <c r="AL17" s="344">
        <f>SUM(AH17,AJ17)</f>
        <v>0</v>
      </c>
      <c r="AN17" s="300"/>
      <c r="AO17" s="339"/>
      <c r="AP17" s="341" t="s">
        <v>155</v>
      </c>
      <c r="AQ17" s="342" t="s">
        <v>103</v>
      </c>
      <c r="AR17" s="279"/>
      <c r="AS17" s="342" t="s">
        <v>103</v>
      </c>
      <c r="AT17" s="279"/>
      <c r="AU17" s="343" t="s">
        <v>103</v>
      </c>
      <c r="AV17" s="344">
        <f>SUM(AR17,AT17)</f>
        <v>0</v>
      </c>
      <c r="AX17" s="300"/>
      <c r="AY17" s="339"/>
      <c r="AZ17" s="341" t="s">
        <v>155</v>
      </c>
      <c r="BA17" s="342" t="s">
        <v>103</v>
      </c>
      <c r="BB17" s="279"/>
      <c r="BC17" s="342" t="s">
        <v>103</v>
      </c>
      <c r="BD17" s="279"/>
      <c r="BE17" s="343" t="s">
        <v>103</v>
      </c>
      <c r="BF17" s="344">
        <f>SUM(BB17,BD17)</f>
        <v>0</v>
      </c>
      <c r="BH17" s="300"/>
      <c r="BI17" s="339"/>
      <c r="BJ17" s="341" t="s">
        <v>155</v>
      </c>
      <c r="BK17" s="342" t="s">
        <v>103</v>
      </c>
      <c r="BL17" s="279"/>
      <c r="BM17" s="342" t="s">
        <v>103</v>
      </c>
      <c r="BN17" s="279"/>
      <c r="BO17" s="343" t="s">
        <v>103</v>
      </c>
      <c r="BP17" s="344">
        <f>SUM(BL17,BN17)</f>
        <v>0</v>
      </c>
    </row>
    <row r="18" spans="2:68" ht="18.75" thickBot="1">
      <c r="B18" s="278">
        <v>42416</v>
      </c>
      <c r="G18" s="150">
        <f t="shared" si="0"/>
        <v>0</v>
      </c>
      <c r="H18" s="150">
        <f t="shared" si="1"/>
        <v>0</v>
      </c>
      <c r="K18" s="339"/>
      <c r="L18" s="289">
        <v>8</v>
      </c>
      <c r="M18" s="345" t="s">
        <v>5</v>
      </c>
      <c r="N18" s="346">
        <f>VLOOKUP(L15, $B$3:$E$109, 4, FALSE)</f>
        <v>0</v>
      </c>
      <c r="O18" s="345" t="s">
        <v>5</v>
      </c>
      <c r="P18" s="347">
        <f>VLOOKUP(L15, $B$3:$F$109, 5, FALSE)</f>
        <v>0</v>
      </c>
      <c r="Q18" s="348" t="s">
        <v>5</v>
      </c>
      <c r="R18" s="344">
        <f>SUM(N18,P18)</f>
        <v>0</v>
      </c>
      <c r="S18" s="294"/>
      <c r="T18" s="302"/>
      <c r="U18" s="339"/>
      <c r="V18" s="289">
        <v>8</v>
      </c>
      <c r="W18" s="345" t="s">
        <v>5</v>
      </c>
      <c r="X18" s="346">
        <f>VLOOKUP(V15, $B$3:$E$109, 4, FALSE)</f>
        <v>0</v>
      </c>
      <c r="Y18" s="345" t="s">
        <v>5</v>
      </c>
      <c r="Z18" s="347">
        <f>VLOOKUP(V15, $B$3:$F$109, 5, FALSE)</f>
        <v>0</v>
      </c>
      <c r="AA18" s="348" t="s">
        <v>5</v>
      </c>
      <c r="AB18" s="344">
        <f>SUM(X18,Z18)</f>
        <v>0</v>
      </c>
      <c r="AD18" s="300"/>
      <c r="AE18" s="339"/>
      <c r="AF18" s="289">
        <v>8</v>
      </c>
      <c r="AG18" s="345" t="s">
        <v>5</v>
      </c>
      <c r="AH18" s="346">
        <f>VLOOKUP(AF15, $B$3:$E$109, 4, FALSE)</f>
        <v>0</v>
      </c>
      <c r="AI18" s="345" t="s">
        <v>5</v>
      </c>
      <c r="AJ18" s="347">
        <f>VLOOKUP(AF15, $B$3:$F$109, 5, FALSE)</f>
        <v>0</v>
      </c>
      <c r="AK18" s="348" t="s">
        <v>5</v>
      </c>
      <c r="AL18" s="344">
        <f>SUM(AH18,AJ18)</f>
        <v>0</v>
      </c>
      <c r="AN18" s="300"/>
      <c r="AO18" s="339"/>
      <c r="AP18" s="289">
        <v>8</v>
      </c>
      <c r="AQ18" s="345" t="s">
        <v>5</v>
      </c>
      <c r="AR18" s="346">
        <f>VLOOKUP(AP15, $B$3:$E$109, 4, FALSE)</f>
        <v>0</v>
      </c>
      <c r="AS18" s="345" t="s">
        <v>5</v>
      </c>
      <c r="AT18" s="347">
        <f>VLOOKUP(AP15, $B$3:$F$109, 5, FALSE)</f>
        <v>0</v>
      </c>
      <c r="AU18" s="348" t="s">
        <v>5</v>
      </c>
      <c r="AV18" s="344">
        <f>SUM(AR18,AT18)</f>
        <v>0</v>
      </c>
      <c r="AX18" s="300"/>
      <c r="AY18" s="339"/>
      <c r="AZ18" s="289">
        <v>8</v>
      </c>
      <c r="BA18" s="345" t="s">
        <v>5</v>
      </c>
      <c r="BB18" s="346">
        <f>VLOOKUP(AZ15, $B$3:$E$109, 4, FALSE)</f>
        <v>0</v>
      </c>
      <c r="BC18" s="345" t="s">
        <v>5</v>
      </c>
      <c r="BD18" s="347">
        <f>VLOOKUP(AZ15, $B$3:$F$109, 5, FALSE)</f>
        <v>0</v>
      </c>
      <c r="BE18" s="348" t="s">
        <v>5</v>
      </c>
      <c r="BF18" s="344">
        <f>SUM(BB18,BD18)</f>
        <v>0</v>
      </c>
      <c r="BH18" s="300"/>
      <c r="BI18" s="339"/>
      <c r="BJ18" s="289">
        <v>8</v>
      </c>
      <c r="BK18" s="345" t="s">
        <v>5</v>
      </c>
      <c r="BL18" s="346">
        <f>VLOOKUP(BJ15, $B$3:$E$109, 4, FALSE)</f>
        <v>0</v>
      </c>
      <c r="BM18" s="345" t="s">
        <v>5</v>
      </c>
      <c r="BN18" s="347">
        <f>VLOOKUP(BJ15, $B$3:$F$109, 5, FALSE)</f>
        <v>0</v>
      </c>
      <c r="BO18" s="348" t="s">
        <v>5</v>
      </c>
      <c r="BP18" s="344">
        <f>SUM(BL18,BN18)</f>
        <v>0</v>
      </c>
    </row>
    <row r="19" spans="2:68" ht="15.75" customHeight="1">
      <c r="B19" s="278">
        <v>42417</v>
      </c>
      <c r="G19" s="150">
        <f t="shared" si="0"/>
        <v>0</v>
      </c>
      <c r="H19" s="150">
        <f t="shared" si="1"/>
        <v>0</v>
      </c>
      <c r="K19" s="339"/>
      <c r="L19" s="338"/>
      <c r="M19" s="669" t="s">
        <v>105</v>
      </c>
      <c r="N19" s="346">
        <f>VLOOKUP(L15, $B$3:$E$109, 2, FALSE)</f>
        <v>0</v>
      </c>
      <c r="O19" s="669" t="s">
        <v>105</v>
      </c>
      <c r="P19" s="347">
        <f>VLOOKUP(L15, $B$3:$E$109, 3, FALSE)</f>
        <v>0</v>
      </c>
      <c r="Q19" s="670" t="s">
        <v>105</v>
      </c>
      <c r="R19" s="344">
        <f>SUM(N19,P19)</f>
        <v>0</v>
      </c>
      <c r="S19" s="294"/>
      <c r="T19" s="302"/>
      <c r="U19" s="339"/>
      <c r="V19" s="338"/>
      <c r="W19" s="669" t="s">
        <v>105</v>
      </c>
      <c r="X19" s="346">
        <f>VLOOKUP(V15, $B$3:$E$109, 2, FALSE)</f>
        <v>0</v>
      </c>
      <c r="Y19" s="669" t="s">
        <v>105</v>
      </c>
      <c r="Z19" s="347">
        <f>VLOOKUP(V15, $B$3:$E$109, 3, FALSE)</f>
        <v>0</v>
      </c>
      <c r="AA19" s="670" t="s">
        <v>105</v>
      </c>
      <c r="AB19" s="344">
        <f>SUM(X19,Z19)</f>
        <v>0</v>
      </c>
      <c r="AD19" s="300"/>
      <c r="AE19" s="339"/>
      <c r="AF19" s="338"/>
      <c r="AG19" s="669" t="s">
        <v>105</v>
      </c>
      <c r="AH19" s="346">
        <f>VLOOKUP(AF15, $B$3:$E$109, 2, FALSE)</f>
        <v>0</v>
      </c>
      <c r="AI19" s="669" t="s">
        <v>105</v>
      </c>
      <c r="AJ19" s="347">
        <f>VLOOKUP(AF15, $B$3:$E$109, 3, FALSE)</f>
        <v>0</v>
      </c>
      <c r="AK19" s="670" t="s">
        <v>105</v>
      </c>
      <c r="AL19" s="344">
        <f>SUM(AH19,AJ19)</f>
        <v>0</v>
      </c>
      <c r="AN19" s="300"/>
      <c r="AO19" s="339"/>
      <c r="AP19" s="338"/>
      <c r="AQ19" s="669" t="s">
        <v>105</v>
      </c>
      <c r="AR19" s="346">
        <f>VLOOKUP(AP15, $B$3:$E$109, 2, FALSE)</f>
        <v>0</v>
      </c>
      <c r="AS19" s="669" t="s">
        <v>105</v>
      </c>
      <c r="AT19" s="347">
        <f>VLOOKUP(AP15, $B$3:$E$109, 3, FALSE)</f>
        <v>0</v>
      </c>
      <c r="AU19" s="670" t="s">
        <v>105</v>
      </c>
      <c r="AV19" s="344">
        <f>SUM(AR19,AT19)</f>
        <v>0</v>
      </c>
      <c r="AX19" s="300"/>
      <c r="AY19" s="339"/>
      <c r="AZ19" s="338"/>
      <c r="BA19" s="669" t="s">
        <v>105</v>
      </c>
      <c r="BB19" s="346">
        <f>VLOOKUP(AZ15, $B$3:$E$109, 2, FALSE)</f>
        <v>0</v>
      </c>
      <c r="BC19" s="669" t="s">
        <v>105</v>
      </c>
      <c r="BD19" s="347">
        <f>VLOOKUP(AZ15, $B$3:$E$109, 3, FALSE)</f>
        <v>0</v>
      </c>
      <c r="BE19" s="670" t="s">
        <v>105</v>
      </c>
      <c r="BF19" s="344">
        <f>SUM(BB19,BD19)</f>
        <v>0</v>
      </c>
      <c r="BH19" s="300"/>
      <c r="BI19" s="339"/>
      <c r="BJ19" s="338"/>
      <c r="BK19" s="669" t="s">
        <v>105</v>
      </c>
      <c r="BL19" s="346">
        <f>VLOOKUP(BJ15, $B$3:$E$109, 2, FALSE)</f>
        <v>0</v>
      </c>
      <c r="BM19" s="669" t="s">
        <v>105</v>
      </c>
      <c r="BN19" s="347">
        <f>VLOOKUP(BJ15, $B$3:$E$109, 3, FALSE)</f>
        <v>0</v>
      </c>
      <c r="BO19" s="670" t="s">
        <v>105</v>
      </c>
      <c r="BP19" s="344">
        <f>SUM(BL19,BN19)</f>
        <v>0</v>
      </c>
    </row>
    <row r="20" spans="2:68" ht="12.75" customHeight="1">
      <c r="B20" s="278">
        <v>42418</v>
      </c>
      <c r="G20" s="150">
        <f t="shared" si="0"/>
        <v>0</v>
      </c>
      <c r="H20" s="150">
        <f t="shared" si="1"/>
        <v>0</v>
      </c>
      <c r="K20" s="698" t="s">
        <v>157</v>
      </c>
      <c r="L20" s="699"/>
      <c r="M20" s="670"/>
      <c r="N20" s="340"/>
      <c r="O20" s="669"/>
      <c r="P20" s="340"/>
      <c r="Q20" s="670"/>
      <c r="R20" s="340"/>
      <c r="S20" s="156"/>
      <c r="T20" s="302"/>
      <c r="U20" s="698" t="s">
        <v>157</v>
      </c>
      <c r="V20" s="699"/>
      <c r="W20" s="670"/>
      <c r="X20" s="340"/>
      <c r="Y20" s="669"/>
      <c r="Z20" s="340"/>
      <c r="AA20" s="670"/>
      <c r="AB20" s="340"/>
      <c r="AD20" s="300"/>
      <c r="AE20" s="698" t="s">
        <v>157</v>
      </c>
      <c r="AF20" s="699"/>
      <c r="AG20" s="670"/>
      <c r="AH20" s="340"/>
      <c r="AI20" s="669"/>
      <c r="AJ20" s="340"/>
      <c r="AK20" s="670"/>
      <c r="AL20" s="340"/>
      <c r="AN20" s="300"/>
      <c r="AO20" s="698" t="s">
        <v>157</v>
      </c>
      <c r="AP20" s="699"/>
      <c r="AQ20" s="670"/>
      <c r="AR20" s="340"/>
      <c r="AS20" s="669"/>
      <c r="AT20" s="340"/>
      <c r="AU20" s="670"/>
      <c r="AV20" s="340"/>
      <c r="AX20" s="300"/>
      <c r="AY20" s="698" t="s">
        <v>157</v>
      </c>
      <c r="AZ20" s="699"/>
      <c r="BA20" s="670"/>
      <c r="BB20" s="340"/>
      <c r="BC20" s="669"/>
      <c r="BD20" s="340"/>
      <c r="BE20" s="670"/>
      <c r="BF20" s="340"/>
      <c r="BH20" s="300"/>
      <c r="BI20" s="698" t="s">
        <v>157</v>
      </c>
      <c r="BJ20" s="699"/>
      <c r="BK20" s="670"/>
      <c r="BL20" s="340"/>
      <c r="BM20" s="669"/>
      <c r="BN20" s="340"/>
      <c r="BO20" s="670"/>
      <c r="BP20" s="340"/>
    </row>
    <row r="21" spans="2:68" ht="15.75">
      <c r="B21" s="278">
        <v>42419</v>
      </c>
      <c r="G21" s="150">
        <f t="shared" si="0"/>
        <v>0</v>
      </c>
      <c r="H21" s="150">
        <f t="shared" si="1"/>
        <v>0</v>
      </c>
      <c r="K21" s="379"/>
      <c r="L21" s="349">
        <f>R17*13</f>
        <v>0</v>
      </c>
      <c r="M21" s="350"/>
      <c r="N21" s="340"/>
      <c r="O21" s="351"/>
      <c r="P21" s="340"/>
      <c r="Q21" s="352"/>
      <c r="R21" s="340"/>
      <c r="S21" s="156"/>
      <c r="T21" s="302"/>
      <c r="U21" s="379"/>
      <c r="V21" s="349">
        <f>AB17*13</f>
        <v>0</v>
      </c>
      <c r="W21" s="350"/>
      <c r="X21" s="340"/>
      <c r="Y21" s="351"/>
      <c r="Z21" s="340"/>
      <c r="AA21" s="352"/>
      <c r="AB21" s="340"/>
      <c r="AD21" s="300"/>
      <c r="AE21" s="379"/>
      <c r="AF21" s="349">
        <f>AL17*13</f>
        <v>0</v>
      </c>
      <c r="AG21" s="350"/>
      <c r="AH21" s="340"/>
      <c r="AI21" s="351"/>
      <c r="AJ21" s="340"/>
      <c r="AK21" s="352"/>
      <c r="AL21" s="340"/>
      <c r="AN21" s="300"/>
      <c r="AO21" s="379"/>
      <c r="AP21" s="349">
        <f>AV17*13</f>
        <v>0</v>
      </c>
      <c r="AQ21" s="350"/>
      <c r="AR21" s="340"/>
      <c r="AS21" s="351"/>
      <c r="AT21" s="340"/>
      <c r="AU21" s="352"/>
      <c r="AV21" s="340"/>
      <c r="AX21" s="300"/>
      <c r="AY21" s="379"/>
      <c r="AZ21" s="349">
        <f>BF17*13</f>
        <v>0</v>
      </c>
      <c r="BA21" s="350"/>
      <c r="BB21" s="340"/>
      <c r="BC21" s="351"/>
      <c r="BD21" s="340"/>
      <c r="BE21" s="352"/>
      <c r="BF21" s="340"/>
      <c r="BH21" s="300"/>
      <c r="BI21" s="379"/>
      <c r="BJ21" s="349">
        <f>BP17*13</f>
        <v>0</v>
      </c>
      <c r="BK21" s="350"/>
      <c r="BL21" s="340"/>
      <c r="BM21" s="351"/>
      <c r="BN21" s="340"/>
      <c r="BO21" s="352"/>
      <c r="BP21" s="340"/>
    </row>
    <row r="22" spans="2:68" ht="18.75">
      <c r="B22" s="278">
        <v>42420</v>
      </c>
      <c r="G22" s="150">
        <f t="shared" si="0"/>
        <v>0</v>
      </c>
      <c r="H22" s="150">
        <f t="shared" si="1"/>
        <v>0</v>
      </c>
      <c r="K22" s="339"/>
      <c r="L22" s="380"/>
      <c r="M22" s="286" t="s">
        <v>97</v>
      </c>
      <c r="N22" s="287" t="e">
        <f>N19/((N17*EFFICIENCY!$H$28))</f>
        <v>#DIV/0!</v>
      </c>
      <c r="O22" s="286" t="s">
        <v>97</v>
      </c>
      <c r="P22" s="287" t="e">
        <f>P19/(P17*EFFICIENCY!$H$28)</f>
        <v>#DIV/0!</v>
      </c>
      <c r="Q22" s="286" t="s">
        <v>97</v>
      </c>
      <c r="R22" s="287" t="e">
        <f>R19/(R17*EFFICIENCY!$H$28)</f>
        <v>#DIV/0!</v>
      </c>
      <c r="S22" s="295"/>
      <c r="T22" s="302"/>
      <c r="U22" s="339"/>
      <c r="V22" s="380"/>
      <c r="W22" s="286" t="s">
        <v>97</v>
      </c>
      <c r="X22" s="287" t="e">
        <f>X19/((X17*EFFICIENCY!$H$28))</f>
        <v>#DIV/0!</v>
      </c>
      <c r="Y22" s="286" t="s">
        <v>97</v>
      </c>
      <c r="Z22" s="287" t="e">
        <f>Z19/(Z17*EFFICIENCY!$H$28)</f>
        <v>#DIV/0!</v>
      </c>
      <c r="AA22" s="286" t="s">
        <v>97</v>
      </c>
      <c r="AB22" s="287" t="e">
        <f>AB19/(AB17*EFFICIENCY!$H$28)</f>
        <v>#DIV/0!</v>
      </c>
      <c r="AD22" s="300"/>
      <c r="AE22" s="339"/>
      <c r="AF22" s="380"/>
      <c r="AG22" s="286" t="s">
        <v>97</v>
      </c>
      <c r="AH22" s="287" t="e">
        <f>AH19/((AH17*EFFICIENCY!$H$28))</f>
        <v>#DIV/0!</v>
      </c>
      <c r="AI22" s="286" t="s">
        <v>97</v>
      </c>
      <c r="AJ22" s="287" t="e">
        <f>AJ19/(AJ17*EFFICIENCY!$H$28)</f>
        <v>#DIV/0!</v>
      </c>
      <c r="AK22" s="286" t="s">
        <v>97</v>
      </c>
      <c r="AL22" s="287" t="e">
        <f>AL19/(AL17*EFFICIENCY!$H$28)</f>
        <v>#DIV/0!</v>
      </c>
      <c r="AN22" s="300"/>
      <c r="AO22" s="339"/>
      <c r="AP22" s="380"/>
      <c r="AQ22" s="286" t="s">
        <v>97</v>
      </c>
      <c r="AR22" s="287" t="e">
        <f>AR19/((AR17*EFFICIENCY!$H$28))</f>
        <v>#DIV/0!</v>
      </c>
      <c r="AS22" s="286" t="s">
        <v>97</v>
      </c>
      <c r="AT22" s="287" t="e">
        <f>AT19/(AT17*EFFICIENCY!$H$28)</f>
        <v>#DIV/0!</v>
      </c>
      <c r="AU22" s="286" t="s">
        <v>97</v>
      </c>
      <c r="AV22" s="287" t="e">
        <f>AV19/(AV17*EFFICIENCY!$H$28)</f>
        <v>#DIV/0!</v>
      </c>
      <c r="AX22" s="300"/>
      <c r="AY22" s="339"/>
      <c r="AZ22" s="380"/>
      <c r="BA22" s="286" t="s">
        <v>97</v>
      </c>
      <c r="BB22" s="287" t="e">
        <f>BB19/((BB17*EFFICIENCY!$H$28))</f>
        <v>#DIV/0!</v>
      </c>
      <c r="BC22" s="286" t="s">
        <v>97</v>
      </c>
      <c r="BD22" s="287" t="e">
        <f>BD19/(BD17*EFFICIENCY!$H$28)</f>
        <v>#DIV/0!</v>
      </c>
      <c r="BE22" s="286" t="s">
        <v>97</v>
      </c>
      <c r="BF22" s="287" t="e">
        <f>BF19/(BF17*EFFICIENCY!$H$28)</f>
        <v>#DIV/0!</v>
      </c>
      <c r="BH22" s="300"/>
      <c r="BI22" s="339"/>
      <c r="BJ22" s="380"/>
      <c r="BK22" s="286" t="s">
        <v>97</v>
      </c>
      <c r="BL22" s="287" t="e">
        <f>BL19/((BL17*EFFICIENCY!$H$28))</f>
        <v>#DIV/0!</v>
      </c>
      <c r="BM22" s="286" t="s">
        <v>97</v>
      </c>
      <c r="BN22" s="287" t="e">
        <f>BN19/(BN17*EFFICIENCY!$H$28)</f>
        <v>#DIV/0!</v>
      </c>
      <c r="BO22" s="286" t="s">
        <v>97</v>
      </c>
      <c r="BP22" s="287" t="e">
        <f>BP19/(BP17*EFFICIENCY!$H$28)</f>
        <v>#DIV/0!</v>
      </c>
    </row>
    <row r="23" spans="2:68" ht="18.75">
      <c r="B23" s="278">
        <v>42421</v>
      </c>
      <c r="G23" s="150">
        <f t="shared" si="0"/>
        <v>0</v>
      </c>
      <c r="H23" s="150">
        <f t="shared" si="1"/>
        <v>0</v>
      </c>
      <c r="K23" s="339"/>
      <c r="L23" s="338"/>
      <c r="M23" s="280" t="s">
        <v>96</v>
      </c>
      <c r="N23" s="281" t="e">
        <f>N19/(N17*EFFICIENCY!$I$28)</f>
        <v>#DIV/0!</v>
      </c>
      <c r="O23" s="280" t="s">
        <v>96</v>
      </c>
      <c r="P23" s="281" t="e">
        <f>P19/(P17*EFFICIENCY!$I$28)</f>
        <v>#DIV/0!</v>
      </c>
      <c r="Q23" s="280" t="s">
        <v>96</v>
      </c>
      <c r="R23" s="281" t="e">
        <f>R19/(R17*EFFICIENCY!$I$28)</f>
        <v>#DIV/0!</v>
      </c>
      <c r="S23" s="296"/>
      <c r="T23" s="302"/>
      <c r="U23" s="339"/>
      <c r="V23" s="338"/>
      <c r="W23" s="280" t="s">
        <v>96</v>
      </c>
      <c r="X23" s="281" t="e">
        <f>X19/(X17*EFFICIENCY!$I$28)</f>
        <v>#DIV/0!</v>
      </c>
      <c r="Y23" s="280" t="s">
        <v>96</v>
      </c>
      <c r="Z23" s="281" t="e">
        <f>Z19/(Z17*EFFICIENCY!$I$28)</f>
        <v>#DIV/0!</v>
      </c>
      <c r="AA23" s="280" t="s">
        <v>96</v>
      </c>
      <c r="AB23" s="281" t="e">
        <f>AB19/(AB17*EFFICIENCY!$I$28)</f>
        <v>#DIV/0!</v>
      </c>
      <c r="AD23" s="300"/>
      <c r="AE23" s="339"/>
      <c r="AF23" s="338"/>
      <c r="AG23" s="280" t="s">
        <v>96</v>
      </c>
      <c r="AH23" s="281" t="e">
        <f>AH19/(AH17*EFFICIENCY!$I$28)</f>
        <v>#DIV/0!</v>
      </c>
      <c r="AI23" s="280" t="s">
        <v>96</v>
      </c>
      <c r="AJ23" s="281" t="e">
        <f>AJ19/(AJ17*EFFICIENCY!$I$28)</f>
        <v>#DIV/0!</v>
      </c>
      <c r="AK23" s="280" t="s">
        <v>96</v>
      </c>
      <c r="AL23" s="281" t="e">
        <f>AL19/(AL17*EFFICIENCY!$I$28)</f>
        <v>#DIV/0!</v>
      </c>
      <c r="AN23" s="300"/>
      <c r="AO23" s="339"/>
      <c r="AP23" s="338"/>
      <c r="AQ23" s="280" t="s">
        <v>96</v>
      </c>
      <c r="AR23" s="281" t="e">
        <f>AR19/(AR17*EFFICIENCY!$I$28)</f>
        <v>#DIV/0!</v>
      </c>
      <c r="AS23" s="280" t="s">
        <v>96</v>
      </c>
      <c r="AT23" s="281" t="e">
        <f>AT19/(AT17*EFFICIENCY!$I$28)</f>
        <v>#DIV/0!</v>
      </c>
      <c r="AU23" s="280" t="s">
        <v>96</v>
      </c>
      <c r="AV23" s="281" t="e">
        <f>AV19/(AV17*EFFICIENCY!$I$28)</f>
        <v>#DIV/0!</v>
      </c>
      <c r="AX23" s="300"/>
      <c r="AY23" s="339"/>
      <c r="AZ23" s="338"/>
      <c r="BA23" s="280" t="s">
        <v>96</v>
      </c>
      <c r="BB23" s="281" t="e">
        <f>BB19/(BB17*EFFICIENCY!$I$28)</f>
        <v>#DIV/0!</v>
      </c>
      <c r="BC23" s="280" t="s">
        <v>96</v>
      </c>
      <c r="BD23" s="281" t="e">
        <f>BD19/(BD17*EFFICIENCY!$I$28)</f>
        <v>#DIV/0!</v>
      </c>
      <c r="BE23" s="280" t="s">
        <v>96</v>
      </c>
      <c r="BF23" s="281" t="e">
        <f>BF19/(BF17*EFFICIENCY!$I$28)</f>
        <v>#DIV/0!</v>
      </c>
      <c r="BH23" s="300"/>
      <c r="BI23" s="339"/>
      <c r="BJ23" s="338"/>
      <c r="BK23" s="280" t="s">
        <v>96</v>
      </c>
      <c r="BL23" s="281" t="e">
        <f>BL19/(BL17*EFFICIENCY!$I$28)</f>
        <v>#DIV/0!</v>
      </c>
      <c r="BM23" s="280" t="s">
        <v>96</v>
      </c>
      <c r="BN23" s="281" t="e">
        <f>BN19/(BN17*EFFICIENCY!$I$28)</f>
        <v>#DIV/0!</v>
      </c>
      <c r="BO23" s="280" t="s">
        <v>96</v>
      </c>
      <c r="BP23" s="281" t="e">
        <f>BP19/(BP17*EFFICIENCY!$I$28)</f>
        <v>#DIV/0!</v>
      </c>
    </row>
    <row r="24" spans="2:68" ht="19.5" customHeight="1" thickBot="1">
      <c r="B24" s="278">
        <v>42422</v>
      </c>
      <c r="G24" s="150">
        <f t="shared" si="0"/>
        <v>0</v>
      </c>
      <c r="H24" s="150">
        <f t="shared" si="1"/>
        <v>0</v>
      </c>
      <c r="K24" s="694" t="s">
        <v>156</v>
      </c>
      <c r="L24" s="695"/>
      <c r="M24" s="284" t="s">
        <v>94</v>
      </c>
      <c r="N24" s="285" t="e">
        <f>N19/((N17*EFFICIENCY!$K$28))</f>
        <v>#DIV/0!</v>
      </c>
      <c r="O24" s="288" t="s">
        <v>94</v>
      </c>
      <c r="P24" s="285" t="e">
        <f>P19/((P17*EFFICIENCY!$K$28))</f>
        <v>#DIV/0!</v>
      </c>
      <c r="Q24" s="284" t="s">
        <v>94</v>
      </c>
      <c r="R24" s="285" t="e">
        <f>R19/((R17*EFFICIENCY!$K$28))</f>
        <v>#DIV/0!</v>
      </c>
      <c r="S24" s="297"/>
      <c r="T24" s="302"/>
      <c r="U24" s="694" t="s">
        <v>156</v>
      </c>
      <c r="V24" s="695"/>
      <c r="W24" s="284" t="s">
        <v>94</v>
      </c>
      <c r="X24" s="285" t="e">
        <f>X19/((X17*EFFICIENCY!$K$28))</f>
        <v>#DIV/0!</v>
      </c>
      <c r="Y24" s="288" t="s">
        <v>94</v>
      </c>
      <c r="Z24" s="285" t="e">
        <f>Z19/((Z17*EFFICIENCY!$K$28))</f>
        <v>#DIV/0!</v>
      </c>
      <c r="AA24" s="284" t="s">
        <v>94</v>
      </c>
      <c r="AB24" s="285" t="e">
        <f>AB19/((AB17*EFFICIENCY!$K$28))</f>
        <v>#DIV/0!</v>
      </c>
      <c r="AD24" s="300"/>
      <c r="AE24" s="694" t="s">
        <v>156</v>
      </c>
      <c r="AF24" s="695"/>
      <c r="AG24" s="284" t="s">
        <v>94</v>
      </c>
      <c r="AH24" s="285" t="e">
        <f>AH19/((AH17*EFFICIENCY!$K$28))</f>
        <v>#DIV/0!</v>
      </c>
      <c r="AI24" s="288" t="s">
        <v>94</v>
      </c>
      <c r="AJ24" s="285" t="e">
        <f>AJ19/((AJ17*EFFICIENCY!$K$28))</f>
        <v>#DIV/0!</v>
      </c>
      <c r="AK24" s="284" t="s">
        <v>94</v>
      </c>
      <c r="AL24" s="285" t="e">
        <f>AL19/((AL17*EFFICIENCY!$K$28))</f>
        <v>#DIV/0!</v>
      </c>
      <c r="AN24" s="300"/>
      <c r="AO24" s="694" t="s">
        <v>156</v>
      </c>
      <c r="AP24" s="695"/>
      <c r="AQ24" s="284" t="s">
        <v>94</v>
      </c>
      <c r="AR24" s="285" t="e">
        <f>AR19/((AR17*EFFICIENCY!$K$28))</f>
        <v>#DIV/0!</v>
      </c>
      <c r="AS24" s="288" t="s">
        <v>94</v>
      </c>
      <c r="AT24" s="285" t="e">
        <f>AT19/((AT17*EFFICIENCY!$K$28))</f>
        <v>#DIV/0!</v>
      </c>
      <c r="AU24" s="284" t="s">
        <v>94</v>
      </c>
      <c r="AV24" s="285" t="e">
        <f>AV19/((AV17*EFFICIENCY!$K$28))</f>
        <v>#DIV/0!</v>
      </c>
      <c r="AX24" s="300"/>
      <c r="AY24" s="694" t="s">
        <v>156</v>
      </c>
      <c r="AZ24" s="695"/>
      <c r="BA24" s="284" t="s">
        <v>94</v>
      </c>
      <c r="BB24" s="285" t="e">
        <f>BB19/((BB17*EFFICIENCY!$K$28))</f>
        <v>#DIV/0!</v>
      </c>
      <c r="BC24" s="288" t="s">
        <v>94</v>
      </c>
      <c r="BD24" s="285" t="e">
        <f>BD19/((BD17*EFFICIENCY!$K$28))</f>
        <v>#DIV/0!</v>
      </c>
      <c r="BE24" s="284" t="s">
        <v>94</v>
      </c>
      <c r="BF24" s="285" t="e">
        <f>BF19/((BF17*EFFICIENCY!$K$28))</f>
        <v>#DIV/0!</v>
      </c>
      <c r="BH24" s="300"/>
      <c r="BI24" s="694" t="s">
        <v>156</v>
      </c>
      <c r="BJ24" s="695"/>
      <c r="BK24" s="284" t="s">
        <v>94</v>
      </c>
      <c r="BL24" s="285" t="e">
        <f>BL19/((BL17*EFFICIENCY!$K$28))</f>
        <v>#DIV/0!</v>
      </c>
      <c r="BM24" s="288" t="s">
        <v>94</v>
      </c>
      <c r="BN24" s="285" t="e">
        <f>BN19/((BN17*EFFICIENCY!$K$28))</f>
        <v>#DIV/0!</v>
      </c>
      <c r="BO24" s="284" t="s">
        <v>94</v>
      </c>
      <c r="BP24" s="285" t="e">
        <f>BP19/((BP17*EFFICIENCY!$K$28))</f>
        <v>#DIV/0!</v>
      </c>
    </row>
    <row r="25" spans="2:68" ht="16.5" thickBot="1">
      <c r="B25" s="278">
        <v>42423</v>
      </c>
      <c r="G25" s="150">
        <f t="shared" si="0"/>
        <v>0</v>
      </c>
      <c r="H25" s="150">
        <f t="shared" si="1"/>
        <v>0</v>
      </c>
      <c r="K25" s="381"/>
      <c r="L25" s="382" t="e">
        <f>R19/R17</f>
        <v>#DIV/0!</v>
      </c>
      <c r="M25" s="661" t="s">
        <v>153</v>
      </c>
      <c r="N25" s="662"/>
      <c r="O25" s="290"/>
      <c r="P25" s="353"/>
      <c r="Q25" s="353" t="s">
        <v>154</v>
      </c>
      <c r="R25" s="354">
        <f>O25-R19</f>
        <v>0</v>
      </c>
      <c r="S25" s="298"/>
      <c r="T25" s="300"/>
      <c r="U25" s="381"/>
      <c r="V25" s="382" t="e">
        <f>AB19/AB17</f>
        <v>#DIV/0!</v>
      </c>
      <c r="W25" s="661" t="s">
        <v>153</v>
      </c>
      <c r="X25" s="662"/>
      <c r="Y25" s="290"/>
      <c r="Z25" s="353"/>
      <c r="AA25" s="353" t="s">
        <v>154</v>
      </c>
      <c r="AB25" s="354">
        <f>Y25-AB19</f>
        <v>0</v>
      </c>
      <c r="AD25" s="300"/>
      <c r="AE25" s="381"/>
      <c r="AF25" s="382" t="e">
        <f>AL19/AL17</f>
        <v>#DIV/0!</v>
      </c>
      <c r="AG25" s="661" t="s">
        <v>153</v>
      </c>
      <c r="AH25" s="662"/>
      <c r="AI25" s="290"/>
      <c r="AJ25" s="353"/>
      <c r="AK25" s="353" t="s">
        <v>154</v>
      </c>
      <c r="AL25" s="354">
        <f>AI25-AL19</f>
        <v>0</v>
      </c>
      <c r="AN25" s="300"/>
      <c r="AO25" s="381"/>
      <c r="AP25" s="382" t="e">
        <f>AV19/AV17</f>
        <v>#DIV/0!</v>
      </c>
      <c r="AQ25" s="661" t="s">
        <v>153</v>
      </c>
      <c r="AR25" s="662"/>
      <c r="AS25" s="290"/>
      <c r="AT25" s="353"/>
      <c r="AU25" s="353" t="s">
        <v>154</v>
      </c>
      <c r="AV25" s="354">
        <f>AS25-AV19</f>
        <v>0</v>
      </c>
      <c r="AX25" s="300"/>
      <c r="AY25" s="381"/>
      <c r="AZ25" s="382" t="e">
        <f>BF19/BF17</f>
        <v>#DIV/0!</v>
      </c>
      <c r="BA25" s="661" t="s">
        <v>153</v>
      </c>
      <c r="BB25" s="662"/>
      <c r="BC25" s="290"/>
      <c r="BD25" s="353"/>
      <c r="BE25" s="353" t="s">
        <v>154</v>
      </c>
      <c r="BF25" s="354">
        <f>BC25-BF19</f>
        <v>0</v>
      </c>
      <c r="BH25" s="300"/>
      <c r="BI25" s="381"/>
      <c r="BJ25" s="382" t="e">
        <f>BP19/BP17</f>
        <v>#DIV/0!</v>
      </c>
      <c r="BK25" s="661" t="s">
        <v>153</v>
      </c>
      <c r="BL25" s="662"/>
      <c r="BM25" s="290"/>
      <c r="BN25" s="353"/>
      <c r="BO25" s="353" t="s">
        <v>154</v>
      </c>
      <c r="BP25" s="354">
        <f>BM25-BP19</f>
        <v>0</v>
      </c>
    </row>
    <row r="26" spans="2:68">
      <c r="B26" s="278">
        <v>42424</v>
      </c>
      <c r="G26" s="150">
        <f t="shared" si="0"/>
        <v>0</v>
      </c>
      <c r="H26" s="150">
        <f t="shared" si="1"/>
        <v>0</v>
      </c>
      <c r="T26" s="300"/>
      <c r="AD26" s="300"/>
      <c r="AN26" s="300"/>
      <c r="AX26" s="300"/>
      <c r="BH26" s="300"/>
    </row>
    <row r="27" spans="2:68" ht="13.5" thickBot="1">
      <c r="B27" s="278">
        <v>42425</v>
      </c>
      <c r="G27" s="150">
        <f t="shared" si="0"/>
        <v>0</v>
      </c>
      <c r="H27" s="150">
        <f t="shared" si="1"/>
        <v>0</v>
      </c>
      <c r="J27" s="291"/>
      <c r="K27" s="291"/>
      <c r="L27" s="291"/>
      <c r="M27" s="291"/>
      <c r="N27" s="291"/>
      <c r="O27" s="291"/>
      <c r="P27" s="291"/>
      <c r="Q27" s="291"/>
      <c r="R27" s="291"/>
      <c r="S27" s="299"/>
      <c r="T27" s="301"/>
      <c r="U27" s="291"/>
      <c r="V27" s="291"/>
      <c r="W27" s="291"/>
      <c r="X27" s="291"/>
      <c r="Y27" s="291"/>
      <c r="Z27" s="291"/>
      <c r="AA27" s="291"/>
      <c r="AB27" s="291"/>
      <c r="AC27" s="291"/>
      <c r="AD27" s="301"/>
      <c r="AE27" s="291"/>
      <c r="AF27" s="291"/>
      <c r="AG27" s="291"/>
      <c r="AH27" s="291"/>
      <c r="AI27" s="291"/>
      <c r="AJ27" s="291"/>
      <c r="AK27" s="291"/>
      <c r="AL27" s="291"/>
      <c r="AM27" s="291"/>
      <c r="AN27" s="301"/>
      <c r="AO27" s="291"/>
      <c r="AP27" s="291"/>
      <c r="AQ27" s="291"/>
      <c r="AR27" s="291"/>
      <c r="AS27" s="291"/>
      <c r="AT27" s="291"/>
      <c r="AU27" s="291"/>
      <c r="AV27" s="291"/>
      <c r="AW27" s="291"/>
      <c r="AX27" s="301"/>
      <c r="AY27" s="291"/>
      <c r="AZ27" s="291"/>
      <c r="BA27" s="291"/>
      <c r="BB27" s="291"/>
      <c r="BC27" s="291"/>
      <c r="BD27" s="291"/>
      <c r="BE27" s="291"/>
      <c r="BF27" s="291"/>
      <c r="BG27" s="291"/>
      <c r="BH27" s="301"/>
      <c r="BI27" s="291"/>
      <c r="BJ27" s="291"/>
      <c r="BK27" s="291"/>
      <c r="BL27" s="291"/>
      <c r="BM27" s="291"/>
      <c r="BN27" s="291"/>
      <c r="BO27" s="291"/>
      <c r="BP27" s="291"/>
    </row>
    <row r="28" spans="2:68" ht="15.75" thickBot="1">
      <c r="B28" s="278">
        <v>42426</v>
      </c>
      <c r="G28" s="150">
        <f t="shared" si="0"/>
        <v>0</v>
      </c>
      <c r="H28" s="150">
        <f t="shared" si="1"/>
        <v>0</v>
      </c>
      <c r="J28" s="154"/>
      <c r="K28" s="383" t="s">
        <v>7</v>
      </c>
      <c r="L28" s="534">
        <v>42415</v>
      </c>
      <c r="M28" s="680" t="s">
        <v>100</v>
      </c>
      <c r="N28" s="681"/>
      <c r="O28" s="682" t="s">
        <v>99</v>
      </c>
      <c r="P28" s="683"/>
      <c r="Q28" s="684" t="s">
        <v>16</v>
      </c>
      <c r="R28" s="685"/>
      <c r="S28" s="293"/>
      <c r="T28" s="300"/>
      <c r="U28" s="383" t="s">
        <v>7</v>
      </c>
      <c r="V28" s="534">
        <v>42416</v>
      </c>
      <c r="W28" s="680" t="s">
        <v>100</v>
      </c>
      <c r="X28" s="681"/>
      <c r="Y28" s="682" t="s">
        <v>99</v>
      </c>
      <c r="Z28" s="683"/>
      <c r="AA28" s="684" t="s">
        <v>16</v>
      </c>
      <c r="AB28" s="685"/>
      <c r="AC28" s="154"/>
      <c r="AD28" s="300"/>
      <c r="AE28" s="383" t="s">
        <v>7</v>
      </c>
      <c r="AF28" s="534">
        <v>42417</v>
      </c>
      <c r="AG28" s="680" t="s">
        <v>100</v>
      </c>
      <c r="AH28" s="681"/>
      <c r="AI28" s="682" t="s">
        <v>99</v>
      </c>
      <c r="AJ28" s="683"/>
      <c r="AK28" s="684" t="s">
        <v>16</v>
      </c>
      <c r="AL28" s="685"/>
      <c r="AM28" s="154"/>
      <c r="AN28" s="300"/>
      <c r="AO28" s="383" t="s">
        <v>7</v>
      </c>
      <c r="AP28" s="534">
        <v>42418</v>
      </c>
      <c r="AQ28" s="680" t="s">
        <v>100</v>
      </c>
      <c r="AR28" s="681"/>
      <c r="AS28" s="682" t="s">
        <v>99</v>
      </c>
      <c r="AT28" s="683"/>
      <c r="AU28" s="684" t="s">
        <v>16</v>
      </c>
      <c r="AV28" s="685"/>
      <c r="AW28" s="154"/>
      <c r="AX28" s="300"/>
      <c r="AY28" s="383" t="s">
        <v>7</v>
      </c>
      <c r="AZ28" s="534">
        <v>42419</v>
      </c>
      <c r="BA28" s="680" t="s">
        <v>100</v>
      </c>
      <c r="BB28" s="681"/>
      <c r="BC28" s="682" t="s">
        <v>99</v>
      </c>
      <c r="BD28" s="683"/>
      <c r="BE28" s="684" t="s">
        <v>16</v>
      </c>
      <c r="BF28" s="685"/>
      <c r="BG28" s="154"/>
      <c r="BH28" s="300"/>
      <c r="BI28" s="383" t="s">
        <v>7</v>
      </c>
      <c r="BJ28" s="534">
        <v>42420</v>
      </c>
      <c r="BK28" s="680" t="s">
        <v>100</v>
      </c>
      <c r="BL28" s="681"/>
      <c r="BM28" s="682" t="s">
        <v>99</v>
      </c>
      <c r="BN28" s="683"/>
      <c r="BO28" s="684" t="s">
        <v>16</v>
      </c>
      <c r="BP28" s="685"/>
    </row>
    <row r="29" spans="2:68" ht="13.5" thickBot="1">
      <c r="B29" s="278">
        <v>42427</v>
      </c>
      <c r="G29" s="150">
        <f t="shared" si="0"/>
        <v>0</v>
      </c>
      <c r="H29" s="150">
        <f t="shared" si="1"/>
        <v>0</v>
      </c>
      <c r="K29" s="304"/>
      <c r="L29" s="303"/>
      <c r="M29" s="304"/>
      <c r="N29" s="305"/>
      <c r="O29" s="304"/>
      <c r="P29" s="305"/>
      <c r="Q29" s="303"/>
      <c r="R29" s="305"/>
      <c r="S29" s="156"/>
      <c r="T29" s="300"/>
      <c r="U29" s="304"/>
      <c r="V29" s="303"/>
      <c r="W29" s="304"/>
      <c r="X29" s="305"/>
      <c r="Y29" s="304"/>
      <c r="Z29" s="305"/>
      <c r="AA29" s="303"/>
      <c r="AB29" s="305"/>
      <c r="AD29" s="300"/>
      <c r="AE29" s="304"/>
      <c r="AF29" s="303"/>
      <c r="AG29" s="304"/>
      <c r="AH29" s="305"/>
      <c r="AI29" s="304"/>
      <c r="AJ29" s="305"/>
      <c r="AK29" s="303"/>
      <c r="AL29" s="305"/>
      <c r="AN29" s="300"/>
      <c r="AO29" s="304"/>
      <c r="AP29" s="303"/>
      <c r="AQ29" s="304"/>
      <c r="AR29" s="305"/>
      <c r="AS29" s="304"/>
      <c r="AT29" s="305"/>
      <c r="AU29" s="303"/>
      <c r="AV29" s="305"/>
      <c r="AX29" s="300"/>
      <c r="AY29" s="304"/>
      <c r="AZ29" s="303"/>
      <c r="BA29" s="304"/>
      <c r="BB29" s="305"/>
      <c r="BC29" s="304"/>
      <c r="BD29" s="305"/>
      <c r="BE29" s="303"/>
      <c r="BF29" s="305"/>
      <c r="BH29" s="300"/>
      <c r="BI29" s="304"/>
      <c r="BJ29" s="303"/>
      <c r="BK29" s="304"/>
      <c r="BL29" s="305"/>
      <c r="BM29" s="304"/>
      <c r="BN29" s="305"/>
      <c r="BO29" s="303"/>
      <c r="BP29" s="305"/>
    </row>
    <row r="30" spans="2:68" ht="16.5" thickBot="1">
      <c r="B30" s="278">
        <v>42428</v>
      </c>
      <c r="G30" s="150">
        <f t="shared" si="0"/>
        <v>0</v>
      </c>
      <c r="H30" s="150">
        <f t="shared" si="1"/>
        <v>0</v>
      </c>
      <c r="K30" s="304"/>
      <c r="L30" s="306" t="s">
        <v>155</v>
      </c>
      <c r="M30" s="307" t="s">
        <v>103</v>
      </c>
      <c r="N30" s="279"/>
      <c r="O30" s="307" t="s">
        <v>103</v>
      </c>
      <c r="P30" s="279"/>
      <c r="Q30" s="308" t="s">
        <v>103</v>
      </c>
      <c r="R30" s="309">
        <f>SUM(N30,P30)</f>
        <v>0</v>
      </c>
      <c r="S30" s="294"/>
      <c r="T30" s="300"/>
      <c r="U30" s="304"/>
      <c r="V30" s="306" t="s">
        <v>155</v>
      </c>
      <c r="W30" s="307" t="s">
        <v>103</v>
      </c>
      <c r="X30" s="279"/>
      <c r="Y30" s="307" t="s">
        <v>103</v>
      </c>
      <c r="Z30" s="279"/>
      <c r="AA30" s="308" t="s">
        <v>103</v>
      </c>
      <c r="AB30" s="309">
        <f>SUM(X30,Z30)</f>
        <v>0</v>
      </c>
      <c r="AD30" s="300"/>
      <c r="AE30" s="304"/>
      <c r="AF30" s="306" t="s">
        <v>155</v>
      </c>
      <c r="AG30" s="307" t="s">
        <v>103</v>
      </c>
      <c r="AH30" s="279"/>
      <c r="AI30" s="307" t="s">
        <v>103</v>
      </c>
      <c r="AJ30" s="279"/>
      <c r="AK30" s="308" t="s">
        <v>103</v>
      </c>
      <c r="AL30" s="309">
        <f>SUM(AH30,AJ30)</f>
        <v>0</v>
      </c>
      <c r="AN30" s="300"/>
      <c r="AO30" s="304"/>
      <c r="AP30" s="306" t="s">
        <v>155</v>
      </c>
      <c r="AQ30" s="307" t="s">
        <v>103</v>
      </c>
      <c r="AR30" s="279"/>
      <c r="AS30" s="307" t="s">
        <v>103</v>
      </c>
      <c r="AT30" s="279"/>
      <c r="AU30" s="308" t="s">
        <v>103</v>
      </c>
      <c r="AV30" s="309">
        <f>SUM(AR30,AT30)</f>
        <v>0</v>
      </c>
      <c r="AX30" s="300"/>
      <c r="AY30" s="304"/>
      <c r="AZ30" s="306" t="s">
        <v>155</v>
      </c>
      <c r="BA30" s="307" t="s">
        <v>103</v>
      </c>
      <c r="BB30" s="279"/>
      <c r="BC30" s="307" t="s">
        <v>103</v>
      </c>
      <c r="BD30" s="279"/>
      <c r="BE30" s="308" t="s">
        <v>103</v>
      </c>
      <c r="BF30" s="309">
        <f>SUM(BB30,BD30)</f>
        <v>0</v>
      </c>
      <c r="BH30" s="300"/>
      <c r="BI30" s="304"/>
      <c r="BJ30" s="306" t="s">
        <v>155</v>
      </c>
      <c r="BK30" s="307" t="s">
        <v>103</v>
      </c>
      <c r="BL30" s="279"/>
      <c r="BM30" s="307" t="s">
        <v>103</v>
      </c>
      <c r="BN30" s="279"/>
      <c r="BO30" s="308" t="s">
        <v>103</v>
      </c>
      <c r="BP30" s="309">
        <f>SUM(BL30,BN30)</f>
        <v>0</v>
      </c>
    </row>
    <row r="31" spans="2:68" ht="18.75" thickBot="1">
      <c r="B31" s="278">
        <v>42429</v>
      </c>
      <c r="G31" s="150">
        <f t="shared" si="0"/>
        <v>0</v>
      </c>
      <c r="H31" s="150">
        <f t="shared" si="1"/>
        <v>0</v>
      </c>
      <c r="K31" s="304"/>
      <c r="L31" s="289">
        <v>8</v>
      </c>
      <c r="M31" s="310" t="s">
        <v>5</v>
      </c>
      <c r="N31" s="311">
        <f>VLOOKUP(L28, $B$3:$E$109, 4, FALSE)</f>
        <v>0</v>
      </c>
      <c r="O31" s="310" t="s">
        <v>5</v>
      </c>
      <c r="P31" s="312">
        <f>VLOOKUP(L28, $B$3:$F$109, 5, FALSE)</f>
        <v>0</v>
      </c>
      <c r="Q31" s="313" t="s">
        <v>5</v>
      </c>
      <c r="R31" s="309">
        <f>SUM(N31,P31)</f>
        <v>0</v>
      </c>
      <c r="S31" s="294"/>
      <c r="T31" s="300"/>
      <c r="U31" s="304"/>
      <c r="V31" s="289">
        <v>8</v>
      </c>
      <c r="W31" s="310" t="s">
        <v>5</v>
      </c>
      <c r="X31" s="311">
        <f>VLOOKUP(V28, $B$3:$E$109, 4, FALSE)</f>
        <v>0</v>
      </c>
      <c r="Y31" s="310" t="s">
        <v>5</v>
      </c>
      <c r="Z31" s="312">
        <f>VLOOKUP(V28, $B$3:$F$109, 5, FALSE)</f>
        <v>0</v>
      </c>
      <c r="AA31" s="313" t="s">
        <v>5</v>
      </c>
      <c r="AB31" s="309">
        <f>SUM(X31,Z31)</f>
        <v>0</v>
      </c>
      <c r="AD31" s="300"/>
      <c r="AE31" s="304"/>
      <c r="AF31" s="289">
        <v>8</v>
      </c>
      <c r="AG31" s="310" t="s">
        <v>5</v>
      </c>
      <c r="AH31" s="311">
        <f>VLOOKUP(AF28, $B$3:$E$109, 4, FALSE)</f>
        <v>0</v>
      </c>
      <c r="AI31" s="310" t="s">
        <v>5</v>
      </c>
      <c r="AJ31" s="312">
        <f>VLOOKUP(AF28, $B$3:$F$109, 5, FALSE)</f>
        <v>0</v>
      </c>
      <c r="AK31" s="313" t="s">
        <v>5</v>
      </c>
      <c r="AL31" s="309">
        <f>SUM(AH31,AJ31)</f>
        <v>0</v>
      </c>
      <c r="AN31" s="300"/>
      <c r="AO31" s="304"/>
      <c r="AP31" s="289">
        <v>8</v>
      </c>
      <c r="AQ31" s="310" t="s">
        <v>5</v>
      </c>
      <c r="AR31" s="311">
        <f>VLOOKUP(AP28, $B$3:$E$109, 4, FALSE)</f>
        <v>0</v>
      </c>
      <c r="AS31" s="310" t="s">
        <v>5</v>
      </c>
      <c r="AT31" s="312">
        <f>VLOOKUP(AP28, $B$3:$F$109, 5, FALSE)</f>
        <v>0</v>
      </c>
      <c r="AU31" s="313" t="s">
        <v>5</v>
      </c>
      <c r="AV31" s="309">
        <f>SUM(AR31,AT31)</f>
        <v>0</v>
      </c>
      <c r="AX31" s="300"/>
      <c r="AY31" s="304"/>
      <c r="AZ31" s="289">
        <v>8</v>
      </c>
      <c r="BA31" s="310" t="s">
        <v>5</v>
      </c>
      <c r="BB31" s="311">
        <f>VLOOKUP(AZ28, $B$3:$E$109, 4, FALSE)</f>
        <v>0</v>
      </c>
      <c r="BC31" s="310" t="s">
        <v>5</v>
      </c>
      <c r="BD31" s="312">
        <f>VLOOKUP(AZ28, $B$3:$F$109, 5, FALSE)</f>
        <v>0</v>
      </c>
      <c r="BE31" s="313" t="s">
        <v>5</v>
      </c>
      <c r="BF31" s="309">
        <f>SUM(BB31,BD31)</f>
        <v>0</v>
      </c>
      <c r="BH31" s="300"/>
      <c r="BI31" s="304"/>
      <c r="BJ31" s="289">
        <v>8</v>
      </c>
      <c r="BK31" s="310" t="s">
        <v>5</v>
      </c>
      <c r="BL31" s="311">
        <f>VLOOKUP(BJ28, $B$3:$E$109, 4, FALSE)</f>
        <v>0</v>
      </c>
      <c r="BM31" s="310" t="s">
        <v>5</v>
      </c>
      <c r="BN31" s="312">
        <f>VLOOKUP(BJ28, $B$3:$F$109, 5, FALSE)</f>
        <v>0</v>
      </c>
      <c r="BO31" s="313" t="s">
        <v>5</v>
      </c>
      <c r="BP31" s="309">
        <f>SUM(BL31,BN31)</f>
        <v>0</v>
      </c>
    </row>
    <row r="32" spans="2:68" ht="15.75" customHeight="1">
      <c r="B32" s="278">
        <v>42430</v>
      </c>
      <c r="G32" s="150">
        <f t="shared" si="0"/>
        <v>0</v>
      </c>
      <c r="H32" s="150">
        <f t="shared" si="1"/>
        <v>0</v>
      </c>
      <c r="K32" s="304"/>
      <c r="L32" s="303"/>
      <c r="M32" s="659" t="s">
        <v>105</v>
      </c>
      <c r="N32" s="311">
        <f>VLOOKUP(L28, $B$3:$E$109, 2, FALSE)</f>
        <v>0</v>
      </c>
      <c r="O32" s="659" t="s">
        <v>105</v>
      </c>
      <c r="P32" s="312">
        <f>VLOOKUP(L28, $B$3:$E$109, 3, FALSE)</f>
        <v>0</v>
      </c>
      <c r="Q32" s="660" t="s">
        <v>105</v>
      </c>
      <c r="R32" s="309">
        <f>SUM(N32,P32)</f>
        <v>0</v>
      </c>
      <c r="S32" s="294"/>
      <c r="T32" s="300"/>
      <c r="U32" s="304"/>
      <c r="V32" s="303"/>
      <c r="W32" s="659" t="s">
        <v>105</v>
      </c>
      <c r="X32" s="311">
        <f>VLOOKUP(V28, $B$3:$E$109, 2, FALSE)</f>
        <v>0</v>
      </c>
      <c r="Y32" s="659" t="s">
        <v>105</v>
      </c>
      <c r="Z32" s="312">
        <f>VLOOKUP(V28, $B$3:$E$109, 3, FALSE)</f>
        <v>0</v>
      </c>
      <c r="AA32" s="660" t="s">
        <v>105</v>
      </c>
      <c r="AB32" s="309">
        <f>SUM(X32,Z32)</f>
        <v>0</v>
      </c>
      <c r="AD32" s="300"/>
      <c r="AE32" s="304"/>
      <c r="AF32" s="303"/>
      <c r="AG32" s="659" t="s">
        <v>105</v>
      </c>
      <c r="AH32" s="311">
        <f>VLOOKUP(AF28, $B$3:$E$109, 2, FALSE)</f>
        <v>0</v>
      </c>
      <c r="AI32" s="659" t="s">
        <v>105</v>
      </c>
      <c r="AJ32" s="312">
        <f>VLOOKUP(AF28, $B$3:$E$109, 3, FALSE)</f>
        <v>0</v>
      </c>
      <c r="AK32" s="660" t="s">
        <v>105</v>
      </c>
      <c r="AL32" s="309">
        <f>SUM(AH32,AJ32)</f>
        <v>0</v>
      </c>
      <c r="AN32" s="300"/>
      <c r="AO32" s="304"/>
      <c r="AP32" s="303"/>
      <c r="AQ32" s="659" t="s">
        <v>105</v>
      </c>
      <c r="AR32" s="311">
        <f>VLOOKUP(AP28, $B$3:$E$109, 2, FALSE)</f>
        <v>0</v>
      </c>
      <c r="AS32" s="659" t="s">
        <v>105</v>
      </c>
      <c r="AT32" s="312">
        <f>VLOOKUP(AP28, $B$3:$E$109, 3, FALSE)</f>
        <v>0</v>
      </c>
      <c r="AU32" s="660" t="s">
        <v>105</v>
      </c>
      <c r="AV32" s="309">
        <f>SUM(AR32,AT32)</f>
        <v>0</v>
      </c>
      <c r="AX32" s="300"/>
      <c r="AY32" s="304"/>
      <c r="AZ32" s="303"/>
      <c r="BA32" s="659" t="s">
        <v>105</v>
      </c>
      <c r="BB32" s="311">
        <f>VLOOKUP(AZ28, $B$3:$E$109, 2, FALSE)</f>
        <v>0</v>
      </c>
      <c r="BC32" s="659" t="s">
        <v>105</v>
      </c>
      <c r="BD32" s="312">
        <f>VLOOKUP(AZ28, $B$3:$E$109, 3, FALSE)</f>
        <v>0</v>
      </c>
      <c r="BE32" s="660" t="s">
        <v>105</v>
      </c>
      <c r="BF32" s="309">
        <f>SUM(BB32,BD32)</f>
        <v>0</v>
      </c>
      <c r="BH32" s="300"/>
      <c r="BI32" s="304"/>
      <c r="BJ32" s="303"/>
      <c r="BK32" s="659" t="s">
        <v>105</v>
      </c>
      <c r="BL32" s="311">
        <f>VLOOKUP(BJ28, $B$3:$E$109, 2, FALSE)</f>
        <v>0</v>
      </c>
      <c r="BM32" s="659" t="s">
        <v>105</v>
      </c>
      <c r="BN32" s="312">
        <f>VLOOKUP(BJ28, $B$3:$E$109, 3, FALSE)</f>
        <v>0</v>
      </c>
      <c r="BO32" s="660" t="s">
        <v>105</v>
      </c>
      <c r="BP32" s="309">
        <f>SUM(BL32,BN32)</f>
        <v>0</v>
      </c>
    </row>
    <row r="33" spans="11:68" ht="12.75" customHeight="1">
      <c r="K33" s="700" t="s">
        <v>157</v>
      </c>
      <c r="L33" s="701"/>
      <c r="M33" s="660"/>
      <c r="N33" s="305"/>
      <c r="O33" s="659"/>
      <c r="P33" s="305"/>
      <c r="Q33" s="660"/>
      <c r="R33" s="305"/>
      <c r="S33" s="156"/>
      <c r="T33" s="300"/>
      <c r="U33" s="700" t="s">
        <v>157</v>
      </c>
      <c r="V33" s="701"/>
      <c r="W33" s="660"/>
      <c r="X33" s="305"/>
      <c r="Y33" s="659"/>
      <c r="Z33" s="305"/>
      <c r="AA33" s="660"/>
      <c r="AB33" s="305"/>
      <c r="AD33" s="300"/>
      <c r="AE33" s="700" t="s">
        <v>157</v>
      </c>
      <c r="AF33" s="701"/>
      <c r="AG33" s="660"/>
      <c r="AH33" s="305"/>
      <c r="AI33" s="659"/>
      <c r="AJ33" s="305"/>
      <c r="AK33" s="660"/>
      <c r="AL33" s="305"/>
      <c r="AN33" s="300"/>
      <c r="AO33" s="700" t="s">
        <v>157</v>
      </c>
      <c r="AP33" s="701"/>
      <c r="AQ33" s="660"/>
      <c r="AR33" s="305"/>
      <c r="AS33" s="659"/>
      <c r="AT33" s="305"/>
      <c r="AU33" s="660"/>
      <c r="AV33" s="305"/>
      <c r="AX33" s="300"/>
      <c r="AY33" s="700" t="s">
        <v>157</v>
      </c>
      <c r="AZ33" s="701"/>
      <c r="BA33" s="660"/>
      <c r="BB33" s="305"/>
      <c r="BC33" s="659"/>
      <c r="BD33" s="305"/>
      <c r="BE33" s="660"/>
      <c r="BF33" s="305"/>
      <c r="BH33" s="300"/>
      <c r="BI33" s="700" t="s">
        <v>157</v>
      </c>
      <c r="BJ33" s="701"/>
      <c r="BK33" s="660"/>
      <c r="BL33" s="305"/>
      <c r="BM33" s="659"/>
      <c r="BN33" s="305"/>
      <c r="BO33" s="660"/>
      <c r="BP33" s="305"/>
    </row>
    <row r="34" spans="11:68" ht="15.75">
      <c r="K34" s="384"/>
      <c r="L34" s="314">
        <f>R30*13</f>
        <v>0</v>
      </c>
      <c r="M34" s="315"/>
      <c r="N34" s="305"/>
      <c r="O34" s="316"/>
      <c r="P34" s="305"/>
      <c r="Q34" s="317"/>
      <c r="R34" s="305"/>
      <c r="S34" s="156"/>
      <c r="T34" s="300"/>
      <c r="U34" s="384"/>
      <c r="V34" s="314">
        <f>AB30*13</f>
        <v>0</v>
      </c>
      <c r="W34" s="315"/>
      <c r="X34" s="305"/>
      <c r="Y34" s="316"/>
      <c r="Z34" s="305"/>
      <c r="AA34" s="317"/>
      <c r="AB34" s="305"/>
      <c r="AD34" s="300"/>
      <c r="AE34" s="384"/>
      <c r="AF34" s="314">
        <f>AL30*13</f>
        <v>0</v>
      </c>
      <c r="AG34" s="315"/>
      <c r="AH34" s="305"/>
      <c r="AI34" s="316"/>
      <c r="AJ34" s="305"/>
      <c r="AK34" s="317"/>
      <c r="AL34" s="305"/>
      <c r="AN34" s="300"/>
      <c r="AO34" s="384"/>
      <c r="AP34" s="314">
        <f>AV30*13</f>
        <v>0</v>
      </c>
      <c r="AQ34" s="315"/>
      <c r="AR34" s="305"/>
      <c r="AS34" s="316"/>
      <c r="AT34" s="305"/>
      <c r="AU34" s="317"/>
      <c r="AV34" s="305"/>
      <c r="AX34" s="300"/>
      <c r="AY34" s="384"/>
      <c r="AZ34" s="314">
        <f>BF30*13</f>
        <v>0</v>
      </c>
      <c r="BA34" s="315"/>
      <c r="BB34" s="305"/>
      <c r="BC34" s="316"/>
      <c r="BD34" s="305"/>
      <c r="BE34" s="317"/>
      <c r="BF34" s="305"/>
      <c r="BH34" s="300"/>
      <c r="BI34" s="384"/>
      <c r="BJ34" s="314">
        <f>BP30*13</f>
        <v>0</v>
      </c>
      <c r="BK34" s="315"/>
      <c r="BL34" s="305"/>
      <c r="BM34" s="316"/>
      <c r="BN34" s="305"/>
      <c r="BO34" s="317"/>
      <c r="BP34" s="305"/>
    </row>
    <row r="35" spans="11:68" ht="18.75">
      <c r="K35" s="304"/>
      <c r="L35" s="385"/>
      <c r="M35" s="286" t="s">
        <v>97</v>
      </c>
      <c r="N35" s="287" t="e">
        <f>N32/((N30*EFFICIENCY!$H$28))</f>
        <v>#DIV/0!</v>
      </c>
      <c r="O35" s="286" t="s">
        <v>97</v>
      </c>
      <c r="P35" s="287" t="e">
        <f>P32/(P30*EFFICIENCY!$H$28)</f>
        <v>#DIV/0!</v>
      </c>
      <c r="Q35" s="286" t="s">
        <v>97</v>
      </c>
      <c r="R35" s="287" t="e">
        <f>R32/(R30*EFFICIENCY!$H$28)</f>
        <v>#DIV/0!</v>
      </c>
      <c r="S35" s="295"/>
      <c r="T35" s="300"/>
      <c r="U35" s="304"/>
      <c r="V35" s="385"/>
      <c r="W35" s="286" t="s">
        <v>97</v>
      </c>
      <c r="X35" s="287" t="e">
        <f>X32/((X30*EFFICIENCY!$H$28))</f>
        <v>#DIV/0!</v>
      </c>
      <c r="Y35" s="286" t="s">
        <v>97</v>
      </c>
      <c r="Z35" s="287" t="e">
        <f>Z32/(Z30*EFFICIENCY!$H$28)</f>
        <v>#DIV/0!</v>
      </c>
      <c r="AA35" s="286" t="s">
        <v>97</v>
      </c>
      <c r="AB35" s="287" t="e">
        <f>AB32/(AB30*EFFICIENCY!$H$28)</f>
        <v>#DIV/0!</v>
      </c>
      <c r="AD35" s="300"/>
      <c r="AE35" s="304"/>
      <c r="AF35" s="385"/>
      <c r="AG35" s="286" t="s">
        <v>97</v>
      </c>
      <c r="AH35" s="287" t="e">
        <f>AH32/((AH30*EFFICIENCY!$H$28))</f>
        <v>#DIV/0!</v>
      </c>
      <c r="AI35" s="286" t="s">
        <v>97</v>
      </c>
      <c r="AJ35" s="287" t="e">
        <f>AJ32/(AJ30*EFFICIENCY!$H$28)</f>
        <v>#DIV/0!</v>
      </c>
      <c r="AK35" s="286" t="s">
        <v>97</v>
      </c>
      <c r="AL35" s="287" t="e">
        <f>AL32/(AL30*EFFICIENCY!$H$28)</f>
        <v>#DIV/0!</v>
      </c>
      <c r="AN35" s="300"/>
      <c r="AO35" s="304"/>
      <c r="AP35" s="385"/>
      <c r="AQ35" s="286" t="s">
        <v>97</v>
      </c>
      <c r="AR35" s="287" t="e">
        <f>AR32/((AR30*EFFICIENCY!$H$28))</f>
        <v>#DIV/0!</v>
      </c>
      <c r="AS35" s="286" t="s">
        <v>97</v>
      </c>
      <c r="AT35" s="287" t="e">
        <f>AT32/(AT30*EFFICIENCY!$H$28)</f>
        <v>#DIV/0!</v>
      </c>
      <c r="AU35" s="286" t="s">
        <v>97</v>
      </c>
      <c r="AV35" s="287" t="e">
        <f>AV32/(AV30*EFFICIENCY!$H$28)</f>
        <v>#DIV/0!</v>
      </c>
      <c r="AX35" s="300"/>
      <c r="AY35" s="304"/>
      <c r="AZ35" s="385"/>
      <c r="BA35" s="286" t="s">
        <v>97</v>
      </c>
      <c r="BB35" s="287" t="e">
        <f>BB32/((BB30*EFFICIENCY!$H$28))</f>
        <v>#DIV/0!</v>
      </c>
      <c r="BC35" s="286" t="s">
        <v>97</v>
      </c>
      <c r="BD35" s="287" t="e">
        <f>BD32/(BD30*EFFICIENCY!$H$28)</f>
        <v>#DIV/0!</v>
      </c>
      <c r="BE35" s="286" t="s">
        <v>97</v>
      </c>
      <c r="BF35" s="287" t="e">
        <f>BF32/(BF30*EFFICIENCY!$H$28)</f>
        <v>#DIV/0!</v>
      </c>
      <c r="BH35" s="300"/>
      <c r="BI35" s="304"/>
      <c r="BJ35" s="385"/>
      <c r="BK35" s="286" t="s">
        <v>97</v>
      </c>
      <c r="BL35" s="287" t="e">
        <f>BL32/((BL30*EFFICIENCY!$H$28))</f>
        <v>#DIV/0!</v>
      </c>
      <c r="BM35" s="286" t="s">
        <v>97</v>
      </c>
      <c r="BN35" s="287" t="e">
        <f>BN32/(BN30*EFFICIENCY!$H$28)</f>
        <v>#DIV/0!</v>
      </c>
      <c r="BO35" s="286" t="s">
        <v>97</v>
      </c>
      <c r="BP35" s="287" t="e">
        <f>BP32/(BP30*EFFICIENCY!$H$28)</f>
        <v>#DIV/0!</v>
      </c>
    </row>
    <row r="36" spans="11:68" ht="18.75">
      <c r="K36" s="304"/>
      <c r="L36" s="303"/>
      <c r="M36" s="280" t="s">
        <v>96</v>
      </c>
      <c r="N36" s="281" t="e">
        <f>N32/(N30*EFFICIENCY!$I$28)</f>
        <v>#DIV/0!</v>
      </c>
      <c r="O36" s="280" t="s">
        <v>96</v>
      </c>
      <c r="P36" s="281" t="e">
        <f>P32/(P30*EFFICIENCY!$I$28)</f>
        <v>#DIV/0!</v>
      </c>
      <c r="Q36" s="280" t="s">
        <v>96</v>
      </c>
      <c r="R36" s="281" t="e">
        <f>R32/(R30*EFFICIENCY!$I$28)</f>
        <v>#DIV/0!</v>
      </c>
      <c r="S36" s="296"/>
      <c r="T36" s="300"/>
      <c r="U36" s="304"/>
      <c r="V36" s="303"/>
      <c r="W36" s="280" t="s">
        <v>96</v>
      </c>
      <c r="X36" s="281" t="e">
        <f>X32/(X30*EFFICIENCY!$I$28)</f>
        <v>#DIV/0!</v>
      </c>
      <c r="Y36" s="280" t="s">
        <v>96</v>
      </c>
      <c r="Z36" s="281" t="e">
        <f>Z32/(Z30*EFFICIENCY!$I$28)</f>
        <v>#DIV/0!</v>
      </c>
      <c r="AA36" s="280" t="s">
        <v>96</v>
      </c>
      <c r="AB36" s="281" t="e">
        <f>AB32/(AB30*EFFICIENCY!$I$28)</f>
        <v>#DIV/0!</v>
      </c>
      <c r="AD36" s="300"/>
      <c r="AE36" s="304"/>
      <c r="AF36" s="303"/>
      <c r="AG36" s="280" t="s">
        <v>96</v>
      </c>
      <c r="AH36" s="281" t="e">
        <f>AH32/(AH30*EFFICIENCY!$I$28)</f>
        <v>#DIV/0!</v>
      </c>
      <c r="AI36" s="280" t="s">
        <v>96</v>
      </c>
      <c r="AJ36" s="281" t="e">
        <f>AJ32/(AJ30*EFFICIENCY!$I$28)</f>
        <v>#DIV/0!</v>
      </c>
      <c r="AK36" s="280" t="s">
        <v>96</v>
      </c>
      <c r="AL36" s="281" t="e">
        <f>AL32/(AL30*EFFICIENCY!$I$28)</f>
        <v>#DIV/0!</v>
      </c>
      <c r="AN36" s="300"/>
      <c r="AO36" s="304"/>
      <c r="AP36" s="303"/>
      <c r="AQ36" s="280" t="s">
        <v>96</v>
      </c>
      <c r="AR36" s="281" t="e">
        <f>AR32/(AR30*EFFICIENCY!$I$28)</f>
        <v>#DIV/0!</v>
      </c>
      <c r="AS36" s="280" t="s">
        <v>96</v>
      </c>
      <c r="AT36" s="281" t="e">
        <f>AT32/(AT30*EFFICIENCY!$I$28)</f>
        <v>#DIV/0!</v>
      </c>
      <c r="AU36" s="280" t="s">
        <v>96</v>
      </c>
      <c r="AV36" s="281" t="e">
        <f>AV32/(AV30*EFFICIENCY!$I$28)</f>
        <v>#DIV/0!</v>
      </c>
      <c r="AX36" s="300"/>
      <c r="AY36" s="304"/>
      <c r="AZ36" s="303"/>
      <c r="BA36" s="280" t="s">
        <v>96</v>
      </c>
      <c r="BB36" s="281" t="e">
        <f>BB32/(BB30*EFFICIENCY!$I$28)</f>
        <v>#DIV/0!</v>
      </c>
      <c r="BC36" s="280" t="s">
        <v>96</v>
      </c>
      <c r="BD36" s="281" t="e">
        <f>BD32/(BD30*EFFICIENCY!$I$28)</f>
        <v>#DIV/0!</v>
      </c>
      <c r="BE36" s="280" t="s">
        <v>96</v>
      </c>
      <c r="BF36" s="281" t="e">
        <f>BF32/(BF30*EFFICIENCY!$I$28)</f>
        <v>#DIV/0!</v>
      </c>
      <c r="BH36" s="300"/>
      <c r="BI36" s="304"/>
      <c r="BJ36" s="303"/>
      <c r="BK36" s="280" t="s">
        <v>96</v>
      </c>
      <c r="BL36" s="281" t="e">
        <f>BL32/(BL30*EFFICIENCY!$I$28)</f>
        <v>#DIV/0!</v>
      </c>
      <c r="BM36" s="280" t="s">
        <v>96</v>
      </c>
      <c r="BN36" s="281" t="e">
        <f>BN32/(BN30*EFFICIENCY!$I$28)</f>
        <v>#DIV/0!</v>
      </c>
      <c r="BO36" s="280" t="s">
        <v>96</v>
      </c>
      <c r="BP36" s="281" t="e">
        <f>BP32/(BP30*EFFICIENCY!$I$28)</f>
        <v>#DIV/0!</v>
      </c>
    </row>
    <row r="37" spans="11:68" ht="19.5" customHeight="1" thickBot="1">
      <c r="K37" s="696" t="s">
        <v>156</v>
      </c>
      <c r="L37" s="697"/>
      <c r="M37" s="284" t="s">
        <v>94</v>
      </c>
      <c r="N37" s="285" t="e">
        <f>N32/((N30*EFFICIENCY!$K$28))</f>
        <v>#DIV/0!</v>
      </c>
      <c r="O37" s="288" t="s">
        <v>94</v>
      </c>
      <c r="P37" s="285" t="e">
        <f>P32/((P30*EFFICIENCY!$K$28))</f>
        <v>#DIV/0!</v>
      </c>
      <c r="Q37" s="284" t="s">
        <v>94</v>
      </c>
      <c r="R37" s="285" t="e">
        <f>R32/((R30*EFFICIENCY!$K$28))</f>
        <v>#DIV/0!</v>
      </c>
      <c r="S37" s="297"/>
      <c r="T37" s="300"/>
      <c r="U37" s="696" t="s">
        <v>156</v>
      </c>
      <c r="V37" s="697"/>
      <c r="W37" s="284" t="s">
        <v>94</v>
      </c>
      <c r="X37" s="285" t="e">
        <f>X32/((X30*EFFICIENCY!$K$28))</f>
        <v>#DIV/0!</v>
      </c>
      <c r="Y37" s="288" t="s">
        <v>94</v>
      </c>
      <c r="Z37" s="285" t="e">
        <f>Z32/((Z30*EFFICIENCY!$K$28))</f>
        <v>#DIV/0!</v>
      </c>
      <c r="AA37" s="284" t="s">
        <v>94</v>
      </c>
      <c r="AB37" s="285" t="e">
        <f>AB32/((AB30*EFFICIENCY!$K$28))</f>
        <v>#DIV/0!</v>
      </c>
      <c r="AD37" s="300"/>
      <c r="AE37" s="696" t="s">
        <v>156</v>
      </c>
      <c r="AF37" s="697"/>
      <c r="AG37" s="284" t="s">
        <v>94</v>
      </c>
      <c r="AH37" s="285" t="e">
        <f>AH32/((AH30*EFFICIENCY!$K$28))</f>
        <v>#DIV/0!</v>
      </c>
      <c r="AI37" s="288" t="s">
        <v>94</v>
      </c>
      <c r="AJ37" s="285" t="e">
        <f>AJ32/((AJ30*EFFICIENCY!$K$28))</f>
        <v>#DIV/0!</v>
      </c>
      <c r="AK37" s="284" t="s">
        <v>94</v>
      </c>
      <c r="AL37" s="285" t="e">
        <f>AL32/((AL30*EFFICIENCY!$K$28))</f>
        <v>#DIV/0!</v>
      </c>
      <c r="AN37" s="300"/>
      <c r="AO37" s="696" t="s">
        <v>156</v>
      </c>
      <c r="AP37" s="697"/>
      <c r="AQ37" s="284" t="s">
        <v>94</v>
      </c>
      <c r="AR37" s="285" t="e">
        <f>AR32/((AR30*EFFICIENCY!$K$28))</f>
        <v>#DIV/0!</v>
      </c>
      <c r="AS37" s="288" t="s">
        <v>94</v>
      </c>
      <c r="AT37" s="285" t="e">
        <f>AT32/((AT30*EFFICIENCY!$K$28))</f>
        <v>#DIV/0!</v>
      </c>
      <c r="AU37" s="284" t="s">
        <v>94</v>
      </c>
      <c r="AV37" s="285" t="e">
        <f>AV32/((AV30*EFFICIENCY!$K$28))</f>
        <v>#DIV/0!</v>
      </c>
      <c r="AX37" s="300"/>
      <c r="AY37" s="696" t="s">
        <v>156</v>
      </c>
      <c r="AZ37" s="697"/>
      <c r="BA37" s="284" t="s">
        <v>94</v>
      </c>
      <c r="BB37" s="285" t="e">
        <f>BB32/((BB30*EFFICIENCY!$K$28))</f>
        <v>#DIV/0!</v>
      </c>
      <c r="BC37" s="288" t="s">
        <v>94</v>
      </c>
      <c r="BD37" s="285" t="e">
        <f>BD32/((BD30*EFFICIENCY!$K$28))</f>
        <v>#DIV/0!</v>
      </c>
      <c r="BE37" s="284" t="s">
        <v>94</v>
      </c>
      <c r="BF37" s="285" t="e">
        <f>BF32/((BF30*EFFICIENCY!$K$28))</f>
        <v>#DIV/0!</v>
      </c>
      <c r="BH37" s="300"/>
      <c r="BI37" s="696" t="s">
        <v>156</v>
      </c>
      <c r="BJ37" s="697"/>
      <c r="BK37" s="284" t="s">
        <v>94</v>
      </c>
      <c r="BL37" s="285" t="e">
        <f>BL32/((BL30*EFFICIENCY!$K$28))</f>
        <v>#DIV/0!</v>
      </c>
      <c r="BM37" s="288" t="s">
        <v>94</v>
      </c>
      <c r="BN37" s="285" t="e">
        <f>BN32/((BN30*EFFICIENCY!$K$28))</f>
        <v>#DIV/0!</v>
      </c>
      <c r="BO37" s="284" t="s">
        <v>94</v>
      </c>
      <c r="BP37" s="285" t="e">
        <f>BP32/((BP30*EFFICIENCY!$K$28))</f>
        <v>#DIV/0!</v>
      </c>
    </row>
    <row r="38" spans="11:68" ht="16.5" thickBot="1">
      <c r="K38" s="386"/>
      <c r="L38" s="387" t="e">
        <f>R32/R30</f>
        <v>#DIV/0!</v>
      </c>
      <c r="M38" s="637" t="s">
        <v>153</v>
      </c>
      <c r="N38" s="638"/>
      <c r="O38" s="290"/>
      <c r="P38" s="318"/>
      <c r="Q38" s="318" t="s">
        <v>154</v>
      </c>
      <c r="R38" s="319">
        <f>O38-R32</f>
        <v>0</v>
      </c>
      <c r="S38" s="298"/>
      <c r="T38" s="300"/>
      <c r="U38" s="386"/>
      <c r="V38" s="387" t="e">
        <f>AB32/AB30</f>
        <v>#DIV/0!</v>
      </c>
      <c r="W38" s="637" t="s">
        <v>153</v>
      </c>
      <c r="X38" s="638"/>
      <c r="Y38" s="290"/>
      <c r="Z38" s="318"/>
      <c r="AA38" s="318" t="s">
        <v>154</v>
      </c>
      <c r="AB38" s="319">
        <f>Y38-AB32</f>
        <v>0</v>
      </c>
      <c r="AD38" s="300"/>
      <c r="AE38" s="386"/>
      <c r="AF38" s="387" t="e">
        <f>AL32/AL30</f>
        <v>#DIV/0!</v>
      </c>
      <c r="AG38" s="637" t="s">
        <v>153</v>
      </c>
      <c r="AH38" s="638"/>
      <c r="AI38" s="290"/>
      <c r="AJ38" s="318"/>
      <c r="AK38" s="318" t="s">
        <v>154</v>
      </c>
      <c r="AL38" s="319">
        <f>AI38-AL32</f>
        <v>0</v>
      </c>
      <c r="AN38" s="300"/>
      <c r="AO38" s="386"/>
      <c r="AP38" s="387" t="e">
        <f>AV32/AV30</f>
        <v>#DIV/0!</v>
      </c>
      <c r="AQ38" s="637" t="s">
        <v>153</v>
      </c>
      <c r="AR38" s="638"/>
      <c r="AS38" s="290"/>
      <c r="AT38" s="318"/>
      <c r="AU38" s="318" t="s">
        <v>154</v>
      </c>
      <c r="AV38" s="319">
        <f>AS38-AV32</f>
        <v>0</v>
      </c>
      <c r="AX38" s="300"/>
      <c r="AY38" s="386"/>
      <c r="AZ38" s="387" t="e">
        <f>BF32/BF30</f>
        <v>#DIV/0!</v>
      </c>
      <c r="BA38" s="637" t="s">
        <v>153</v>
      </c>
      <c r="BB38" s="638"/>
      <c r="BC38" s="290"/>
      <c r="BD38" s="318"/>
      <c r="BE38" s="318" t="s">
        <v>154</v>
      </c>
      <c r="BF38" s="319">
        <f>BC38-BF32</f>
        <v>0</v>
      </c>
      <c r="BH38" s="300"/>
      <c r="BI38" s="386"/>
      <c r="BJ38" s="387" t="e">
        <f>BP32/BP30</f>
        <v>#DIV/0!</v>
      </c>
      <c r="BK38" s="637" t="s">
        <v>153</v>
      </c>
      <c r="BL38" s="638"/>
      <c r="BM38" s="290"/>
      <c r="BN38" s="318"/>
      <c r="BO38" s="318" t="s">
        <v>154</v>
      </c>
      <c r="BP38" s="319">
        <f>BM38-BP32</f>
        <v>0</v>
      </c>
    </row>
    <row r="39" spans="11:68">
      <c r="T39" s="300"/>
      <c r="AD39" s="300"/>
      <c r="AN39" s="300"/>
      <c r="AX39" s="300"/>
      <c r="BH39" s="300"/>
    </row>
    <row r="40" spans="11:68" ht="13.5" thickBot="1">
      <c r="K40" s="291"/>
      <c r="L40" s="291"/>
      <c r="M40" s="291"/>
      <c r="N40" s="291"/>
      <c r="O40" s="291"/>
      <c r="P40" s="291"/>
      <c r="Q40" s="291"/>
      <c r="R40" s="291"/>
      <c r="S40" s="299"/>
      <c r="T40" s="301"/>
      <c r="U40" s="291"/>
      <c r="V40" s="291"/>
      <c r="W40" s="291"/>
      <c r="X40" s="291"/>
      <c r="Y40" s="291"/>
      <c r="Z40" s="291"/>
      <c r="AA40" s="291"/>
      <c r="AB40" s="291"/>
      <c r="AC40" s="291"/>
      <c r="AD40" s="301"/>
      <c r="AE40" s="291"/>
      <c r="AF40" s="291"/>
      <c r="AG40" s="291"/>
      <c r="AH40" s="291"/>
      <c r="AI40" s="291"/>
      <c r="AJ40" s="291"/>
      <c r="AK40" s="291"/>
      <c r="AL40" s="291"/>
      <c r="AM40" s="291"/>
      <c r="AN40" s="301"/>
      <c r="AO40" s="291"/>
      <c r="AP40" s="291"/>
      <c r="AQ40" s="291"/>
      <c r="AR40" s="291"/>
      <c r="AS40" s="291"/>
      <c r="AT40" s="291"/>
      <c r="AU40" s="291"/>
      <c r="AV40" s="291"/>
      <c r="AW40" s="291"/>
      <c r="AX40" s="301"/>
      <c r="AY40" s="291"/>
      <c r="AZ40" s="291"/>
      <c r="BA40" s="291"/>
      <c r="BB40" s="291"/>
      <c r="BC40" s="291"/>
      <c r="BD40" s="291"/>
      <c r="BE40" s="291"/>
      <c r="BF40" s="291"/>
      <c r="BG40" s="291"/>
      <c r="BH40" s="301"/>
      <c r="BI40" s="291"/>
      <c r="BJ40" s="291"/>
      <c r="BK40" s="291"/>
      <c r="BL40" s="291"/>
      <c r="BM40" s="291"/>
      <c r="BN40" s="291"/>
      <c r="BO40" s="291"/>
      <c r="BP40" s="291"/>
    </row>
    <row r="41" spans="11:68" ht="15.75" thickBot="1">
      <c r="K41" s="388" t="s">
        <v>7</v>
      </c>
      <c r="L41" s="535">
        <v>42422</v>
      </c>
      <c r="M41" s="639" t="s">
        <v>100</v>
      </c>
      <c r="N41" s="640"/>
      <c r="O41" s="641" t="s">
        <v>99</v>
      </c>
      <c r="P41" s="642"/>
      <c r="Q41" s="643" t="s">
        <v>16</v>
      </c>
      <c r="R41" s="644"/>
      <c r="S41" s="293"/>
      <c r="T41" s="300"/>
      <c r="U41" s="388" t="s">
        <v>7</v>
      </c>
      <c r="V41" s="535">
        <v>42423</v>
      </c>
      <c r="W41" s="639" t="s">
        <v>100</v>
      </c>
      <c r="X41" s="640"/>
      <c r="Y41" s="641" t="s">
        <v>99</v>
      </c>
      <c r="Z41" s="642"/>
      <c r="AA41" s="643" t="s">
        <v>16</v>
      </c>
      <c r="AB41" s="644"/>
      <c r="AC41" s="154"/>
      <c r="AD41" s="300"/>
      <c r="AE41" s="388" t="s">
        <v>7</v>
      </c>
      <c r="AF41" s="535">
        <v>42424</v>
      </c>
      <c r="AG41" s="639" t="s">
        <v>100</v>
      </c>
      <c r="AH41" s="640"/>
      <c r="AI41" s="641" t="s">
        <v>99</v>
      </c>
      <c r="AJ41" s="642"/>
      <c r="AK41" s="643" t="s">
        <v>16</v>
      </c>
      <c r="AL41" s="644"/>
      <c r="AM41" s="154"/>
      <c r="AN41" s="300"/>
      <c r="AO41" s="388" t="s">
        <v>7</v>
      </c>
      <c r="AP41" s="535">
        <v>42425</v>
      </c>
      <c r="AQ41" s="639" t="s">
        <v>100</v>
      </c>
      <c r="AR41" s="640"/>
      <c r="AS41" s="641" t="s">
        <v>99</v>
      </c>
      <c r="AT41" s="642"/>
      <c r="AU41" s="643" t="s">
        <v>16</v>
      </c>
      <c r="AV41" s="644"/>
      <c r="AW41" s="154"/>
      <c r="AX41" s="300"/>
      <c r="AY41" s="388" t="s">
        <v>7</v>
      </c>
      <c r="AZ41" s="535">
        <v>42426</v>
      </c>
      <c r="BA41" s="639" t="s">
        <v>100</v>
      </c>
      <c r="BB41" s="640"/>
      <c r="BC41" s="641" t="s">
        <v>99</v>
      </c>
      <c r="BD41" s="642"/>
      <c r="BE41" s="643" t="s">
        <v>16</v>
      </c>
      <c r="BF41" s="644"/>
      <c r="BG41" s="154"/>
      <c r="BH41" s="300"/>
      <c r="BI41" s="388" t="s">
        <v>7</v>
      </c>
      <c r="BJ41" s="535">
        <v>42427</v>
      </c>
      <c r="BK41" s="639" t="s">
        <v>100</v>
      </c>
      <c r="BL41" s="640"/>
      <c r="BM41" s="641" t="s">
        <v>99</v>
      </c>
      <c r="BN41" s="642"/>
      <c r="BO41" s="643" t="s">
        <v>16</v>
      </c>
      <c r="BP41" s="644"/>
    </row>
    <row r="42" spans="11:68" ht="13.5" thickBot="1">
      <c r="K42" s="321"/>
      <c r="L42" s="320"/>
      <c r="M42" s="321"/>
      <c r="N42" s="322"/>
      <c r="O42" s="321"/>
      <c r="P42" s="322"/>
      <c r="Q42" s="320"/>
      <c r="R42" s="322"/>
      <c r="S42" s="156"/>
      <c r="T42" s="300"/>
      <c r="U42" s="321"/>
      <c r="V42" s="320"/>
      <c r="W42" s="321"/>
      <c r="X42" s="322"/>
      <c r="Y42" s="321"/>
      <c r="Z42" s="322"/>
      <c r="AA42" s="320"/>
      <c r="AB42" s="322"/>
      <c r="AC42" s="154"/>
      <c r="AD42" s="300"/>
      <c r="AE42" s="321"/>
      <c r="AF42" s="320"/>
      <c r="AG42" s="321"/>
      <c r="AH42" s="322"/>
      <c r="AI42" s="321"/>
      <c r="AJ42" s="322"/>
      <c r="AK42" s="320"/>
      <c r="AL42" s="322"/>
      <c r="AM42" s="154"/>
      <c r="AN42" s="300"/>
      <c r="AO42" s="321"/>
      <c r="AP42" s="320"/>
      <c r="AQ42" s="321"/>
      <c r="AR42" s="322"/>
      <c r="AS42" s="321"/>
      <c r="AT42" s="322"/>
      <c r="AU42" s="320"/>
      <c r="AV42" s="322"/>
      <c r="AW42" s="154"/>
      <c r="AX42" s="300"/>
      <c r="AY42" s="321"/>
      <c r="AZ42" s="320"/>
      <c r="BA42" s="321"/>
      <c r="BB42" s="322"/>
      <c r="BC42" s="321"/>
      <c r="BD42" s="322"/>
      <c r="BE42" s="320"/>
      <c r="BF42" s="322"/>
      <c r="BG42" s="154"/>
      <c r="BH42" s="300"/>
      <c r="BI42" s="321"/>
      <c r="BJ42" s="320"/>
      <c r="BK42" s="321"/>
      <c r="BL42" s="322"/>
      <c r="BM42" s="321"/>
      <c r="BN42" s="322"/>
      <c r="BO42" s="320"/>
      <c r="BP42" s="322"/>
    </row>
    <row r="43" spans="11:68" ht="16.5" thickBot="1">
      <c r="K43" s="321"/>
      <c r="L43" s="323" t="s">
        <v>155</v>
      </c>
      <c r="M43" s="324" t="s">
        <v>103</v>
      </c>
      <c r="N43" s="279"/>
      <c r="O43" s="324" t="s">
        <v>103</v>
      </c>
      <c r="P43" s="279"/>
      <c r="Q43" s="325" t="s">
        <v>103</v>
      </c>
      <c r="R43" s="326">
        <f>SUM(N43,P43)</f>
        <v>0</v>
      </c>
      <c r="S43" s="294"/>
      <c r="T43" s="300"/>
      <c r="U43" s="321"/>
      <c r="V43" s="323" t="s">
        <v>155</v>
      </c>
      <c r="W43" s="324" t="s">
        <v>103</v>
      </c>
      <c r="X43" s="279"/>
      <c r="Y43" s="324" t="s">
        <v>103</v>
      </c>
      <c r="Z43" s="279"/>
      <c r="AA43" s="325" t="s">
        <v>103</v>
      </c>
      <c r="AB43" s="326">
        <f>SUM(X43,Z43)</f>
        <v>0</v>
      </c>
      <c r="AD43" s="300"/>
      <c r="AE43" s="321"/>
      <c r="AF43" s="323" t="s">
        <v>155</v>
      </c>
      <c r="AG43" s="324" t="s">
        <v>103</v>
      </c>
      <c r="AH43" s="279"/>
      <c r="AI43" s="324" t="s">
        <v>103</v>
      </c>
      <c r="AJ43" s="279"/>
      <c r="AK43" s="325" t="s">
        <v>103</v>
      </c>
      <c r="AL43" s="326">
        <f>SUM(AH43,AJ43)</f>
        <v>0</v>
      </c>
      <c r="AN43" s="300"/>
      <c r="AO43" s="321"/>
      <c r="AP43" s="323" t="s">
        <v>155</v>
      </c>
      <c r="AQ43" s="324" t="s">
        <v>103</v>
      </c>
      <c r="AR43" s="279"/>
      <c r="AS43" s="324" t="s">
        <v>103</v>
      </c>
      <c r="AT43" s="279"/>
      <c r="AU43" s="325" t="s">
        <v>103</v>
      </c>
      <c r="AV43" s="326">
        <f>SUM(AR43,AT43)</f>
        <v>0</v>
      </c>
      <c r="AX43" s="300"/>
      <c r="AY43" s="321"/>
      <c r="AZ43" s="323" t="s">
        <v>155</v>
      </c>
      <c r="BA43" s="324" t="s">
        <v>103</v>
      </c>
      <c r="BB43" s="279"/>
      <c r="BC43" s="324" t="s">
        <v>103</v>
      </c>
      <c r="BD43" s="279"/>
      <c r="BE43" s="325" t="s">
        <v>103</v>
      </c>
      <c r="BF43" s="326">
        <f>SUM(BB43,BD43)</f>
        <v>0</v>
      </c>
      <c r="BH43" s="300"/>
      <c r="BI43" s="321"/>
      <c r="BJ43" s="323" t="s">
        <v>155</v>
      </c>
      <c r="BK43" s="324" t="s">
        <v>103</v>
      </c>
      <c r="BL43" s="279"/>
      <c r="BM43" s="324" t="s">
        <v>103</v>
      </c>
      <c r="BN43" s="279"/>
      <c r="BO43" s="325" t="s">
        <v>103</v>
      </c>
      <c r="BP43" s="326">
        <f>SUM(BL43,BN43)</f>
        <v>0</v>
      </c>
    </row>
    <row r="44" spans="11:68" ht="18.75" thickBot="1">
      <c r="K44" s="321"/>
      <c r="L44" s="289">
        <v>8</v>
      </c>
      <c r="M44" s="327" t="s">
        <v>5</v>
      </c>
      <c r="N44" s="328">
        <f>VLOOKUP(L41, $B$3:$E$109, 4, FALSE)</f>
        <v>0</v>
      </c>
      <c r="O44" s="327" t="s">
        <v>5</v>
      </c>
      <c r="P44" s="329">
        <f>VLOOKUP(L41, $B$3:$F$109, 5, FALSE)</f>
        <v>0</v>
      </c>
      <c r="Q44" s="330" t="s">
        <v>5</v>
      </c>
      <c r="R44" s="326">
        <f>SUM(N44,P44)</f>
        <v>0</v>
      </c>
      <c r="S44" s="294"/>
      <c r="T44" s="300"/>
      <c r="U44" s="321"/>
      <c r="V44" s="289">
        <v>8</v>
      </c>
      <c r="W44" s="327" t="s">
        <v>5</v>
      </c>
      <c r="X44" s="328">
        <f>VLOOKUP(V41, $B$3:$E$109, 4, FALSE)</f>
        <v>0</v>
      </c>
      <c r="Y44" s="327" t="s">
        <v>5</v>
      </c>
      <c r="Z44" s="329">
        <f>VLOOKUP(V41, $B$3:$F$109, 5, FALSE)</f>
        <v>0</v>
      </c>
      <c r="AA44" s="330" t="s">
        <v>5</v>
      </c>
      <c r="AB44" s="326">
        <f>SUM(X44,Z44)</f>
        <v>0</v>
      </c>
      <c r="AD44" s="300"/>
      <c r="AE44" s="321"/>
      <c r="AF44" s="289">
        <v>8</v>
      </c>
      <c r="AG44" s="327" t="s">
        <v>5</v>
      </c>
      <c r="AH44" s="328">
        <f>VLOOKUP(AF41, $B$3:$E$109, 4, FALSE)</f>
        <v>0</v>
      </c>
      <c r="AI44" s="327" t="s">
        <v>5</v>
      </c>
      <c r="AJ44" s="329">
        <f>VLOOKUP(AF41, $B$3:$F$109, 5, FALSE)</f>
        <v>0</v>
      </c>
      <c r="AK44" s="330" t="s">
        <v>5</v>
      </c>
      <c r="AL44" s="326">
        <f>SUM(AH44,AJ44)</f>
        <v>0</v>
      </c>
      <c r="AN44" s="300"/>
      <c r="AO44" s="321"/>
      <c r="AP44" s="289">
        <v>8</v>
      </c>
      <c r="AQ44" s="327" t="s">
        <v>5</v>
      </c>
      <c r="AR44" s="328">
        <f>VLOOKUP(AP41, $B$3:$E$109, 4, FALSE)</f>
        <v>0</v>
      </c>
      <c r="AS44" s="327" t="s">
        <v>5</v>
      </c>
      <c r="AT44" s="329">
        <f>VLOOKUP(AP41, $B$3:$F$109, 5, FALSE)</f>
        <v>0</v>
      </c>
      <c r="AU44" s="330" t="s">
        <v>5</v>
      </c>
      <c r="AV44" s="326">
        <f>SUM(AR44,AT44)</f>
        <v>0</v>
      </c>
      <c r="AX44" s="300"/>
      <c r="AY44" s="321"/>
      <c r="AZ44" s="289">
        <v>8</v>
      </c>
      <c r="BA44" s="327" t="s">
        <v>5</v>
      </c>
      <c r="BB44" s="328">
        <f>VLOOKUP(AZ41, $B$3:$E$109, 4, FALSE)</f>
        <v>0</v>
      </c>
      <c r="BC44" s="327" t="s">
        <v>5</v>
      </c>
      <c r="BD44" s="329">
        <f>VLOOKUP(AZ41, $B$3:$F$109, 5, FALSE)</f>
        <v>0</v>
      </c>
      <c r="BE44" s="330" t="s">
        <v>5</v>
      </c>
      <c r="BF44" s="326">
        <f>SUM(BB44,BD44)</f>
        <v>0</v>
      </c>
      <c r="BH44" s="300"/>
      <c r="BI44" s="321"/>
      <c r="BJ44" s="289">
        <v>8</v>
      </c>
      <c r="BK44" s="327" t="s">
        <v>5</v>
      </c>
      <c r="BL44" s="328">
        <f>VLOOKUP(BJ41, $B$3:$E$109, 4, FALSE)</f>
        <v>0</v>
      </c>
      <c r="BM44" s="327" t="s">
        <v>5</v>
      </c>
      <c r="BN44" s="329">
        <f>VLOOKUP(BJ41, $B$3:$F$109, 5, FALSE)</f>
        <v>0</v>
      </c>
      <c r="BO44" s="330" t="s">
        <v>5</v>
      </c>
      <c r="BP44" s="326">
        <f>SUM(BL44,BN44)</f>
        <v>0</v>
      </c>
    </row>
    <row r="45" spans="11:68" ht="15.75" customHeight="1">
      <c r="K45" s="321"/>
      <c r="L45" s="320"/>
      <c r="M45" s="645" t="s">
        <v>105</v>
      </c>
      <c r="N45" s="328">
        <f>VLOOKUP(L41, $B$3:$E$109, 2, FALSE)</f>
        <v>0</v>
      </c>
      <c r="O45" s="645" t="s">
        <v>105</v>
      </c>
      <c r="P45" s="329">
        <f>VLOOKUP(L41, $B$3:$E$109, 3, FALSE)</f>
        <v>0</v>
      </c>
      <c r="Q45" s="646" t="s">
        <v>105</v>
      </c>
      <c r="R45" s="326">
        <f>SUM(N45,P45)</f>
        <v>0</v>
      </c>
      <c r="S45" s="294"/>
      <c r="T45" s="300"/>
      <c r="U45" s="321"/>
      <c r="V45" s="320"/>
      <c r="W45" s="645" t="s">
        <v>105</v>
      </c>
      <c r="X45" s="328">
        <f>VLOOKUP(V41, $B$3:$E$109, 2, FALSE)</f>
        <v>0</v>
      </c>
      <c r="Y45" s="645" t="s">
        <v>105</v>
      </c>
      <c r="Z45" s="329">
        <f>VLOOKUP(V41, $B$3:$E$109, 3, FALSE)</f>
        <v>0</v>
      </c>
      <c r="AA45" s="646" t="s">
        <v>105</v>
      </c>
      <c r="AB45" s="326">
        <f>SUM(X45,Z45)</f>
        <v>0</v>
      </c>
      <c r="AD45" s="300"/>
      <c r="AE45" s="321"/>
      <c r="AF45" s="320"/>
      <c r="AG45" s="645" t="s">
        <v>105</v>
      </c>
      <c r="AH45" s="328">
        <f>VLOOKUP(AF41, $B$3:$E$109, 2, FALSE)</f>
        <v>0</v>
      </c>
      <c r="AI45" s="645" t="s">
        <v>105</v>
      </c>
      <c r="AJ45" s="329">
        <f>VLOOKUP(AF41, $B$3:$E$109, 3, FALSE)</f>
        <v>0</v>
      </c>
      <c r="AK45" s="646" t="s">
        <v>105</v>
      </c>
      <c r="AL45" s="326">
        <f>SUM(AH45,AJ45)</f>
        <v>0</v>
      </c>
      <c r="AN45" s="300"/>
      <c r="AO45" s="321"/>
      <c r="AP45" s="320"/>
      <c r="AQ45" s="645" t="s">
        <v>105</v>
      </c>
      <c r="AR45" s="328">
        <f>VLOOKUP(AP41, $B$3:$E$109, 2, FALSE)</f>
        <v>0</v>
      </c>
      <c r="AS45" s="645" t="s">
        <v>105</v>
      </c>
      <c r="AT45" s="329">
        <f>VLOOKUP(AP41, $B$3:$E$109, 3, FALSE)</f>
        <v>0</v>
      </c>
      <c r="AU45" s="646" t="s">
        <v>105</v>
      </c>
      <c r="AV45" s="326">
        <f>SUM(AR45,AT45)</f>
        <v>0</v>
      </c>
      <c r="AX45" s="300"/>
      <c r="AY45" s="321"/>
      <c r="AZ45" s="320"/>
      <c r="BA45" s="645" t="s">
        <v>105</v>
      </c>
      <c r="BB45" s="328">
        <f>VLOOKUP(AZ41, $B$3:$E$109, 2, FALSE)</f>
        <v>0</v>
      </c>
      <c r="BC45" s="645" t="s">
        <v>105</v>
      </c>
      <c r="BD45" s="329">
        <f>VLOOKUP(AZ41, $B$3:$E$109, 3, FALSE)</f>
        <v>0</v>
      </c>
      <c r="BE45" s="646" t="s">
        <v>105</v>
      </c>
      <c r="BF45" s="326">
        <f>SUM(BB45,BD45)</f>
        <v>0</v>
      </c>
      <c r="BH45" s="300"/>
      <c r="BI45" s="321"/>
      <c r="BJ45" s="320"/>
      <c r="BK45" s="645" t="s">
        <v>105</v>
      </c>
      <c r="BL45" s="328">
        <f>VLOOKUP(BJ41, $B$3:$E$109, 2, FALSE)</f>
        <v>0</v>
      </c>
      <c r="BM45" s="645" t="s">
        <v>105</v>
      </c>
      <c r="BN45" s="329">
        <f>VLOOKUP(BJ41, $B$3:$E$109, 3, FALSE)</f>
        <v>0</v>
      </c>
      <c r="BO45" s="646" t="s">
        <v>105</v>
      </c>
      <c r="BP45" s="326">
        <f>SUM(BL45,BN45)</f>
        <v>0</v>
      </c>
    </row>
    <row r="46" spans="11:68" ht="12.75" customHeight="1">
      <c r="K46" s="702" t="s">
        <v>157</v>
      </c>
      <c r="L46" s="703"/>
      <c r="M46" s="646"/>
      <c r="N46" s="322"/>
      <c r="O46" s="645"/>
      <c r="P46" s="322"/>
      <c r="Q46" s="646"/>
      <c r="R46" s="322"/>
      <c r="S46" s="156"/>
      <c r="T46" s="300"/>
      <c r="U46" s="702" t="s">
        <v>157</v>
      </c>
      <c r="V46" s="703"/>
      <c r="W46" s="646"/>
      <c r="X46" s="322"/>
      <c r="Y46" s="645"/>
      <c r="Z46" s="322"/>
      <c r="AA46" s="646"/>
      <c r="AB46" s="322"/>
      <c r="AD46" s="300"/>
      <c r="AE46" s="702" t="s">
        <v>157</v>
      </c>
      <c r="AF46" s="703"/>
      <c r="AG46" s="646"/>
      <c r="AH46" s="322"/>
      <c r="AI46" s="645"/>
      <c r="AJ46" s="322"/>
      <c r="AK46" s="646"/>
      <c r="AL46" s="322"/>
      <c r="AN46" s="300"/>
      <c r="AO46" s="702" t="s">
        <v>157</v>
      </c>
      <c r="AP46" s="703"/>
      <c r="AQ46" s="646"/>
      <c r="AR46" s="322"/>
      <c r="AS46" s="645"/>
      <c r="AT46" s="322"/>
      <c r="AU46" s="646"/>
      <c r="AV46" s="322"/>
      <c r="AX46" s="300"/>
      <c r="AY46" s="702" t="s">
        <v>157</v>
      </c>
      <c r="AZ46" s="703"/>
      <c r="BA46" s="646"/>
      <c r="BB46" s="322"/>
      <c r="BC46" s="645"/>
      <c r="BD46" s="322"/>
      <c r="BE46" s="646"/>
      <c r="BF46" s="322"/>
      <c r="BH46" s="300"/>
      <c r="BI46" s="702" t="s">
        <v>157</v>
      </c>
      <c r="BJ46" s="703"/>
      <c r="BK46" s="646"/>
      <c r="BL46" s="322"/>
      <c r="BM46" s="645"/>
      <c r="BN46" s="322"/>
      <c r="BO46" s="646"/>
      <c r="BP46" s="322"/>
    </row>
    <row r="47" spans="11:68" ht="15.75">
      <c r="K47" s="389"/>
      <c r="L47" s="331">
        <f>R43*13</f>
        <v>0</v>
      </c>
      <c r="M47" s="332"/>
      <c r="N47" s="322"/>
      <c r="O47" s="333"/>
      <c r="P47" s="322"/>
      <c r="Q47" s="334"/>
      <c r="R47" s="322"/>
      <c r="S47" s="156"/>
      <c r="T47" s="300"/>
      <c r="U47" s="389"/>
      <c r="V47" s="331">
        <f>AB43*13</f>
        <v>0</v>
      </c>
      <c r="W47" s="332"/>
      <c r="X47" s="322"/>
      <c r="Y47" s="333"/>
      <c r="Z47" s="322"/>
      <c r="AA47" s="334"/>
      <c r="AB47" s="322"/>
      <c r="AD47" s="300"/>
      <c r="AE47" s="389"/>
      <c r="AF47" s="331">
        <f>AL43*13</f>
        <v>0</v>
      </c>
      <c r="AG47" s="332"/>
      <c r="AH47" s="322"/>
      <c r="AI47" s="333"/>
      <c r="AJ47" s="322"/>
      <c r="AK47" s="334"/>
      <c r="AL47" s="322"/>
      <c r="AN47" s="300"/>
      <c r="AO47" s="389"/>
      <c r="AP47" s="331">
        <f>AV43*13</f>
        <v>0</v>
      </c>
      <c r="AQ47" s="332"/>
      <c r="AR47" s="322"/>
      <c r="AS47" s="333"/>
      <c r="AT47" s="322"/>
      <c r="AU47" s="334"/>
      <c r="AV47" s="322"/>
      <c r="AX47" s="300"/>
      <c r="AY47" s="389"/>
      <c r="AZ47" s="331">
        <f>BF43*13</f>
        <v>0</v>
      </c>
      <c r="BA47" s="332"/>
      <c r="BB47" s="322"/>
      <c r="BC47" s="333"/>
      <c r="BD47" s="322"/>
      <c r="BE47" s="334"/>
      <c r="BF47" s="322"/>
      <c r="BH47" s="300"/>
      <c r="BI47" s="389"/>
      <c r="BJ47" s="331">
        <f>BP43*13</f>
        <v>0</v>
      </c>
      <c r="BK47" s="332"/>
      <c r="BL47" s="322"/>
      <c r="BM47" s="333"/>
      <c r="BN47" s="322"/>
      <c r="BO47" s="334"/>
      <c r="BP47" s="322"/>
    </row>
    <row r="48" spans="11:68" ht="18.75">
      <c r="K48" s="321"/>
      <c r="L48" s="390"/>
      <c r="M48" s="286" t="s">
        <v>97</v>
      </c>
      <c r="N48" s="287" t="e">
        <f>N45/((N43*EFFICIENCY!$H$28))</f>
        <v>#DIV/0!</v>
      </c>
      <c r="O48" s="286" t="s">
        <v>97</v>
      </c>
      <c r="P48" s="287" t="e">
        <f>P45/(P43*EFFICIENCY!$H$28)</f>
        <v>#DIV/0!</v>
      </c>
      <c r="Q48" s="286" t="s">
        <v>97</v>
      </c>
      <c r="R48" s="287" t="e">
        <f>R45/(R43*EFFICIENCY!$H$28)</f>
        <v>#DIV/0!</v>
      </c>
      <c r="S48" s="295"/>
      <c r="T48" s="300"/>
      <c r="U48" s="321"/>
      <c r="V48" s="390"/>
      <c r="W48" s="286" t="s">
        <v>97</v>
      </c>
      <c r="X48" s="287" t="e">
        <f>X45/((X43*EFFICIENCY!$H$28))</f>
        <v>#DIV/0!</v>
      </c>
      <c r="Y48" s="286" t="s">
        <v>97</v>
      </c>
      <c r="Z48" s="287" t="e">
        <f>Z45/(Z43*EFFICIENCY!$H$28)</f>
        <v>#DIV/0!</v>
      </c>
      <c r="AA48" s="286" t="s">
        <v>97</v>
      </c>
      <c r="AB48" s="287" t="e">
        <f>AB45/(AB43*EFFICIENCY!$H$28)</f>
        <v>#DIV/0!</v>
      </c>
      <c r="AD48" s="300"/>
      <c r="AE48" s="321"/>
      <c r="AF48" s="390"/>
      <c r="AG48" s="286" t="s">
        <v>97</v>
      </c>
      <c r="AH48" s="287" t="e">
        <f>AH45/((AH43*EFFICIENCY!$H$28))</f>
        <v>#DIV/0!</v>
      </c>
      <c r="AI48" s="286" t="s">
        <v>97</v>
      </c>
      <c r="AJ48" s="287" t="e">
        <f>AJ45/(AJ43*EFFICIENCY!$H$28)</f>
        <v>#DIV/0!</v>
      </c>
      <c r="AK48" s="286" t="s">
        <v>97</v>
      </c>
      <c r="AL48" s="287" t="e">
        <f>AL45/(AL43*EFFICIENCY!$H$28)</f>
        <v>#DIV/0!</v>
      </c>
      <c r="AN48" s="300"/>
      <c r="AO48" s="321"/>
      <c r="AP48" s="390"/>
      <c r="AQ48" s="286" t="s">
        <v>97</v>
      </c>
      <c r="AR48" s="287" t="e">
        <f>AR45/((AR43*EFFICIENCY!$H$28))</f>
        <v>#DIV/0!</v>
      </c>
      <c r="AS48" s="286" t="s">
        <v>97</v>
      </c>
      <c r="AT48" s="287" t="e">
        <f>AT45/(AT43*EFFICIENCY!$H$28)</f>
        <v>#DIV/0!</v>
      </c>
      <c r="AU48" s="286" t="s">
        <v>97</v>
      </c>
      <c r="AV48" s="287" t="e">
        <f>AV45/(AV43*EFFICIENCY!$H$28)</f>
        <v>#DIV/0!</v>
      </c>
      <c r="AX48" s="300"/>
      <c r="AY48" s="321"/>
      <c r="AZ48" s="390"/>
      <c r="BA48" s="286" t="s">
        <v>97</v>
      </c>
      <c r="BB48" s="287" t="e">
        <f>BB45/((BB43*EFFICIENCY!$H$28))</f>
        <v>#DIV/0!</v>
      </c>
      <c r="BC48" s="286" t="s">
        <v>97</v>
      </c>
      <c r="BD48" s="287" t="e">
        <f>BD45/(BD43*EFFICIENCY!$H$28)</f>
        <v>#DIV/0!</v>
      </c>
      <c r="BE48" s="286" t="s">
        <v>97</v>
      </c>
      <c r="BF48" s="287" t="e">
        <f>BF45/(BF43*EFFICIENCY!$H$28)</f>
        <v>#DIV/0!</v>
      </c>
      <c r="BH48" s="300"/>
      <c r="BI48" s="321"/>
      <c r="BJ48" s="390"/>
      <c r="BK48" s="286" t="s">
        <v>97</v>
      </c>
      <c r="BL48" s="287" t="e">
        <f>BL45/((BL43*EFFICIENCY!$H$28))</f>
        <v>#DIV/0!</v>
      </c>
      <c r="BM48" s="286" t="s">
        <v>97</v>
      </c>
      <c r="BN48" s="287" t="e">
        <f>BN45/(BN43*EFFICIENCY!$H$28)</f>
        <v>#DIV/0!</v>
      </c>
      <c r="BO48" s="286" t="s">
        <v>97</v>
      </c>
      <c r="BP48" s="287" t="e">
        <f>BP45/(BP43*EFFICIENCY!$H$28)</f>
        <v>#DIV/0!</v>
      </c>
    </row>
    <row r="49" spans="10:68" ht="18.75">
      <c r="K49" s="321"/>
      <c r="L49" s="320"/>
      <c r="M49" s="280" t="s">
        <v>96</v>
      </c>
      <c r="N49" s="281" t="e">
        <f>N45/(N43*EFFICIENCY!$I$28)</f>
        <v>#DIV/0!</v>
      </c>
      <c r="O49" s="280" t="s">
        <v>96</v>
      </c>
      <c r="P49" s="281" t="e">
        <f>P45/(P43*EFFICIENCY!$I$28)</f>
        <v>#DIV/0!</v>
      </c>
      <c r="Q49" s="280" t="s">
        <v>96</v>
      </c>
      <c r="R49" s="281" t="e">
        <f>R45/(R43*EFFICIENCY!$I$28)</f>
        <v>#DIV/0!</v>
      </c>
      <c r="S49" s="296"/>
      <c r="T49" s="300"/>
      <c r="U49" s="321"/>
      <c r="V49" s="320"/>
      <c r="W49" s="280" t="s">
        <v>96</v>
      </c>
      <c r="X49" s="281" t="e">
        <f>X45/(X43*EFFICIENCY!$I$28)</f>
        <v>#DIV/0!</v>
      </c>
      <c r="Y49" s="280" t="s">
        <v>96</v>
      </c>
      <c r="Z49" s="281" t="e">
        <f>Z45/(Z43*EFFICIENCY!$I$28)</f>
        <v>#DIV/0!</v>
      </c>
      <c r="AA49" s="280" t="s">
        <v>96</v>
      </c>
      <c r="AB49" s="281" t="e">
        <f>AB45/(AB43*EFFICIENCY!$I$28)</f>
        <v>#DIV/0!</v>
      </c>
      <c r="AD49" s="300"/>
      <c r="AE49" s="321"/>
      <c r="AF49" s="320"/>
      <c r="AG49" s="280" t="s">
        <v>96</v>
      </c>
      <c r="AH49" s="281" t="e">
        <f>AH45/(AH43*EFFICIENCY!$I$28)</f>
        <v>#DIV/0!</v>
      </c>
      <c r="AI49" s="280" t="s">
        <v>96</v>
      </c>
      <c r="AJ49" s="281" t="e">
        <f>AJ45/(AJ43*EFFICIENCY!$I$28)</f>
        <v>#DIV/0!</v>
      </c>
      <c r="AK49" s="280" t="s">
        <v>96</v>
      </c>
      <c r="AL49" s="281" t="e">
        <f>AL45/(AL43*EFFICIENCY!$I$28)</f>
        <v>#DIV/0!</v>
      </c>
      <c r="AN49" s="300"/>
      <c r="AO49" s="321"/>
      <c r="AP49" s="320"/>
      <c r="AQ49" s="280" t="s">
        <v>96</v>
      </c>
      <c r="AR49" s="281" t="e">
        <f>AR45/(AR43*EFFICIENCY!$I$28)</f>
        <v>#DIV/0!</v>
      </c>
      <c r="AS49" s="280" t="s">
        <v>96</v>
      </c>
      <c r="AT49" s="281" t="e">
        <f>AT45/(AT43*EFFICIENCY!$I$28)</f>
        <v>#DIV/0!</v>
      </c>
      <c r="AU49" s="280" t="s">
        <v>96</v>
      </c>
      <c r="AV49" s="281" t="e">
        <f>AV45/(AV43*EFFICIENCY!$I$28)</f>
        <v>#DIV/0!</v>
      </c>
      <c r="AX49" s="300"/>
      <c r="AY49" s="321"/>
      <c r="AZ49" s="320"/>
      <c r="BA49" s="280" t="s">
        <v>96</v>
      </c>
      <c r="BB49" s="281" t="e">
        <f>BB45/(BB43*EFFICIENCY!$I$28)</f>
        <v>#DIV/0!</v>
      </c>
      <c r="BC49" s="280" t="s">
        <v>96</v>
      </c>
      <c r="BD49" s="281" t="e">
        <f>BD45/(BD43*EFFICIENCY!$I$28)</f>
        <v>#DIV/0!</v>
      </c>
      <c r="BE49" s="280" t="s">
        <v>96</v>
      </c>
      <c r="BF49" s="281" t="e">
        <f>BF45/(BF43*EFFICIENCY!$I$28)</f>
        <v>#DIV/0!</v>
      </c>
      <c r="BH49" s="300"/>
      <c r="BI49" s="321"/>
      <c r="BJ49" s="320"/>
      <c r="BK49" s="280" t="s">
        <v>96</v>
      </c>
      <c r="BL49" s="281" t="e">
        <f>BL45/(BL43*EFFICIENCY!$I$28)</f>
        <v>#DIV/0!</v>
      </c>
      <c r="BM49" s="280" t="s">
        <v>96</v>
      </c>
      <c r="BN49" s="281" t="e">
        <f>BN45/(BN43*EFFICIENCY!$I$28)</f>
        <v>#DIV/0!</v>
      </c>
      <c r="BO49" s="280" t="s">
        <v>96</v>
      </c>
      <c r="BP49" s="281" t="e">
        <f>BP45/(BP43*EFFICIENCY!$I$28)</f>
        <v>#DIV/0!</v>
      </c>
    </row>
    <row r="50" spans="10:68" ht="19.5" customHeight="1" thickBot="1">
      <c r="K50" s="686" t="s">
        <v>156</v>
      </c>
      <c r="L50" s="687"/>
      <c r="M50" s="284" t="s">
        <v>94</v>
      </c>
      <c r="N50" s="285" t="e">
        <f>N45/((N43*EFFICIENCY!$K$28))</f>
        <v>#DIV/0!</v>
      </c>
      <c r="O50" s="288" t="s">
        <v>94</v>
      </c>
      <c r="P50" s="285" t="e">
        <f>P45/((P43*EFFICIENCY!$K$28))</f>
        <v>#DIV/0!</v>
      </c>
      <c r="Q50" s="284" t="s">
        <v>94</v>
      </c>
      <c r="R50" s="285" t="e">
        <f>R45/((R43*EFFICIENCY!$K$28))</f>
        <v>#DIV/0!</v>
      </c>
      <c r="S50" s="297"/>
      <c r="T50" s="300"/>
      <c r="U50" s="686" t="s">
        <v>156</v>
      </c>
      <c r="V50" s="687"/>
      <c r="W50" s="284" t="s">
        <v>94</v>
      </c>
      <c r="X50" s="285" t="e">
        <f>X45/((X43*EFFICIENCY!$K$28))</f>
        <v>#DIV/0!</v>
      </c>
      <c r="Y50" s="288" t="s">
        <v>94</v>
      </c>
      <c r="Z50" s="285" t="e">
        <f>Z45/((Z43*EFFICIENCY!$K$28))</f>
        <v>#DIV/0!</v>
      </c>
      <c r="AA50" s="284" t="s">
        <v>94</v>
      </c>
      <c r="AB50" s="285" t="e">
        <f>AB45/((AB43*EFFICIENCY!$K$28))</f>
        <v>#DIV/0!</v>
      </c>
      <c r="AD50" s="300"/>
      <c r="AE50" s="686" t="s">
        <v>156</v>
      </c>
      <c r="AF50" s="687"/>
      <c r="AG50" s="284" t="s">
        <v>94</v>
      </c>
      <c r="AH50" s="285" t="e">
        <f>AH45/((AH43*EFFICIENCY!$K$28))</f>
        <v>#DIV/0!</v>
      </c>
      <c r="AI50" s="288" t="s">
        <v>94</v>
      </c>
      <c r="AJ50" s="285" t="e">
        <f>AJ45/((AJ43*EFFICIENCY!$K$28))</f>
        <v>#DIV/0!</v>
      </c>
      <c r="AK50" s="284" t="s">
        <v>94</v>
      </c>
      <c r="AL50" s="285" t="e">
        <f>AL45/((AL43*EFFICIENCY!$K$28))</f>
        <v>#DIV/0!</v>
      </c>
      <c r="AN50" s="300"/>
      <c r="AO50" s="686" t="s">
        <v>156</v>
      </c>
      <c r="AP50" s="687"/>
      <c r="AQ50" s="284" t="s">
        <v>94</v>
      </c>
      <c r="AR50" s="285" t="e">
        <f>AR45/((AR43*EFFICIENCY!$K$28))</f>
        <v>#DIV/0!</v>
      </c>
      <c r="AS50" s="288" t="s">
        <v>94</v>
      </c>
      <c r="AT50" s="285" t="e">
        <f>AT45/((AT43*EFFICIENCY!$K$28))</f>
        <v>#DIV/0!</v>
      </c>
      <c r="AU50" s="284" t="s">
        <v>94</v>
      </c>
      <c r="AV50" s="285" t="e">
        <f>AV45/((AV43*EFFICIENCY!$K$28))</f>
        <v>#DIV/0!</v>
      </c>
      <c r="AX50" s="300"/>
      <c r="AY50" s="686" t="s">
        <v>156</v>
      </c>
      <c r="AZ50" s="687"/>
      <c r="BA50" s="284" t="s">
        <v>94</v>
      </c>
      <c r="BB50" s="285" t="e">
        <f>BB45/((BB43*EFFICIENCY!$K$28))</f>
        <v>#DIV/0!</v>
      </c>
      <c r="BC50" s="288" t="s">
        <v>94</v>
      </c>
      <c r="BD50" s="285" t="e">
        <f>BD45/((BD43*EFFICIENCY!$K$28))</f>
        <v>#DIV/0!</v>
      </c>
      <c r="BE50" s="284" t="s">
        <v>94</v>
      </c>
      <c r="BF50" s="285" t="e">
        <f>BF45/((BF43*EFFICIENCY!$K$28))</f>
        <v>#DIV/0!</v>
      </c>
      <c r="BH50" s="300"/>
      <c r="BI50" s="686" t="s">
        <v>156</v>
      </c>
      <c r="BJ50" s="687"/>
      <c r="BK50" s="284" t="s">
        <v>94</v>
      </c>
      <c r="BL50" s="285" t="e">
        <f>BL45/((BL43*EFFICIENCY!$K$28))</f>
        <v>#DIV/0!</v>
      </c>
      <c r="BM50" s="288" t="s">
        <v>94</v>
      </c>
      <c r="BN50" s="285" t="e">
        <f>BN45/((BN43*EFFICIENCY!$K$28))</f>
        <v>#DIV/0!</v>
      </c>
      <c r="BO50" s="284" t="s">
        <v>94</v>
      </c>
      <c r="BP50" s="285" t="e">
        <f>BP45/((BP43*EFFICIENCY!$K$28))</f>
        <v>#DIV/0!</v>
      </c>
    </row>
    <row r="51" spans="10:68" ht="16.5" thickBot="1">
      <c r="K51" s="391"/>
      <c r="L51" s="392" t="e">
        <f>R45/R43</f>
        <v>#DIV/0!</v>
      </c>
      <c r="M51" s="649" t="s">
        <v>153</v>
      </c>
      <c r="N51" s="650"/>
      <c r="O51" s="290"/>
      <c r="P51" s="335"/>
      <c r="Q51" s="335" t="s">
        <v>154</v>
      </c>
      <c r="R51" s="336">
        <f>O51-R45</f>
        <v>0</v>
      </c>
      <c r="S51" s="298"/>
      <c r="T51" s="300"/>
      <c r="U51" s="391"/>
      <c r="V51" s="392" t="e">
        <f>AB45/AB43</f>
        <v>#DIV/0!</v>
      </c>
      <c r="W51" s="649" t="s">
        <v>153</v>
      </c>
      <c r="X51" s="650"/>
      <c r="Y51" s="290"/>
      <c r="Z51" s="335"/>
      <c r="AA51" s="335" t="s">
        <v>154</v>
      </c>
      <c r="AB51" s="336">
        <f>Y51-AB45</f>
        <v>0</v>
      </c>
      <c r="AD51" s="300"/>
      <c r="AE51" s="391"/>
      <c r="AF51" s="392" t="e">
        <f>AL45/AL43</f>
        <v>#DIV/0!</v>
      </c>
      <c r="AG51" s="649" t="s">
        <v>153</v>
      </c>
      <c r="AH51" s="650"/>
      <c r="AI51" s="290"/>
      <c r="AJ51" s="335"/>
      <c r="AK51" s="335" t="s">
        <v>154</v>
      </c>
      <c r="AL51" s="336">
        <f>AI51-AL45</f>
        <v>0</v>
      </c>
      <c r="AN51" s="300"/>
      <c r="AO51" s="391"/>
      <c r="AP51" s="392" t="e">
        <f>AV45/AV43</f>
        <v>#DIV/0!</v>
      </c>
      <c r="AQ51" s="649" t="s">
        <v>153</v>
      </c>
      <c r="AR51" s="650"/>
      <c r="AS51" s="290"/>
      <c r="AT51" s="335"/>
      <c r="AU51" s="335" t="s">
        <v>154</v>
      </c>
      <c r="AV51" s="336">
        <f>AS51-AV45</f>
        <v>0</v>
      </c>
      <c r="AX51" s="300"/>
      <c r="AY51" s="391"/>
      <c r="AZ51" s="392" t="e">
        <f>BF45/BF43</f>
        <v>#DIV/0!</v>
      </c>
      <c r="BA51" s="649" t="s">
        <v>153</v>
      </c>
      <c r="BB51" s="650"/>
      <c r="BC51" s="290"/>
      <c r="BD51" s="335"/>
      <c r="BE51" s="335" t="s">
        <v>154</v>
      </c>
      <c r="BF51" s="336">
        <f>BC51-BF45</f>
        <v>0</v>
      </c>
      <c r="BH51" s="300"/>
      <c r="BI51" s="391"/>
      <c r="BJ51" s="392" t="e">
        <f>BP45/BP43</f>
        <v>#DIV/0!</v>
      </c>
      <c r="BK51" s="649" t="s">
        <v>153</v>
      </c>
      <c r="BL51" s="650"/>
      <c r="BM51" s="290"/>
      <c r="BN51" s="335"/>
      <c r="BO51" s="335" t="s">
        <v>154</v>
      </c>
      <c r="BP51" s="336">
        <f>BM51-BP45</f>
        <v>0</v>
      </c>
    </row>
    <row r="52" spans="10:68">
      <c r="T52" s="300"/>
      <c r="AD52" s="300"/>
      <c r="AN52" s="300"/>
      <c r="AX52" s="300"/>
      <c r="BH52" s="300"/>
    </row>
    <row r="53" spans="10:68" ht="13.5" thickBot="1">
      <c r="J53" s="291"/>
      <c r="K53" s="291"/>
      <c r="L53" s="291"/>
      <c r="M53" s="291"/>
      <c r="N53" s="291"/>
      <c r="O53" s="291"/>
      <c r="P53" s="291"/>
      <c r="Q53" s="291"/>
      <c r="R53" s="291"/>
      <c r="S53" s="299"/>
      <c r="T53" s="301"/>
      <c r="U53" s="291"/>
      <c r="V53" s="291"/>
      <c r="W53" s="291"/>
      <c r="X53" s="291"/>
      <c r="Y53" s="291"/>
      <c r="Z53" s="291"/>
      <c r="AA53" s="291"/>
      <c r="AB53" s="291"/>
      <c r="AC53" s="291"/>
      <c r="AD53" s="301"/>
      <c r="AE53" s="291"/>
      <c r="AF53" s="291"/>
      <c r="AG53" s="291"/>
      <c r="AH53" s="291"/>
      <c r="AI53" s="291"/>
      <c r="AJ53" s="291"/>
      <c r="AK53" s="291"/>
      <c r="AL53" s="291"/>
      <c r="AM53" s="291"/>
      <c r="AN53" s="301"/>
      <c r="AO53" s="291"/>
      <c r="AP53" s="291"/>
      <c r="AQ53" s="291"/>
      <c r="AR53" s="291"/>
      <c r="AS53" s="291"/>
      <c r="AT53" s="291"/>
      <c r="AU53" s="291"/>
      <c r="AV53" s="291"/>
      <c r="AW53" s="291"/>
      <c r="AX53" s="301"/>
      <c r="AY53" s="291"/>
      <c r="AZ53" s="291"/>
      <c r="BA53" s="291"/>
      <c r="BB53" s="291"/>
      <c r="BC53" s="291"/>
      <c r="BD53" s="291"/>
      <c r="BE53" s="291"/>
      <c r="BF53" s="291"/>
      <c r="BG53" s="291"/>
      <c r="BH53" s="301"/>
      <c r="BI53" s="291"/>
      <c r="BJ53" s="291"/>
      <c r="BK53" s="291"/>
      <c r="BL53" s="291"/>
      <c r="BM53" s="291"/>
      <c r="BN53" s="291"/>
      <c r="BO53" s="291"/>
      <c r="BP53" s="291"/>
    </row>
    <row r="54" spans="10:68" ht="15.75" thickBot="1">
      <c r="J54" s="154"/>
      <c r="K54" s="409" t="s">
        <v>7</v>
      </c>
      <c r="L54" s="536">
        <v>42429</v>
      </c>
      <c r="M54" s="651" t="s">
        <v>100</v>
      </c>
      <c r="N54" s="652"/>
      <c r="O54" s="653" t="s">
        <v>99</v>
      </c>
      <c r="P54" s="654"/>
      <c r="Q54" s="655" t="s">
        <v>16</v>
      </c>
      <c r="R54" s="656"/>
      <c r="S54" s="293"/>
      <c r="T54" s="300"/>
      <c r="U54" s="409" t="s">
        <v>7</v>
      </c>
      <c r="V54" s="536">
        <v>42430</v>
      </c>
      <c r="W54" s="651" t="s">
        <v>100</v>
      </c>
      <c r="X54" s="652"/>
      <c r="Y54" s="653" t="s">
        <v>99</v>
      </c>
      <c r="Z54" s="654"/>
      <c r="AA54" s="655" t="s">
        <v>16</v>
      </c>
      <c r="AB54" s="656"/>
      <c r="AC54" s="154"/>
      <c r="AD54" s="300"/>
      <c r="AE54" s="409" t="s">
        <v>7</v>
      </c>
      <c r="AF54" s="536">
        <v>42431</v>
      </c>
      <c r="AG54" s="651" t="s">
        <v>100</v>
      </c>
      <c r="AH54" s="652"/>
      <c r="AI54" s="653" t="s">
        <v>99</v>
      </c>
      <c r="AJ54" s="654"/>
      <c r="AK54" s="655" t="s">
        <v>16</v>
      </c>
      <c r="AL54" s="656"/>
      <c r="AM54" s="154"/>
      <c r="AN54" s="300"/>
      <c r="AO54" s="409" t="s">
        <v>7</v>
      </c>
      <c r="AP54" s="536">
        <v>42432</v>
      </c>
      <c r="AQ54" s="651" t="s">
        <v>100</v>
      </c>
      <c r="AR54" s="652"/>
      <c r="AS54" s="653" t="s">
        <v>99</v>
      </c>
      <c r="AT54" s="654"/>
      <c r="AU54" s="655" t="s">
        <v>16</v>
      </c>
      <c r="AV54" s="656"/>
      <c r="AW54" s="154"/>
      <c r="AX54" s="300"/>
      <c r="AY54" s="409" t="s">
        <v>7</v>
      </c>
      <c r="AZ54" s="536">
        <v>42433</v>
      </c>
      <c r="BA54" s="651" t="s">
        <v>100</v>
      </c>
      <c r="BB54" s="652"/>
      <c r="BC54" s="653" t="s">
        <v>99</v>
      </c>
      <c r="BD54" s="654"/>
      <c r="BE54" s="655" t="s">
        <v>16</v>
      </c>
      <c r="BF54" s="656"/>
      <c r="BG54" s="154"/>
      <c r="BH54" s="300"/>
      <c r="BI54" s="409" t="s">
        <v>7</v>
      </c>
      <c r="BJ54" s="536">
        <v>42434</v>
      </c>
      <c r="BK54" s="651" t="s">
        <v>100</v>
      </c>
      <c r="BL54" s="652"/>
      <c r="BM54" s="653" t="s">
        <v>99</v>
      </c>
      <c r="BN54" s="654"/>
      <c r="BO54" s="655" t="s">
        <v>16</v>
      </c>
      <c r="BP54" s="656"/>
    </row>
    <row r="55" spans="10:68" ht="13.5" thickBot="1">
      <c r="J55" s="154"/>
      <c r="K55" s="394"/>
      <c r="L55" s="393"/>
      <c r="M55" s="394"/>
      <c r="N55" s="395"/>
      <c r="O55" s="394"/>
      <c r="P55" s="395"/>
      <c r="Q55" s="393"/>
      <c r="R55" s="395"/>
      <c r="S55" s="156"/>
      <c r="T55" s="300"/>
      <c r="U55" s="394"/>
      <c r="V55" s="393"/>
      <c r="W55" s="394"/>
      <c r="X55" s="395"/>
      <c r="Y55" s="394"/>
      <c r="Z55" s="395"/>
      <c r="AA55" s="393"/>
      <c r="AB55" s="395"/>
      <c r="AC55" s="154"/>
      <c r="AD55" s="300"/>
      <c r="AE55" s="394"/>
      <c r="AF55" s="393"/>
      <c r="AG55" s="394"/>
      <c r="AH55" s="395"/>
      <c r="AI55" s="394"/>
      <c r="AJ55" s="395"/>
      <c r="AK55" s="393"/>
      <c r="AL55" s="395"/>
      <c r="AM55" s="154"/>
      <c r="AN55" s="300"/>
      <c r="AO55" s="394"/>
      <c r="AP55" s="393"/>
      <c r="AQ55" s="394"/>
      <c r="AR55" s="395"/>
      <c r="AS55" s="394"/>
      <c r="AT55" s="395"/>
      <c r="AU55" s="393"/>
      <c r="AV55" s="395"/>
      <c r="AW55" s="154"/>
      <c r="AX55" s="300"/>
      <c r="AY55" s="394"/>
      <c r="AZ55" s="393"/>
      <c r="BA55" s="394"/>
      <c r="BB55" s="395"/>
      <c r="BC55" s="394"/>
      <c r="BD55" s="395"/>
      <c r="BE55" s="393"/>
      <c r="BF55" s="395"/>
      <c r="BG55" s="154"/>
      <c r="BH55" s="300"/>
      <c r="BI55" s="394"/>
      <c r="BJ55" s="393"/>
      <c r="BK55" s="394"/>
      <c r="BL55" s="395"/>
      <c r="BM55" s="394"/>
      <c r="BN55" s="395"/>
      <c r="BO55" s="393"/>
      <c r="BP55" s="395"/>
    </row>
    <row r="56" spans="10:68" ht="16.5" thickBot="1">
      <c r="J56" s="154"/>
      <c r="K56" s="394"/>
      <c r="L56" s="396" t="s">
        <v>155</v>
      </c>
      <c r="M56" s="397" t="s">
        <v>103</v>
      </c>
      <c r="N56" s="279"/>
      <c r="O56" s="397" t="s">
        <v>103</v>
      </c>
      <c r="P56" s="279"/>
      <c r="Q56" s="398" t="s">
        <v>103</v>
      </c>
      <c r="R56" s="399">
        <f>SUM(N56,P56)</f>
        <v>0</v>
      </c>
      <c r="S56" s="294"/>
      <c r="T56" s="300"/>
      <c r="U56" s="394"/>
      <c r="V56" s="396" t="s">
        <v>155</v>
      </c>
      <c r="W56" s="397" t="s">
        <v>103</v>
      </c>
      <c r="X56" s="279"/>
      <c r="Y56" s="397" t="s">
        <v>103</v>
      </c>
      <c r="Z56" s="279"/>
      <c r="AA56" s="398" t="s">
        <v>103</v>
      </c>
      <c r="AB56" s="399">
        <f>SUM(X56,Z56)</f>
        <v>0</v>
      </c>
      <c r="AC56" s="154"/>
      <c r="AD56" s="300"/>
      <c r="AE56" s="394"/>
      <c r="AF56" s="396" t="s">
        <v>155</v>
      </c>
      <c r="AG56" s="397" t="s">
        <v>103</v>
      </c>
      <c r="AH56" s="279"/>
      <c r="AI56" s="397" t="s">
        <v>103</v>
      </c>
      <c r="AJ56" s="279"/>
      <c r="AK56" s="398" t="s">
        <v>103</v>
      </c>
      <c r="AL56" s="399">
        <f>SUM(AH56,AJ56)</f>
        <v>0</v>
      </c>
      <c r="AM56" s="154"/>
      <c r="AN56" s="300"/>
      <c r="AO56" s="394"/>
      <c r="AP56" s="396" t="s">
        <v>155</v>
      </c>
      <c r="AQ56" s="397" t="s">
        <v>103</v>
      </c>
      <c r="AR56" s="279"/>
      <c r="AS56" s="397" t="s">
        <v>103</v>
      </c>
      <c r="AT56" s="279"/>
      <c r="AU56" s="398" t="s">
        <v>103</v>
      </c>
      <c r="AV56" s="399">
        <f>SUM(AR56,AT56)</f>
        <v>0</v>
      </c>
      <c r="AW56" s="154"/>
      <c r="AX56" s="300"/>
      <c r="AY56" s="394"/>
      <c r="AZ56" s="396" t="s">
        <v>155</v>
      </c>
      <c r="BA56" s="397" t="s">
        <v>103</v>
      </c>
      <c r="BB56" s="279"/>
      <c r="BC56" s="397" t="s">
        <v>103</v>
      </c>
      <c r="BD56" s="279"/>
      <c r="BE56" s="398" t="s">
        <v>103</v>
      </c>
      <c r="BF56" s="399">
        <f>SUM(BB56,BD56)</f>
        <v>0</v>
      </c>
      <c r="BG56" s="154"/>
      <c r="BH56" s="300"/>
      <c r="BI56" s="394"/>
      <c r="BJ56" s="396" t="s">
        <v>155</v>
      </c>
      <c r="BK56" s="397" t="s">
        <v>103</v>
      </c>
      <c r="BL56" s="279"/>
      <c r="BM56" s="397" t="s">
        <v>103</v>
      </c>
      <c r="BN56" s="279"/>
      <c r="BO56" s="398" t="s">
        <v>103</v>
      </c>
      <c r="BP56" s="399">
        <f>SUM(BL56,BN56)</f>
        <v>0</v>
      </c>
    </row>
    <row r="57" spans="10:68" ht="18.75" thickBot="1">
      <c r="K57" s="394"/>
      <c r="L57" s="289">
        <v>8</v>
      </c>
      <c r="M57" s="400" t="s">
        <v>5</v>
      </c>
      <c r="N57" s="401">
        <f>VLOOKUP(L54, $B$3:$E$109, 4, FALSE)</f>
        <v>0</v>
      </c>
      <c r="O57" s="400" t="s">
        <v>5</v>
      </c>
      <c r="P57" s="402">
        <f>VLOOKUP(L54, $B$3:$F$109, 5, FALSE)</f>
        <v>0</v>
      </c>
      <c r="Q57" s="403" t="s">
        <v>5</v>
      </c>
      <c r="R57" s="399">
        <f>SUM(N57,P57)</f>
        <v>0</v>
      </c>
      <c r="S57" s="294"/>
      <c r="T57" s="300"/>
      <c r="U57" s="394"/>
      <c r="V57" s="289">
        <v>8</v>
      </c>
      <c r="W57" s="400" t="s">
        <v>5</v>
      </c>
      <c r="X57" s="401">
        <f>VLOOKUP(V54, $B$3:$E$109, 4, FALSE)</f>
        <v>0</v>
      </c>
      <c r="Y57" s="400" t="s">
        <v>5</v>
      </c>
      <c r="Z57" s="402">
        <f>VLOOKUP(V54, $B$3:$F$109, 5, FALSE)</f>
        <v>0</v>
      </c>
      <c r="AA57" s="403" t="s">
        <v>5</v>
      </c>
      <c r="AB57" s="399">
        <f>SUM(X57,Z57)</f>
        <v>0</v>
      </c>
      <c r="AD57" s="300"/>
      <c r="AE57" s="394"/>
      <c r="AF57" s="289">
        <v>8</v>
      </c>
      <c r="AG57" s="400" t="s">
        <v>5</v>
      </c>
      <c r="AH57" s="401" t="e">
        <f>VLOOKUP(AF54, $B$3:$E$109, 4, FALSE)</f>
        <v>#N/A</v>
      </c>
      <c r="AI57" s="400" t="s">
        <v>5</v>
      </c>
      <c r="AJ57" s="402" t="e">
        <f>VLOOKUP(AF54, $B$3:$F$109, 5, FALSE)</f>
        <v>#N/A</v>
      </c>
      <c r="AK57" s="403" t="s">
        <v>5</v>
      </c>
      <c r="AL57" s="399" t="e">
        <f>SUM(AH57,AJ57)</f>
        <v>#N/A</v>
      </c>
      <c r="AN57" s="300"/>
      <c r="AO57" s="394"/>
      <c r="AP57" s="289">
        <v>8</v>
      </c>
      <c r="AQ57" s="400" t="s">
        <v>5</v>
      </c>
      <c r="AR57" s="401" t="e">
        <f>VLOOKUP(AP54, $B$3:$E$109, 4, FALSE)</f>
        <v>#N/A</v>
      </c>
      <c r="AS57" s="400" t="s">
        <v>5</v>
      </c>
      <c r="AT57" s="402" t="e">
        <f>VLOOKUP(AP54, $B$3:$F$109, 5, FALSE)</f>
        <v>#N/A</v>
      </c>
      <c r="AU57" s="403" t="s">
        <v>5</v>
      </c>
      <c r="AV57" s="399" t="e">
        <f>SUM(AR57,AT57)</f>
        <v>#N/A</v>
      </c>
      <c r="AX57" s="300"/>
      <c r="AY57" s="394"/>
      <c r="AZ57" s="289">
        <v>8</v>
      </c>
      <c r="BA57" s="400" t="s">
        <v>5</v>
      </c>
      <c r="BB57" s="401" t="e">
        <f>VLOOKUP(AZ54, $B$3:$E$109, 4, FALSE)</f>
        <v>#N/A</v>
      </c>
      <c r="BC57" s="400" t="s">
        <v>5</v>
      </c>
      <c r="BD57" s="402" t="e">
        <f>VLOOKUP(AZ54, $B$3:$F$109, 5, FALSE)</f>
        <v>#N/A</v>
      </c>
      <c r="BE57" s="403" t="s">
        <v>5</v>
      </c>
      <c r="BF57" s="399" t="e">
        <f>SUM(BB57,BD57)</f>
        <v>#N/A</v>
      </c>
      <c r="BH57" s="300"/>
      <c r="BI57" s="394"/>
      <c r="BJ57" s="289">
        <v>8</v>
      </c>
      <c r="BK57" s="400" t="s">
        <v>5</v>
      </c>
      <c r="BL57" s="401" t="e">
        <f>VLOOKUP(BJ54, $B$3:$E$109, 4, FALSE)</f>
        <v>#N/A</v>
      </c>
      <c r="BM57" s="400" t="s">
        <v>5</v>
      </c>
      <c r="BN57" s="402" t="e">
        <f>VLOOKUP(BJ54, $B$3:$F$109, 5, FALSE)</f>
        <v>#N/A</v>
      </c>
      <c r="BO57" s="403" t="s">
        <v>5</v>
      </c>
      <c r="BP57" s="399" t="e">
        <f>SUM(BL57,BN57)</f>
        <v>#N/A</v>
      </c>
    </row>
    <row r="58" spans="10:68" ht="15.75" customHeight="1">
      <c r="K58" s="394"/>
      <c r="L58" s="393"/>
      <c r="M58" s="657" t="s">
        <v>105</v>
      </c>
      <c r="N58" s="401">
        <f>VLOOKUP(L54, $B$3:$E$109, 2, FALSE)</f>
        <v>0</v>
      </c>
      <c r="O58" s="657" t="s">
        <v>105</v>
      </c>
      <c r="P58" s="402">
        <f>VLOOKUP(L54, $B$3:$E$109, 3, FALSE)</f>
        <v>0</v>
      </c>
      <c r="Q58" s="658" t="s">
        <v>105</v>
      </c>
      <c r="R58" s="399">
        <f>SUM(N58,P58)</f>
        <v>0</v>
      </c>
      <c r="S58" s="294"/>
      <c r="T58" s="300"/>
      <c r="U58" s="394"/>
      <c r="V58" s="393"/>
      <c r="W58" s="657" t="s">
        <v>105</v>
      </c>
      <c r="X58" s="401">
        <f>VLOOKUP(V54, $B$3:$E$109, 2, FALSE)</f>
        <v>0</v>
      </c>
      <c r="Y58" s="657" t="s">
        <v>105</v>
      </c>
      <c r="Z58" s="402">
        <f>VLOOKUP(V54, $B$3:$E$109, 3, FALSE)</f>
        <v>0</v>
      </c>
      <c r="AA58" s="658" t="s">
        <v>105</v>
      </c>
      <c r="AB58" s="399">
        <f>SUM(X58,Z58)</f>
        <v>0</v>
      </c>
      <c r="AD58" s="300"/>
      <c r="AE58" s="394"/>
      <c r="AF58" s="393"/>
      <c r="AG58" s="657" t="s">
        <v>105</v>
      </c>
      <c r="AH58" s="401" t="e">
        <f>VLOOKUP(AF54, $B$3:$E$109, 2, FALSE)</f>
        <v>#N/A</v>
      </c>
      <c r="AI58" s="657" t="s">
        <v>105</v>
      </c>
      <c r="AJ58" s="402" t="e">
        <f>VLOOKUP(AF54, $B$3:$E$109, 3, FALSE)</f>
        <v>#N/A</v>
      </c>
      <c r="AK58" s="658" t="s">
        <v>105</v>
      </c>
      <c r="AL58" s="399" t="e">
        <f>SUM(AH58,AJ58)</f>
        <v>#N/A</v>
      </c>
      <c r="AN58" s="300"/>
      <c r="AO58" s="394"/>
      <c r="AP58" s="393"/>
      <c r="AQ58" s="657" t="s">
        <v>105</v>
      </c>
      <c r="AR58" s="401" t="e">
        <f>VLOOKUP(AP54, $B$3:$E$109, 2, FALSE)</f>
        <v>#N/A</v>
      </c>
      <c r="AS58" s="657" t="s">
        <v>105</v>
      </c>
      <c r="AT58" s="402" t="e">
        <f>VLOOKUP(AP54, $B$3:$E$109, 3, FALSE)</f>
        <v>#N/A</v>
      </c>
      <c r="AU58" s="658" t="s">
        <v>105</v>
      </c>
      <c r="AV58" s="399" t="e">
        <f>SUM(AR58,AT58)</f>
        <v>#N/A</v>
      </c>
      <c r="AX58" s="300"/>
      <c r="AY58" s="394"/>
      <c r="AZ58" s="393"/>
      <c r="BA58" s="657" t="s">
        <v>105</v>
      </c>
      <c r="BB58" s="401" t="e">
        <f>VLOOKUP(AZ54, $B$3:$E$109, 2, FALSE)</f>
        <v>#N/A</v>
      </c>
      <c r="BC58" s="657" t="s">
        <v>105</v>
      </c>
      <c r="BD58" s="402" t="e">
        <f>VLOOKUP(AZ54, $B$3:$E$109, 3, FALSE)</f>
        <v>#N/A</v>
      </c>
      <c r="BE58" s="658" t="s">
        <v>105</v>
      </c>
      <c r="BF58" s="399" t="e">
        <f>SUM(BB58,BD58)</f>
        <v>#N/A</v>
      </c>
      <c r="BH58" s="300"/>
      <c r="BI58" s="394"/>
      <c r="BJ58" s="393"/>
      <c r="BK58" s="657" t="s">
        <v>105</v>
      </c>
      <c r="BL58" s="401" t="e">
        <f>VLOOKUP(BJ54, $B$3:$E$109, 2, FALSE)</f>
        <v>#N/A</v>
      </c>
      <c r="BM58" s="657" t="s">
        <v>105</v>
      </c>
      <c r="BN58" s="402" t="e">
        <f>VLOOKUP(BJ54, $B$3:$E$109, 3, FALSE)</f>
        <v>#N/A</v>
      </c>
      <c r="BO58" s="658" t="s">
        <v>105</v>
      </c>
      <c r="BP58" s="399" t="e">
        <f>SUM(BL58,BN58)</f>
        <v>#N/A</v>
      </c>
    </row>
    <row r="59" spans="10:68" ht="12.75" customHeight="1">
      <c r="K59" s="688" t="s">
        <v>157</v>
      </c>
      <c r="L59" s="689"/>
      <c r="M59" s="658"/>
      <c r="N59" s="395"/>
      <c r="O59" s="657"/>
      <c r="P59" s="395"/>
      <c r="Q59" s="658"/>
      <c r="R59" s="395"/>
      <c r="S59" s="156"/>
      <c r="T59" s="300"/>
      <c r="U59" s="688" t="s">
        <v>157</v>
      </c>
      <c r="V59" s="689"/>
      <c r="W59" s="658"/>
      <c r="X59" s="395"/>
      <c r="Y59" s="657"/>
      <c r="Z59" s="395"/>
      <c r="AA59" s="658"/>
      <c r="AB59" s="395"/>
      <c r="AD59" s="300"/>
      <c r="AE59" s="688" t="s">
        <v>157</v>
      </c>
      <c r="AF59" s="689"/>
      <c r="AG59" s="658"/>
      <c r="AH59" s="395"/>
      <c r="AI59" s="657"/>
      <c r="AJ59" s="395"/>
      <c r="AK59" s="658"/>
      <c r="AL59" s="395"/>
      <c r="AN59" s="300"/>
      <c r="AO59" s="688" t="s">
        <v>157</v>
      </c>
      <c r="AP59" s="689"/>
      <c r="AQ59" s="658"/>
      <c r="AR59" s="395"/>
      <c r="AS59" s="657"/>
      <c r="AT59" s="395"/>
      <c r="AU59" s="658"/>
      <c r="AV59" s="395"/>
      <c r="AX59" s="300"/>
      <c r="AY59" s="688" t="s">
        <v>157</v>
      </c>
      <c r="AZ59" s="689"/>
      <c r="BA59" s="658"/>
      <c r="BB59" s="395"/>
      <c r="BC59" s="657"/>
      <c r="BD59" s="395"/>
      <c r="BE59" s="658"/>
      <c r="BF59" s="395"/>
      <c r="BH59" s="300"/>
      <c r="BI59" s="688" t="s">
        <v>157</v>
      </c>
      <c r="BJ59" s="689"/>
      <c r="BK59" s="658"/>
      <c r="BL59" s="395"/>
      <c r="BM59" s="657"/>
      <c r="BN59" s="395"/>
      <c r="BO59" s="658"/>
      <c r="BP59" s="395"/>
    </row>
    <row r="60" spans="10:68" ht="15.75">
      <c r="K60" s="411"/>
      <c r="L60" s="404">
        <f>R56*13</f>
        <v>0</v>
      </c>
      <c r="M60" s="405"/>
      <c r="N60" s="395"/>
      <c r="O60" s="406"/>
      <c r="P60" s="395"/>
      <c r="Q60" s="407"/>
      <c r="R60" s="395"/>
      <c r="S60" s="156"/>
      <c r="T60" s="300"/>
      <c r="U60" s="411"/>
      <c r="V60" s="404">
        <f>AB56*13</f>
        <v>0</v>
      </c>
      <c r="W60" s="405"/>
      <c r="X60" s="395"/>
      <c r="Y60" s="406"/>
      <c r="Z60" s="395"/>
      <c r="AA60" s="407"/>
      <c r="AB60" s="395"/>
      <c r="AD60" s="300"/>
      <c r="AE60" s="411"/>
      <c r="AF60" s="404">
        <f>AL56*13</f>
        <v>0</v>
      </c>
      <c r="AG60" s="405"/>
      <c r="AH60" s="395"/>
      <c r="AI60" s="406"/>
      <c r="AJ60" s="395"/>
      <c r="AK60" s="407"/>
      <c r="AL60" s="395"/>
      <c r="AN60" s="300"/>
      <c r="AO60" s="411"/>
      <c r="AP60" s="404">
        <f>AV56*13</f>
        <v>0</v>
      </c>
      <c r="AQ60" s="405"/>
      <c r="AR60" s="395"/>
      <c r="AS60" s="406"/>
      <c r="AT60" s="395"/>
      <c r="AU60" s="407"/>
      <c r="AV60" s="395"/>
      <c r="AX60" s="300"/>
      <c r="AY60" s="411"/>
      <c r="AZ60" s="404">
        <f>BF56*13</f>
        <v>0</v>
      </c>
      <c r="BA60" s="405"/>
      <c r="BB60" s="395"/>
      <c r="BC60" s="406"/>
      <c r="BD60" s="395"/>
      <c r="BE60" s="407"/>
      <c r="BF60" s="395"/>
      <c r="BH60" s="300"/>
      <c r="BI60" s="411"/>
      <c r="BJ60" s="404">
        <f>BP56*13</f>
        <v>0</v>
      </c>
      <c r="BK60" s="405"/>
      <c r="BL60" s="395"/>
      <c r="BM60" s="406"/>
      <c r="BN60" s="395"/>
      <c r="BO60" s="407"/>
      <c r="BP60" s="395"/>
    </row>
    <row r="61" spans="10:68" ht="18.75">
      <c r="K61" s="394"/>
      <c r="L61" s="412"/>
      <c r="M61" s="286" t="s">
        <v>97</v>
      </c>
      <c r="N61" s="287" t="e">
        <f>N58/((N56*EFFICIENCY!$H$28))</f>
        <v>#DIV/0!</v>
      </c>
      <c r="O61" s="286" t="s">
        <v>97</v>
      </c>
      <c r="P61" s="287" t="e">
        <f>P58/(P56*EFFICIENCY!$H$28)</f>
        <v>#DIV/0!</v>
      </c>
      <c r="Q61" s="286" t="s">
        <v>97</v>
      </c>
      <c r="R61" s="287" t="e">
        <f>R58/(R56*EFFICIENCY!$H$28)</f>
        <v>#DIV/0!</v>
      </c>
      <c r="S61" s="295"/>
      <c r="T61" s="300"/>
      <c r="U61" s="394"/>
      <c r="V61" s="412"/>
      <c r="W61" s="286" t="s">
        <v>97</v>
      </c>
      <c r="X61" s="287" t="e">
        <f>X58/((X56*EFFICIENCY!$H$28))</f>
        <v>#DIV/0!</v>
      </c>
      <c r="Y61" s="286" t="s">
        <v>97</v>
      </c>
      <c r="Z61" s="287" t="e">
        <f>Z58/(Z56*EFFICIENCY!$H$28)</f>
        <v>#DIV/0!</v>
      </c>
      <c r="AA61" s="286" t="s">
        <v>97</v>
      </c>
      <c r="AB61" s="287" t="e">
        <f>AB58/(AB56*EFFICIENCY!$H$28)</f>
        <v>#DIV/0!</v>
      </c>
      <c r="AD61" s="300"/>
      <c r="AE61" s="394"/>
      <c r="AF61" s="412"/>
      <c r="AG61" s="286" t="s">
        <v>97</v>
      </c>
      <c r="AH61" s="287" t="e">
        <f>AH58/((AH56*EFFICIENCY!$H$28))</f>
        <v>#N/A</v>
      </c>
      <c r="AI61" s="286" t="s">
        <v>97</v>
      </c>
      <c r="AJ61" s="287" t="e">
        <f>AJ58/(AJ56*EFFICIENCY!$H$28)</f>
        <v>#N/A</v>
      </c>
      <c r="AK61" s="286" t="s">
        <v>97</v>
      </c>
      <c r="AL61" s="287" t="e">
        <f>AL58/(AL56*EFFICIENCY!$H$28)</f>
        <v>#N/A</v>
      </c>
      <c r="AN61" s="300"/>
      <c r="AO61" s="394"/>
      <c r="AP61" s="412"/>
      <c r="AQ61" s="286" t="s">
        <v>97</v>
      </c>
      <c r="AR61" s="287" t="e">
        <f>AR58/((AR56*EFFICIENCY!$H$28))</f>
        <v>#N/A</v>
      </c>
      <c r="AS61" s="286" t="s">
        <v>97</v>
      </c>
      <c r="AT61" s="287" t="e">
        <f>AT58/(AT56*EFFICIENCY!$H$28)</f>
        <v>#N/A</v>
      </c>
      <c r="AU61" s="286" t="s">
        <v>97</v>
      </c>
      <c r="AV61" s="287" t="e">
        <f>AV58/(AV56*EFFICIENCY!$H$28)</f>
        <v>#N/A</v>
      </c>
      <c r="AX61" s="300"/>
      <c r="AY61" s="394"/>
      <c r="AZ61" s="412"/>
      <c r="BA61" s="286" t="s">
        <v>97</v>
      </c>
      <c r="BB61" s="287" t="e">
        <f>BB58/((BB56*EFFICIENCY!$H$28))</f>
        <v>#N/A</v>
      </c>
      <c r="BC61" s="286" t="s">
        <v>97</v>
      </c>
      <c r="BD61" s="287" t="e">
        <f>BD58/(BD56*EFFICIENCY!$H$28)</f>
        <v>#N/A</v>
      </c>
      <c r="BE61" s="286" t="s">
        <v>97</v>
      </c>
      <c r="BF61" s="287" t="e">
        <f>BF58/(BF56*EFFICIENCY!$H$28)</f>
        <v>#N/A</v>
      </c>
      <c r="BH61" s="300"/>
      <c r="BI61" s="394"/>
      <c r="BJ61" s="412"/>
      <c r="BK61" s="286" t="s">
        <v>97</v>
      </c>
      <c r="BL61" s="287" t="e">
        <f>BL58/((BL56*EFFICIENCY!$H$28))</f>
        <v>#N/A</v>
      </c>
      <c r="BM61" s="286" t="s">
        <v>97</v>
      </c>
      <c r="BN61" s="287" t="e">
        <f>BN58/(BN56*EFFICIENCY!$H$28)</f>
        <v>#N/A</v>
      </c>
      <c r="BO61" s="286" t="s">
        <v>97</v>
      </c>
      <c r="BP61" s="287" t="e">
        <f>BP58/(BP56*EFFICIENCY!$H$28)</f>
        <v>#N/A</v>
      </c>
    </row>
    <row r="62" spans="10:68" ht="18.75">
      <c r="K62" s="394"/>
      <c r="L62" s="393"/>
      <c r="M62" s="280" t="s">
        <v>96</v>
      </c>
      <c r="N62" s="281" t="e">
        <f>N58/(N56*EFFICIENCY!$I$28)</f>
        <v>#DIV/0!</v>
      </c>
      <c r="O62" s="280" t="s">
        <v>96</v>
      </c>
      <c r="P62" s="281" t="e">
        <f>P58/(P56*EFFICIENCY!$I$28)</f>
        <v>#DIV/0!</v>
      </c>
      <c r="Q62" s="280" t="s">
        <v>96</v>
      </c>
      <c r="R62" s="281" t="e">
        <f>R58/(R56*EFFICIENCY!$I$28)</f>
        <v>#DIV/0!</v>
      </c>
      <c r="S62" s="296"/>
      <c r="T62" s="300"/>
      <c r="U62" s="394"/>
      <c r="V62" s="393"/>
      <c r="W62" s="280" t="s">
        <v>96</v>
      </c>
      <c r="X62" s="281" t="e">
        <f>X58/(X56*EFFICIENCY!$I$28)</f>
        <v>#DIV/0!</v>
      </c>
      <c r="Y62" s="280" t="s">
        <v>96</v>
      </c>
      <c r="Z62" s="281" t="e">
        <f>Z58/(Z56*EFFICIENCY!$I$28)</f>
        <v>#DIV/0!</v>
      </c>
      <c r="AA62" s="280" t="s">
        <v>96</v>
      </c>
      <c r="AB62" s="281" t="e">
        <f>AB58/(AB56*EFFICIENCY!$I$28)</f>
        <v>#DIV/0!</v>
      </c>
      <c r="AD62" s="300"/>
      <c r="AE62" s="394"/>
      <c r="AF62" s="393"/>
      <c r="AG62" s="280" t="s">
        <v>96</v>
      </c>
      <c r="AH62" s="281" t="e">
        <f>AH58/(AH56*EFFICIENCY!$I$28)</f>
        <v>#N/A</v>
      </c>
      <c r="AI62" s="280" t="s">
        <v>96</v>
      </c>
      <c r="AJ62" s="281" t="e">
        <f>AJ58/(AJ56*EFFICIENCY!$I$28)</f>
        <v>#N/A</v>
      </c>
      <c r="AK62" s="280" t="s">
        <v>96</v>
      </c>
      <c r="AL62" s="281" t="e">
        <f>AL58/(AL56*EFFICIENCY!$I$28)</f>
        <v>#N/A</v>
      </c>
      <c r="AN62" s="300"/>
      <c r="AO62" s="394"/>
      <c r="AP62" s="393"/>
      <c r="AQ62" s="280" t="s">
        <v>96</v>
      </c>
      <c r="AR62" s="281" t="e">
        <f>AR58/(AR56*EFFICIENCY!$I$28)</f>
        <v>#N/A</v>
      </c>
      <c r="AS62" s="280" t="s">
        <v>96</v>
      </c>
      <c r="AT62" s="281" t="e">
        <f>AT58/(AT56*EFFICIENCY!$I$28)</f>
        <v>#N/A</v>
      </c>
      <c r="AU62" s="280" t="s">
        <v>96</v>
      </c>
      <c r="AV62" s="281" t="e">
        <f>AV58/(AV56*EFFICIENCY!$I$28)</f>
        <v>#N/A</v>
      </c>
      <c r="AX62" s="300"/>
      <c r="AY62" s="394"/>
      <c r="AZ62" s="393"/>
      <c r="BA62" s="280" t="s">
        <v>96</v>
      </c>
      <c r="BB62" s="281" t="e">
        <f>BB58/(BB56*EFFICIENCY!$I$28)</f>
        <v>#N/A</v>
      </c>
      <c r="BC62" s="280" t="s">
        <v>96</v>
      </c>
      <c r="BD62" s="281" t="e">
        <f>BD58/(BD56*EFFICIENCY!$I$28)</f>
        <v>#N/A</v>
      </c>
      <c r="BE62" s="280" t="s">
        <v>96</v>
      </c>
      <c r="BF62" s="281" t="e">
        <f>BF58/(BF56*EFFICIENCY!$I$28)</f>
        <v>#N/A</v>
      </c>
      <c r="BH62" s="300"/>
      <c r="BI62" s="394"/>
      <c r="BJ62" s="393"/>
      <c r="BK62" s="280" t="s">
        <v>96</v>
      </c>
      <c r="BL62" s="281" t="e">
        <f>BL58/(BL56*EFFICIENCY!$I$28)</f>
        <v>#N/A</v>
      </c>
      <c r="BM62" s="280" t="s">
        <v>96</v>
      </c>
      <c r="BN62" s="281" t="e">
        <f>BN58/(BN56*EFFICIENCY!$I$28)</f>
        <v>#N/A</v>
      </c>
      <c r="BO62" s="280" t="s">
        <v>96</v>
      </c>
      <c r="BP62" s="281" t="e">
        <f>BP58/(BP56*EFFICIENCY!$I$28)</f>
        <v>#N/A</v>
      </c>
    </row>
    <row r="63" spans="10:68" ht="19.5" customHeight="1" thickBot="1">
      <c r="K63" s="690" t="s">
        <v>156</v>
      </c>
      <c r="L63" s="691"/>
      <c r="M63" s="284" t="s">
        <v>94</v>
      </c>
      <c r="N63" s="285" t="e">
        <f>N58/((N56*EFFICIENCY!$K$28))</f>
        <v>#DIV/0!</v>
      </c>
      <c r="O63" s="288" t="s">
        <v>94</v>
      </c>
      <c r="P63" s="285" t="e">
        <f>P58/((P56*EFFICIENCY!$K$28))</f>
        <v>#DIV/0!</v>
      </c>
      <c r="Q63" s="284" t="s">
        <v>94</v>
      </c>
      <c r="R63" s="285" t="e">
        <f>R58/((R56*EFFICIENCY!$K$28))</f>
        <v>#DIV/0!</v>
      </c>
      <c r="S63" s="297"/>
      <c r="T63" s="300"/>
      <c r="U63" s="690" t="s">
        <v>156</v>
      </c>
      <c r="V63" s="691"/>
      <c r="W63" s="284" t="s">
        <v>94</v>
      </c>
      <c r="X63" s="285" t="e">
        <f>X58/((X56*EFFICIENCY!$K$28))</f>
        <v>#DIV/0!</v>
      </c>
      <c r="Y63" s="288" t="s">
        <v>94</v>
      </c>
      <c r="Z63" s="285" t="e">
        <f>Z58/((Z56*EFFICIENCY!$K$28))</f>
        <v>#DIV/0!</v>
      </c>
      <c r="AA63" s="284" t="s">
        <v>94</v>
      </c>
      <c r="AB63" s="285" t="e">
        <f>AB58/((AB56*EFFICIENCY!$K$28))</f>
        <v>#DIV/0!</v>
      </c>
      <c r="AD63" s="300"/>
      <c r="AE63" s="690" t="s">
        <v>156</v>
      </c>
      <c r="AF63" s="691"/>
      <c r="AG63" s="284" t="s">
        <v>94</v>
      </c>
      <c r="AH63" s="285" t="e">
        <f>AH58/((AH56*EFFICIENCY!$K$28))</f>
        <v>#N/A</v>
      </c>
      <c r="AI63" s="288" t="s">
        <v>94</v>
      </c>
      <c r="AJ63" s="285" t="e">
        <f>AJ58/((AJ56*EFFICIENCY!$K$28))</f>
        <v>#N/A</v>
      </c>
      <c r="AK63" s="284" t="s">
        <v>94</v>
      </c>
      <c r="AL63" s="285" t="e">
        <f>AL58/((AL56*EFFICIENCY!$K$28))</f>
        <v>#N/A</v>
      </c>
      <c r="AN63" s="300"/>
      <c r="AO63" s="690" t="s">
        <v>156</v>
      </c>
      <c r="AP63" s="691"/>
      <c r="AQ63" s="284" t="s">
        <v>94</v>
      </c>
      <c r="AR63" s="285" t="e">
        <f>AR58/((AR56*EFFICIENCY!$K$28))</f>
        <v>#N/A</v>
      </c>
      <c r="AS63" s="288" t="s">
        <v>94</v>
      </c>
      <c r="AT63" s="285" t="e">
        <f>AT58/((AT56*EFFICIENCY!$K$28))</f>
        <v>#N/A</v>
      </c>
      <c r="AU63" s="284" t="s">
        <v>94</v>
      </c>
      <c r="AV63" s="285" t="e">
        <f>AV58/((AV56*EFFICIENCY!$K$28))</f>
        <v>#N/A</v>
      </c>
      <c r="AX63" s="300"/>
      <c r="AY63" s="690" t="s">
        <v>156</v>
      </c>
      <c r="AZ63" s="691"/>
      <c r="BA63" s="284" t="s">
        <v>94</v>
      </c>
      <c r="BB63" s="285" t="e">
        <f>BB58/((BB56*EFFICIENCY!$K$28))</f>
        <v>#N/A</v>
      </c>
      <c r="BC63" s="288" t="s">
        <v>94</v>
      </c>
      <c r="BD63" s="285" t="e">
        <f>BD58/((BD56*EFFICIENCY!$K$28))</f>
        <v>#N/A</v>
      </c>
      <c r="BE63" s="284" t="s">
        <v>94</v>
      </c>
      <c r="BF63" s="285" t="e">
        <f>BF58/((BF56*EFFICIENCY!$K$28))</f>
        <v>#N/A</v>
      </c>
      <c r="BH63" s="300"/>
      <c r="BI63" s="690" t="s">
        <v>156</v>
      </c>
      <c r="BJ63" s="691"/>
      <c r="BK63" s="284" t="s">
        <v>94</v>
      </c>
      <c r="BL63" s="285" t="e">
        <f>BL58/((BL56*EFFICIENCY!$K$28))</f>
        <v>#N/A</v>
      </c>
      <c r="BM63" s="288" t="s">
        <v>94</v>
      </c>
      <c r="BN63" s="285" t="e">
        <f>BN58/((BN56*EFFICIENCY!$K$28))</f>
        <v>#N/A</v>
      </c>
      <c r="BO63" s="284" t="s">
        <v>94</v>
      </c>
      <c r="BP63" s="285" t="e">
        <f>BP58/((BP56*EFFICIENCY!$K$28))</f>
        <v>#N/A</v>
      </c>
    </row>
    <row r="64" spans="10:68" ht="16.5" thickBot="1">
      <c r="K64" s="413"/>
      <c r="L64" s="414" t="e">
        <f>R58/R56</f>
        <v>#DIV/0!</v>
      </c>
      <c r="M64" s="647" t="s">
        <v>153</v>
      </c>
      <c r="N64" s="648"/>
      <c r="O64" s="290"/>
      <c r="P64" s="408"/>
      <c r="Q64" s="408" t="s">
        <v>154</v>
      </c>
      <c r="R64" s="415">
        <f>O64-R58</f>
        <v>0</v>
      </c>
      <c r="S64" s="298"/>
      <c r="T64" s="300"/>
      <c r="U64" s="413"/>
      <c r="V64" s="414" t="e">
        <f>AB58/AB56</f>
        <v>#DIV/0!</v>
      </c>
      <c r="W64" s="647" t="s">
        <v>153</v>
      </c>
      <c r="X64" s="648"/>
      <c r="Y64" s="290"/>
      <c r="Z64" s="408"/>
      <c r="AA64" s="408" t="s">
        <v>154</v>
      </c>
      <c r="AB64" s="415">
        <f>Y64-AB58</f>
        <v>0</v>
      </c>
      <c r="AD64" s="300"/>
      <c r="AE64" s="413"/>
      <c r="AF64" s="414" t="e">
        <f>AL58/AL56</f>
        <v>#N/A</v>
      </c>
      <c r="AG64" s="647" t="s">
        <v>153</v>
      </c>
      <c r="AH64" s="648"/>
      <c r="AI64" s="290"/>
      <c r="AJ64" s="408"/>
      <c r="AK64" s="408" t="s">
        <v>154</v>
      </c>
      <c r="AL64" s="415" t="e">
        <f>AI64-AL58</f>
        <v>#N/A</v>
      </c>
      <c r="AN64" s="300"/>
      <c r="AO64" s="413"/>
      <c r="AP64" s="414" t="e">
        <f>AV58/AV56</f>
        <v>#N/A</v>
      </c>
      <c r="AQ64" s="647" t="s">
        <v>153</v>
      </c>
      <c r="AR64" s="648"/>
      <c r="AS64" s="290"/>
      <c r="AT64" s="408"/>
      <c r="AU64" s="408" t="s">
        <v>154</v>
      </c>
      <c r="AV64" s="415" t="e">
        <f>AS64-AV58</f>
        <v>#N/A</v>
      </c>
      <c r="AX64" s="300"/>
      <c r="AY64" s="413"/>
      <c r="AZ64" s="414" t="e">
        <f>BF58/BF56</f>
        <v>#N/A</v>
      </c>
      <c r="BA64" s="647" t="s">
        <v>153</v>
      </c>
      <c r="BB64" s="648"/>
      <c r="BC64" s="290"/>
      <c r="BD64" s="408"/>
      <c r="BE64" s="408" t="s">
        <v>154</v>
      </c>
      <c r="BF64" s="415" t="e">
        <f>BC64-BF58</f>
        <v>#N/A</v>
      </c>
      <c r="BH64" s="300"/>
      <c r="BI64" s="413"/>
      <c r="BJ64" s="414" t="e">
        <f>BP58/BP56</f>
        <v>#N/A</v>
      </c>
      <c r="BK64" s="647" t="s">
        <v>153</v>
      </c>
      <c r="BL64" s="648"/>
      <c r="BM64" s="290"/>
      <c r="BN64" s="408"/>
      <c r="BO64" s="408" t="s">
        <v>154</v>
      </c>
      <c r="BP64" s="415" t="e">
        <f>BM64-BP58</f>
        <v>#N/A</v>
      </c>
    </row>
    <row r="65" spans="20:60">
      <c r="T65" s="300"/>
      <c r="AD65" s="300"/>
      <c r="AN65" s="300"/>
      <c r="AX65" s="300"/>
      <c r="BH65" s="300"/>
    </row>
    <row r="66" spans="20:60">
      <c r="T66" s="300"/>
      <c r="BH66" s="300"/>
    </row>
    <row r="67" spans="20:60">
      <c r="T67" s="300"/>
      <c r="BH67" s="300"/>
    </row>
    <row r="68" spans="20:60">
      <c r="T68" s="300"/>
      <c r="BH68" s="300"/>
    </row>
    <row r="69" spans="20:60">
      <c r="T69" s="300"/>
      <c r="BH69" s="300"/>
    </row>
    <row r="70" spans="20:60">
      <c r="T70" s="300"/>
      <c r="BH70" s="300"/>
    </row>
  </sheetData>
  <mergeCells count="276">
    <mergeCell ref="BI59:BJ59"/>
    <mergeCell ref="BI63:BJ63"/>
    <mergeCell ref="BK64:BL64"/>
    <mergeCell ref="BM54:BN54"/>
    <mergeCell ref="BO54:BP54"/>
    <mergeCell ref="BK58:BK59"/>
    <mergeCell ref="BM58:BM59"/>
    <mergeCell ref="BO58:BO59"/>
    <mergeCell ref="BI46:BJ46"/>
    <mergeCell ref="BI50:BJ50"/>
    <mergeCell ref="BK51:BL51"/>
    <mergeCell ref="BK1:BL1"/>
    <mergeCell ref="BK54:BL54"/>
    <mergeCell ref="BK38:BL38"/>
    <mergeCell ref="BK41:BL41"/>
    <mergeCell ref="BM41:BN41"/>
    <mergeCell ref="BO41:BP41"/>
    <mergeCell ref="BK45:BK46"/>
    <mergeCell ref="BM45:BM46"/>
    <mergeCell ref="BO45:BO46"/>
    <mergeCell ref="BK32:BK33"/>
    <mergeCell ref="BM32:BM33"/>
    <mergeCell ref="BO32:BO33"/>
    <mergeCell ref="BI33:BJ33"/>
    <mergeCell ref="BI37:BJ37"/>
    <mergeCell ref="BI24:BJ24"/>
    <mergeCell ref="BK25:BL25"/>
    <mergeCell ref="BK28:BL28"/>
    <mergeCell ref="BM28:BN28"/>
    <mergeCell ref="BO28:BP28"/>
    <mergeCell ref="BO15:BP15"/>
    <mergeCell ref="BK19:BK20"/>
    <mergeCell ref="BM19:BM20"/>
    <mergeCell ref="BO19:BO20"/>
    <mergeCell ref="BI20:BJ20"/>
    <mergeCell ref="BI7:BJ7"/>
    <mergeCell ref="BI11:BJ11"/>
    <mergeCell ref="BK12:BL12"/>
    <mergeCell ref="BK15:BL15"/>
    <mergeCell ref="BM15:BN15"/>
    <mergeCell ref="BK2:BL2"/>
    <mergeCell ref="BM2:BN2"/>
    <mergeCell ref="BO2:BP2"/>
    <mergeCell ref="BK6:BK7"/>
    <mergeCell ref="BM6:BM7"/>
    <mergeCell ref="BO6:BO7"/>
    <mergeCell ref="AY63:AZ63"/>
    <mergeCell ref="BA64:BB64"/>
    <mergeCell ref="W1:X1"/>
    <mergeCell ref="AG1:AH1"/>
    <mergeCell ref="AQ1:AR1"/>
    <mergeCell ref="BA1:BB1"/>
    <mergeCell ref="BE54:BF54"/>
    <mergeCell ref="BA58:BA59"/>
    <mergeCell ref="BC58:BC59"/>
    <mergeCell ref="BE58:BE59"/>
    <mergeCell ref="AY59:AZ59"/>
    <mergeCell ref="AY46:AZ46"/>
    <mergeCell ref="AY50:AZ50"/>
    <mergeCell ref="BA51:BB51"/>
    <mergeCell ref="BA54:BB54"/>
    <mergeCell ref="BC54:BD54"/>
    <mergeCell ref="BA38:BB38"/>
    <mergeCell ref="BA41:BB41"/>
    <mergeCell ref="BC41:BD41"/>
    <mergeCell ref="BE41:BF41"/>
    <mergeCell ref="BA45:BA46"/>
    <mergeCell ref="BC45:BC46"/>
    <mergeCell ref="BE45:BE46"/>
    <mergeCell ref="BA32:BA33"/>
    <mergeCell ref="BC32:BC33"/>
    <mergeCell ref="BE32:BE33"/>
    <mergeCell ref="AY33:AZ33"/>
    <mergeCell ref="AY37:AZ37"/>
    <mergeCell ref="BE19:BE20"/>
    <mergeCell ref="AY20:AZ20"/>
    <mergeCell ref="AY24:AZ24"/>
    <mergeCell ref="BA25:BB25"/>
    <mergeCell ref="BA28:BB28"/>
    <mergeCell ref="BC28:BD28"/>
    <mergeCell ref="BE28:BF28"/>
    <mergeCell ref="AO63:AP63"/>
    <mergeCell ref="AQ64:AR64"/>
    <mergeCell ref="BA2:BB2"/>
    <mergeCell ref="BC2:BD2"/>
    <mergeCell ref="BE2:BF2"/>
    <mergeCell ref="BA6:BA7"/>
    <mergeCell ref="BC6:BC7"/>
    <mergeCell ref="BE6:BE7"/>
    <mergeCell ref="AY7:AZ7"/>
    <mergeCell ref="AY11:AZ11"/>
    <mergeCell ref="BA12:BB12"/>
    <mergeCell ref="BA15:BB15"/>
    <mergeCell ref="BC15:BD15"/>
    <mergeCell ref="BE15:BF15"/>
    <mergeCell ref="BA19:BA20"/>
    <mergeCell ref="BC19:BC20"/>
    <mergeCell ref="AU54:AV54"/>
    <mergeCell ref="AQ58:AQ59"/>
    <mergeCell ref="AS58:AS59"/>
    <mergeCell ref="AU58:AU59"/>
    <mergeCell ref="AO59:AP59"/>
    <mergeCell ref="AO46:AP46"/>
    <mergeCell ref="AO50:AP50"/>
    <mergeCell ref="AQ51:AR51"/>
    <mergeCell ref="AQ54:AR54"/>
    <mergeCell ref="AS54:AT54"/>
    <mergeCell ref="AQ38:AR38"/>
    <mergeCell ref="AQ41:AR41"/>
    <mergeCell ref="AS41:AT41"/>
    <mergeCell ref="AU41:AV41"/>
    <mergeCell ref="AQ45:AQ46"/>
    <mergeCell ref="AS45:AS46"/>
    <mergeCell ref="AU45:AU46"/>
    <mergeCell ref="AQ32:AQ33"/>
    <mergeCell ref="AS32:AS33"/>
    <mergeCell ref="AU32:AU33"/>
    <mergeCell ref="AO33:AP33"/>
    <mergeCell ref="AO37:AP37"/>
    <mergeCell ref="AU19:AU20"/>
    <mergeCell ref="AO20:AP20"/>
    <mergeCell ref="AO24:AP24"/>
    <mergeCell ref="AQ25:AR25"/>
    <mergeCell ref="AQ28:AR28"/>
    <mergeCell ref="AS28:AT28"/>
    <mergeCell ref="AU28:AV28"/>
    <mergeCell ref="AE63:AF63"/>
    <mergeCell ref="AG64:AH64"/>
    <mergeCell ref="AQ2:AR2"/>
    <mergeCell ref="AS2:AT2"/>
    <mergeCell ref="AU2:AV2"/>
    <mergeCell ref="AQ6:AQ7"/>
    <mergeCell ref="AS6:AS7"/>
    <mergeCell ref="AU6:AU7"/>
    <mergeCell ref="AO7:AP7"/>
    <mergeCell ref="AO11:AP11"/>
    <mergeCell ref="AQ12:AR12"/>
    <mergeCell ref="AQ15:AR15"/>
    <mergeCell ref="AS15:AT15"/>
    <mergeCell ref="AU15:AV15"/>
    <mergeCell ref="AQ19:AQ20"/>
    <mergeCell ref="AS19:AS20"/>
    <mergeCell ref="AK54:AL54"/>
    <mergeCell ref="AG58:AG59"/>
    <mergeCell ref="AI58:AI59"/>
    <mergeCell ref="AK58:AK59"/>
    <mergeCell ref="AE59:AF59"/>
    <mergeCell ref="AE46:AF46"/>
    <mergeCell ref="AE50:AF50"/>
    <mergeCell ref="AG51:AH51"/>
    <mergeCell ref="AG54:AH54"/>
    <mergeCell ref="AI54:AJ54"/>
    <mergeCell ref="AG38:AH38"/>
    <mergeCell ref="AG41:AH41"/>
    <mergeCell ref="AI41:AJ41"/>
    <mergeCell ref="AK41:AL41"/>
    <mergeCell ref="AG45:AG46"/>
    <mergeCell ref="AI45:AI46"/>
    <mergeCell ref="AK45:AK46"/>
    <mergeCell ref="AG32:AG33"/>
    <mergeCell ref="AI32:AI33"/>
    <mergeCell ref="AK32:AK33"/>
    <mergeCell ref="AE33:AF33"/>
    <mergeCell ref="AE37:AF37"/>
    <mergeCell ref="AK19:AK20"/>
    <mergeCell ref="AE20:AF20"/>
    <mergeCell ref="AE24:AF24"/>
    <mergeCell ref="AG25:AH25"/>
    <mergeCell ref="AG28:AH28"/>
    <mergeCell ref="AI28:AJ28"/>
    <mergeCell ref="AK28:AL28"/>
    <mergeCell ref="U63:V63"/>
    <mergeCell ref="W64:X64"/>
    <mergeCell ref="AG2:AH2"/>
    <mergeCell ref="AI2:AJ2"/>
    <mergeCell ref="AK2:AL2"/>
    <mergeCell ref="AG6:AG7"/>
    <mergeCell ref="AI6:AI7"/>
    <mergeCell ref="AK6:AK7"/>
    <mergeCell ref="AE7:AF7"/>
    <mergeCell ref="AE11:AF11"/>
    <mergeCell ref="AG12:AH12"/>
    <mergeCell ref="AG15:AH15"/>
    <mergeCell ref="AI15:AJ15"/>
    <mergeCell ref="AK15:AL15"/>
    <mergeCell ref="AG19:AG20"/>
    <mergeCell ref="AI19:AI20"/>
    <mergeCell ref="AA54:AB54"/>
    <mergeCell ref="W58:W59"/>
    <mergeCell ref="Y58:Y59"/>
    <mergeCell ref="AA58:AA59"/>
    <mergeCell ref="U59:V59"/>
    <mergeCell ref="U46:V46"/>
    <mergeCell ref="U50:V50"/>
    <mergeCell ref="W51:X51"/>
    <mergeCell ref="W54:X54"/>
    <mergeCell ref="Y54:Z54"/>
    <mergeCell ref="Y41:Z41"/>
    <mergeCell ref="AA41:AB41"/>
    <mergeCell ref="W45:W46"/>
    <mergeCell ref="Y45:Y46"/>
    <mergeCell ref="AA45:AA46"/>
    <mergeCell ref="AA28:AB28"/>
    <mergeCell ref="W32:W33"/>
    <mergeCell ref="Y32:Y33"/>
    <mergeCell ref="AA32:AA33"/>
    <mergeCell ref="U33:V33"/>
    <mergeCell ref="AA15:AB15"/>
    <mergeCell ref="W19:W20"/>
    <mergeCell ref="Y19:Y20"/>
    <mergeCell ref="AA19:AA20"/>
    <mergeCell ref="U20:V20"/>
    <mergeCell ref="AA2:AB2"/>
    <mergeCell ref="W6:W7"/>
    <mergeCell ref="Y6:Y7"/>
    <mergeCell ref="AA6:AA7"/>
    <mergeCell ref="U7:V7"/>
    <mergeCell ref="K50:L50"/>
    <mergeCell ref="K59:L59"/>
    <mergeCell ref="K63:L63"/>
    <mergeCell ref="W2:X2"/>
    <mergeCell ref="Y2:Z2"/>
    <mergeCell ref="U11:V11"/>
    <mergeCell ref="W12:X12"/>
    <mergeCell ref="W15:X15"/>
    <mergeCell ref="Y15:Z15"/>
    <mergeCell ref="U24:V24"/>
    <mergeCell ref="W25:X25"/>
    <mergeCell ref="W28:X28"/>
    <mergeCell ref="Y28:Z28"/>
    <mergeCell ref="U37:V37"/>
    <mergeCell ref="W38:X38"/>
    <mergeCell ref="W41:X41"/>
    <mergeCell ref="K20:L20"/>
    <mergeCell ref="K24:L24"/>
    <mergeCell ref="K33:L33"/>
    <mergeCell ref="K37:L37"/>
    <mergeCell ref="K46:L46"/>
    <mergeCell ref="K11:L11"/>
    <mergeCell ref="K7:L7"/>
    <mergeCell ref="M2:N2"/>
    <mergeCell ref="M1:N1"/>
    <mergeCell ref="M6:M7"/>
    <mergeCell ref="O2:P2"/>
    <mergeCell ref="Q2:R2"/>
    <mergeCell ref="O6:O7"/>
    <mergeCell ref="Q6:Q7"/>
    <mergeCell ref="M12:N12"/>
    <mergeCell ref="M28:N28"/>
    <mergeCell ref="O28:P28"/>
    <mergeCell ref="Q28:R28"/>
    <mergeCell ref="M32:M33"/>
    <mergeCell ref="O32:O33"/>
    <mergeCell ref="Q32:Q33"/>
    <mergeCell ref="M25:N25"/>
    <mergeCell ref="M15:N15"/>
    <mergeCell ref="O15:P15"/>
    <mergeCell ref="Q15:R15"/>
    <mergeCell ref="M19:M20"/>
    <mergeCell ref="O19:O20"/>
    <mergeCell ref="Q19:Q20"/>
    <mergeCell ref="M38:N38"/>
    <mergeCell ref="M41:N41"/>
    <mergeCell ref="O41:P41"/>
    <mergeCell ref="Q41:R41"/>
    <mergeCell ref="M45:M46"/>
    <mergeCell ref="O45:O46"/>
    <mergeCell ref="Q45:Q46"/>
    <mergeCell ref="M64:N64"/>
    <mergeCell ref="M51:N51"/>
    <mergeCell ref="M54:N54"/>
    <mergeCell ref="O54:P54"/>
    <mergeCell ref="Q54:R54"/>
    <mergeCell ref="M58:M59"/>
    <mergeCell ref="O58:O59"/>
    <mergeCell ref="Q58:Q59"/>
  </mergeCells>
  <dataValidations count="1">
    <dataValidation type="list" allowBlank="1" showInputMessage="1" showErrorMessage="1" sqref="L5 L18 L31 L44 L57 V5 V18 V31 V44 V57 AF5 AF18 AF31 AF44 AF57 AP5 AP18 AP31 AP44 AP57 AZ5 AZ18 AZ31 AZ44 AZ57 BJ5 BJ18 BJ31 BJ44 BJ57" xr:uid="{00000000-0002-0000-0700-000000000000}">
      <formula1>"8, 10, 12"</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B1:BP70"/>
  <sheetViews>
    <sheetView zoomScale="85" zoomScaleNormal="85" workbookViewId="0">
      <selection activeCell="C3" sqref="C3"/>
    </sheetView>
  </sheetViews>
  <sheetFormatPr defaultRowHeight="12.75"/>
  <cols>
    <col min="1" max="11" width="9.140625" style="150"/>
    <col min="12" max="12" width="11.140625" style="150" customWidth="1"/>
    <col min="13" max="13" width="10.5703125" style="150" customWidth="1"/>
    <col min="14" max="14" width="11.28515625" style="150" customWidth="1"/>
    <col min="15" max="15" width="10.5703125" style="150" customWidth="1"/>
    <col min="16" max="16" width="10.28515625" style="150" customWidth="1"/>
    <col min="17" max="17" width="10.140625" style="150" customWidth="1"/>
    <col min="18" max="18" width="10" style="150" bestFit="1" customWidth="1"/>
    <col min="19" max="19" width="7.42578125" style="151" customWidth="1"/>
    <col min="20" max="20" width="7" style="150" customWidth="1"/>
    <col min="21" max="21" width="9.140625" style="150"/>
    <col min="22" max="22" width="11.140625" style="150" customWidth="1"/>
    <col min="23" max="23" width="10.5703125" style="150" customWidth="1"/>
    <col min="24" max="24" width="11.28515625" style="150" customWidth="1"/>
    <col min="25" max="25" width="10.5703125" style="150" customWidth="1"/>
    <col min="26" max="26" width="10.28515625" style="150" customWidth="1"/>
    <col min="27" max="27" width="10.140625" style="150" customWidth="1"/>
    <col min="28" max="28" width="10" style="150" bestFit="1" customWidth="1"/>
    <col min="29" max="31" width="9.140625" style="150"/>
    <col min="32" max="32" width="11.140625" style="150" customWidth="1"/>
    <col min="33" max="33" width="10.5703125" style="150" customWidth="1"/>
    <col min="34" max="34" width="11.28515625" style="150" customWidth="1"/>
    <col min="35" max="35" width="10.5703125" style="150" customWidth="1"/>
    <col min="36" max="36" width="10.28515625" style="150" customWidth="1"/>
    <col min="37" max="37" width="10.140625" style="150" customWidth="1"/>
    <col min="38" max="38" width="10" style="150" bestFit="1" customWidth="1"/>
    <col min="39" max="41" width="9.140625" style="150"/>
    <col min="42" max="42" width="11.140625" style="150" customWidth="1"/>
    <col min="43" max="43" width="10.5703125" style="150" customWidth="1"/>
    <col min="44" max="44" width="11.28515625" style="150" customWidth="1"/>
    <col min="45" max="45" width="10.5703125" style="150" customWidth="1"/>
    <col min="46" max="46" width="10.28515625" style="150" customWidth="1"/>
    <col min="47" max="47" width="10.140625" style="150" customWidth="1"/>
    <col min="48" max="48" width="10" style="150" bestFit="1" customWidth="1"/>
    <col min="49" max="51" width="9.140625" style="150"/>
    <col min="52" max="52" width="11.140625" style="150" customWidth="1"/>
    <col min="53" max="53" width="10.5703125" style="150" customWidth="1"/>
    <col min="54" max="54" width="11.28515625" style="150" customWidth="1"/>
    <col min="55" max="55" width="10.5703125" style="150" customWidth="1"/>
    <col min="56" max="56" width="10.28515625" style="150" customWidth="1"/>
    <col min="57" max="57" width="10.140625" style="150" customWidth="1"/>
    <col min="58" max="58" width="10" style="150" bestFit="1" customWidth="1"/>
    <col min="59" max="61" width="9.140625" style="150"/>
    <col min="62" max="62" width="11.140625" style="150" customWidth="1"/>
    <col min="63" max="63" width="10.5703125" style="150" customWidth="1"/>
    <col min="64" max="64" width="11.28515625" style="150" customWidth="1"/>
    <col min="65" max="65" width="10.5703125" style="150" customWidth="1"/>
    <col min="66" max="66" width="10.28515625" style="150" customWidth="1"/>
    <col min="67" max="67" width="10.140625" style="150" customWidth="1"/>
    <col min="68" max="68" width="10" style="150" bestFit="1" customWidth="1"/>
    <col min="69" max="16384" width="9.140625" style="150"/>
  </cols>
  <sheetData>
    <row r="1" spans="2:68" ht="13.5" thickBot="1">
      <c r="C1" s="277" t="s">
        <v>149</v>
      </c>
      <c r="D1" s="277" t="s">
        <v>149</v>
      </c>
      <c r="E1" s="150" t="s">
        <v>5</v>
      </c>
      <c r="F1" s="150" t="s">
        <v>5</v>
      </c>
      <c r="G1" s="277" t="s">
        <v>149</v>
      </c>
      <c r="H1" s="150" t="s">
        <v>5</v>
      </c>
      <c r="L1" s="154"/>
      <c r="M1" s="671"/>
      <c r="N1" s="671"/>
      <c r="O1" s="154"/>
      <c r="P1" s="154"/>
      <c r="Q1" s="228">
        <v>13</v>
      </c>
      <c r="R1" s="228">
        <v>15</v>
      </c>
      <c r="S1" s="292"/>
      <c r="T1" s="228">
        <v>18</v>
      </c>
      <c r="V1" s="154"/>
      <c r="W1" s="671"/>
      <c r="X1" s="671"/>
      <c r="Y1" s="154"/>
      <c r="Z1" s="154"/>
      <c r="AA1" s="228"/>
      <c r="AB1" s="228"/>
      <c r="AD1" s="300"/>
      <c r="AF1" s="154"/>
      <c r="AG1" s="671"/>
      <c r="AH1" s="671"/>
      <c r="AI1" s="154"/>
      <c r="AJ1" s="154"/>
      <c r="AK1" s="228"/>
      <c r="AL1" s="228"/>
      <c r="AN1" s="300"/>
      <c r="AP1" s="154"/>
      <c r="AQ1" s="671"/>
      <c r="AR1" s="671"/>
      <c r="AS1" s="154"/>
      <c r="AT1" s="154"/>
      <c r="AU1" s="228"/>
      <c r="AV1" s="228"/>
      <c r="AX1" s="300"/>
      <c r="AZ1" s="154"/>
      <c r="BA1" s="671"/>
      <c r="BB1" s="671"/>
      <c r="BC1" s="154"/>
      <c r="BD1" s="154"/>
      <c r="BE1" s="228"/>
      <c r="BF1" s="228"/>
      <c r="BH1" s="300"/>
      <c r="BJ1" s="154"/>
      <c r="BK1" s="671"/>
      <c r="BL1" s="671"/>
      <c r="BM1" s="154"/>
      <c r="BN1" s="154"/>
      <c r="BO1" s="228"/>
      <c r="BP1" s="228"/>
    </row>
    <row r="2" spans="2:68" ht="15.75" thickBot="1">
      <c r="B2" s="277" t="s">
        <v>150</v>
      </c>
      <c r="C2" s="277" t="s">
        <v>151</v>
      </c>
      <c r="D2" s="277" t="s">
        <v>137</v>
      </c>
      <c r="E2" s="277" t="s">
        <v>151</v>
      </c>
      <c r="F2" s="277" t="s">
        <v>137</v>
      </c>
      <c r="G2" s="277" t="s">
        <v>152</v>
      </c>
      <c r="H2" s="277" t="s">
        <v>152</v>
      </c>
      <c r="K2" s="203"/>
      <c r="L2" s="443"/>
      <c r="M2" s="444"/>
      <c r="N2" s="444"/>
      <c r="O2" s="444"/>
      <c r="P2" s="444"/>
      <c r="Q2" s="444"/>
      <c r="R2" s="444"/>
      <c r="S2" s="293"/>
      <c r="T2" s="300"/>
      <c r="U2" s="373" t="s">
        <v>7</v>
      </c>
      <c r="V2" s="532">
        <f>B3</f>
        <v>42430</v>
      </c>
      <c r="W2" s="674" t="s">
        <v>100</v>
      </c>
      <c r="X2" s="675"/>
      <c r="Y2" s="674" t="s">
        <v>99</v>
      </c>
      <c r="Z2" s="675"/>
      <c r="AA2" s="676" t="s">
        <v>16</v>
      </c>
      <c r="AB2" s="677"/>
      <c r="AD2" s="300"/>
      <c r="AE2" s="373" t="s">
        <v>7</v>
      </c>
      <c r="AF2" s="532">
        <f>B4</f>
        <v>42431</v>
      </c>
      <c r="AG2" s="674" t="s">
        <v>100</v>
      </c>
      <c r="AH2" s="675"/>
      <c r="AI2" s="674" t="s">
        <v>99</v>
      </c>
      <c r="AJ2" s="675"/>
      <c r="AK2" s="676" t="s">
        <v>16</v>
      </c>
      <c r="AL2" s="677"/>
      <c r="AN2" s="300"/>
      <c r="AO2" s="373" t="s">
        <v>7</v>
      </c>
      <c r="AP2" s="532">
        <f>B5</f>
        <v>42432</v>
      </c>
      <c r="AQ2" s="674" t="s">
        <v>100</v>
      </c>
      <c r="AR2" s="675"/>
      <c r="AS2" s="674" t="s">
        <v>99</v>
      </c>
      <c r="AT2" s="675"/>
      <c r="AU2" s="676" t="s">
        <v>16</v>
      </c>
      <c r="AV2" s="677"/>
      <c r="AX2" s="300"/>
      <c r="AY2" s="373" t="s">
        <v>7</v>
      </c>
      <c r="AZ2" s="532">
        <f>B6</f>
        <v>42433</v>
      </c>
      <c r="BA2" s="674" t="s">
        <v>100</v>
      </c>
      <c r="BB2" s="675"/>
      <c r="BC2" s="674" t="s">
        <v>99</v>
      </c>
      <c r="BD2" s="675"/>
      <c r="BE2" s="676" t="s">
        <v>16</v>
      </c>
      <c r="BF2" s="677"/>
      <c r="BH2" s="300"/>
      <c r="BI2" s="373" t="s">
        <v>7</v>
      </c>
      <c r="BJ2" s="532">
        <f>B7</f>
        <v>42434</v>
      </c>
      <c r="BK2" s="674" t="s">
        <v>100</v>
      </c>
      <c r="BL2" s="675"/>
      <c r="BM2" s="674" t="s">
        <v>99</v>
      </c>
      <c r="BN2" s="675"/>
      <c r="BO2" s="676" t="s">
        <v>16</v>
      </c>
      <c r="BP2" s="677"/>
    </row>
    <row r="3" spans="2:68" ht="13.5" thickBot="1">
      <c r="B3" s="278">
        <v>42430</v>
      </c>
      <c r="G3" s="150">
        <f>C3+D3</f>
        <v>0</v>
      </c>
      <c r="H3" s="150">
        <f>E3+F3</f>
        <v>0</v>
      </c>
      <c r="K3" s="156"/>
      <c r="L3" s="156"/>
      <c r="M3" s="156"/>
      <c r="N3" s="156"/>
      <c r="O3" s="224"/>
      <c r="P3" s="224"/>
      <c r="Q3" s="224"/>
      <c r="R3" s="224"/>
      <c r="S3" s="156"/>
      <c r="T3" s="300"/>
      <c r="U3" s="356"/>
      <c r="V3" s="355"/>
      <c r="W3" s="356"/>
      <c r="X3" s="357"/>
      <c r="Y3" s="367"/>
      <c r="Z3" s="368"/>
      <c r="AA3" s="369"/>
      <c r="AB3" s="368"/>
      <c r="AD3" s="300"/>
      <c r="AE3" s="356"/>
      <c r="AF3" s="355"/>
      <c r="AG3" s="356"/>
      <c r="AH3" s="357"/>
      <c r="AI3" s="367"/>
      <c r="AJ3" s="368"/>
      <c r="AK3" s="369"/>
      <c r="AL3" s="368"/>
      <c r="AN3" s="300"/>
      <c r="AO3" s="356"/>
      <c r="AP3" s="355"/>
      <c r="AQ3" s="356"/>
      <c r="AR3" s="357"/>
      <c r="AS3" s="367"/>
      <c r="AT3" s="368"/>
      <c r="AU3" s="369"/>
      <c r="AV3" s="368"/>
      <c r="AX3" s="300"/>
      <c r="AY3" s="356"/>
      <c r="AZ3" s="355"/>
      <c r="BA3" s="356"/>
      <c r="BB3" s="357"/>
      <c r="BC3" s="367"/>
      <c r="BD3" s="368"/>
      <c r="BE3" s="369"/>
      <c r="BF3" s="368"/>
      <c r="BH3" s="300"/>
      <c r="BI3" s="356"/>
      <c r="BJ3" s="355"/>
      <c r="BK3" s="356"/>
      <c r="BL3" s="357"/>
      <c r="BM3" s="367"/>
      <c r="BN3" s="368"/>
      <c r="BO3" s="369"/>
      <c r="BP3" s="368"/>
    </row>
    <row r="4" spans="2:68" ht="16.5" thickBot="1">
      <c r="B4" s="278">
        <v>42431</v>
      </c>
      <c r="G4" s="150">
        <f t="shared" ref="G4:G32" si="0">C4+D4</f>
        <v>0</v>
      </c>
      <c r="H4" s="150">
        <f t="shared" ref="H4:H32" si="1">E4+F4</f>
        <v>0</v>
      </c>
      <c r="K4" s="156"/>
      <c r="L4" s="445"/>
      <c r="M4" s="439"/>
      <c r="N4" s="446"/>
      <c r="O4" s="439"/>
      <c r="P4" s="446"/>
      <c r="Q4" s="439"/>
      <c r="R4" s="447"/>
      <c r="S4" s="294"/>
      <c r="T4" s="300"/>
      <c r="U4" s="356"/>
      <c r="V4" s="371" t="s">
        <v>155</v>
      </c>
      <c r="W4" s="358" t="s">
        <v>103</v>
      </c>
      <c r="X4" s="279"/>
      <c r="Y4" s="358" t="s">
        <v>103</v>
      </c>
      <c r="Z4" s="279"/>
      <c r="AA4" s="359" t="s">
        <v>103</v>
      </c>
      <c r="AB4" s="370">
        <f>SUM(X4,Z4)</f>
        <v>0</v>
      </c>
      <c r="AD4" s="300"/>
      <c r="AE4" s="356"/>
      <c r="AF4" s="371" t="s">
        <v>155</v>
      </c>
      <c r="AG4" s="358" t="s">
        <v>103</v>
      </c>
      <c r="AH4" s="279"/>
      <c r="AI4" s="358" t="s">
        <v>103</v>
      </c>
      <c r="AJ4" s="279"/>
      <c r="AK4" s="359" t="s">
        <v>103</v>
      </c>
      <c r="AL4" s="370">
        <f>SUM(AH4,AJ4)</f>
        <v>0</v>
      </c>
      <c r="AN4" s="300"/>
      <c r="AO4" s="356"/>
      <c r="AP4" s="371" t="s">
        <v>155</v>
      </c>
      <c r="AQ4" s="358" t="s">
        <v>103</v>
      </c>
      <c r="AR4" s="279"/>
      <c r="AS4" s="358" t="s">
        <v>103</v>
      </c>
      <c r="AT4" s="279"/>
      <c r="AU4" s="359" t="s">
        <v>103</v>
      </c>
      <c r="AV4" s="370">
        <f>SUM(AR4,AT4)</f>
        <v>0</v>
      </c>
      <c r="AX4" s="300"/>
      <c r="AY4" s="356"/>
      <c r="AZ4" s="371" t="s">
        <v>155</v>
      </c>
      <c r="BA4" s="358" t="s">
        <v>103</v>
      </c>
      <c r="BB4" s="279"/>
      <c r="BC4" s="358" t="s">
        <v>103</v>
      </c>
      <c r="BD4" s="279"/>
      <c r="BE4" s="359" t="s">
        <v>103</v>
      </c>
      <c r="BF4" s="370">
        <f>SUM(BB4,BD4)</f>
        <v>0</v>
      </c>
      <c r="BH4" s="300"/>
      <c r="BI4" s="356"/>
      <c r="BJ4" s="371" t="s">
        <v>155</v>
      </c>
      <c r="BK4" s="358" t="s">
        <v>103</v>
      </c>
      <c r="BL4" s="279"/>
      <c r="BM4" s="358" t="s">
        <v>103</v>
      </c>
      <c r="BN4" s="279"/>
      <c r="BO4" s="359" t="s">
        <v>103</v>
      </c>
      <c r="BP4" s="370">
        <f>SUM(BL4,BN4)</f>
        <v>0</v>
      </c>
    </row>
    <row r="5" spans="2:68" ht="18.75" thickBot="1">
      <c r="B5" s="278">
        <v>42432</v>
      </c>
      <c r="G5" s="150">
        <f t="shared" si="0"/>
        <v>0</v>
      </c>
      <c r="H5" s="150">
        <f t="shared" si="1"/>
        <v>0</v>
      </c>
      <c r="K5" s="156"/>
      <c r="L5" s="448"/>
      <c r="M5" s="449"/>
      <c r="N5" s="450"/>
      <c r="O5" s="439"/>
      <c r="P5" s="450"/>
      <c r="Q5" s="439"/>
      <c r="R5" s="447"/>
      <c r="S5" s="294"/>
      <c r="T5" s="300"/>
      <c r="U5" s="356"/>
      <c r="V5" s="289">
        <v>8</v>
      </c>
      <c r="W5" s="360" t="s">
        <v>5</v>
      </c>
      <c r="X5" s="361">
        <f>VLOOKUP(V2, $B$3:$E$109, 4, FALSE)</f>
        <v>0</v>
      </c>
      <c r="Y5" s="358" t="s">
        <v>5</v>
      </c>
      <c r="Z5" s="361">
        <f>VLOOKUP(V2, $B$3:$F$109, 5, FALSE)</f>
        <v>0</v>
      </c>
      <c r="AA5" s="359" t="s">
        <v>5</v>
      </c>
      <c r="AB5" s="370">
        <f>SUM(X5,Z5)</f>
        <v>0</v>
      </c>
      <c r="AD5" s="300"/>
      <c r="AE5" s="356"/>
      <c r="AF5" s="289">
        <v>8</v>
      </c>
      <c r="AG5" s="360" t="s">
        <v>5</v>
      </c>
      <c r="AH5" s="361">
        <f>VLOOKUP(AF2, $B$3:$E$109, 4, FALSE)</f>
        <v>0</v>
      </c>
      <c r="AI5" s="358" t="s">
        <v>5</v>
      </c>
      <c r="AJ5" s="361">
        <f>VLOOKUP(AF2, $B$3:$F$109, 5, FALSE)</f>
        <v>0</v>
      </c>
      <c r="AK5" s="359" t="s">
        <v>5</v>
      </c>
      <c r="AL5" s="370">
        <f>SUM(AH5,AJ5)</f>
        <v>0</v>
      </c>
      <c r="AN5" s="300"/>
      <c r="AO5" s="356"/>
      <c r="AP5" s="289">
        <v>8</v>
      </c>
      <c r="AQ5" s="360" t="s">
        <v>5</v>
      </c>
      <c r="AR5" s="361">
        <f>VLOOKUP(AP2, $B$3:$E$109, 4, FALSE)</f>
        <v>0</v>
      </c>
      <c r="AS5" s="358" t="s">
        <v>5</v>
      </c>
      <c r="AT5" s="361">
        <f>VLOOKUP(AP2, $B$3:$F$109, 5, FALSE)</f>
        <v>0</v>
      </c>
      <c r="AU5" s="359" t="s">
        <v>5</v>
      </c>
      <c r="AV5" s="370">
        <f>SUM(AR5,AT5)</f>
        <v>0</v>
      </c>
      <c r="AX5" s="300"/>
      <c r="AY5" s="356"/>
      <c r="AZ5" s="289">
        <v>8</v>
      </c>
      <c r="BA5" s="360" t="s">
        <v>5</v>
      </c>
      <c r="BB5" s="361">
        <f>VLOOKUP(AZ2, $B$3:$E$109, 4, FALSE)</f>
        <v>0</v>
      </c>
      <c r="BC5" s="358" t="s">
        <v>5</v>
      </c>
      <c r="BD5" s="361">
        <f>VLOOKUP(AZ2, $B$3:$F$109, 5, FALSE)</f>
        <v>0</v>
      </c>
      <c r="BE5" s="359" t="s">
        <v>5</v>
      </c>
      <c r="BF5" s="370">
        <f>SUM(BB5,BD5)</f>
        <v>0</v>
      </c>
      <c r="BH5" s="300"/>
      <c r="BI5" s="356"/>
      <c r="BJ5" s="289">
        <v>8</v>
      </c>
      <c r="BK5" s="360" t="s">
        <v>5</v>
      </c>
      <c r="BL5" s="361">
        <f>VLOOKUP(BJ2, $B$3:$E$109, 4, FALSE)</f>
        <v>0</v>
      </c>
      <c r="BM5" s="358" t="s">
        <v>5</v>
      </c>
      <c r="BN5" s="361">
        <f>VLOOKUP(BJ2, $B$3:$F$109, 5, FALSE)</f>
        <v>0</v>
      </c>
      <c r="BO5" s="359" t="s">
        <v>5</v>
      </c>
      <c r="BP5" s="370">
        <f>SUM(BL5,BN5)</f>
        <v>0</v>
      </c>
    </row>
    <row r="6" spans="2:68" ht="15.75" customHeight="1">
      <c r="B6" s="278">
        <v>42433</v>
      </c>
      <c r="C6" s="2"/>
      <c r="D6" s="2"/>
      <c r="E6" s="2"/>
      <c r="F6" s="2"/>
      <c r="G6" s="2">
        <f t="shared" si="0"/>
        <v>0</v>
      </c>
      <c r="H6" s="2">
        <f t="shared" si="1"/>
        <v>0</v>
      </c>
      <c r="K6" s="156"/>
      <c r="L6" s="156"/>
      <c r="M6" s="440"/>
      <c r="N6" s="450"/>
      <c r="O6" s="440"/>
      <c r="P6" s="450"/>
      <c r="Q6" s="440"/>
      <c r="R6" s="447"/>
      <c r="S6" s="294"/>
      <c r="T6" s="300"/>
      <c r="U6" s="356"/>
      <c r="V6" s="355"/>
      <c r="W6" s="672" t="s">
        <v>105</v>
      </c>
      <c r="X6" s="361">
        <f>VLOOKUP(V2, $B$3:$E$109, 2, FALSE)</f>
        <v>0</v>
      </c>
      <c r="Y6" s="672" t="s">
        <v>105</v>
      </c>
      <c r="Z6" s="361">
        <f>VLOOKUP(V2, $B$3:$E$109, 3, FALSE)</f>
        <v>0</v>
      </c>
      <c r="AA6" s="673" t="s">
        <v>105</v>
      </c>
      <c r="AB6" s="370">
        <f>SUM(X6,Z6)</f>
        <v>0</v>
      </c>
      <c r="AD6" s="300"/>
      <c r="AE6" s="356"/>
      <c r="AF6" s="355"/>
      <c r="AG6" s="672" t="s">
        <v>105</v>
      </c>
      <c r="AH6" s="361">
        <f>VLOOKUP(AF2, $B$3:$E$109, 2, FALSE)</f>
        <v>0</v>
      </c>
      <c r="AI6" s="672" t="s">
        <v>105</v>
      </c>
      <c r="AJ6" s="361">
        <f>VLOOKUP(AF2, $B$3:$E$109, 3, FALSE)</f>
        <v>0</v>
      </c>
      <c r="AK6" s="673" t="s">
        <v>105</v>
      </c>
      <c r="AL6" s="370">
        <f>SUM(AH6,AJ6)</f>
        <v>0</v>
      </c>
      <c r="AN6" s="300"/>
      <c r="AO6" s="356"/>
      <c r="AP6" s="355"/>
      <c r="AQ6" s="672" t="s">
        <v>105</v>
      </c>
      <c r="AR6" s="361">
        <f>VLOOKUP(AP2, $B$3:$E$109, 2, FALSE)</f>
        <v>0</v>
      </c>
      <c r="AS6" s="672" t="s">
        <v>105</v>
      </c>
      <c r="AT6" s="361">
        <f>VLOOKUP(AP2, $B$3:$E$109, 3, FALSE)</f>
        <v>0</v>
      </c>
      <c r="AU6" s="673" t="s">
        <v>105</v>
      </c>
      <c r="AV6" s="370">
        <f>SUM(AR6,AT6)</f>
        <v>0</v>
      </c>
      <c r="AX6" s="300"/>
      <c r="AY6" s="356"/>
      <c r="AZ6" s="355"/>
      <c r="BA6" s="672" t="s">
        <v>105</v>
      </c>
      <c r="BB6" s="361">
        <f>VLOOKUP(AZ2, $B$3:$E$109, 2, FALSE)</f>
        <v>0</v>
      </c>
      <c r="BC6" s="672" t="s">
        <v>105</v>
      </c>
      <c r="BD6" s="361">
        <f>VLOOKUP(AZ2, $B$3:$E$109, 3, FALSE)</f>
        <v>0</v>
      </c>
      <c r="BE6" s="673" t="s">
        <v>105</v>
      </c>
      <c r="BF6" s="370">
        <f>SUM(BB6,BD6)</f>
        <v>0</v>
      </c>
      <c r="BH6" s="300"/>
      <c r="BI6" s="356"/>
      <c r="BJ6" s="355"/>
      <c r="BK6" s="672" t="s">
        <v>105</v>
      </c>
      <c r="BL6" s="361">
        <f>VLOOKUP(BJ2, $B$3:$E$109, 2, FALSE)</f>
        <v>0</v>
      </c>
      <c r="BM6" s="672" t="s">
        <v>105</v>
      </c>
      <c r="BN6" s="361">
        <f>VLOOKUP(BJ2, $B$3:$E$109, 3, FALSE)</f>
        <v>0</v>
      </c>
      <c r="BO6" s="673" t="s">
        <v>105</v>
      </c>
      <c r="BP6" s="370">
        <f>SUM(BL6,BN6)</f>
        <v>0</v>
      </c>
    </row>
    <row r="7" spans="2:68" ht="17.25" customHeight="1">
      <c r="B7" s="278">
        <v>42434</v>
      </c>
      <c r="C7" s="2"/>
      <c r="D7" s="337"/>
      <c r="E7" s="2"/>
      <c r="F7" s="2"/>
      <c r="G7" s="337">
        <f t="shared" si="0"/>
        <v>0</v>
      </c>
      <c r="H7" s="2">
        <f t="shared" si="1"/>
        <v>0</v>
      </c>
      <c r="K7" s="451"/>
      <c r="L7" s="451"/>
      <c r="M7" s="440"/>
      <c r="N7" s="156"/>
      <c r="O7" s="440"/>
      <c r="P7" s="224"/>
      <c r="Q7" s="440"/>
      <c r="R7" s="224"/>
      <c r="S7" s="156"/>
      <c r="T7" s="300"/>
      <c r="U7" s="704" t="s">
        <v>157</v>
      </c>
      <c r="V7" s="705"/>
      <c r="W7" s="673"/>
      <c r="X7" s="357"/>
      <c r="Y7" s="672"/>
      <c r="Z7" s="368"/>
      <c r="AA7" s="673"/>
      <c r="AB7" s="368"/>
      <c r="AD7" s="300"/>
      <c r="AE7" s="704" t="s">
        <v>157</v>
      </c>
      <c r="AF7" s="705"/>
      <c r="AG7" s="673"/>
      <c r="AH7" s="357"/>
      <c r="AI7" s="672"/>
      <c r="AJ7" s="368"/>
      <c r="AK7" s="673"/>
      <c r="AL7" s="368"/>
      <c r="AN7" s="300"/>
      <c r="AO7" s="704" t="s">
        <v>157</v>
      </c>
      <c r="AP7" s="705"/>
      <c r="AQ7" s="673"/>
      <c r="AR7" s="357"/>
      <c r="AS7" s="672"/>
      <c r="AT7" s="368"/>
      <c r="AU7" s="673"/>
      <c r="AV7" s="368"/>
      <c r="AX7" s="300"/>
      <c r="AY7" s="704" t="s">
        <v>157</v>
      </c>
      <c r="AZ7" s="705"/>
      <c r="BA7" s="673"/>
      <c r="BB7" s="357"/>
      <c r="BC7" s="672"/>
      <c r="BD7" s="368"/>
      <c r="BE7" s="673"/>
      <c r="BF7" s="368"/>
      <c r="BH7" s="300"/>
      <c r="BI7" s="704" t="s">
        <v>157</v>
      </c>
      <c r="BJ7" s="705"/>
      <c r="BK7" s="673"/>
      <c r="BL7" s="357"/>
      <c r="BM7" s="672"/>
      <c r="BN7" s="368"/>
      <c r="BO7" s="673"/>
      <c r="BP7" s="368"/>
    </row>
    <row r="8" spans="2:68" ht="15.75">
      <c r="B8" s="278">
        <v>42435</v>
      </c>
      <c r="G8" s="150">
        <f t="shared" si="0"/>
        <v>0</v>
      </c>
      <c r="H8" s="150">
        <f t="shared" si="1"/>
        <v>0</v>
      </c>
      <c r="K8" s="451"/>
      <c r="L8" s="441"/>
      <c r="M8" s="442"/>
      <c r="N8" s="156"/>
      <c r="O8" s="440"/>
      <c r="P8" s="156"/>
      <c r="Q8" s="442"/>
      <c r="R8" s="156"/>
      <c r="S8" s="156"/>
      <c r="T8" s="300"/>
      <c r="U8" s="374"/>
      <c r="V8" s="372">
        <f>AB4*13</f>
        <v>0</v>
      </c>
      <c r="W8" s="362"/>
      <c r="X8" s="357"/>
      <c r="Y8" s="363"/>
      <c r="Z8" s="357"/>
      <c r="AA8" s="364"/>
      <c r="AB8" s="357"/>
      <c r="AD8" s="300"/>
      <c r="AE8" s="374"/>
      <c r="AF8" s="372">
        <f>AL4*13</f>
        <v>0</v>
      </c>
      <c r="AG8" s="362"/>
      <c r="AH8" s="357"/>
      <c r="AI8" s="363"/>
      <c r="AJ8" s="357"/>
      <c r="AK8" s="364"/>
      <c r="AL8" s="357"/>
      <c r="AN8" s="300"/>
      <c r="AO8" s="374"/>
      <c r="AP8" s="372">
        <f>AV4*13</f>
        <v>0</v>
      </c>
      <c r="AQ8" s="362"/>
      <c r="AR8" s="357"/>
      <c r="AS8" s="363"/>
      <c r="AT8" s="357"/>
      <c r="AU8" s="364"/>
      <c r="AV8" s="357"/>
      <c r="AX8" s="300"/>
      <c r="AY8" s="374"/>
      <c r="AZ8" s="372">
        <f>BF4*13</f>
        <v>0</v>
      </c>
      <c r="BA8" s="362"/>
      <c r="BB8" s="357"/>
      <c r="BC8" s="363"/>
      <c r="BD8" s="357"/>
      <c r="BE8" s="364"/>
      <c r="BF8" s="357"/>
      <c r="BH8" s="300"/>
      <c r="BI8" s="374"/>
      <c r="BJ8" s="372">
        <f>BP4*13</f>
        <v>0</v>
      </c>
      <c r="BK8" s="362"/>
      <c r="BL8" s="357"/>
      <c r="BM8" s="363"/>
      <c r="BN8" s="357"/>
      <c r="BO8" s="364"/>
      <c r="BP8" s="357"/>
    </row>
    <row r="9" spans="2:68" ht="18.75">
      <c r="B9" s="278">
        <v>42436</v>
      </c>
      <c r="G9" s="150">
        <f t="shared" si="0"/>
        <v>0</v>
      </c>
      <c r="H9" s="150">
        <f t="shared" si="1"/>
        <v>0</v>
      </c>
      <c r="K9" s="156"/>
      <c r="L9" s="98"/>
      <c r="M9" s="452"/>
      <c r="N9" s="295"/>
      <c r="O9" s="452"/>
      <c r="P9" s="295"/>
      <c r="Q9" s="452"/>
      <c r="R9" s="295"/>
      <c r="S9" s="295"/>
      <c r="T9" s="300"/>
      <c r="U9" s="356"/>
      <c r="V9" s="375"/>
      <c r="W9" s="286" t="s">
        <v>97</v>
      </c>
      <c r="X9" s="287" t="e">
        <f>X6/((X4*EFFICIENCY!$H$28))</f>
        <v>#DIV/0!</v>
      </c>
      <c r="Y9" s="286" t="s">
        <v>97</v>
      </c>
      <c r="Z9" s="287" t="e">
        <f>Z6/(Z4*EFFICIENCY!$H$28)</f>
        <v>#DIV/0!</v>
      </c>
      <c r="AA9" s="286" t="s">
        <v>97</v>
      </c>
      <c r="AB9" s="287" t="e">
        <f>AB6/(AB4*EFFICIENCY!$H$28)</f>
        <v>#DIV/0!</v>
      </c>
      <c r="AD9" s="300"/>
      <c r="AE9" s="356"/>
      <c r="AF9" s="375"/>
      <c r="AG9" s="286" t="s">
        <v>97</v>
      </c>
      <c r="AH9" s="287" t="e">
        <f>AH6/((AH4*EFFICIENCY!$H$28))</f>
        <v>#DIV/0!</v>
      </c>
      <c r="AI9" s="286" t="s">
        <v>97</v>
      </c>
      <c r="AJ9" s="287" t="e">
        <f>AJ6/(AJ4*EFFICIENCY!$H$28)</f>
        <v>#DIV/0!</v>
      </c>
      <c r="AK9" s="286" t="s">
        <v>97</v>
      </c>
      <c r="AL9" s="287" t="e">
        <f>AL6/(AL4*EFFICIENCY!$H$28)</f>
        <v>#DIV/0!</v>
      </c>
      <c r="AN9" s="300"/>
      <c r="AO9" s="356"/>
      <c r="AP9" s="375"/>
      <c r="AQ9" s="286" t="s">
        <v>97</v>
      </c>
      <c r="AR9" s="287" t="e">
        <f>AR6/((AR4*EFFICIENCY!$H$28))</f>
        <v>#DIV/0!</v>
      </c>
      <c r="AS9" s="286" t="s">
        <v>97</v>
      </c>
      <c r="AT9" s="287" t="e">
        <f>AT6/(AT4*EFFICIENCY!$H$28)</f>
        <v>#DIV/0!</v>
      </c>
      <c r="AU9" s="286" t="s">
        <v>97</v>
      </c>
      <c r="AV9" s="287" t="e">
        <f>AV6/(AV4*EFFICIENCY!$H$28)</f>
        <v>#DIV/0!</v>
      </c>
      <c r="AX9" s="300"/>
      <c r="AY9" s="356"/>
      <c r="AZ9" s="375"/>
      <c r="BA9" s="286" t="s">
        <v>97</v>
      </c>
      <c r="BB9" s="287" t="e">
        <f>BB6/((BB4*EFFICIENCY!$H$28))</f>
        <v>#DIV/0!</v>
      </c>
      <c r="BC9" s="286" t="s">
        <v>97</v>
      </c>
      <c r="BD9" s="287" t="e">
        <f>BD6/(BD4*EFFICIENCY!$H$28)</f>
        <v>#DIV/0!</v>
      </c>
      <c r="BE9" s="286" t="s">
        <v>97</v>
      </c>
      <c r="BF9" s="287" t="e">
        <f>BF6/(BF4*EFFICIENCY!$H$28)</f>
        <v>#DIV/0!</v>
      </c>
      <c r="BH9" s="300"/>
      <c r="BI9" s="356"/>
      <c r="BJ9" s="375"/>
      <c r="BK9" s="286" t="s">
        <v>97</v>
      </c>
      <c r="BL9" s="287" t="e">
        <f>BL6/((BL4*EFFICIENCY!$H$28))</f>
        <v>#DIV/0!</v>
      </c>
      <c r="BM9" s="286" t="s">
        <v>97</v>
      </c>
      <c r="BN9" s="287" t="e">
        <f>BN6/(BN4*EFFICIENCY!$H$28)</f>
        <v>#DIV/0!</v>
      </c>
      <c r="BO9" s="286" t="s">
        <v>97</v>
      </c>
      <c r="BP9" s="287" t="e">
        <f>BP6/(BP4*EFFICIENCY!$H$28)</f>
        <v>#DIV/0!</v>
      </c>
    </row>
    <row r="10" spans="2:68" ht="18.75" customHeight="1">
      <c r="B10" s="278">
        <v>42437</v>
      </c>
      <c r="G10" s="150">
        <f t="shared" si="0"/>
        <v>0</v>
      </c>
      <c r="H10" s="150">
        <f t="shared" si="1"/>
        <v>0</v>
      </c>
      <c r="K10" s="156"/>
      <c r="L10" s="156"/>
      <c r="M10" s="453"/>
      <c r="N10" s="296"/>
      <c r="O10" s="453"/>
      <c r="P10" s="296"/>
      <c r="Q10" s="453"/>
      <c r="R10" s="296"/>
      <c r="S10" s="296"/>
      <c r="T10" s="300"/>
      <c r="U10" s="356"/>
      <c r="V10" s="355"/>
      <c r="W10" s="280" t="s">
        <v>96</v>
      </c>
      <c r="X10" s="281" t="e">
        <f>X6/(X4*EFFICIENCY!$I$28)</f>
        <v>#DIV/0!</v>
      </c>
      <c r="Y10" s="280" t="s">
        <v>96</v>
      </c>
      <c r="Z10" s="281" t="e">
        <f>Z6/(Z4*EFFICIENCY!$I$28)</f>
        <v>#DIV/0!</v>
      </c>
      <c r="AA10" s="280" t="s">
        <v>96</v>
      </c>
      <c r="AB10" s="281" t="e">
        <f>AB6/(AB4*EFFICIENCY!$I$28)</f>
        <v>#DIV/0!</v>
      </c>
      <c r="AD10" s="300"/>
      <c r="AE10" s="356"/>
      <c r="AF10" s="355"/>
      <c r="AG10" s="280" t="s">
        <v>96</v>
      </c>
      <c r="AH10" s="281" t="e">
        <f>AH6/(AH4*EFFICIENCY!$I$28)</f>
        <v>#DIV/0!</v>
      </c>
      <c r="AI10" s="280" t="s">
        <v>96</v>
      </c>
      <c r="AJ10" s="281" t="e">
        <f>AJ6/(AJ4*EFFICIENCY!$I$28)</f>
        <v>#DIV/0!</v>
      </c>
      <c r="AK10" s="280" t="s">
        <v>96</v>
      </c>
      <c r="AL10" s="281" t="e">
        <f>AL6/(AL4*EFFICIENCY!$I$28)</f>
        <v>#DIV/0!</v>
      </c>
      <c r="AN10" s="300"/>
      <c r="AO10" s="356"/>
      <c r="AP10" s="355"/>
      <c r="AQ10" s="280" t="s">
        <v>96</v>
      </c>
      <c r="AR10" s="281" t="e">
        <f>AR6/(AR4*EFFICIENCY!$I$28)</f>
        <v>#DIV/0!</v>
      </c>
      <c r="AS10" s="280" t="s">
        <v>96</v>
      </c>
      <c r="AT10" s="281" t="e">
        <f>AT6/(AT4*EFFICIENCY!$I$28)</f>
        <v>#DIV/0!</v>
      </c>
      <c r="AU10" s="280" t="s">
        <v>96</v>
      </c>
      <c r="AV10" s="281" t="e">
        <f>AV6/(AV4*EFFICIENCY!$I$28)</f>
        <v>#DIV/0!</v>
      </c>
      <c r="AX10" s="300"/>
      <c r="AY10" s="356"/>
      <c r="AZ10" s="355"/>
      <c r="BA10" s="280" t="s">
        <v>96</v>
      </c>
      <c r="BB10" s="281" t="e">
        <f>BB6/(BB4*EFFICIENCY!$I$28)</f>
        <v>#DIV/0!</v>
      </c>
      <c r="BC10" s="280" t="s">
        <v>96</v>
      </c>
      <c r="BD10" s="281" t="e">
        <f>BD6/(BD4*EFFICIENCY!$I$28)</f>
        <v>#DIV/0!</v>
      </c>
      <c r="BE10" s="280" t="s">
        <v>96</v>
      </c>
      <c r="BF10" s="281" t="e">
        <f>BF6/(BF4*EFFICIENCY!$I$28)</f>
        <v>#DIV/0!</v>
      </c>
      <c r="BH10" s="300"/>
      <c r="BI10" s="356"/>
      <c r="BJ10" s="355"/>
      <c r="BK10" s="280" t="s">
        <v>96</v>
      </c>
      <c r="BL10" s="281" t="e">
        <f>BL6/(BL4*EFFICIENCY!$I$28)</f>
        <v>#DIV/0!</v>
      </c>
      <c r="BM10" s="280" t="s">
        <v>96</v>
      </c>
      <c r="BN10" s="281" t="e">
        <f>BN6/(BN4*EFFICIENCY!$I$28)</f>
        <v>#DIV/0!</v>
      </c>
      <c r="BO10" s="280" t="s">
        <v>96</v>
      </c>
      <c r="BP10" s="281" t="e">
        <f>BP6/(BP4*EFFICIENCY!$I$28)</f>
        <v>#DIV/0!</v>
      </c>
    </row>
    <row r="11" spans="2:68" ht="17.25" customHeight="1" thickBot="1">
      <c r="B11" s="278">
        <v>42438</v>
      </c>
      <c r="G11" s="150">
        <f t="shared" si="0"/>
        <v>0</v>
      </c>
      <c r="H11" s="150">
        <f t="shared" si="1"/>
        <v>0</v>
      </c>
      <c r="K11" s="454"/>
      <c r="L11" s="454"/>
      <c r="M11" s="455"/>
      <c r="N11" s="297"/>
      <c r="O11" s="455"/>
      <c r="P11" s="297"/>
      <c r="Q11" s="455"/>
      <c r="R11" s="297"/>
      <c r="S11" s="297"/>
      <c r="T11" s="300"/>
      <c r="U11" s="692" t="s">
        <v>156</v>
      </c>
      <c r="V11" s="693"/>
      <c r="W11" s="284" t="s">
        <v>94</v>
      </c>
      <c r="X11" s="285" t="e">
        <f>X6/((X4*EFFICIENCY!$K$28))</f>
        <v>#DIV/0!</v>
      </c>
      <c r="Y11" s="288" t="s">
        <v>94</v>
      </c>
      <c r="Z11" s="285" t="e">
        <f>Z6/((Z4*EFFICIENCY!$K$28))</f>
        <v>#DIV/0!</v>
      </c>
      <c r="AA11" s="284" t="s">
        <v>94</v>
      </c>
      <c r="AB11" s="285" t="e">
        <f>AB6/((AB4*EFFICIENCY!$K$28))</f>
        <v>#DIV/0!</v>
      </c>
      <c r="AD11" s="300"/>
      <c r="AE11" s="692" t="s">
        <v>156</v>
      </c>
      <c r="AF11" s="693"/>
      <c r="AG11" s="284" t="s">
        <v>94</v>
      </c>
      <c r="AH11" s="285" t="e">
        <f>AH6/((AH4*EFFICIENCY!$K$28))</f>
        <v>#DIV/0!</v>
      </c>
      <c r="AI11" s="288" t="s">
        <v>94</v>
      </c>
      <c r="AJ11" s="285" t="e">
        <f>AJ6/((AJ4*EFFICIENCY!$K$28))</f>
        <v>#DIV/0!</v>
      </c>
      <c r="AK11" s="284" t="s">
        <v>94</v>
      </c>
      <c r="AL11" s="285" t="e">
        <f>AL6/((AL4*EFFICIENCY!$K$28))</f>
        <v>#DIV/0!</v>
      </c>
      <c r="AN11" s="300"/>
      <c r="AO11" s="692" t="s">
        <v>156</v>
      </c>
      <c r="AP11" s="693"/>
      <c r="AQ11" s="284" t="s">
        <v>94</v>
      </c>
      <c r="AR11" s="285" t="e">
        <f>AR6/((AR4*EFFICIENCY!$K$28))</f>
        <v>#DIV/0!</v>
      </c>
      <c r="AS11" s="288" t="s">
        <v>94</v>
      </c>
      <c r="AT11" s="285" t="e">
        <f>AT6/((AT4*EFFICIENCY!$K$28))</f>
        <v>#DIV/0!</v>
      </c>
      <c r="AU11" s="284" t="s">
        <v>94</v>
      </c>
      <c r="AV11" s="285" t="e">
        <f>AV6/((AV4*EFFICIENCY!$K$28))</f>
        <v>#DIV/0!</v>
      </c>
      <c r="AX11" s="300"/>
      <c r="AY11" s="692" t="s">
        <v>156</v>
      </c>
      <c r="AZ11" s="693"/>
      <c r="BA11" s="284" t="s">
        <v>94</v>
      </c>
      <c r="BB11" s="285" t="e">
        <f>BB6/((BB4*EFFICIENCY!$K$28))</f>
        <v>#DIV/0!</v>
      </c>
      <c r="BC11" s="288" t="s">
        <v>94</v>
      </c>
      <c r="BD11" s="285" t="e">
        <f>BD6/((BD4*EFFICIENCY!$K$28))</f>
        <v>#DIV/0!</v>
      </c>
      <c r="BE11" s="284" t="s">
        <v>94</v>
      </c>
      <c r="BF11" s="285" t="e">
        <f>BF6/((BF4*EFFICIENCY!$K$28))</f>
        <v>#DIV/0!</v>
      </c>
      <c r="BH11" s="300"/>
      <c r="BI11" s="692" t="s">
        <v>156</v>
      </c>
      <c r="BJ11" s="693"/>
      <c r="BK11" s="284" t="s">
        <v>94</v>
      </c>
      <c r="BL11" s="285" t="e">
        <f>BL6/((BL4*EFFICIENCY!$K$28))</f>
        <v>#DIV/0!</v>
      </c>
      <c r="BM11" s="288" t="s">
        <v>94</v>
      </c>
      <c r="BN11" s="285" t="e">
        <f>BN6/((BN4*EFFICIENCY!$K$28))</f>
        <v>#DIV/0!</v>
      </c>
      <c r="BO11" s="284" t="s">
        <v>94</v>
      </c>
      <c r="BP11" s="285" t="e">
        <f>BP6/((BP4*EFFICIENCY!$K$28))</f>
        <v>#DIV/0!</v>
      </c>
    </row>
    <row r="12" spans="2:68" ht="16.5" thickBot="1">
      <c r="B12" s="278">
        <v>42439</v>
      </c>
      <c r="G12" s="150">
        <f t="shared" si="0"/>
        <v>0</v>
      </c>
      <c r="H12" s="150">
        <f t="shared" si="1"/>
        <v>0</v>
      </c>
      <c r="K12" s="156"/>
      <c r="L12" s="441"/>
      <c r="M12" s="456"/>
      <c r="N12" s="456"/>
      <c r="O12" s="457"/>
      <c r="P12" s="458"/>
      <c r="Q12" s="458"/>
      <c r="R12" s="298"/>
      <c r="S12" s="298"/>
      <c r="T12" s="300"/>
      <c r="U12" s="376"/>
      <c r="V12" s="377" t="e">
        <f>AB6/AB4</f>
        <v>#DIV/0!</v>
      </c>
      <c r="W12" s="678" t="s">
        <v>153</v>
      </c>
      <c r="X12" s="679"/>
      <c r="Y12" s="290"/>
      <c r="Z12" s="365"/>
      <c r="AA12" s="365" t="s">
        <v>154</v>
      </c>
      <c r="AB12" s="366">
        <f>Y12-AB6</f>
        <v>0</v>
      </c>
      <c r="AD12" s="300"/>
      <c r="AE12" s="376"/>
      <c r="AF12" s="377" t="e">
        <f>AL6/AL4</f>
        <v>#DIV/0!</v>
      </c>
      <c r="AG12" s="678" t="s">
        <v>153</v>
      </c>
      <c r="AH12" s="679"/>
      <c r="AI12" s="290"/>
      <c r="AJ12" s="365"/>
      <c r="AK12" s="365" t="s">
        <v>154</v>
      </c>
      <c r="AL12" s="366">
        <f>AI12-AL6</f>
        <v>0</v>
      </c>
      <c r="AN12" s="300"/>
      <c r="AO12" s="376"/>
      <c r="AP12" s="377" t="e">
        <f>AV6/AV4</f>
        <v>#DIV/0!</v>
      </c>
      <c r="AQ12" s="678" t="s">
        <v>153</v>
      </c>
      <c r="AR12" s="679"/>
      <c r="AS12" s="290"/>
      <c r="AT12" s="365"/>
      <c r="AU12" s="365" t="s">
        <v>154</v>
      </c>
      <c r="AV12" s="366">
        <f>AS12-AV6</f>
        <v>0</v>
      </c>
      <c r="AX12" s="300"/>
      <c r="AY12" s="376"/>
      <c r="AZ12" s="377" t="e">
        <f>BF6/BF4</f>
        <v>#DIV/0!</v>
      </c>
      <c r="BA12" s="678" t="s">
        <v>153</v>
      </c>
      <c r="BB12" s="679"/>
      <c r="BC12" s="290"/>
      <c r="BD12" s="365"/>
      <c r="BE12" s="365" t="s">
        <v>154</v>
      </c>
      <c r="BF12" s="366">
        <f>BC12-BF6</f>
        <v>0</v>
      </c>
      <c r="BH12" s="300"/>
      <c r="BI12" s="376"/>
      <c r="BJ12" s="377" t="e">
        <f>BP6/BP4</f>
        <v>#DIV/0!</v>
      </c>
      <c r="BK12" s="678" t="s">
        <v>153</v>
      </c>
      <c r="BL12" s="679"/>
      <c r="BM12" s="290"/>
      <c r="BN12" s="365"/>
      <c r="BO12" s="365" t="s">
        <v>154</v>
      </c>
      <c r="BP12" s="366">
        <f>BM12-BP6</f>
        <v>0</v>
      </c>
    </row>
    <row r="13" spans="2:68" ht="15.75" customHeight="1">
      <c r="B13" s="278">
        <v>42440</v>
      </c>
      <c r="G13" s="150">
        <f t="shared" si="0"/>
        <v>0</v>
      </c>
      <c r="H13" s="150">
        <f t="shared" si="1"/>
        <v>0</v>
      </c>
      <c r="L13" s="154"/>
      <c r="T13" s="300"/>
      <c r="V13" s="154"/>
      <c r="AD13" s="300"/>
      <c r="AF13" s="154"/>
      <c r="AN13" s="300"/>
      <c r="AP13" s="154"/>
      <c r="AX13" s="300"/>
      <c r="AZ13" s="154"/>
      <c r="BH13" s="300"/>
      <c r="BJ13" s="154"/>
    </row>
    <row r="14" spans="2:68" ht="15" customHeight="1" thickBot="1">
      <c r="B14" s="278">
        <v>42441</v>
      </c>
      <c r="G14" s="150">
        <f t="shared" si="0"/>
        <v>0</v>
      </c>
      <c r="H14" s="150">
        <f t="shared" si="1"/>
        <v>0</v>
      </c>
      <c r="K14" s="291"/>
      <c r="L14" s="291"/>
      <c r="M14" s="291"/>
      <c r="N14" s="291"/>
      <c r="O14" s="291"/>
      <c r="P14" s="291"/>
      <c r="Q14" s="291"/>
      <c r="R14" s="291"/>
      <c r="S14" s="299"/>
      <c r="T14" s="301"/>
      <c r="U14" s="291"/>
      <c r="V14" s="291"/>
      <c r="W14" s="291"/>
      <c r="X14" s="291"/>
      <c r="Y14" s="291"/>
      <c r="Z14" s="291"/>
      <c r="AA14" s="291"/>
      <c r="AB14" s="291"/>
      <c r="AC14" s="291"/>
      <c r="AD14" s="301"/>
      <c r="AE14" s="291"/>
      <c r="AF14" s="291"/>
      <c r="AG14" s="291"/>
      <c r="AH14" s="291"/>
      <c r="AI14" s="291"/>
      <c r="AJ14" s="291"/>
      <c r="AK14" s="291"/>
      <c r="AL14" s="291"/>
      <c r="AM14" s="291"/>
      <c r="AN14" s="301"/>
      <c r="AO14" s="291"/>
      <c r="AP14" s="291"/>
      <c r="AQ14" s="291"/>
      <c r="AR14" s="291"/>
      <c r="AS14" s="291"/>
      <c r="AT14" s="291"/>
      <c r="AU14" s="291"/>
      <c r="AV14" s="291"/>
      <c r="AW14" s="291"/>
      <c r="AX14" s="301"/>
      <c r="AY14" s="291"/>
      <c r="AZ14" s="291"/>
      <c r="BA14" s="291"/>
      <c r="BB14" s="291"/>
      <c r="BC14" s="291"/>
      <c r="BD14" s="291"/>
      <c r="BE14" s="291"/>
      <c r="BF14" s="291"/>
      <c r="BG14" s="291"/>
      <c r="BH14" s="300"/>
      <c r="BI14" s="291"/>
      <c r="BJ14" s="291"/>
      <c r="BK14" s="291"/>
      <c r="BL14" s="291"/>
      <c r="BM14" s="291"/>
      <c r="BN14" s="291"/>
      <c r="BO14" s="291"/>
      <c r="BP14" s="291"/>
    </row>
    <row r="15" spans="2:68" ht="15.75" thickBot="1">
      <c r="B15" s="278">
        <v>42442</v>
      </c>
      <c r="G15" s="150">
        <f t="shared" si="0"/>
        <v>0</v>
      </c>
      <c r="H15" s="150">
        <f t="shared" si="1"/>
        <v>0</v>
      </c>
      <c r="K15" s="378" t="s">
        <v>7</v>
      </c>
      <c r="L15" s="533">
        <f>B9</f>
        <v>42436</v>
      </c>
      <c r="M15" s="663" t="s">
        <v>100</v>
      </c>
      <c r="N15" s="664"/>
      <c r="O15" s="665" t="s">
        <v>99</v>
      </c>
      <c r="P15" s="666"/>
      <c r="Q15" s="667" t="s">
        <v>16</v>
      </c>
      <c r="R15" s="668"/>
      <c r="S15" s="293"/>
      <c r="T15" s="302"/>
      <c r="U15" s="378" t="s">
        <v>7</v>
      </c>
      <c r="V15" s="533">
        <f>B10</f>
        <v>42437</v>
      </c>
      <c r="W15" s="663" t="s">
        <v>100</v>
      </c>
      <c r="X15" s="664"/>
      <c r="Y15" s="665" t="s">
        <v>99</v>
      </c>
      <c r="Z15" s="666"/>
      <c r="AA15" s="667" t="s">
        <v>16</v>
      </c>
      <c r="AB15" s="668"/>
      <c r="AD15" s="300"/>
      <c r="AE15" s="378" t="s">
        <v>7</v>
      </c>
      <c r="AF15" s="533">
        <f>B11</f>
        <v>42438</v>
      </c>
      <c r="AG15" s="663" t="s">
        <v>100</v>
      </c>
      <c r="AH15" s="664"/>
      <c r="AI15" s="665" t="s">
        <v>99</v>
      </c>
      <c r="AJ15" s="666"/>
      <c r="AK15" s="667" t="s">
        <v>16</v>
      </c>
      <c r="AL15" s="668"/>
      <c r="AN15" s="300"/>
      <c r="AO15" s="378" t="s">
        <v>7</v>
      </c>
      <c r="AP15" s="533">
        <f>B12</f>
        <v>42439</v>
      </c>
      <c r="AQ15" s="663" t="s">
        <v>100</v>
      </c>
      <c r="AR15" s="664"/>
      <c r="AS15" s="665" t="s">
        <v>99</v>
      </c>
      <c r="AT15" s="666"/>
      <c r="AU15" s="667" t="s">
        <v>16</v>
      </c>
      <c r="AV15" s="668"/>
      <c r="AX15" s="300"/>
      <c r="AY15" s="378" t="s">
        <v>7</v>
      </c>
      <c r="AZ15" s="533">
        <f>B13</f>
        <v>42440</v>
      </c>
      <c r="BA15" s="663" t="s">
        <v>100</v>
      </c>
      <c r="BB15" s="664"/>
      <c r="BC15" s="665" t="s">
        <v>99</v>
      </c>
      <c r="BD15" s="666"/>
      <c r="BE15" s="667" t="s">
        <v>16</v>
      </c>
      <c r="BF15" s="668"/>
      <c r="BH15" s="300"/>
      <c r="BI15" s="378" t="s">
        <v>7</v>
      </c>
      <c r="BJ15" s="533">
        <f>B14</f>
        <v>42441</v>
      </c>
      <c r="BK15" s="663" t="s">
        <v>100</v>
      </c>
      <c r="BL15" s="664"/>
      <c r="BM15" s="665" t="s">
        <v>99</v>
      </c>
      <c r="BN15" s="666"/>
      <c r="BO15" s="667" t="s">
        <v>16</v>
      </c>
      <c r="BP15" s="668"/>
    </row>
    <row r="16" spans="2:68" ht="13.5" thickBot="1">
      <c r="B16" s="278">
        <v>42443</v>
      </c>
      <c r="G16" s="150">
        <f t="shared" si="0"/>
        <v>0</v>
      </c>
      <c r="H16" s="150">
        <f t="shared" si="1"/>
        <v>0</v>
      </c>
      <c r="K16" s="339"/>
      <c r="L16" s="338"/>
      <c r="M16" s="339"/>
      <c r="N16" s="340"/>
      <c r="O16" s="339"/>
      <c r="P16" s="340"/>
      <c r="Q16" s="338"/>
      <c r="R16" s="340"/>
      <c r="S16" s="156"/>
      <c r="T16" s="302"/>
      <c r="U16" s="339"/>
      <c r="V16" s="338"/>
      <c r="W16" s="339"/>
      <c r="X16" s="340"/>
      <c r="Y16" s="339"/>
      <c r="Z16" s="340"/>
      <c r="AA16" s="338"/>
      <c r="AB16" s="340"/>
      <c r="AD16" s="300"/>
      <c r="AE16" s="339"/>
      <c r="AF16" s="338"/>
      <c r="AG16" s="339"/>
      <c r="AH16" s="340"/>
      <c r="AI16" s="339"/>
      <c r="AJ16" s="340"/>
      <c r="AK16" s="338"/>
      <c r="AL16" s="340"/>
      <c r="AN16" s="300"/>
      <c r="AO16" s="339"/>
      <c r="AP16" s="338"/>
      <c r="AQ16" s="339"/>
      <c r="AR16" s="340"/>
      <c r="AS16" s="339"/>
      <c r="AT16" s="340"/>
      <c r="AU16" s="338"/>
      <c r="AV16" s="340"/>
      <c r="AX16" s="300"/>
      <c r="AY16" s="339"/>
      <c r="AZ16" s="338"/>
      <c r="BA16" s="339"/>
      <c r="BB16" s="340"/>
      <c r="BC16" s="339"/>
      <c r="BD16" s="340"/>
      <c r="BE16" s="338"/>
      <c r="BF16" s="340"/>
      <c r="BH16" s="300"/>
      <c r="BI16" s="339"/>
      <c r="BJ16" s="338"/>
      <c r="BK16" s="339"/>
      <c r="BL16" s="340"/>
      <c r="BM16" s="339"/>
      <c r="BN16" s="340"/>
      <c r="BO16" s="338"/>
      <c r="BP16" s="340"/>
    </row>
    <row r="17" spans="2:68" ht="16.5" thickBot="1">
      <c r="B17" s="278">
        <v>42444</v>
      </c>
      <c r="G17" s="150">
        <f t="shared" si="0"/>
        <v>0</v>
      </c>
      <c r="H17" s="150">
        <f t="shared" si="1"/>
        <v>0</v>
      </c>
      <c r="K17" s="339"/>
      <c r="L17" s="341" t="s">
        <v>155</v>
      </c>
      <c r="M17" s="342" t="s">
        <v>103</v>
      </c>
      <c r="N17" s="279"/>
      <c r="O17" s="342" t="s">
        <v>103</v>
      </c>
      <c r="P17" s="279"/>
      <c r="Q17" s="343" t="s">
        <v>103</v>
      </c>
      <c r="R17" s="344">
        <f>SUM(N17,P17)</f>
        <v>0</v>
      </c>
      <c r="S17" s="294"/>
      <c r="T17" s="302"/>
      <c r="U17" s="339"/>
      <c r="V17" s="341" t="s">
        <v>155</v>
      </c>
      <c r="W17" s="342" t="s">
        <v>103</v>
      </c>
      <c r="X17" s="279"/>
      <c r="Y17" s="342" t="s">
        <v>103</v>
      </c>
      <c r="Z17" s="279"/>
      <c r="AA17" s="343" t="s">
        <v>103</v>
      </c>
      <c r="AB17" s="344">
        <f>SUM(X17,Z17)</f>
        <v>0</v>
      </c>
      <c r="AD17" s="300"/>
      <c r="AE17" s="339"/>
      <c r="AF17" s="341" t="s">
        <v>155</v>
      </c>
      <c r="AG17" s="342" t="s">
        <v>103</v>
      </c>
      <c r="AH17" s="279"/>
      <c r="AI17" s="342" t="s">
        <v>103</v>
      </c>
      <c r="AJ17" s="279"/>
      <c r="AK17" s="343" t="s">
        <v>103</v>
      </c>
      <c r="AL17" s="344">
        <f>SUM(AH17,AJ17)</f>
        <v>0</v>
      </c>
      <c r="AN17" s="300"/>
      <c r="AO17" s="339"/>
      <c r="AP17" s="341" t="s">
        <v>155</v>
      </c>
      <c r="AQ17" s="342" t="s">
        <v>103</v>
      </c>
      <c r="AR17" s="279"/>
      <c r="AS17" s="342" t="s">
        <v>103</v>
      </c>
      <c r="AT17" s="279"/>
      <c r="AU17" s="343" t="s">
        <v>103</v>
      </c>
      <c r="AV17" s="344">
        <f>SUM(AR17,AT17)</f>
        <v>0</v>
      </c>
      <c r="AX17" s="300"/>
      <c r="AY17" s="339"/>
      <c r="AZ17" s="341" t="s">
        <v>155</v>
      </c>
      <c r="BA17" s="342" t="s">
        <v>103</v>
      </c>
      <c r="BB17" s="279"/>
      <c r="BC17" s="342" t="s">
        <v>103</v>
      </c>
      <c r="BD17" s="279"/>
      <c r="BE17" s="343" t="s">
        <v>103</v>
      </c>
      <c r="BF17" s="344">
        <f>SUM(BB17,BD17)</f>
        <v>0</v>
      </c>
      <c r="BH17" s="300"/>
      <c r="BI17" s="339"/>
      <c r="BJ17" s="341" t="s">
        <v>155</v>
      </c>
      <c r="BK17" s="342" t="s">
        <v>103</v>
      </c>
      <c r="BL17" s="279"/>
      <c r="BM17" s="342" t="s">
        <v>103</v>
      </c>
      <c r="BN17" s="279"/>
      <c r="BO17" s="343" t="s">
        <v>103</v>
      </c>
      <c r="BP17" s="344">
        <f>SUM(BL17,BN17)</f>
        <v>0</v>
      </c>
    </row>
    <row r="18" spans="2:68" ht="18.75" thickBot="1">
      <c r="B18" s="278">
        <v>42445</v>
      </c>
      <c r="G18" s="150">
        <f t="shared" si="0"/>
        <v>0</v>
      </c>
      <c r="H18" s="150">
        <f t="shared" si="1"/>
        <v>0</v>
      </c>
      <c r="K18" s="339"/>
      <c r="L18" s="289">
        <v>8</v>
      </c>
      <c r="M18" s="345" t="s">
        <v>5</v>
      </c>
      <c r="N18" s="346">
        <f>VLOOKUP(L15, $B$3:$E$109, 4, FALSE)</f>
        <v>0</v>
      </c>
      <c r="O18" s="345" t="s">
        <v>5</v>
      </c>
      <c r="P18" s="347">
        <f>VLOOKUP(L15, $B$3:$F$109, 5, FALSE)</f>
        <v>0</v>
      </c>
      <c r="Q18" s="348" t="s">
        <v>5</v>
      </c>
      <c r="R18" s="344">
        <f>SUM(N18,P18)</f>
        <v>0</v>
      </c>
      <c r="S18" s="294"/>
      <c r="T18" s="302"/>
      <c r="U18" s="339"/>
      <c r="V18" s="289">
        <v>8</v>
      </c>
      <c r="W18" s="345" t="s">
        <v>5</v>
      </c>
      <c r="X18" s="346">
        <f>VLOOKUP(V15, $B$3:$E$109, 4, FALSE)</f>
        <v>0</v>
      </c>
      <c r="Y18" s="345" t="s">
        <v>5</v>
      </c>
      <c r="Z18" s="347">
        <f>VLOOKUP(V15, $B$3:$F$109, 5, FALSE)</f>
        <v>0</v>
      </c>
      <c r="AA18" s="348" t="s">
        <v>5</v>
      </c>
      <c r="AB18" s="344">
        <f>SUM(X18,Z18)</f>
        <v>0</v>
      </c>
      <c r="AD18" s="300"/>
      <c r="AE18" s="339"/>
      <c r="AF18" s="289">
        <v>8</v>
      </c>
      <c r="AG18" s="345" t="s">
        <v>5</v>
      </c>
      <c r="AH18" s="346">
        <f>VLOOKUP(AF15, $B$3:$E$109, 4, FALSE)</f>
        <v>0</v>
      </c>
      <c r="AI18" s="345" t="s">
        <v>5</v>
      </c>
      <c r="AJ18" s="347">
        <f>VLOOKUP(AF15, $B$3:$F$109, 5, FALSE)</f>
        <v>0</v>
      </c>
      <c r="AK18" s="348" t="s">
        <v>5</v>
      </c>
      <c r="AL18" s="344">
        <f>SUM(AH18,AJ18)</f>
        <v>0</v>
      </c>
      <c r="AN18" s="300"/>
      <c r="AO18" s="339"/>
      <c r="AP18" s="289">
        <v>8</v>
      </c>
      <c r="AQ18" s="345" t="s">
        <v>5</v>
      </c>
      <c r="AR18" s="346">
        <f>VLOOKUP(AP15, $B$3:$E$109, 4, FALSE)</f>
        <v>0</v>
      </c>
      <c r="AS18" s="345" t="s">
        <v>5</v>
      </c>
      <c r="AT18" s="347">
        <f>VLOOKUP(AP15, $B$3:$F$109, 5, FALSE)</f>
        <v>0</v>
      </c>
      <c r="AU18" s="348" t="s">
        <v>5</v>
      </c>
      <c r="AV18" s="344">
        <f>SUM(AR18,AT18)</f>
        <v>0</v>
      </c>
      <c r="AX18" s="300"/>
      <c r="AY18" s="339"/>
      <c r="AZ18" s="289">
        <v>8</v>
      </c>
      <c r="BA18" s="345" t="s">
        <v>5</v>
      </c>
      <c r="BB18" s="346">
        <f>VLOOKUP(AZ15, $B$3:$E$109, 4, FALSE)</f>
        <v>0</v>
      </c>
      <c r="BC18" s="345" t="s">
        <v>5</v>
      </c>
      <c r="BD18" s="347">
        <f>VLOOKUP(AZ15, $B$3:$F$109, 5, FALSE)</f>
        <v>0</v>
      </c>
      <c r="BE18" s="348" t="s">
        <v>5</v>
      </c>
      <c r="BF18" s="344">
        <f>SUM(BB18,BD18)</f>
        <v>0</v>
      </c>
      <c r="BH18" s="300"/>
      <c r="BI18" s="339"/>
      <c r="BJ18" s="289">
        <v>8</v>
      </c>
      <c r="BK18" s="345" t="s">
        <v>5</v>
      </c>
      <c r="BL18" s="346">
        <f>VLOOKUP(BJ15, $B$3:$E$109, 4, FALSE)</f>
        <v>0</v>
      </c>
      <c r="BM18" s="345" t="s">
        <v>5</v>
      </c>
      <c r="BN18" s="347">
        <f>VLOOKUP(BJ15, $B$3:$F$109, 5, FALSE)</f>
        <v>0</v>
      </c>
      <c r="BO18" s="348" t="s">
        <v>5</v>
      </c>
      <c r="BP18" s="344">
        <f>SUM(BL18,BN18)</f>
        <v>0</v>
      </c>
    </row>
    <row r="19" spans="2:68" ht="15.75" customHeight="1">
      <c r="B19" s="278">
        <v>42446</v>
      </c>
      <c r="G19" s="150">
        <f t="shared" si="0"/>
        <v>0</v>
      </c>
      <c r="H19" s="150">
        <f t="shared" si="1"/>
        <v>0</v>
      </c>
      <c r="K19" s="339"/>
      <c r="L19" s="338"/>
      <c r="M19" s="669" t="s">
        <v>105</v>
      </c>
      <c r="N19" s="346">
        <f>VLOOKUP(L15, $B$3:$E$109, 2, FALSE)</f>
        <v>0</v>
      </c>
      <c r="O19" s="669" t="s">
        <v>105</v>
      </c>
      <c r="P19" s="347">
        <f>VLOOKUP(L15, $B$3:$E$109, 3, FALSE)</f>
        <v>0</v>
      </c>
      <c r="Q19" s="670" t="s">
        <v>105</v>
      </c>
      <c r="R19" s="344">
        <f>SUM(N19,P19)</f>
        <v>0</v>
      </c>
      <c r="S19" s="294"/>
      <c r="T19" s="302"/>
      <c r="U19" s="339"/>
      <c r="V19" s="338"/>
      <c r="W19" s="669" t="s">
        <v>105</v>
      </c>
      <c r="X19" s="346">
        <f>VLOOKUP(V15, $B$3:$E$109, 2, FALSE)</f>
        <v>0</v>
      </c>
      <c r="Y19" s="669" t="s">
        <v>105</v>
      </c>
      <c r="Z19" s="347">
        <f>VLOOKUP(V15, $B$3:$E$109, 3, FALSE)</f>
        <v>0</v>
      </c>
      <c r="AA19" s="670" t="s">
        <v>105</v>
      </c>
      <c r="AB19" s="344">
        <f>SUM(X19,Z19)</f>
        <v>0</v>
      </c>
      <c r="AD19" s="300"/>
      <c r="AE19" s="339"/>
      <c r="AF19" s="338"/>
      <c r="AG19" s="669" t="s">
        <v>105</v>
      </c>
      <c r="AH19" s="346">
        <f>VLOOKUP(AF15, $B$3:$E$109, 2, FALSE)</f>
        <v>0</v>
      </c>
      <c r="AI19" s="669" t="s">
        <v>105</v>
      </c>
      <c r="AJ19" s="347">
        <f>VLOOKUP(AF15, $B$3:$E$109, 3, FALSE)</f>
        <v>0</v>
      </c>
      <c r="AK19" s="670" t="s">
        <v>105</v>
      </c>
      <c r="AL19" s="344">
        <f>SUM(AH19,AJ19)</f>
        <v>0</v>
      </c>
      <c r="AN19" s="300"/>
      <c r="AO19" s="339"/>
      <c r="AP19" s="338"/>
      <c r="AQ19" s="669" t="s">
        <v>105</v>
      </c>
      <c r="AR19" s="346">
        <f>VLOOKUP(AP15, $B$3:$E$109, 2, FALSE)</f>
        <v>0</v>
      </c>
      <c r="AS19" s="669" t="s">
        <v>105</v>
      </c>
      <c r="AT19" s="347">
        <f>VLOOKUP(AP15, $B$3:$E$109, 3, FALSE)</f>
        <v>0</v>
      </c>
      <c r="AU19" s="670" t="s">
        <v>105</v>
      </c>
      <c r="AV19" s="344">
        <f>SUM(AR19,AT19)</f>
        <v>0</v>
      </c>
      <c r="AX19" s="300"/>
      <c r="AY19" s="339"/>
      <c r="AZ19" s="338"/>
      <c r="BA19" s="669" t="s">
        <v>105</v>
      </c>
      <c r="BB19" s="346">
        <f>VLOOKUP(AZ15, $B$3:$E$109, 2, FALSE)</f>
        <v>0</v>
      </c>
      <c r="BC19" s="669" t="s">
        <v>105</v>
      </c>
      <c r="BD19" s="347">
        <f>VLOOKUP(AZ15, $B$3:$E$109, 3, FALSE)</f>
        <v>0</v>
      </c>
      <c r="BE19" s="670" t="s">
        <v>105</v>
      </c>
      <c r="BF19" s="344">
        <f>SUM(BB19,BD19)</f>
        <v>0</v>
      </c>
      <c r="BH19" s="300"/>
      <c r="BI19" s="339"/>
      <c r="BJ19" s="338"/>
      <c r="BK19" s="669" t="s">
        <v>105</v>
      </c>
      <c r="BL19" s="346">
        <f>VLOOKUP(BJ15, $B$3:$E$109, 2, FALSE)</f>
        <v>0</v>
      </c>
      <c r="BM19" s="669" t="s">
        <v>105</v>
      </c>
      <c r="BN19" s="347">
        <f>VLOOKUP(BJ15, $B$3:$E$109, 3, FALSE)</f>
        <v>0</v>
      </c>
      <c r="BO19" s="670" t="s">
        <v>105</v>
      </c>
      <c r="BP19" s="344">
        <f>SUM(BL19,BN19)</f>
        <v>0</v>
      </c>
    </row>
    <row r="20" spans="2:68" ht="12.75" customHeight="1">
      <c r="B20" s="278">
        <v>42447</v>
      </c>
      <c r="G20" s="150">
        <f t="shared" si="0"/>
        <v>0</v>
      </c>
      <c r="H20" s="150">
        <f t="shared" si="1"/>
        <v>0</v>
      </c>
      <c r="K20" s="698" t="s">
        <v>157</v>
      </c>
      <c r="L20" s="699"/>
      <c r="M20" s="670"/>
      <c r="N20" s="340"/>
      <c r="O20" s="669"/>
      <c r="P20" s="340"/>
      <c r="Q20" s="670"/>
      <c r="R20" s="340"/>
      <c r="S20" s="156"/>
      <c r="T20" s="302"/>
      <c r="U20" s="698" t="s">
        <v>157</v>
      </c>
      <c r="V20" s="699"/>
      <c r="W20" s="670"/>
      <c r="X20" s="340"/>
      <c r="Y20" s="669"/>
      <c r="Z20" s="340"/>
      <c r="AA20" s="670"/>
      <c r="AB20" s="340"/>
      <c r="AD20" s="300"/>
      <c r="AE20" s="698" t="s">
        <v>157</v>
      </c>
      <c r="AF20" s="699"/>
      <c r="AG20" s="670"/>
      <c r="AH20" s="340"/>
      <c r="AI20" s="669"/>
      <c r="AJ20" s="340"/>
      <c r="AK20" s="670"/>
      <c r="AL20" s="340"/>
      <c r="AN20" s="300"/>
      <c r="AO20" s="698" t="s">
        <v>157</v>
      </c>
      <c r="AP20" s="699"/>
      <c r="AQ20" s="670"/>
      <c r="AR20" s="340"/>
      <c r="AS20" s="669"/>
      <c r="AT20" s="340"/>
      <c r="AU20" s="670"/>
      <c r="AV20" s="340"/>
      <c r="AX20" s="300"/>
      <c r="AY20" s="698" t="s">
        <v>157</v>
      </c>
      <c r="AZ20" s="699"/>
      <c r="BA20" s="670"/>
      <c r="BB20" s="340"/>
      <c r="BC20" s="669"/>
      <c r="BD20" s="340"/>
      <c r="BE20" s="670"/>
      <c r="BF20" s="340"/>
      <c r="BH20" s="300"/>
      <c r="BI20" s="698" t="s">
        <v>157</v>
      </c>
      <c r="BJ20" s="699"/>
      <c r="BK20" s="670"/>
      <c r="BL20" s="340"/>
      <c r="BM20" s="669"/>
      <c r="BN20" s="340"/>
      <c r="BO20" s="670"/>
      <c r="BP20" s="340"/>
    </row>
    <row r="21" spans="2:68" ht="15.75">
      <c r="B21" s="278">
        <v>42448</v>
      </c>
      <c r="G21" s="150">
        <f t="shared" si="0"/>
        <v>0</v>
      </c>
      <c r="H21" s="150">
        <f t="shared" si="1"/>
        <v>0</v>
      </c>
      <c r="K21" s="379"/>
      <c r="L21" s="349">
        <f>R17*13</f>
        <v>0</v>
      </c>
      <c r="M21" s="350"/>
      <c r="N21" s="340"/>
      <c r="O21" s="351"/>
      <c r="P21" s="340"/>
      <c r="Q21" s="352"/>
      <c r="R21" s="340"/>
      <c r="S21" s="156"/>
      <c r="T21" s="302"/>
      <c r="U21" s="379"/>
      <c r="V21" s="349">
        <f>AB17*13</f>
        <v>0</v>
      </c>
      <c r="W21" s="350"/>
      <c r="X21" s="340"/>
      <c r="Y21" s="351"/>
      <c r="Z21" s="340"/>
      <c r="AA21" s="352"/>
      <c r="AB21" s="340"/>
      <c r="AD21" s="300"/>
      <c r="AE21" s="379"/>
      <c r="AF21" s="349">
        <f>AL17*13</f>
        <v>0</v>
      </c>
      <c r="AG21" s="350"/>
      <c r="AH21" s="340"/>
      <c r="AI21" s="351"/>
      <c r="AJ21" s="340"/>
      <c r="AK21" s="352"/>
      <c r="AL21" s="340"/>
      <c r="AN21" s="300"/>
      <c r="AO21" s="379"/>
      <c r="AP21" s="349">
        <f>AV17*13</f>
        <v>0</v>
      </c>
      <c r="AQ21" s="350"/>
      <c r="AR21" s="340"/>
      <c r="AS21" s="351"/>
      <c r="AT21" s="340"/>
      <c r="AU21" s="352"/>
      <c r="AV21" s="340"/>
      <c r="AX21" s="300"/>
      <c r="AY21" s="379"/>
      <c r="AZ21" s="349">
        <f>BF17*13</f>
        <v>0</v>
      </c>
      <c r="BA21" s="350"/>
      <c r="BB21" s="340"/>
      <c r="BC21" s="351"/>
      <c r="BD21" s="340"/>
      <c r="BE21" s="352"/>
      <c r="BF21" s="340"/>
      <c r="BH21" s="300"/>
      <c r="BI21" s="379"/>
      <c r="BJ21" s="349">
        <f>BP17*13</f>
        <v>0</v>
      </c>
      <c r="BK21" s="350"/>
      <c r="BL21" s="340"/>
      <c r="BM21" s="351"/>
      <c r="BN21" s="340"/>
      <c r="BO21" s="352"/>
      <c r="BP21" s="340"/>
    </row>
    <row r="22" spans="2:68" ht="18.75">
      <c r="B22" s="278">
        <v>42449</v>
      </c>
      <c r="G22" s="150">
        <f t="shared" si="0"/>
        <v>0</v>
      </c>
      <c r="H22" s="150">
        <f t="shared" si="1"/>
        <v>0</v>
      </c>
      <c r="K22" s="339"/>
      <c r="L22" s="380"/>
      <c r="M22" s="286" t="s">
        <v>97</v>
      </c>
      <c r="N22" s="287" t="e">
        <f>N19/((N17*EFFICIENCY!$H$28))</f>
        <v>#DIV/0!</v>
      </c>
      <c r="O22" s="286" t="s">
        <v>97</v>
      </c>
      <c r="P22" s="287" t="e">
        <f>P19/(P17*EFFICIENCY!$H$28)</f>
        <v>#DIV/0!</v>
      </c>
      <c r="Q22" s="286" t="s">
        <v>97</v>
      </c>
      <c r="R22" s="287" t="e">
        <f>R19/(R17*EFFICIENCY!$H$28)</f>
        <v>#DIV/0!</v>
      </c>
      <c r="S22" s="295"/>
      <c r="T22" s="302"/>
      <c r="U22" s="339"/>
      <c r="V22" s="380"/>
      <c r="W22" s="286" t="s">
        <v>97</v>
      </c>
      <c r="X22" s="287" t="e">
        <f>X19/((X17*EFFICIENCY!$H$28))</f>
        <v>#DIV/0!</v>
      </c>
      <c r="Y22" s="286" t="s">
        <v>97</v>
      </c>
      <c r="Z22" s="287" t="e">
        <f>Z19/(Z17*EFFICIENCY!$H$28)</f>
        <v>#DIV/0!</v>
      </c>
      <c r="AA22" s="286" t="s">
        <v>97</v>
      </c>
      <c r="AB22" s="287" t="e">
        <f>AB19/(AB17*EFFICIENCY!$H$28)</f>
        <v>#DIV/0!</v>
      </c>
      <c r="AD22" s="300"/>
      <c r="AE22" s="339"/>
      <c r="AF22" s="380"/>
      <c r="AG22" s="286" t="s">
        <v>97</v>
      </c>
      <c r="AH22" s="287" t="e">
        <f>AH19/((AH17*EFFICIENCY!$H$28))</f>
        <v>#DIV/0!</v>
      </c>
      <c r="AI22" s="286" t="s">
        <v>97</v>
      </c>
      <c r="AJ22" s="287" t="e">
        <f>AJ19/(AJ17*EFFICIENCY!$H$28)</f>
        <v>#DIV/0!</v>
      </c>
      <c r="AK22" s="286" t="s">
        <v>97</v>
      </c>
      <c r="AL22" s="287" t="e">
        <f>AL19/(AL17*EFFICIENCY!$H$28)</f>
        <v>#DIV/0!</v>
      </c>
      <c r="AN22" s="300"/>
      <c r="AO22" s="339"/>
      <c r="AP22" s="380"/>
      <c r="AQ22" s="286" t="s">
        <v>97</v>
      </c>
      <c r="AR22" s="287" t="e">
        <f>AR19/((AR17*EFFICIENCY!$H$28))</f>
        <v>#DIV/0!</v>
      </c>
      <c r="AS22" s="286" t="s">
        <v>97</v>
      </c>
      <c r="AT22" s="287" t="e">
        <f>AT19/(AT17*EFFICIENCY!$H$28)</f>
        <v>#DIV/0!</v>
      </c>
      <c r="AU22" s="286" t="s">
        <v>97</v>
      </c>
      <c r="AV22" s="287" t="e">
        <f>AV19/(AV17*EFFICIENCY!$H$28)</f>
        <v>#DIV/0!</v>
      </c>
      <c r="AX22" s="300"/>
      <c r="AY22" s="339"/>
      <c r="AZ22" s="380"/>
      <c r="BA22" s="286" t="s">
        <v>97</v>
      </c>
      <c r="BB22" s="287" t="e">
        <f>BB19/((BB17*EFFICIENCY!$H$28))</f>
        <v>#DIV/0!</v>
      </c>
      <c r="BC22" s="286" t="s">
        <v>97</v>
      </c>
      <c r="BD22" s="287" t="e">
        <f>BD19/(BD17*EFFICIENCY!$H$28)</f>
        <v>#DIV/0!</v>
      </c>
      <c r="BE22" s="286" t="s">
        <v>97</v>
      </c>
      <c r="BF22" s="287" t="e">
        <f>BF19/(BF17*EFFICIENCY!$H$28)</f>
        <v>#DIV/0!</v>
      </c>
      <c r="BH22" s="300"/>
      <c r="BI22" s="339"/>
      <c r="BJ22" s="380"/>
      <c r="BK22" s="286" t="s">
        <v>97</v>
      </c>
      <c r="BL22" s="287" t="e">
        <f>BL19/((BL17*EFFICIENCY!$H$28))</f>
        <v>#DIV/0!</v>
      </c>
      <c r="BM22" s="286" t="s">
        <v>97</v>
      </c>
      <c r="BN22" s="287" t="e">
        <f>BN19/(BN17*EFFICIENCY!$H$28)</f>
        <v>#DIV/0!</v>
      </c>
      <c r="BO22" s="286" t="s">
        <v>97</v>
      </c>
      <c r="BP22" s="287" t="e">
        <f>BP19/(BP17*EFFICIENCY!$H$28)</f>
        <v>#DIV/0!</v>
      </c>
    </row>
    <row r="23" spans="2:68" ht="18.75">
      <c r="B23" s="278">
        <v>42450</v>
      </c>
      <c r="G23" s="150">
        <f t="shared" si="0"/>
        <v>0</v>
      </c>
      <c r="H23" s="150">
        <f t="shared" si="1"/>
        <v>0</v>
      </c>
      <c r="K23" s="339"/>
      <c r="L23" s="338"/>
      <c r="M23" s="280" t="s">
        <v>96</v>
      </c>
      <c r="N23" s="281" t="e">
        <f>N19/(N17*EFFICIENCY!$I$28)</f>
        <v>#DIV/0!</v>
      </c>
      <c r="O23" s="280" t="s">
        <v>96</v>
      </c>
      <c r="P23" s="281" t="e">
        <f>P19/(P17*EFFICIENCY!$I$28)</f>
        <v>#DIV/0!</v>
      </c>
      <c r="Q23" s="280" t="s">
        <v>96</v>
      </c>
      <c r="R23" s="281" t="e">
        <f>R19/(R17*EFFICIENCY!$I$28)</f>
        <v>#DIV/0!</v>
      </c>
      <c r="S23" s="296"/>
      <c r="T23" s="302"/>
      <c r="U23" s="339"/>
      <c r="V23" s="338"/>
      <c r="W23" s="280" t="s">
        <v>96</v>
      </c>
      <c r="X23" s="281" t="e">
        <f>X19/(X17*EFFICIENCY!$I$28)</f>
        <v>#DIV/0!</v>
      </c>
      <c r="Y23" s="280" t="s">
        <v>96</v>
      </c>
      <c r="Z23" s="281" t="e">
        <f>Z19/(Z17*EFFICIENCY!$I$28)</f>
        <v>#DIV/0!</v>
      </c>
      <c r="AA23" s="280" t="s">
        <v>96</v>
      </c>
      <c r="AB23" s="281" t="e">
        <f>AB19/(AB17*EFFICIENCY!$I$28)</f>
        <v>#DIV/0!</v>
      </c>
      <c r="AD23" s="300"/>
      <c r="AE23" s="339"/>
      <c r="AF23" s="338"/>
      <c r="AG23" s="280" t="s">
        <v>96</v>
      </c>
      <c r="AH23" s="281" t="e">
        <f>AH19/(AH17*EFFICIENCY!$I$28)</f>
        <v>#DIV/0!</v>
      </c>
      <c r="AI23" s="280" t="s">
        <v>96</v>
      </c>
      <c r="AJ23" s="281" t="e">
        <f>AJ19/(AJ17*EFFICIENCY!$I$28)</f>
        <v>#DIV/0!</v>
      </c>
      <c r="AK23" s="280" t="s">
        <v>96</v>
      </c>
      <c r="AL23" s="281" t="e">
        <f>AL19/(AL17*EFFICIENCY!$I$28)</f>
        <v>#DIV/0!</v>
      </c>
      <c r="AN23" s="300"/>
      <c r="AO23" s="339"/>
      <c r="AP23" s="338"/>
      <c r="AQ23" s="280" t="s">
        <v>96</v>
      </c>
      <c r="AR23" s="281" t="e">
        <f>AR19/(AR17*EFFICIENCY!$I$28)</f>
        <v>#DIV/0!</v>
      </c>
      <c r="AS23" s="280" t="s">
        <v>96</v>
      </c>
      <c r="AT23" s="281" t="e">
        <f>AT19/(AT17*EFFICIENCY!$I$28)</f>
        <v>#DIV/0!</v>
      </c>
      <c r="AU23" s="280" t="s">
        <v>96</v>
      </c>
      <c r="AV23" s="281" t="e">
        <f>AV19/(AV17*EFFICIENCY!$I$28)</f>
        <v>#DIV/0!</v>
      </c>
      <c r="AX23" s="300"/>
      <c r="AY23" s="339"/>
      <c r="AZ23" s="338"/>
      <c r="BA23" s="280" t="s">
        <v>96</v>
      </c>
      <c r="BB23" s="281" t="e">
        <f>BB19/(BB17*EFFICIENCY!$I$28)</f>
        <v>#DIV/0!</v>
      </c>
      <c r="BC23" s="280" t="s">
        <v>96</v>
      </c>
      <c r="BD23" s="281" t="e">
        <f>BD19/(BD17*EFFICIENCY!$I$28)</f>
        <v>#DIV/0!</v>
      </c>
      <c r="BE23" s="280" t="s">
        <v>96</v>
      </c>
      <c r="BF23" s="281" t="e">
        <f>BF19/(BF17*EFFICIENCY!$I$28)</f>
        <v>#DIV/0!</v>
      </c>
      <c r="BH23" s="300"/>
      <c r="BI23" s="339"/>
      <c r="BJ23" s="338"/>
      <c r="BK23" s="280" t="s">
        <v>96</v>
      </c>
      <c r="BL23" s="281" t="e">
        <f>BL19/(BL17*EFFICIENCY!$I$28)</f>
        <v>#DIV/0!</v>
      </c>
      <c r="BM23" s="280" t="s">
        <v>96</v>
      </c>
      <c r="BN23" s="281" t="e">
        <f>BN19/(BN17*EFFICIENCY!$I$28)</f>
        <v>#DIV/0!</v>
      </c>
      <c r="BO23" s="280" t="s">
        <v>96</v>
      </c>
      <c r="BP23" s="281" t="e">
        <f>BP19/(BP17*EFFICIENCY!$I$28)</f>
        <v>#DIV/0!</v>
      </c>
    </row>
    <row r="24" spans="2:68" ht="19.5" customHeight="1" thickBot="1">
      <c r="B24" s="278">
        <v>42451</v>
      </c>
      <c r="G24" s="150">
        <f t="shared" si="0"/>
        <v>0</v>
      </c>
      <c r="H24" s="150">
        <f t="shared" si="1"/>
        <v>0</v>
      </c>
      <c r="K24" s="694" t="s">
        <v>156</v>
      </c>
      <c r="L24" s="695"/>
      <c r="M24" s="284" t="s">
        <v>94</v>
      </c>
      <c r="N24" s="285" t="e">
        <f>N19/((N17*EFFICIENCY!$K$28))</f>
        <v>#DIV/0!</v>
      </c>
      <c r="O24" s="288" t="s">
        <v>94</v>
      </c>
      <c r="P24" s="285" t="e">
        <f>P19/((P17*EFFICIENCY!$K$28))</f>
        <v>#DIV/0!</v>
      </c>
      <c r="Q24" s="284" t="s">
        <v>94</v>
      </c>
      <c r="R24" s="285" t="e">
        <f>R19/((R17*EFFICIENCY!$K$28))</f>
        <v>#DIV/0!</v>
      </c>
      <c r="S24" s="297"/>
      <c r="T24" s="302"/>
      <c r="U24" s="694" t="s">
        <v>156</v>
      </c>
      <c r="V24" s="695"/>
      <c r="W24" s="284" t="s">
        <v>94</v>
      </c>
      <c r="X24" s="285" t="e">
        <f>X19/((X17*EFFICIENCY!$K$28))</f>
        <v>#DIV/0!</v>
      </c>
      <c r="Y24" s="288" t="s">
        <v>94</v>
      </c>
      <c r="Z24" s="285" t="e">
        <f>Z19/((Z17*EFFICIENCY!$K$28))</f>
        <v>#DIV/0!</v>
      </c>
      <c r="AA24" s="284" t="s">
        <v>94</v>
      </c>
      <c r="AB24" s="285" t="e">
        <f>AB19/((AB17*EFFICIENCY!$K$28))</f>
        <v>#DIV/0!</v>
      </c>
      <c r="AD24" s="300"/>
      <c r="AE24" s="694" t="s">
        <v>156</v>
      </c>
      <c r="AF24" s="695"/>
      <c r="AG24" s="284" t="s">
        <v>94</v>
      </c>
      <c r="AH24" s="285" t="e">
        <f>AH19/((AH17*EFFICIENCY!$K$28))</f>
        <v>#DIV/0!</v>
      </c>
      <c r="AI24" s="288" t="s">
        <v>94</v>
      </c>
      <c r="AJ24" s="285" t="e">
        <f>AJ19/((AJ17*EFFICIENCY!$K$28))</f>
        <v>#DIV/0!</v>
      </c>
      <c r="AK24" s="284" t="s">
        <v>94</v>
      </c>
      <c r="AL24" s="285" t="e">
        <f>AL19/((AL17*EFFICIENCY!$K$28))</f>
        <v>#DIV/0!</v>
      </c>
      <c r="AN24" s="300"/>
      <c r="AO24" s="694" t="s">
        <v>156</v>
      </c>
      <c r="AP24" s="695"/>
      <c r="AQ24" s="284" t="s">
        <v>94</v>
      </c>
      <c r="AR24" s="285" t="e">
        <f>AR19/((AR17*EFFICIENCY!$K$28))</f>
        <v>#DIV/0!</v>
      </c>
      <c r="AS24" s="288" t="s">
        <v>94</v>
      </c>
      <c r="AT24" s="285" t="e">
        <f>AT19/((AT17*EFFICIENCY!$K$28))</f>
        <v>#DIV/0!</v>
      </c>
      <c r="AU24" s="284" t="s">
        <v>94</v>
      </c>
      <c r="AV24" s="285" t="e">
        <f>AV19/((AV17*EFFICIENCY!$K$28))</f>
        <v>#DIV/0!</v>
      </c>
      <c r="AX24" s="300"/>
      <c r="AY24" s="694" t="s">
        <v>156</v>
      </c>
      <c r="AZ24" s="695"/>
      <c r="BA24" s="284" t="s">
        <v>94</v>
      </c>
      <c r="BB24" s="285" t="e">
        <f>BB19/((BB17*EFFICIENCY!$K$28))</f>
        <v>#DIV/0!</v>
      </c>
      <c r="BC24" s="288" t="s">
        <v>94</v>
      </c>
      <c r="BD24" s="285" t="e">
        <f>BD19/((BD17*EFFICIENCY!$K$28))</f>
        <v>#DIV/0!</v>
      </c>
      <c r="BE24" s="284" t="s">
        <v>94</v>
      </c>
      <c r="BF24" s="285" t="e">
        <f>BF19/((BF17*EFFICIENCY!$K$28))</f>
        <v>#DIV/0!</v>
      </c>
      <c r="BH24" s="300"/>
      <c r="BI24" s="694" t="s">
        <v>156</v>
      </c>
      <c r="BJ24" s="695"/>
      <c r="BK24" s="284" t="s">
        <v>94</v>
      </c>
      <c r="BL24" s="285" t="e">
        <f>BL19/((BL17*EFFICIENCY!$K$28))</f>
        <v>#DIV/0!</v>
      </c>
      <c r="BM24" s="288" t="s">
        <v>94</v>
      </c>
      <c r="BN24" s="285" t="e">
        <f>BN19/((BN17*EFFICIENCY!$K$28))</f>
        <v>#DIV/0!</v>
      </c>
      <c r="BO24" s="284" t="s">
        <v>94</v>
      </c>
      <c r="BP24" s="285" t="e">
        <f>BP19/((BP17*EFFICIENCY!$K$28))</f>
        <v>#DIV/0!</v>
      </c>
    </row>
    <row r="25" spans="2:68" ht="16.5" thickBot="1">
      <c r="B25" s="278">
        <v>42452</v>
      </c>
      <c r="G25" s="150">
        <f t="shared" si="0"/>
        <v>0</v>
      </c>
      <c r="H25" s="150">
        <f t="shared" si="1"/>
        <v>0</v>
      </c>
      <c r="K25" s="381"/>
      <c r="L25" s="382" t="e">
        <f>R19/R17</f>
        <v>#DIV/0!</v>
      </c>
      <c r="M25" s="661" t="s">
        <v>153</v>
      </c>
      <c r="N25" s="662"/>
      <c r="O25" s="290"/>
      <c r="P25" s="353"/>
      <c r="Q25" s="353" t="s">
        <v>154</v>
      </c>
      <c r="R25" s="354">
        <f>O25-R19</f>
        <v>0</v>
      </c>
      <c r="S25" s="298"/>
      <c r="T25" s="300"/>
      <c r="U25" s="381"/>
      <c r="V25" s="382" t="e">
        <f>AB19/AB17</f>
        <v>#DIV/0!</v>
      </c>
      <c r="W25" s="661" t="s">
        <v>153</v>
      </c>
      <c r="X25" s="662"/>
      <c r="Y25" s="290"/>
      <c r="Z25" s="353"/>
      <c r="AA25" s="353" t="s">
        <v>154</v>
      </c>
      <c r="AB25" s="354">
        <f>Y25-AB19</f>
        <v>0</v>
      </c>
      <c r="AD25" s="300"/>
      <c r="AE25" s="381"/>
      <c r="AF25" s="382" t="e">
        <f>AL19/AL17</f>
        <v>#DIV/0!</v>
      </c>
      <c r="AG25" s="661" t="s">
        <v>153</v>
      </c>
      <c r="AH25" s="662"/>
      <c r="AI25" s="290"/>
      <c r="AJ25" s="353"/>
      <c r="AK25" s="353" t="s">
        <v>154</v>
      </c>
      <c r="AL25" s="354">
        <f>AI25-AL19</f>
        <v>0</v>
      </c>
      <c r="AN25" s="300"/>
      <c r="AO25" s="381"/>
      <c r="AP25" s="382" t="e">
        <f>AV19/AV17</f>
        <v>#DIV/0!</v>
      </c>
      <c r="AQ25" s="661" t="s">
        <v>153</v>
      </c>
      <c r="AR25" s="662"/>
      <c r="AS25" s="290"/>
      <c r="AT25" s="353"/>
      <c r="AU25" s="353" t="s">
        <v>154</v>
      </c>
      <c r="AV25" s="354">
        <f>AS25-AV19</f>
        <v>0</v>
      </c>
      <c r="AX25" s="300"/>
      <c r="AY25" s="381"/>
      <c r="AZ25" s="382" t="e">
        <f>BF19/BF17</f>
        <v>#DIV/0!</v>
      </c>
      <c r="BA25" s="661" t="s">
        <v>153</v>
      </c>
      <c r="BB25" s="662"/>
      <c r="BC25" s="290"/>
      <c r="BD25" s="353"/>
      <c r="BE25" s="353" t="s">
        <v>154</v>
      </c>
      <c r="BF25" s="354">
        <f>BC25-BF19</f>
        <v>0</v>
      </c>
      <c r="BH25" s="300"/>
      <c r="BI25" s="381"/>
      <c r="BJ25" s="382" t="e">
        <f>BP19/BP17</f>
        <v>#DIV/0!</v>
      </c>
      <c r="BK25" s="661" t="s">
        <v>153</v>
      </c>
      <c r="BL25" s="662"/>
      <c r="BM25" s="290"/>
      <c r="BN25" s="353"/>
      <c r="BO25" s="353" t="s">
        <v>154</v>
      </c>
      <c r="BP25" s="354">
        <f>BM25-BP19</f>
        <v>0</v>
      </c>
    </row>
    <row r="26" spans="2:68">
      <c r="B26" s="278">
        <v>42453</v>
      </c>
      <c r="G26" s="150">
        <f t="shared" si="0"/>
        <v>0</v>
      </c>
      <c r="H26" s="150">
        <f t="shared" si="1"/>
        <v>0</v>
      </c>
      <c r="T26" s="300"/>
      <c r="AD26" s="300"/>
      <c r="AN26" s="300"/>
      <c r="AX26" s="300"/>
      <c r="BH26" s="300"/>
    </row>
    <row r="27" spans="2:68" ht="13.5" thickBot="1">
      <c r="B27" s="278">
        <v>42454</v>
      </c>
      <c r="G27" s="150">
        <f t="shared" si="0"/>
        <v>0</v>
      </c>
      <c r="H27" s="150">
        <f t="shared" si="1"/>
        <v>0</v>
      </c>
      <c r="J27" s="291"/>
      <c r="K27" s="291"/>
      <c r="L27" s="291"/>
      <c r="M27" s="291"/>
      <c r="N27" s="291"/>
      <c r="O27" s="291"/>
      <c r="P27" s="291"/>
      <c r="Q27" s="291"/>
      <c r="R27" s="291"/>
      <c r="S27" s="299"/>
      <c r="T27" s="301"/>
      <c r="U27" s="291"/>
      <c r="V27" s="291"/>
      <c r="W27" s="291"/>
      <c r="X27" s="291"/>
      <c r="Y27" s="291"/>
      <c r="Z27" s="291"/>
      <c r="AA27" s="291"/>
      <c r="AB27" s="291"/>
      <c r="AC27" s="291"/>
      <c r="AD27" s="301"/>
      <c r="AE27" s="291"/>
      <c r="AF27" s="291"/>
      <c r="AG27" s="291"/>
      <c r="AH27" s="291"/>
      <c r="AI27" s="291"/>
      <c r="AJ27" s="291"/>
      <c r="AK27" s="291"/>
      <c r="AL27" s="291"/>
      <c r="AM27" s="291"/>
      <c r="AN27" s="301"/>
      <c r="AO27" s="291"/>
      <c r="AP27" s="291"/>
      <c r="AQ27" s="291"/>
      <c r="AR27" s="291"/>
      <c r="AS27" s="291"/>
      <c r="AT27" s="291"/>
      <c r="AU27" s="291"/>
      <c r="AV27" s="291"/>
      <c r="AW27" s="291"/>
      <c r="AX27" s="301"/>
      <c r="AY27" s="291"/>
      <c r="AZ27" s="291"/>
      <c r="BA27" s="291"/>
      <c r="BB27" s="291"/>
      <c r="BC27" s="291"/>
      <c r="BD27" s="291"/>
      <c r="BE27" s="291"/>
      <c r="BF27" s="291"/>
      <c r="BG27" s="291"/>
      <c r="BH27" s="301"/>
      <c r="BI27" s="291"/>
      <c r="BJ27" s="291"/>
      <c r="BK27" s="291"/>
      <c r="BL27" s="291"/>
      <c r="BM27" s="291"/>
      <c r="BN27" s="291"/>
      <c r="BO27" s="291"/>
      <c r="BP27" s="291"/>
    </row>
    <row r="28" spans="2:68" ht="15.75" thickBot="1">
      <c r="B28" s="278">
        <v>42455</v>
      </c>
      <c r="G28" s="150">
        <f t="shared" si="0"/>
        <v>0</v>
      </c>
      <c r="H28" s="150">
        <f t="shared" si="1"/>
        <v>0</v>
      </c>
      <c r="J28" s="154"/>
      <c r="K28" s="383" t="s">
        <v>7</v>
      </c>
      <c r="L28" s="534">
        <f>B16</f>
        <v>42443</v>
      </c>
      <c r="M28" s="680" t="s">
        <v>100</v>
      </c>
      <c r="N28" s="681"/>
      <c r="O28" s="682" t="s">
        <v>99</v>
      </c>
      <c r="P28" s="683"/>
      <c r="Q28" s="684" t="s">
        <v>16</v>
      </c>
      <c r="R28" s="685"/>
      <c r="S28" s="293"/>
      <c r="T28" s="300"/>
      <c r="U28" s="383" t="s">
        <v>7</v>
      </c>
      <c r="V28" s="534">
        <f>B17</f>
        <v>42444</v>
      </c>
      <c r="W28" s="680" t="s">
        <v>100</v>
      </c>
      <c r="X28" s="681"/>
      <c r="Y28" s="682" t="s">
        <v>99</v>
      </c>
      <c r="Z28" s="683"/>
      <c r="AA28" s="684" t="s">
        <v>16</v>
      </c>
      <c r="AB28" s="685"/>
      <c r="AC28" s="154"/>
      <c r="AD28" s="300"/>
      <c r="AE28" s="383" t="s">
        <v>7</v>
      </c>
      <c r="AF28" s="534">
        <f>B18</f>
        <v>42445</v>
      </c>
      <c r="AG28" s="680" t="s">
        <v>100</v>
      </c>
      <c r="AH28" s="681"/>
      <c r="AI28" s="682" t="s">
        <v>99</v>
      </c>
      <c r="AJ28" s="683"/>
      <c r="AK28" s="684" t="s">
        <v>16</v>
      </c>
      <c r="AL28" s="685"/>
      <c r="AM28" s="154"/>
      <c r="AN28" s="300"/>
      <c r="AO28" s="383" t="s">
        <v>7</v>
      </c>
      <c r="AP28" s="534">
        <f>B19</f>
        <v>42446</v>
      </c>
      <c r="AQ28" s="680" t="s">
        <v>100</v>
      </c>
      <c r="AR28" s="681"/>
      <c r="AS28" s="682" t="s">
        <v>99</v>
      </c>
      <c r="AT28" s="683"/>
      <c r="AU28" s="684" t="s">
        <v>16</v>
      </c>
      <c r="AV28" s="685"/>
      <c r="AW28" s="154"/>
      <c r="AX28" s="300"/>
      <c r="AY28" s="383" t="s">
        <v>7</v>
      </c>
      <c r="AZ28" s="534">
        <f>B20</f>
        <v>42447</v>
      </c>
      <c r="BA28" s="680" t="s">
        <v>100</v>
      </c>
      <c r="BB28" s="681"/>
      <c r="BC28" s="682" t="s">
        <v>99</v>
      </c>
      <c r="BD28" s="683"/>
      <c r="BE28" s="684" t="s">
        <v>16</v>
      </c>
      <c r="BF28" s="685"/>
      <c r="BG28" s="154"/>
      <c r="BH28" s="300"/>
      <c r="BI28" s="383" t="s">
        <v>7</v>
      </c>
      <c r="BJ28" s="534">
        <f>B21</f>
        <v>42448</v>
      </c>
      <c r="BK28" s="680" t="s">
        <v>100</v>
      </c>
      <c r="BL28" s="681"/>
      <c r="BM28" s="682" t="s">
        <v>99</v>
      </c>
      <c r="BN28" s="683"/>
      <c r="BO28" s="684" t="s">
        <v>16</v>
      </c>
      <c r="BP28" s="685"/>
    </row>
    <row r="29" spans="2:68" ht="13.5" thickBot="1">
      <c r="B29" s="278">
        <v>42456</v>
      </c>
      <c r="G29" s="150">
        <f t="shared" si="0"/>
        <v>0</v>
      </c>
      <c r="H29" s="150">
        <f t="shared" si="1"/>
        <v>0</v>
      </c>
      <c r="K29" s="304"/>
      <c r="L29" s="303"/>
      <c r="M29" s="304"/>
      <c r="N29" s="305"/>
      <c r="O29" s="304"/>
      <c r="P29" s="305"/>
      <c r="Q29" s="303"/>
      <c r="R29" s="305"/>
      <c r="S29" s="156"/>
      <c r="T29" s="300"/>
      <c r="U29" s="304"/>
      <c r="V29" s="303"/>
      <c r="W29" s="304"/>
      <c r="X29" s="305"/>
      <c r="Y29" s="304"/>
      <c r="Z29" s="305"/>
      <c r="AA29" s="303"/>
      <c r="AB29" s="305"/>
      <c r="AD29" s="300"/>
      <c r="AE29" s="304"/>
      <c r="AF29" s="303"/>
      <c r="AG29" s="304"/>
      <c r="AH29" s="305"/>
      <c r="AI29" s="304"/>
      <c r="AJ29" s="305"/>
      <c r="AK29" s="303"/>
      <c r="AL29" s="305"/>
      <c r="AN29" s="300"/>
      <c r="AO29" s="304"/>
      <c r="AP29" s="303"/>
      <c r="AQ29" s="304"/>
      <c r="AR29" s="305"/>
      <c r="AS29" s="304"/>
      <c r="AT29" s="305"/>
      <c r="AU29" s="303"/>
      <c r="AV29" s="305"/>
      <c r="AX29" s="300"/>
      <c r="AY29" s="304"/>
      <c r="AZ29" s="303"/>
      <c r="BA29" s="304"/>
      <c r="BB29" s="305"/>
      <c r="BC29" s="304"/>
      <c r="BD29" s="305"/>
      <c r="BE29" s="303"/>
      <c r="BF29" s="305"/>
      <c r="BH29" s="300"/>
      <c r="BI29" s="304"/>
      <c r="BJ29" s="303"/>
      <c r="BK29" s="304"/>
      <c r="BL29" s="305"/>
      <c r="BM29" s="304"/>
      <c r="BN29" s="305"/>
      <c r="BO29" s="303"/>
      <c r="BP29" s="305"/>
    </row>
    <row r="30" spans="2:68" ht="16.5" thickBot="1">
      <c r="B30" s="278">
        <v>42457</v>
      </c>
      <c r="G30" s="150">
        <f t="shared" si="0"/>
        <v>0</v>
      </c>
      <c r="H30" s="150">
        <f t="shared" si="1"/>
        <v>0</v>
      </c>
      <c r="K30" s="304"/>
      <c r="L30" s="306" t="s">
        <v>155</v>
      </c>
      <c r="M30" s="307" t="s">
        <v>103</v>
      </c>
      <c r="N30" s="279"/>
      <c r="O30" s="307" t="s">
        <v>103</v>
      </c>
      <c r="P30" s="279"/>
      <c r="Q30" s="308" t="s">
        <v>103</v>
      </c>
      <c r="R30" s="309">
        <f>SUM(N30,P30)</f>
        <v>0</v>
      </c>
      <c r="S30" s="294"/>
      <c r="T30" s="300"/>
      <c r="U30" s="304"/>
      <c r="V30" s="306" t="s">
        <v>155</v>
      </c>
      <c r="W30" s="307" t="s">
        <v>103</v>
      </c>
      <c r="X30" s="279"/>
      <c r="Y30" s="307" t="s">
        <v>103</v>
      </c>
      <c r="Z30" s="279"/>
      <c r="AA30" s="308" t="s">
        <v>103</v>
      </c>
      <c r="AB30" s="309">
        <f>SUM(X30,Z30)</f>
        <v>0</v>
      </c>
      <c r="AD30" s="300"/>
      <c r="AE30" s="304"/>
      <c r="AF30" s="306" t="s">
        <v>155</v>
      </c>
      <c r="AG30" s="307" t="s">
        <v>103</v>
      </c>
      <c r="AH30" s="279"/>
      <c r="AI30" s="307" t="s">
        <v>103</v>
      </c>
      <c r="AJ30" s="279"/>
      <c r="AK30" s="308" t="s">
        <v>103</v>
      </c>
      <c r="AL30" s="309">
        <f>SUM(AH30,AJ30)</f>
        <v>0</v>
      </c>
      <c r="AN30" s="300"/>
      <c r="AO30" s="304"/>
      <c r="AP30" s="306" t="s">
        <v>155</v>
      </c>
      <c r="AQ30" s="307" t="s">
        <v>103</v>
      </c>
      <c r="AR30" s="279"/>
      <c r="AS30" s="307" t="s">
        <v>103</v>
      </c>
      <c r="AT30" s="279"/>
      <c r="AU30" s="308" t="s">
        <v>103</v>
      </c>
      <c r="AV30" s="309">
        <f>SUM(AR30,AT30)</f>
        <v>0</v>
      </c>
      <c r="AX30" s="300"/>
      <c r="AY30" s="304"/>
      <c r="AZ30" s="306" t="s">
        <v>155</v>
      </c>
      <c r="BA30" s="307" t="s">
        <v>103</v>
      </c>
      <c r="BB30" s="279"/>
      <c r="BC30" s="307" t="s">
        <v>103</v>
      </c>
      <c r="BD30" s="279"/>
      <c r="BE30" s="308" t="s">
        <v>103</v>
      </c>
      <c r="BF30" s="309">
        <f>SUM(BB30,BD30)</f>
        <v>0</v>
      </c>
      <c r="BH30" s="300"/>
      <c r="BI30" s="304"/>
      <c r="BJ30" s="306" t="s">
        <v>155</v>
      </c>
      <c r="BK30" s="307" t="s">
        <v>103</v>
      </c>
      <c r="BL30" s="279"/>
      <c r="BM30" s="307" t="s">
        <v>103</v>
      </c>
      <c r="BN30" s="279"/>
      <c r="BO30" s="308" t="s">
        <v>103</v>
      </c>
      <c r="BP30" s="309">
        <f>SUM(BL30,BN30)</f>
        <v>0</v>
      </c>
    </row>
    <row r="31" spans="2:68" ht="18.75" thickBot="1">
      <c r="B31" s="278">
        <v>42458</v>
      </c>
      <c r="G31" s="150">
        <f t="shared" si="0"/>
        <v>0</v>
      </c>
      <c r="H31" s="150">
        <f t="shared" si="1"/>
        <v>0</v>
      </c>
      <c r="K31" s="304"/>
      <c r="L31" s="289">
        <v>8</v>
      </c>
      <c r="M31" s="310" t="s">
        <v>5</v>
      </c>
      <c r="N31" s="311">
        <f>VLOOKUP(L28, $B$3:$E$109, 4, FALSE)</f>
        <v>0</v>
      </c>
      <c r="O31" s="310" t="s">
        <v>5</v>
      </c>
      <c r="P31" s="312">
        <f>VLOOKUP(L28, $B$3:$F$109, 5, FALSE)</f>
        <v>0</v>
      </c>
      <c r="Q31" s="313" t="s">
        <v>5</v>
      </c>
      <c r="R31" s="309">
        <f>SUM(N31,P31)</f>
        <v>0</v>
      </c>
      <c r="S31" s="294"/>
      <c r="T31" s="300"/>
      <c r="U31" s="304"/>
      <c r="V31" s="289">
        <v>8</v>
      </c>
      <c r="W31" s="310" t="s">
        <v>5</v>
      </c>
      <c r="X31" s="311">
        <f>VLOOKUP(V28, $B$3:$E$109, 4, FALSE)</f>
        <v>0</v>
      </c>
      <c r="Y31" s="310" t="s">
        <v>5</v>
      </c>
      <c r="Z31" s="312">
        <f>VLOOKUP(V28, $B$3:$F$109, 5, FALSE)</f>
        <v>0</v>
      </c>
      <c r="AA31" s="313" t="s">
        <v>5</v>
      </c>
      <c r="AB31" s="309">
        <f>SUM(X31,Z31)</f>
        <v>0</v>
      </c>
      <c r="AD31" s="300"/>
      <c r="AE31" s="304"/>
      <c r="AF31" s="289">
        <v>8</v>
      </c>
      <c r="AG31" s="310" t="s">
        <v>5</v>
      </c>
      <c r="AH31" s="311">
        <f>VLOOKUP(AF28, $B$3:$E$109, 4, FALSE)</f>
        <v>0</v>
      </c>
      <c r="AI31" s="310" t="s">
        <v>5</v>
      </c>
      <c r="AJ31" s="312">
        <f>VLOOKUP(AF28, $B$3:$F$109, 5, FALSE)</f>
        <v>0</v>
      </c>
      <c r="AK31" s="313" t="s">
        <v>5</v>
      </c>
      <c r="AL31" s="309">
        <f>SUM(AH31,AJ31)</f>
        <v>0</v>
      </c>
      <c r="AN31" s="300"/>
      <c r="AO31" s="304"/>
      <c r="AP31" s="289">
        <v>8</v>
      </c>
      <c r="AQ31" s="310" t="s">
        <v>5</v>
      </c>
      <c r="AR31" s="311">
        <f>VLOOKUP(AP28, $B$3:$E$109, 4, FALSE)</f>
        <v>0</v>
      </c>
      <c r="AS31" s="310" t="s">
        <v>5</v>
      </c>
      <c r="AT31" s="312">
        <f>VLOOKUP(AP28, $B$3:$F$109, 5, FALSE)</f>
        <v>0</v>
      </c>
      <c r="AU31" s="313" t="s">
        <v>5</v>
      </c>
      <c r="AV31" s="309">
        <f>SUM(AR31,AT31)</f>
        <v>0</v>
      </c>
      <c r="AX31" s="300"/>
      <c r="AY31" s="304"/>
      <c r="AZ31" s="289">
        <v>8</v>
      </c>
      <c r="BA31" s="310" t="s">
        <v>5</v>
      </c>
      <c r="BB31" s="311">
        <f>VLOOKUP(AZ28, $B$3:$E$109, 4, FALSE)</f>
        <v>0</v>
      </c>
      <c r="BC31" s="310" t="s">
        <v>5</v>
      </c>
      <c r="BD31" s="312">
        <f>VLOOKUP(AZ28, $B$3:$F$109, 5, FALSE)</f>
        <v>0</v>
      </c>
      <c r="BE31" s="313" t="s">
        <v>5</v>
      </c>
      <c r="BF31" s="309">
        <f>SUM(BB31,BD31)</f>
        <v>0</v>
      </c>
      <c r="BH31" s="300"/>
      <c r="BI31" s="304"/>
      <c r="BJ31" s="289">
        <v>8</v>
      </c>
      <c r="BK31" s="310" t="s">
        <v>5</v>
      </c>
      <c r="BL31" s="311">
        <f>VLOOKUP(BJ28, $B$3:$E$109, 4, FALSE)</f>
        <v>0</v>
      </c>
      <c r="BM31" s="310" t="s">
        <v>5</v>
      </c>
      <c r="BN31" s="312">
        <f>VLOOKUP(BJ28, $B$3:$F$109, 5, FALSE)</f>
        <v>0</v>
      </c>
      <c r="BO31" s="313" t="s">
        <v>5</v>
      </c>
      <c r="BP31" s="309">
        <f>SUM(BL31,BN31)</f>
        <v>0</v>
      </c>
    </row>
    <row r="32" spans="2:68" ht="15.75" customHeight="1">
      <c r="B32" s="278">
        <v>42459</v>
      </c>
      <c r="G32" s="150">
        <f t="shared" si="0"/>
        <v>0</v>
      </c>
      <c r="H32" s="150">
        <f t="shared" si="1"/>
        <v>0</v>
      </c>
      <c r="K32" s="304"/>
      <c r="L32" s="303"/>
      <c r="M32" s="659" t="s">
        <v>105</v>
      </c>
      <c r="N32" s="311">
        <f>VLOOKUP(L28, $B$3:$E$109, 2, FALSE)</f>
        <v>0</v>
      </c>
      <c r="O32" s="659" t="s">
        <v>105</v>
      </c>
      <c r="P32" s="312">
        <f>VLOOKUP(L28, $B$3:$E$109, 3, FALSE)</f>
        <v>0</v>
      </c>
      <c r="Q32" s="660" t="s">
        <v>105</v>
      </c>
      <c r="R32" s="309">
        <f>SUM(N32,P32)</f>
        <v>0</v>
      </c>
      <c r="S32" s="294"/>
      <c r="T32" s="300"/>
      <c r="U32" s="304"/>
      <c r="V32" s="303"/>
      <c r="W32" s="659" t="s">
        <v>105</v>
      </c>
      <c r="X32" s="311">
        <f>VLOOKUP(V28, $B$3:$E$109, 2, FALSE)</f>
        <v>0</v>
      </c>
      <c r="Y32" s="659" t="s">
        <v>105</v>
      </c>
      <c r="Z32" s="312">
        <f>VLOOKUP(V28, $B$3:$E$109, 3, FALSE)</f>
        <v>0</v>
      </c>
      <c r="AA32" s="660" t="s">
        <v>105</v>
      </c>
      <c r="AB32" s="309">
        <f>SUM(X32,Z32)</f>
        <v>0</v>
      </c>
      <c r="AD32" s="300"/>
      <c r="AE32" s="304"/>
      <c r="AF32" s="303"/>
      <c r="AG32" s="659" t="s">
        <v>105</v>
      </c>
      <c r="AH32" s="311">
        <f>VLOOKUP(AF28, $B$3:$E$109, 2, FALSE)</f>
        <v>0</v>
      </c>
      <c r="AI32" s="659" t="s">
        <v>105</v>
      </c>
      <c r="AJ32" s="312">
        <f>VLOOKUP(AF28, $B$3:$E$109, 3, FALSE)</f>
        <v>0</v>
      </c>
      <c r="AK32" s="660" t="s">
        <v>105</v>
      </c>
      <c r="AL32" s="309">
        <f>SUM(AH32,AJ32)</f>
        <v>0</v>
      </c>
      <c r="AN32" s="300"/>
      <c r="AO32" s="304"/>
      <c r="AP32" s="303"/>
      <c r="AQ32" s="659" t="s">
        <v>105</v>
      </c>
      <c r="AR32" s="311">
        <f>VLOOKUP(AP28, $B$3:$E$109, 2, FALSE)</f>
        <v>0</v>
      </c>
      <c r="AS32" s="659" t="s">
        <v>105</v>
      </c>
      <c r="AT32" s="312">
        <f>VLOOKUP(AP28, $B$3:$E$109, 3, FALSE)</f>
        <v>0</v>
      </c>
      <c r="AU32" s="660" t="s">
        <v>105</v>
      </c>
      <c r="AV32" s="309">
        <f>SUM(AR32,AT32)</f>
        <v>0</v>
      </c>
      <c r="AX32" s="300"/>
      <c r="AY32" s="304"/>
      <c r="AZ32" s="303"/>
      <c r="BA32" s="659" t="s">
        <v>105</v>
      </c>
      <c r="BB32" s="311">
        <f>VLOOKUP(AZ28, $B$3:$E$109, 2, FALSE)</f>
        <v>0</v>
      </c>
      <c r="BC32" s="659" t="s">
        <v>105</v>
      </c>
      <c r="BD32" s="312">
        <f>VLOOKUP(AZ28, $B$3:$E$109, 3, FALSE)</f>
        <v>0</v>
      </c>
      <c r="BE32" s="660" t="s">
        <v>105</v>
      </c>
      <c r="BF32" s="309">
        <f>SUM(BB32,BD32)</f>
        <v>0</v>
      </c>
      <c r="BH32" s="300"/>
      <c r="BI32" s="304"/>
      <c r="BJ32" s="303"/>
      <c r="BK32" s="659" t="s">
        <v>105</v>
      </c>
      <c r="BL32" s="311">
        <f>VLOOKUP(BJ28, $B$3:$E$109, 2, FALSE)</f>
        <v>0</v>
      </c>
      <c r="BM32" s="659" t="s">
        <v>105</v>
      </c>
      <c r="BN32" s="312">
        <f>VLOOKUP(BJ28, $B$3:$E$109, 3, FALSE)</f>
        <v>0</v>
      </c>
      <c r="BO32" s="660" t="s">
        <v>105</v>
      </c>
      <c r="BP32" s="309">
        <f>SUM(BL32,BN32)</f>
        <v>0</v>
      </c>
    </row>
    <row r="33" spans="2:68" ht="12.75" customHeight="1">
      <c r="B33" s="278">
        <v>42460</v>
      </c>
      <c r="G33" s="150">
        <f>C33+D33</f>
        <v>0</v>
      </c>
      <c r="H33" s="150">
        <f>E33+F33</f>
        <v>0</v>
      </c>
      <c r="K33" s="700" t="s">
        <v>157</v>
      </c>
      <c r="L33" s="701"/>
      <c r="M33" s="660"/>
      <c r="N33" s="305"/>
      <c r="O33" s="659"/>
      <c r="P33" s="305"/>
      <c r="Q33" s="660"/>
      <c r="R33" s="305"/>
      <c r="S33" s="156"/>
      <c r="T33" s="300"/>
      <c r="U33" s="700" t="s">
        <v>157</v>
      </c>
      <c r="V33" s="701"/>
      <c r="W33" s="660"/>
      <c r="X33" s="305"/>
      <c r="Y33" s="659"/>
      <c r="Z33" s="305"/>
      <c r="AA33" s="660"/>
      <c r="AB33" s="305"/>
      <c r="AD33" s="300"/>
      <c r="AE33" s="700" t="s">
        <v>157</v>
      </c>
      <c r="AF33" s="701"/>
      <c r="AG33" s="660"/>
      <c r="AH33" s="305"/>
      <c r="AI33" s="659"/>
      <c r="AJ33" s="305"/>
      <c r="AK33" s="660"/>
      <c r="AL33" s="305"/>
      <c r="AN33" s="300"/>
      <c r="AO33" s="700" t="s">
        <v>157</v>
      </c>
      <c r="AP33" s="701"/>
      <c r="AQ33" s="660"/>
      <c r="AR33" s="305"/>
      <c r="AS33" s="659"/>
      <c r="AT33" s="305"/>
      <c r="AU33" s="660"/>
      <c r="AV33" s="305"/>
      <c r="AX33" s="300"/>
      <c r="AY33" s="700" t="s">
        <v>157</v>
      </c>
      <c r="AZ33" s="701"/>
      <c r="BA33" s="660"/>
      <c r="BB33" s="305"/>
      <c r="BC33" s="659"/>
      <c r="BD33" s="305"/>
      <c r="BE33" s="660"/>
      <c r="BF33" s="305"/>
      <c r="BH33" s="300"/>
      <c r="BI33" s="700" t="s">
        <v>157</v>
      </c>
      <c r="BJ33" s="701"/>
      <c r="BK33" s="660"/>
      <c r="BL33" s="305"/>
      <c r="BM33" s="659"/>
      <c r="BN33" s="305"/>
      <c r="BO33" s="660"/>
      <c r="BP33" s="305"/>
    </row>
    <row r="34" spans="2:68" ht="15.75">
      <c r="B34" s="278">
        <v>42461</v>
      </c>
      <c r="G34" s="150">
        <f>C34+D34</f>
        <v>0</v>
      </c>
      <c r="H34" s="150">
        <f>E34+F34</f>
        <v>0</v>
      </c>
      <c r="K34" s="384"/>
      <c r="L34" s="314">
        <f>R30*13</f>
        <v>0</v>
      </c>
      <c r="M34" s="315"/>
      <c r="N34" s="305"/>
      <c r="O34" s="316"/>
      <c r="P34" s="305"/>
      <c r="Q34" s="317"/>
      <c r="R34" s="305"/>
      <c r="S34" s="156"/>
      <c r="T34" s="300"/>
      <c r="U34" s="384"/>
      <c r="V34" s="314">
        <f>AB30*13</f>
        <v>0</v>
      </c>
      <c r="W34" s="315"/>
      <c r="X34" s="305"/>
      <c r="Y34" s="316"/>
      <c r="Z34" s="305"/>
      <c r="AA34" s="317"/>
      <c r="AB34" s="305"/>
      <c r="AD34" s="300"/>
      <c r="AE34" s="384"/>
      <c r="AF34" s="314">
        <f>AL30*13</f>
        <v>0</v>
      </c>
      <c r="AG34" s="315"/>
      <c r="AH34" s="305"/>
      <c r="AI34" s="316"/>
      <c r="AJ34" s="305"/>
      <c r="AK34" s="317"/>
      <c r="AL34" s="305"/>
      <c r="AN34" s="300"/>
      <c r="AO34" s="384"/>
      <c r="AP34" s="314">
        <f>AV30*13</f>
        <v>0</v>
      </c>
      <c r="AQ34" s="315"/>
      <c r="AR34" s="305"/>
      <c r="AS34" s="316"/>
      <c r="AT34" s="305"/>
      <c r="AU34" s="317"/>
      <c r="AV34" s="305"/>
      <c r="AX34" s="300"/>
      <c r="AY34" s="384"/>
      <c r="AZ34" s="314">
        <f>BF30*13</f>
        <v>0</v>
      </c>
      <c r="BA34" s="315"/>
      <c r="BB34" s="305"/>
      <c r="BC34" s="316"/>
      <c r="BD34" s="305"/>
      <c r="BE34" s="317"/>
      <c r="BF34" s="305"/>
      <c r="BH34" s="300"/>
      <c r="BI34" s="384"/>
      <c r="BJ34" s="314">
        <f>BP30*13</f>
        <v>0</v>
      </c>
      <c r="BK34" s="315"/>
      <c r="BL34" s="305"/>
      <c r="BM34" s="316"/>
      <c r="BN34" s="305"/>
      <c r="BO34" s="317"/>
      <c r="BP34" s="305"/>
    </row>
    <row r="35" spans="2:68" ht="18.75">
      <c r="B35" s="278">
        <v>42462</v>
      </c>
      <c r="G35" s="150">
        <f>C35+D35</f>
        <v>0</v>
      </c>
      <c r="H35" s="150">
        <f>E35+F35</f>
        <v>0</v>
      </c>
      <c r="K35" s="304"/>
      <c r="L35" s="385"/>
      <c r="M35" s="286" t="s">
        <v>97</v>
      </c>
      <c r="N35" s="287" t="e">
        <f>N32/((N30*EFFICIENCY!$H$28))</f>
        <v>#DIV/0!</v>
      </c>
      <c r="O35" s="286" t="s">
        <v>97</v>
      </c>
      <c r="P35" s="287" t="e">
        <f>P32/(P30*EFFICIENCY!$H$28)</f>
        <v>#DIV/0!</v>
      </c>
      <c r="Q35" s="286" t="s">
        <v>97</v>
      </c>
      <c r="R35" s="287" t="e">
        <f>R32/(R30*EFFICIENCY!$H$28)</f>
        <v>#DIV/0!</v>
      </c>
      <c r="S35" s="295"/>
      <c r="T35" s="300"/>
      <c r="U35" s="304"/>
      <c r="V35" s="385"/>
      <c r="W35" s="286" t="s">
        <v>97</v>
      </c>
      <c r="X35" s="287" t="e">
        <f>X32/((X30*EFFICIENCY!$H$28))</f>
        <v>#DIV/0!</v>
      </c>
      <c r="Y35" s="286" t="s">
        <v>97</v>
      </c>
      <c r="Z35" s="287" t="e">
        <f>Z32/(Z30*EFFICIENCY!$H$28)</f>
        <v>#DIV/0!</v>
      </c>
      <c r="AA35" s="286" t="s">
        <v>97</v>
      </c>
      <c r="AB35" s="287" t="e">
        <f>AB32/(AB30*EFFICIENCY!$H$28)</f>
        <v>#DIV/0!</v>
      </c>
      <c r="AD35" s="300"/>
      <c r="AE35" s="304"/>
      <c r="AF35" s="385"/>
      <c r="AG35" s="286" t="s">
        <v>97</v>
      </c>
      <c r="AH35" s="287" t="e">
        <f>AH32/((AH30*EFFICIENCY!$H$28))</f>
        <v>#DIV/0!</v>
      </c>
      <c r="AI35" s="286" t="s">
        <v>97</v>
      </c>
      <c r="AJ35" s="287" t="e">
        <f>AJ32/(AJ30*EFFICIENCY!$H$28)</f>
        <v>#DIV/0!</v>
      </c>
      <c r="AK35" s="286" t="s">
        <v>97</v>
      </c>
      <c r="AL35" s="287" t="e">
        <f>AL32/(AL30*EFFICIENCY!$H$28)</f>
        <v>#DIV/0!</v>
      </c>
      <c r="AN35" s="300"/>
      <c r="AO35" s="304"/>
      <c r="AP35" s="385"/>
      <c r="AQ35" s="286" t="s">
        <v>97</v>
      </c>
      <c r="AR35" s="287" t="e">
        <f>AR32/((AR30*EFFICIENCY!$H$28))</f>
        <v>#DIV/0!</v>
      </c>
      <c r="AS35" s="286" t="s">
        <v>97</v>
      </c>
      <c r="AT35" s="287" t="e">
        <f>AT32/(AT30*EFFICIENCY!$H$28)</f>
        <v>#DIV/0!</v>
      </c>
      <c r="AU35" s="286" t="s">
        <v>97</v>
      </c>
      <c r="AV35" s="287" t="e">
        <f>AV32/(AV30*EFFICIENCY!$H$28)</f>
        <v>#DIV/0!</v>
      </c>
      <c r="AX35" s="300"/>
      <c r="AY35" s="304"/>
      <c r="AZ35" s="385"/>
      <c r="BA35" s="286" t="s">
        <v>97</v>
      </c>
      <c r="BB35" s="287" t="e">
        <f>BB32/((BB30*EFFICIENCY!$H$28))</f>
        <v>#DIV/0!</v>
      </c>
      <c r="BC35" s="286" t="s">
        <v>97</v>
      </c>
      <c r="BD35" s="287" t="e">
        <f>BD32/(BD30*EFFICIENCY!$H$28)</f>
        <v>#DIV/0!</v>
      </c>
      <c r="BE35" s="286" t="s">
        <v>97</v>
      </c>
      <c r="BF35" s="287" t="e">
        <f>BF32/(BF30*EFFICIENCY!$H$28)</f>
        <v>#DIV/0!</v>
      </c>
      <c r="BH35" s="300"/>
      <c r="BI35" s="304"/>
      <c r="BJ35" s="385"/>
      <c r="BK35" s="286" t="s">
        <v>97</v>
      </c>
      <c r="BL35" s="287" t="e">
        <f>BL32/((BL30*EFFICIENCY!$H$28))</f>
        <v>#DIV/0!</v>
      </c>
      <c r="BM35" s="286" t="s">
        <v>97</v>
      </c>
      <c r="BN35" s="287" t="e">
        <f>BN32/(BN30*EFFICIENCY!$H$28)</f>
        <v>#DIV/0!</v>
      </c>
      <c r="BO35" s="286" t="s">
        <v>97</v>
      </c>
      <c r="BP35" s="287" t="e">
        <f>BP32/(BP30*EFFICIENCY!$H$28)</f>
        <v>#DIV/0!</v>
      </c>
    </row>
    <row r="36" spans="2:68" ht="18.75">
      <c r="B36" s="278"/>
      <c r="K36" s="304"/>
      <c r="L36" s="303"/>
      <c r="M36" s="280" t="s">
        <v>96</v>
      </c>
      <c r="N36" s="281" t="e">
        <f>N32/(N30*EFFICIENCY!$I$28)</f>
        <v>#DIV/0!</v>
      </c>
      <c r="O36" s="280" t="s">
        <v>96</v>
      </c>
      <c r="P36" s="281" t="e">
        <f>P32/(P30*EFFICIENCY!$I$28)</f>
        <v>#DIV/0!</v>
      </c>
      <c r="Q36" s="280" t="s">
        <v>96</v>
      </c>
      <c r="R36" s="281" t="e">
        <f>R32/(R30*EFFICIENCY!$I$28)</f>
        <v>#DIV/0!</v>
      </c>
      <c r="S36" s="296"/>
      <c r="T36" s="300"/>
      <c r="U36" s="304"/>
      <c r="V36" s="303"/>
      <c r="W36" s="280" t="s">
        <v>96</v>
      </c>
      <c r="X36" s="281" t="e">
        <f>X32/(X30*EFFICIENCY!$I$28)</f>
        <v>#DIV/0!</v>
      </c>
      <c r="Y36" s="280" t="s">
        <v>96</v>
      </c>
      <c r="Z36" s="281" t="e">
        <f>Z32/(Z30*EFFICIENCY!$I$28)</f>
        <v>#DIV/0!</v>
      </c>
      <c r="AA36" s="280" t="s">
        <v>96</v>
      </c>
      <c r="AB36" s="281" t="e">
        <f>AB32/(AB30*EFFICIENCY!$I$28)</f>
        <v>#DIV/0!</v>
      </c>
      <c r="AD36" s="300"/>
      <c r="AE36" s="304"/>
      <c r="AF36" s="303"/>
      <c r="AG36" s="280" t="s">
        <v>96</v>
      </c>
      <c r="AH36" s="281" t="e">
        <f>AH32/(AH30*EFFICIENCY!$I$28)</f>
        <v>#DIV/0!</v>
      </c>
      <c r="AI36" s="280" t="s">
        <v>96</v>
      </c>
      <c r="AJ36" s="281" t="e">
        <f>AJ32/(AJ30*EFFICIENCY!$I$28)</f>
        <v>#DIV/0!</v>
      </c>
      <c r="AK36" s="280" t="s">
        <v>96</v>
      </c>
      <c r="AL36" s="281" t="e">
        <f>AL32/(AL30*EFFICIENCY!$I$28)</f>
        <v>#DIV/0!</v>
      </c>
      <c r="AN36" s="300"/>
      <c r="AO36" s="304"/>
      <c r="AP36" s="303"/>
      <c r="AQ36" s="280" t="s">
        <v>96</v>
      </c>
      <c r="AR36" s="281" t="e">
        <f>AR32/(AR30*EFFICIENCY!$I$28)</f>
        <v>#DIV/0!</v>
      </c>
      <c r="AS36" s="280" t="s">
        <v>96</v>
      </c>
      <c r="AT36" s="281" t="e">
        <f>AT32/(AT30*EFFICIENCY!$I$28)</f>
        <v>#DIV/0!</v>
      </c>
      <c r="AU36" s="280" t="s">
        <v>96</v>
      </c>
      <c r="AV36" s="281" t="e">
        <f>AV32/(AV30*EFFICIENCY!$I$28)</f>
        <v>#DIV/0!</v>
      </c>
      <c r="AX36" s="300"/>
      <c r="AY36" s="304"/>
      <c r="AZ36" s="303"/>
      <c r="BA36" s="280" t="s">
        <v>96</v>
      </c>
      <c r="BB36" s="281" t="e">
        <f>BB32/(BB30*EFFICIENCY!$I$28)</f>
        <v>#DIV/0!</v>
      </c>
      <c r="BC36" s="280" t="s">
        <v>96</v>
      </c>
      <c r="BD36" s="281" t="e">
        <f>BD32/(BD30*EFFICIENCY!$I$28)</f>
        <v>#DIV/0!</v>
      </c>
      <c r="BE36" s="280" t="s">
        <v>96</v>
      </c>
      <c r="BF36" s="281" t="e">
        <f>BF32/(BF30*EFFICIENCY!$I$28)</f>
        <v>#DIV/0!</v>
      </c>
      <c r="BH36" s="300"/>
      <c r="BI36" s="304"/>
      <c r="BJ36" s="303"/>
      <c r="BK36" s="280" t="s">
        <v>96</v>
      </c>
      <c r="BL36" s="281" t="e">
        <f>BL32/(BL30*EFFICIENCY!$I$28)</f>
        <v>#DIV/0!</v>
      </c>
      <c r="BM36" s="280" t="s">
        <v>96</v>
      </c>
      <c r="BN36" s="281" t="e">
        <f>BN32/(BN30*EFFICIENCY!$I$28)</f>
        <v>#DIV/0!</v>
      </c>
      <c r="BO36" s="280" t="s">
        <v>96</v>
      </c>
      <c r="BP36" s="281" t="e">
        <f>BP32/(BP30*EFFICIENCY!$I$28)</f>
        <v>#DIV/0!</v>
      </c>
    </row>
    <row r="37" spans="2:68" ht="19.5" customHeight="1" thickBot="1">
      <c r="K37" s="696" t="s">
        <v>156</v>
      </c>
      <c r="L37" s="697"/>
      <c r="M37" s="284" t="s">
        <v>94</v>
      </c>
      <c r="N37" s="285" t="e">
        <f>N32/((N30*EFFICIENCY!$K$28))</f>
        <v>#DIV/0!</v>
      </c>
      <c r="O37" s="288" t="s">
        <v>94</v>
      </c>
      <c r="P37" s="285" t="e">
        <f>P32/((P30*EFFICIENCY!$K$28))</f>
        <v>#DIV/0!</v>
      </c>
      <c r="Q37" s="284" t="s">
        <v>94</v>
      </c>
      <c r="R37" s="285" t="e">
        <f>R32/((R30*EFFICIENCY!$K$28))</f>
        <v>#DIV/0!</v>
      </c>
      <c r="S37" s="297"/>
      <c r="T37" s="300"/>
      <c r="U37" s="696" t="s">
        <v>156</v>
      </c>
      <c r="V37" s="697"/>
      <c r="W37" s="284" t="s">
        <v>94</v>
      </c>
      <c r="X37" s="285" t="e">
        <f>X32/((X30*EFFICIENCY!$K$28))</f>
        <v>#DIV/0!</v>
      </c>
      <c r="Y37" s="288" t="s">
        <v>94</v>
      </c>
      <c r="Z37" s="285" t="e">
        <f>Z32/((Z30*EFFICIENCY!$K$28))</f>
        <v>#DIV/0!</v>
      </c>
      <c r="AA37" s="284" t="s">
        <v>94</v>
      </c>
      <c r="AB37" s="285" t="e">
        <f>AB32/((AB30*EFFICIENCY!$K$28))</f>
        <v>#DIV/0!</v>
      </c>
      <c r="AD37" s="300"/>
      <c r="AE37" s="696" t="s">
        <v>156</v>
      </c>
      <c r="AF37" s="697"/>
      <c r="AG37" s="284" t="s">
        <v>94</v>
      </c>
      <c r="AH37" s="285" t="e">
        <f>AH32/((AH30*EFFICIENCY!$K$28))</f>
        <v>#DIV/0!</v>
      </c>
      <c r="AI37" s="288" t="s">
        <v>94</v>
      </c>
      <c r="AJ37" s="285" t="e">
        <f>AJ32/((AJ30*EFFICIENCY!$K$28))</f>
        <v>#DIV/0!</v>
      </c>
      <c r="AK37" s="284" t="s">
        <v>94</v>
      </c>
      <c r="AL37" s="285" t="e">
        <f>AL32/((AL30*EFFICIENCY!$K$28))</f>
        <v>#DIV/0!</v>
      </c>
      <c r="AN37" s="300"/>
      <c r="AO37" s="696" t="s">
        <v>156</v>
      </c>
      <c r="AP37" s="697"/>
      <c r="AQ37" s="284" t="s">
        <v>94</v>
      </c>
      <c r="AR37" s="285" t="e">
        <f>AR32/((AR30*EFFICIENCY!$K$28))</f>
        <v>#DIV/0!</v>
      </c>
      <c r="AS37" s="288" t="s">
        <v>94</v>
      </c>
      <c r="AT37" s="285" t="e">
        <f>AT32/((AT30*EFFICIENCY!$K$28))</f>
        <v>#DIV/0!</v>
      </c>
      <c r="AU37" s="284" t="s">
        <v>94</v>
      </c>
      <c r="AV37" s="285" t="e">
        <f>AV32/((AV30*EFFICIENCY!$K$28))</f>
        <v>#DIV/0!</v>
      </c>
      <c r="AX37" s="300"/>
      <c r="AY37" s="696" t="s">
        <v>156</v>
      </c>
      <c r="AZ37" s="697"/>
      <c r="BA37" s="284" t="s">
        <v>94</v>
      </c>
      <c r="BB37" s="285" t="e">
        <f>BB32/((BB30*EFFICIENCY!$K$28))</f>
        <v>#DIV/0!</v>
      </c>
      <c r="BC37" s="288" t="s">
        <v>94</v>
      </c>
      <c r="BD37" s="285" t="e">
        <f>BD32/((BD30*EFFICIENCY!$K$28))</f>
        <v>#DIV/0!</v>
      </c>
      <c r="BE37" s="284" t="s">
        <v>94</v>
      </c>
      <c r="BF37" s="285" t="e">
        <f>BF32/((BF30*EFFICIENCY!$K$28))</f>
        <v>#DIV/0!</v>
      </c>
      <c r="BH37" s="300"/>
      <c r="BI37" s="696" t="s">
        <v>156</v>
      </c>
      <c r="BJ37" s="697"/>
      <c r="BK37" s="284" t="s">
        <v>94</v>
      </c>
      <c r="BL37" s="285" t="e">
        <f>BL32/((BL30*EFFICIENCY!$K$28))</f>
        <v>#DIV/0!</v>
      </c>
      <c r="BM37" s="288" t="s">
        <v>94</v>
      </c>
      <c r="BN37" s="285" t="e">
        <f>BN32/((BN30*EFFICIENCY!$K$28))</f>
        <v>#DIV/0!</v>
      </c>
      <c r="BO37" s="284" t="s">
        <v>94</v>
      </c>
      <c r="BP37" s="285" t="e">
        <f>BP32/((BP30*EFFICIENCY!$K$28))</f>
        <v>#DIV/0!</v>
      </c>
    </row>
    <row r="38" spans="2:68" ht="16.5" thickBot="1">
      <c r="K38" s="386"/>
      <c r="L38" s="387" t="e">
        <f>R32/R30</f>
        <v>#DIV/0!</v>
      </c>
      <c r="M38" s="637" t="s">
        <v>153</v>
      </c>
      <c r="N38" s="638"/>
      <c r="O38" s="290"/>
      <c r="P38" s="318"/>
      <c r="Q38" s="318" t="s">
        <v>154</v>
      </c>
      <c r="R38" s="319">
        <f>O38-R32</f>
        <v>0</v>
      </c>
      <c r="S38" s="298"/>
      <c r="T38" s="300"/>
      <c r="U38" s="386"/>
      <c r="V38" s="387" t="e">
        <f>AB32/AB30</f>
        <v>#DIV/0!</v>
      </c>
      <c r="W38" s="637" t="s">
        <v>153</v>
      </c>
      <c r="X38" s="638"/>
      <c r="Y38" s="290"/>
      <c r="Z38" s="318"/>
      <c r="AA38" s="318" t="s">
        <v>154</v>
      </c>
      <c r="AB38" s="319">
        <f>Y38-AB32</f>
        <v>0</v>
      </c>
      <c r="AD38" s="300"/>
      <c r="AE38" s="386"/>
      <c r="AF38" s="387" t="e">
        <f>AL32/AL30</f>
        <v>#DIV/0!</v>
      </c>
      <c r="AG38" s="637" t="s">
        <v>153</v>
      </c>
      <c r="AH38" s="638"/>
      <c r="AI38" s="290"/>
      <c r="AJ38" s="318"/>
      <c r="AK38" s="318" t="s">
        <v>154</v>
      </c>
      <c r="AL38" s="319">
        <f>AI38-AL32</f>
        <v>0</v>
      </c>
      <c r="AN38" s="300"/>
      <c r="AO38" s="386"/>
      <c r="AP38" s="387" t="e">
        <f>AV32/AV30</f>
        <v>#DIV/0!</v>
      </c>
      <c r="AQ38" s="637" t="s">
        <v>153</v>
      </c>
      <c r="AR38" s="638"/>
      <c r="AS38" s="290"/>
      <c r="AT38" s="318"/>
      <c r="AU38" s="318" t="s">
        <v>154</v>
      </c>
      <c r="AV38" s="319">
        <f>AS38-AV32</f>
        <v>0</v>
      </c>
      <c r="AX38" s="300"/>
      <c r="AY38" s="386"/>
      <c r="AZ38" s="387" t="e">
        <f>BF32/BF30</f>
        <v>#DIV/0!</v>
      </c>
      <c r="BA38" s="637" t="s">
        <v>153</v>
      </c>
      <c r="BB38" s="638"/>
      <c r="BC38" s="290"/>
      <c r="BD38" s="318"/>
      <c r="BE38" s="318" t="s">
        <v>154</v>
      </c>
      <c r="BF38" s="319">
        <f>BC38-BF32</f>
        <v>0</v>
      </c>
      <c r="BH38" s="300"/>
      <c r="BI38" s="386"/>
      <c r="BJ38" s="387" t="e">
        <f>BP32/BP30</f>
        <v>#DIV/0!</v>
      </c>
      <c r="BK38" s="637" t="s">
        <v>153</v>
      </c>
      <c r="BL38" s="638"/>
      <c r="BM38" s="290"/>
      <c r="BN38" s="318"/>
      <c r="BO38" s="318" t="s">
        <v>154</v>
      </c>
      <c r="BP38" s="319">
        <f>BM38-BP32</f>
        <v>0</v>
      </c>
    </row>
    <row r="39" spans="2:68">
      <c r="T39" s="300"/>
      <c r="AD39" s="300"/>
      <c r="AN39" s="300"/>
      <c r="AX39" s="300"/>
      <c r="BH39" s="300"/>
    </row>
    <row r="40" spans="2:68" ht="13.5" thickBot="1">
      <c r="K40" s="291"/>
      <c r="L40" s="291"/>
      <c r="M40" s="291"/>
      <c r="N40" s="291"/>
      <c r="O40" s="291"/>
      <c r="P40" s="291"/>
      <c r="Q40" s="291"/>
      <c r="R40" s="291"/>
      <c r="S40" s="299"/>
      <c r="T40" s="301"/>
      <c r="U40" s="291"/>
      <c r="V40" s="291"/>
      <c r="W40" s="291"/>
      <c r="X40" s="291"/>
      <c r="Y40" s="291"/>
      <c r="Z40" s="291"/>
      <c r="AA40" s="291"/>
      <c r="AB40" s="291"/>
      <c r="AC40" s="291"/>
      <c r="AD40" s="301"/>
      <c r="AE40" s="291"/>
      <c r="AF40" s="291"/>
      <c r="AG40" s="291"/>
      <c r="AH40" s="291"/>
      <c r="AI40" s="291"/>
      <c r="AJ40" s="291"/>
      <c r="AK40" s="291"/>
      <c r="AL40" s="291"/>
      <c r="AM40" s="291"/>
      <c r="AN40" s="301"/>
      <c r="AO40" s="291"/>
      <c r="AP40" s="291"/>
      <c r="AQ40" s="291"/>
      <c r="AR40" s="291"/>
      <c r="AS40" s="291"/>
      <c r="AT40" s="291"/>
      <c r="AU40" s="291"/>
      <c r="AV40" s="291"/>
      <c r="AW40" s="291"/>
      <c r="AX40" s="301"/>
      <c r="AY40" s="291"/>
      <c r="AZ40" s="291"/>
      <c r="BA40" s="291"/>
      <c r="BB40" s="291"/>
      <c r="BC40" s="291"/>
      <c r="BD40" s="291"/>
      <c r="BE40" s="291"/>
      <c r="BF40" s="291"/>
      <c r="BG40" s="291"/>
      <c r="BH40" s="301"/>
      <c r="BI40" s="291"/>
      <c r="BJ40" s="291"/>
      <c r="BK40" s="291"/>
      <c r="BL40" s="291"/>
      <c r="BM40" s="291"/>
      <c r="BN40" s="291"/>
      <c r="BO40" s="291"/>
      <c r="BP40" s="291"/>
    </row>
    <row r="41" spans="2:68" ht="15.75" thickBot="1">
      <c r="K41" s="388" t="s">
        <v>7</v>
      </c>
      <c r="L41" s="535">
        <f>B23</f>
        <v>42450</v>
      </c>
      <c r="M41" s="639" t="s">
        <v>100</v>
      </c>
      <c r="N41" s="640"/>
      <c r="O41" s="641" t="s">
        <v>99</v>
      </c>
      <c r="P41" s="642"/>
      <c r="Q41" s="643" t="s">
        <v>16</v>
      </c>
      <c r="R41" s="644"/>
      <c r="S41" s="293"/>
      <c r="T41" s="300"/>
      <c r="U41" s="388" t="s">
        <v>7</v>
      </c>
      <c r="V41" s="535">
        <f>B24</f>
        <v>42451</v>
      </c>
      <c r="W41" s="639" t="s">
        <v>100</v>
      </c>
      <c r="X41" s="640"/>
      <c r="Y41" s="641" t="s">
        <v>99</v>
      </c>
      <c r="Z41" s="642"/>
      <c r="AA41" s="643" t="s">
        <v>16</v>
      </c>
      <c r="AB41" s="644"/>
      <c r="AC41" s="154"/>
      <c r="AD41" s="300"/>
      <c r="AE41" s="388" t="s">
        <v>7</v>
      </c>
      <c r="AF41" s="535">
        <f>B25</f>
        <v>42452</v>
      </c>
      <c r="AG41" s="639" t="s">
        <v>100</v>
      </c>
      <c r="AH41" s="640"/>
      <c r="AI41" s="641" t="s">
        <v>99</v>
      </c>
      <c r="AJ41" s="642"/>
      <c r="AK41" s="643" t="s">
        <v>16</v>
      </c>
      <c r="AL41" s="644"/>
      <c r="AM41" s="154"/>
      <c r="AN41" s="300"/>
      <c r="AO41" s="388" t="s">
        <v>7</v>
      </c>
      <c r="AP41" s="535">
        <f>B26</f>
        <v>42453</v>
      </c>
      <c r="AQ41" s="639" t="s">
        <v>100</v>
      </c>
      <c r="AR41" s="640"/>
      <c r="AS41" s="641" t="s">
        <v>99</v>
      </c>
      <c r="AT41" s="642"/>
      <c r="AU41" s="643" t="s">
        <v>16</v>
      </c>
      <c r="AV41" s="644"/>
      <c r="AW41" s="154"/>
      <c r="AX41" s="300"/>
      <c r="AY41" s="388" t="s">
        <v>7</v>
      </c>
      <c r="AZ41" s="535">
        <f>B27</f>
        <v>42454</v>
      </c>
      <c r="BA41" s="639" t="s">
        <v>100</v>
      </c>
      <c r="BB41" s="640"/>
      <c r="BC41" s="641" t="s">
        <v>99</v>
      </c>
      <c r="BD41" s="642"/>
      <c r="BE41" s="643" t="s">
        <v>16</v>
      </c>
      <c r="BF41" s="644"/>
      <c r="BG41" s="154"/>
      <c r="BH41" s="300"/>
      <c r="BI41" s="388" t="s">
        <v>7</v>
      </c>
      <c r="BJ41" s="535">
        <f>B28</f>
        <v>42455</v>
      </c>
      <c r="BK41" s="639" t="s">
        <v>100</v>
      </c>
      <c r="BL41" s="640"/>
      <c r="BM41" s="641" t="s">
        <v>99</v>
      </c>
      <c r="BN41" s="642"/>
      <c r="BO41" s="643" t="s">
        <v>16</v>
      </c>
      <c r="BP41" s="644"/>
    </row>
    <row r="42" spans="2:68" ht="13.5" thickBot="1">
      <c r="K42" s="321"/>
      <c r="L42" s="320"/>
      <c r="M42" s="321"/>
      <c r="N42" s="322"/>
      <c r="O42" s="321"/>
      <c r="P42" s="322"/>
      <c r="Q42" s="320"/>
      <c r="R42" s="322"/>
      <c r="S42" s="156"/>
      <c r="T42" s="300"/>
      <c r="U42" s="321"/>
      <c r="V42" s="320"/>
      <c r="W42" s="321"/>
      <c r="X42" s="322"/>
      <c r="Y42" s="321"/>
      <c r="Z42" s="322"/>
      <c r="AA42" s="320"/>
      <c r="AB42" s="322"/>
      <c r="AC42" s="154"/>
      <c r="AD42" s="300"/>
      <c r="AE42" s="321"/>
      <c r="AF42" s="320"/>
      <c r="AG42" s="321"/>
      <c r="AH42" s="322"/>
      <c r="AI42" s="321"/>
      <c r="AJ42" s="322"/>
      <c r="AK42" s="320"/>
      <c r="AL42" s="322"/>
      <c r="AM42" s="154"/>
      <c r="AN42" s="300"/>
      <c r="AO42" s="321"/>
      <c r="AP42" s="320"/>
      <c r="AQ42" s="321"/>
      <c r="AR42" s="322"/>
      <c r="AS42" s="321"/>
      <c r="AT42" s="322"/>
      <c r="AU42" s="320"/>
      <c r="AV42" s="322"/>
      <c r="AW42" s="154"/>
      <c r="AX42" s="300"/>
      <c r="AY42" s="321"/>
      <c r="AZ42" s="320"/>
      <c r="BA42" s="321"/>
      <c r="BB42" s="322"/>
      <c r="BC42" s="321"/>
      <c r="BD42" s="322"/>
      <c r="BE42" s="320"/>
      <c r="BF42" s="322"/>
      <c r="BG42" s="154"/>
      <c r="BH42" s="300"/>
      <c r="BI42" s="321"/>
      <c r="BJ42" s="320"/>
      <c r="BK42" s="321"/>
      <c r="BL42" s="322"/>
      <c r="BM42" s="321"/>
      <c r="BN42" s="322"/>
      <c r="BO42" s="320"/>
      <c r="BP42" s="322"/>
    </row>
    <row r="43" spans="2:68" ht="16.5" thickBot="1">
      <c r="K43" s="321"/>
      <c r="L43" s="323" t="s">
        <v>155</v>
      </c>
      <c r="M43" s="324" t="s">
        <v>103</v>
      </c>
      <c r="N43" s="279"/>
      <c r="O43" s="324" t="s">
        <v>103</v>
      </c>
      <c r="P43" s="279"/>
      <c r="Q43" s="325" t="s">
        <v>103</v>
      </c>
      <c r="R43" s="326">
        <f>SUM(N43,P43)</f>
        <v>0</v>
      </c>
      <c r="S43" s="294"/>
      <c r="T43" s="300"/>
      <c r="U43" s="321"/>
      <c r="V43" s="323" t="s">
        <v>155</v>
      </c>
      <c r="W43" s="324" t="s">
        <v>103</v>
      </c>
      <c r="X43" s="279"/>
      <c r="Y43" s="324" t="s">
        <v>103</v>
      </c>
      <c r="Z43" s="279"/>
      <c r="AA43" s="325" t="s">
        <v>103</v>
      </c>
      <c r="AB43" s="326">
        <f>SUM(X43,Z43)</f>
        <v>0</v>
      </c>
      <c r="AD43" s="300"/>
      <c r="AE43" s="321"/>
      <c r="AF43" s="323" t="s">
        <v>155</v>
      </c>
      <c r="AG43" s="324" t="s">
        <v>103</v>
      </c>
      <c r="AH43" s="279"/>
      <c r="AI43" s="324" t="s">
        <v>103</v>
      </c>
      <c r="AJ43" s="279"/>
      <c r="AK43" s="325" t="s">
        <v>103</v>
      </c>
      <c r="AL43" s="326">
        <f>SUM(AH43,AJ43)</f>
        <v>0</v>
      </c>
      <c r="AN43" s="300"/>
      <c r="AO43" s="321"/>
      <c r="AP43" s="323" t="s">
        <v>155</v>
      </c>
      <c r="AQ43" s="324" t="s">
        <v>103</v>
      </c>
      <c r="AR43" s="279"/>
      <c r="AS43" s="324" t="s">
        <v>103</v>
      </c>
      <c r="AT43" s="279"/>
      <c r="AU43" s="325" t="s">
        <v>103</v>
      </c>
      <c r="AV43" s="326">
        <f>SUM(AR43,AT43)</f>
        <v>0</v>
      </c>
      <c r="AX43" s="300"/>
      <c r="AY43" s="321"/>
      <c r="AZ43" s="323" t="s">
        <v>155</v>
      </c>
      <c r="BA43" s="324" t="s">
        <v>103</v>
      </c>
      <c r="BB43" s="279"/>
      <c r="BC43" s="324" t="s">
        <v>103</v>
      </c>
      <c r="BD43" s="279"/>
      <c r="BE43" s="325" t="s">
        <v>103</v>
      </c>
      <c r="BF43" s="326">
        <f>SUM(BB43,BD43)</f>
        <v>0</v>
      </c>
      <c r="BH43" s="300"/>
      <c r="BI43" s="321"/>
      <c r="BJ43" s="323" t="s">
        <v>155</v>
      </c>
      <c r="BK43" s="324" t="s">
        <v>103</v>
      </c>
      <c r="BL43" s="279"/>
      <c r="BM43" s="324" t="s">
        <v>103</v>
      </c>
      <c r="BN43" s="279"/>
      <c r="BO43" s="325" t="s">
        <v>103</v>
      </c>
      <c r="BP43" s="326">
        <f>SUM(BL43,BN43)</f>
        <v>0</v>
      </c>
    </row>
    <row r="44" spans="2:68" ht="18.75" thickBot="1">
      <c r="K44" s="321"/>
      <c r="L44" s="289">
        <v>8</v>
      </c>
      <c r="M44" s="327" t="s">
        <v>5</v>
      </c>
      <c r="N44" s="328">
        <f>VLOOKUP(L41, $B$3:$E$109, 4, FALSE)</f>
        <v>0</v>
      </c>
      <c r="O44" s="327" t="s">
        <v>5</v>
      </c>
      <c r="P44" s="329">
        <f>VLOOKUP(L41, $B$3:$F$109, 5, FALSE)</f>
        <v>0</v>
      </c>
      <c r="Q44" s="330" t="s">
        <v>5</v>
      </c>
      <c r="R44" s="326">
        <f>SUM(N44,P44)</f>
        <v>0</v>
      </c>
      <c r="S44" s="294"/>
      <c r="T44" s="300"/>
      <c r="U44" s="321"/>
      <c r="V44" s="289">
        <v>8</v>
      </c>
      <c r="W44" s="327" t="s">
        <v>5</v>
      </c>
      <c r="X44" s="328">
        <f>VLOOKUP(V41, $B$3:$E$109, 4, FALSE)</f>
        <v>0</v>
      </c>
      <c r="Y44" s="327" t="s">
        <v>5</v>
      </c>
      <c r="Z44" s="329">
        <f>VLOOKUP(V41, $B$3:$F$109, 5, FALSE)</f>
        <v>0</v>
      </c>
      <c r="AA44" s="330" t="s">
        <v>5</v>
      </c>
      <c r="AB44" s="326">
        <f>SUM(X44,Z44)</f>
        <v>0</v>
      </c>
      <c r="AD44" s="300"/>
      <c r="AE44" s="321"/>
      <c r="AF44" s="289">
        <v>8</v>
      </c>
      <c r="AG44" s="327" t="s">
        <v>5</v>
      </c>
      <c r="AH44" s="328">
        <f>VLOOKUP(AF41, $B$3:$E$109, 4, FALSE)</f>
        <v>0</v>
      </c>
      <c r="AI44" s="327" t="s">
        <v>5</v>
      </c>
      <c r="AJ44" s="329">
        <f>VLOOKUP(AF41, $B$3:$F$109, 5, FALSE)</f>
        <v>0</v>
      </c>
      <c r="AK44" s="330" t="s">
        <v>5</v>
      </c>
      <c r="AL44" s="326">
        <f>SUM(AH44,AJ44)</f>
        <v>0</v>
      </c>
      <c r="AN44" s="300"/>
      <c r="AO44" s="321"/>
      <c r="AP44" s="289">
        <v>8</v>
      </c>
      <c r="AQ44" s="327" t="s">
        <v>5</v>
      </c>
      <c r="AR44" s="328">
        <f>VLOOKUP(AP41, $B$3:$E$109, 4, FALSE)</f>
        <v>0</v>
      </c>
      <c r="AS44" s="327" t="s">
        <v>5</v>
      </c>
      <c r="AT44" s="329">
        <f>VLOOKUP(AP41, $B$3:$F$109, 5, FALSE)</f>
        <v>0</v>
      </c>
      <c r="AU44" s="330" t="s">
        <v>5</v>
      </c>
      <c r="AV44" s="326">
        <f>SUM(AR44,AT44)</f>
        <v>0</v>
      </c>
      <c r="AX44" s="300"/>
      <c r="AY44" s="321"/>
      <c r="AZ44" s="289">
        <v>8</v>
      </c>
      <c r="BA44" s="327" t="s">
        <v>5</v>
      </c>
      <c r="BB44" s="328">
        <f>VLOOKUP(AZ41, $B$3:$E$109, 4, FALSE)</f>
        <v>0</v>
      </c>
      <c r="BC44" s="327" t="s">
        <v>5</v>
      </c>
      <c r="BD44" s="329">
        <f>VLOOKUP(AZ41, $B$3:$F$109, 5, FALSE)</f>
        <v>0</v>
      </c>
      <c r="BE44" s="330" t="s">
        <v>5</v>
      </c>
      <c r="BF44" s="326">
        <f>SUM(BB44,BD44)</f>
        <v>0</v>
      </c>
      <c r="BH44" s="300"/>
      <c r="BI44" s="321"/>
      <c r="BJ44" s="289">
        <v>8</v>
      </c>
      <c r="BK44" s="327" t="s">
        <v>5</v>
      </c>
      <c r="BL44" s="328">
        <f>VLOOKUP(BJ41, $B$3:$E$109, 4, FALSE)</f>
        <v>0</v>
      </c>
      <c r="BM44" s="327" t="s">
        <v>5</v>
      </c>
      <c r="BN44" s="329">
        <f>VLOOKUP(BJ41, $B$3:$F$109, 5, FALSE)</f>
        <v>0</v>
      </c>
      <c r="BO44" s="330" t="s">
        <v>5</v>
      </c>
      <c r="BP44" s="326">
        <f>SUM(BL44,BN44)</f>
        <v>0</v>
      </c>
    </row>
    <row r="45" spans="2:68" ht="15.75" customHeight="1">
      <c r="K45" s="321"/>
      <c r="L45" s="320"/>
      <c r="M45" s="645" t="s">
        <v>105</v>
      </c>
      <c r="N45" s="328">
        <f>VLOOKUP(L41, $B$3:$E$109, 2, FALSE)</f>
        <v>0</v>
      </c>
      <c r="O45" s="645" t="s">
        <v>105</v>
      </c>
      <c r="P45" s="329">
        <f>VLOOKUP(L41, $B$3:$E$109, 3, FALSE)</f>
        <v>0</v>
      </c>
      <c r="Q45" s="646" t="s">
        <v>105</v>
      </c>
      <c r="R45" s="326">
        <f>SUM(N45,P45)</f>
        <v>0</v>
      </c>
      <c r="S45" s="294"/>
      <c r="T45" s="300"/>
      <c r="U45" s="321"/>
      <c r="V45" s="320"/>
      <c r="W45" s="645" t="s">
        <v>105</v>
      </c>
      <c r="X45" s="328">
        <f>VLOOKUP(V41, $B$3:$E$109, 2, FALSE)</f>
        <v>0</v>
      </c>
      <c r="Y45" s="645" t="s">
        <v>105</v>
      </c>
      <c r="Z45" s="329">
        <f>VLOOKUP(V41, $B$3:$E$109, 3, FALSE)</f>
        <v>0</v>
      </c>
      <c r="AA45" s="646" t="s">
        <v>105</v>
      </c>
      <c r="AB45" s="326">
        <f>SUM(X45,Z45)</f>
        <v>0</v>
      </c>
      <c r="AD45" s="300"/>
      <c r="AE45" s="321"/>
      <c r="AF45" s="320"/>
      <c r="AG45" s="645" t="s">
        <v>105</v>
      </c>
      <c r="AH45" s="328">
        <f>VLOOKUP(AF41, $B$3:$E$109, 2, FALSE)</f>
        <v>0</v>
      </c>
      <c r="AI45" s="645" t="s">
        <v>105</v>
      </c>
      <c r="AJ45" s="329">
        <f>VLOOKUP(AF41, $B$3:$E$109, 3, FALSE)</f>
        <v>0</v>
      </c>
      <c r="AK45" s="646" t="s">
        <v>105</v>
      </c>
      <c r="AL45" s="326">
        <f>SUM(AH45,AJ45)</f>
        <v>0</v>
      </c>
      <c r="AN45" s="300"/>
      <c r="AO45" s="321"/>
      <c r="AP45" s="320"/>
      <c r="AQ45" s="645" t="s">
        <v>105</v>
      </c>
      <c r="AR45" s="328">
        <f>VLOOKUP(AP41, $B$3:$E$109, 2, FALSE)</f>
        <v>0</v>
      </c>
      <c r="AS45" s="645" t="s">
        <v>105</v>
      </c>
      <c r="AT45" s="329">
        <f>VLOOKUP(AP41, $B$3:$E$109, 3, FALSE)</f>
        <v>0</v>
      </c>
      <c r="AU45" s="646" t="s">
        <v>105</v>
      </c>
      <c r="AV45" s="326">
        <f>SUM(AR45,AT45)</f>
        <v>0</v>
      </c>
      <c r="AX45" s="300"/>
      <c r="AY45" s="321"/>
      <c r="AZ45" s="320"/>
      <c r="BA45" s="645" t="s">
        <v>105</v>
      </c>
      <c r="BB45" s="328">
        <f>VLOOKUP(AZ41, $B$3:$E$109, 2, FALSE)</f>
        <v>0</v>
      </c>
      <c r="BC45" s="645" t="s">
        <v>105</v>
      </c>
      <c r="BD45" s="329">
        <f>VLOOKUP(AZ41, $B$3:$E$109, 3, FALSE)</f>
        <v>0</v>
      </c>
      <c r="BE45" s="646" t="s">
        <v>105</v>
      </c>
      <c r="BF45" s="326">
        <f>SUM(BB45,BD45)</f>
        <v>0</v>
      </c>
      <c r="BH45" s="300"/>
      <c r="BI45" s="321"/>
      <c r="BJ45" s="320"/>
      <c r="BK45" s="645" t="s">
        <v>105</v>
      </c>
      <c r="BL45" s="328">
        <f>VLOOKUP(BJ41, $B$3:$E$109, 2, FALSE)</f>
        <v>0</v>
      </c>
      <c r="BM45" s="645" t="s">
        <v>105</v>
      </c>
      <c r="BN45" s="329">
        <f>VLOOKUP(BJ41, $B$3:$E$109, 3, FALSE)</f>
        <v>0</v>
      </c>
      <c r="BO45" s="646" t="s">
        <v>105</v>
      </c>
      <c r="BP45" s="326">
        <f>SUM(BL45,BN45)</f>
        <v>0</v>
      </c>
    </row>
    <row r="46" spans="2:68" ht="12.75" customHeight="1">
      <c r="K46" s="702" t="s">
        <v>157</v>
      </c>
      <c r="L46" s="703"/>
      <c r="M46" s="646"/>
      <c r="N46" s="322"/>
      <c r="O46" s="645"/>
      <c r="P46" s="322"/>
      <c r="Q46" s="646"/>
      <c r="R46" s="322"/>
      <c r="S46" s="156"/>
      <c r="T46" s="300"/>
      <c r="U46" s="702" t="s">
        <v>157</v>
      </c>
      <c r="V46" s="703"/>
      <c r="W46" s="646"/>
      <c r="X46" s="322"/>
      <c r="Y46" s="645"/>
      <c r="Z46" s="322"/>
      <c r="AA46" s="646"/>
      <c r="AB46" s="322"/>
      <c r="AD46" s="300"/>
      <c r="AE46" s="702" t="s">
        <v>157</v>
      </c>
      <c r="AF46" s="703"/>
      <c r="AG46" s="646"/>
      <c r="AH46" s="322"/>
      <c r="AI46" s="645"/>
      <c r="AJ46" s="322"/>
      <c r="AK46" s="646"/>
      <c r="AL46" s="322"/>
      <c r="AN46" s="300"/>
      <c r="AO46" s="702" t="s">
        <v>157</v>
      </c>
      <c r="AP46" s="703"/>
      <c r="AQ46" s="646"/>
      <c r="AR46" s="322"/>
      <c r="AS46" s="645"/>
      <c r="AT46" s="322"/>
      <c r="AU46" s="646"/>
      <c r="AV46" s="322"/>
      <c r="AX46" s="300"/>
      <c r="AY46" s="702" t="s">
        <v>157</v>
      </c>
      <c r="AZ46" s="703"/>
      <c r="BA46" s="646"/>
      <c r="BB46" s="322"/>
      <c r="BC46" s="645"/>
      <c r="BD46" s="322"/>
      <c r="BE46" s="646"/>
      <c r="BF46" s="322"/>
      <c r="BH46" s="300"/>
      <c r="BI46" s="702" t="s">
        <v>157</v>
      </c>
      <c r="BJ46" s="703"/>
      <c r="BK46" s="646"/>
      <c r="BL46" s="322"/>
      <c r="BM46" s="645"/>
      <c r="BN46" s="322"/>
      <c r="BO46" s="646"/>
      <c r="BP46" s="322"/>
    </row>
    <row r="47" spans="2:68" ht="15.75">
      <c r="K47" s="389"/>
      <c r="L47" s="331">
        <f>R43*13</f>
        <v>0</v>
      </c>
      <c r="M47" s="332"/>
      <c r="N47" s="322"/>
      <c r="O47" s="333"/>
      <c r="P47" s="322"/>
      <c r="Q47" s="334"/>
      <c r="R47" s="322"/>
      <c r="S47" s="156"/>
      <c r="T47" s="300"/>
      <c r="U47" s="389"/>
      <c r="V47" s="331">
        <f>AB43*13</f>
        <v>0</v>
      </c>
      <c r="W47" s="332"/>
      <c r="X47" s="322"/>
      <c r="Y47" s="333"/>
      <c r="Z47" s="322"/>
      <c r="AA47" s="334"/>
      <c r="AB47" s="322"/>
      <c r="AD47" s="300"/>
      <c r="AE47" s="389"/>
      <c r="AF47" s="331">
        <f>AL43*13</f>
        <v>0</v>
      </c>
      <c r="AG47" s="332"/>
      <c r="AH47" s="322"/>
      <c r="AI47" s="333"/>
      <c r="AJ47" s="322"/>
      <c r="AK47" s="334"/>
      <c r="AL47" s="322"/>
      <c r="AN47" s="300"/>
      <c r="AO47" s="389"/>
      <c r="AP47" s="331">
        <f>AV43*13</f>
        <v>0</v>
      </c>
      <c r="AQ47" s="332"/>
      <c r="AR47" s="322"/>
      <c r="AS47" s="333"/>
      <c r="AT47" s="322"/>
      <c r="AU47" s="334"/>
      <c r="AV47" s="322"/>
      <c r="AX47" s="300"/>
      <c r="AY47" s="389"/>
      <c r="AZ47" s="331">
        <f>BF43*13</f>
        <v>0</v>
      </c>
      <c r="BA47" s="332"/>
      <c r="BB47" s="322"/>
      <c r="BC47" s="333"/>
      <c r="BD47" s="322"/>
      <c r="BE47" s="334"/>
      <c r="BF47" s="322"/>
      <c r="BH47" s="300"/>
      <c r="BI47" s="389"/>
      <c r="BJ47" s="331">
        <f>BP43*13</f>
        <v>0</v>
      </c>
      <c r="BK47" s="332"/>
      <c r="BL47" s="322"/>
      <c r="BM47" s="333"/>
      <c r="BN47" s="322"/>
      <c r="BO47" s="334"/>
      <c r="BP47" s="322"/>
    </row>
    <row r="48" spans="2:68" ht="18.75">
      <c r="K48" s="321"/>
      <c r="L48" s="390"/>
      <c r="M48" s="286" t="s">
        <v>97</v>
      </c>
      <c r="N48" s="287" t="e">
        <f>N45/((N43*EFFICIENCY!$H$28))</f>
        <v>#DIV/0!</v>
      </c>
      <c r="O48" s="286" t="s">
        <v>97</v>
      </c>
      <c r="P48" s="287" t="e">
        <f>P45/(P43*EFFICIENCY!$H$28)</f>
        <v>#DIV/0!</v>
      </c>
      <c r="Q48" s="286" t="s">
        <v>97</v>
      </c>
      <c r="R48" s="287" t="e">
        <f>R45/(R43*EFFICIENCY!$H$28)</f>
        <v>#DIV/0!</v>
      </c>
      <c r="S48" s="295"/>
      <c r="T48" s="300"/>
      <c r="U48" s="321"/>
      <c r="V48" s="390"/>
      <c r="W48" s="286" t="s">
        <v>97</v>
      </c>
      <c r="X48" s="287" t="e">
        <f>X45/((X43*EFFICIENCY!$H$28))</f>
        <v>#DIV/0!</v>
      </c>
      <c r="Y48" s="286" t="s">
        <v>97</v>
      </c>
      <c r="Z48" s="287" t="e">
        <f>Z45/(Z43*EFFICIENCY!$H$28)</f>
        <v>#DIV/0!</v>
      </c>
      <c r="AA48" s="286" t="s">
        <v>97</v>
      </c>
      <c r="AB48" s="287" t="e">
        <f>AB45/(AB43*EFFICIENCY!$H$28)</f>
        <v>#DIV/0!</v>
      </c>
      <c r="AD48" s="300"/>
      <c r="AE48" s="321"/>
      <c r="AF48" s="390"/>
      <c r="AG48" s="286" t="s">
        <v>97</v>
      </c>
      <c r="AH48" s="287" t="e">
        <f>AH45/((AH43*EFFICIENCY!$H$28))</f>
        <v>#DIV/0!</v>
      </c>
      <c r="AI48" s="286" t="s">
        <v>97</v>
      </c>
      <c r="AJ48" s="287" t="e">
        <f>AJ45/(AJ43*EFFICIENCY!$H$28)</f>
        <v>#DIV/0!</v>
      </c>
      <c r="AK48" s="286" t="s">
        <v>97</v>
      </c>
      <c r="AL48" s="287" t="e">
        <f>AL45/(AL43*EFFICIENCY!$H$28)</f>
        <v>#DIV/0!</v>
      </c>
      <c r="AN48" s="300"/>
      <c r="AO48" s="321"/>
      <c r="AP48" s="390"/>
      <c r="AQ48" s="286" t="s">
        <v>97</v>
      </c>
      <c r="AR48" s="287" t="e">
        <f>AR45/((AR43*EFFICIENCY!$H$28))</f>
        <v>#DIV/0!</v>
      </c>
      <c r="AS48" s="286" t="s">
        <v>97</v>
      </c>
      <c r="AT48" s="287" t="e">
        <f>AT45/(AT43*EFFICIENCY!$H$28)</f>
        <v>#DIV/0!</v>
      </c>
      <c r="AU48" s="286" t="s">
        <v>97</v>
      </c>
      <c r="AV48" s="287" t="e">
        <f>AV45/(AV43*EFFICIENCY!$H$28)</f>
        <v>#DIV/0!</v>
      </c>
      <c r="AX48" s="300"/>
      <c r="AY48" s="321"/>
      <c r="AZ48" s="390"/>
      <c r="BA48" s="286" t="s">
        <v>97</v>
      </c>
      <c r="BB48" s="287" t="e">
        <f>BB45/((BB43*EFFICIENCY!$H$28))</f>
        <v>#DIV/0!</v>
      </c>
      <c r="BC48" s="286" t="s">
        <v>97</v>
      </c>
      <c r="BD48" s="287" t="e">
        <f>BD45/(BD43*EFFICIENCY!$H$28)</f>
        <v>#DIV/0!</v>
      </c>
      <c r="BE48" s="286" t="s">
        <v>97</v>
      </c>
      <c r="BF48" s="287" t="e">
        <f>BF45/(BF43*EFFICIENCY!$H$28)</f>
        <v>#DIV/0!</v>
      </c>
      <c r="BH48" s="300"/>
      <c r="BI48" s="321"/>
      <c r="BJ48" s="390"/>
      <c r="BK48" s="286" t="s">
        <v>97</v>
      </c>
      <c r="BL48" s="287" t="e">
        <f>BL45/((BL43*EFFICIENCY!$H$28))</f>
        <v>#DIV/0!</v>
      </c>
      <c r="BM48" s="286" t="s">
        <v>97</v>
      </c>
      <c r="BN48" s="287" t="e">
        <f>BN45/(BN43*EFFICIENCY!$H$28)</f>
        <v>#DIV/0!</v>
      </c>
      <c r="BO48" s="286" t="s">
        <v>97</v>
      </c>
      <c r="BP48" s="287" t="e">
        <f>BP45/(BP43*EFFICIENCY!$H$28)</f>
        <v>#DIV/0!</v>
      </c>
    </row>
    <row r="49" spans="10:68" ht="18.75">
      <c r="K49" s="321"/>
      <c r="L49" s="320"/>
      <c r="M49" s="280" t="s">
        <v>96</v>
      </c>
      <c r="N49" s="281" t="e">
        <f>N45/(N43*EFFICIENCY!$I$28)</f>
        <v>#DIV/0!</v>
      </c>
      <c r="O49" s="280" t="s">
        <v>96</v>
      </c>
      <c r="P49" s="281" t="e">
        <f>P45/(P43*EFFICIENCY!$I$28)</f>
        <v>#DIV/0!</v>
      </c>
      <c r="Q49" s="280" t="s">
        <v>96</v>
      </c>
      <c r="R49" s="281" t="e">
        <f>R45/(R43*EFFICIENCY!$I$28)</f>
        <v>#DIV/0!</v>
      </c>
      <c r="S49" s="296"/>
      <c r="T49" s="300"/>
      <c r="U49" s="321"/>
      <c r="V49" s="320"/>
      <c r="W49" s="280" t="s">
        <v>96</v>
      </c>
      <c r="X49" s="281" t="e">
        <f>X45/(X43*EFFICIENCY!$I$28)</f>
        <v>#DIV/0!</v>
      </c>
      <c r="Y49" s="280" t="s">
        <v>96</v>
      </c>
      <c r="Z49" s="281" t="e">
        <f>Z45/(Z43*EFFICIENCY!$I$28)</f>
        <v>#DIV/0!</v>
      </c>
      <c r="AA49" s="280" t="s">
        <v>96</v>
      </c>
      <c r="AB49" s="281" t="e">
        <f>AB45/(AB43*EFFICIENCY!$I$28)</f>
        <v>#DIV/0!</v>
      </c>
      <c r="AD49" s="300"/>
      <c r="AE49" s="321"/>
      <c r="AF49" s="320"/>
      <c r="AG49" s="280" t="s">
        <v>96</v>
      </c>
      <c r="AH49" s="281" t="e">
        <f>AH45/(AH43*EFFICIENCY!$I$28)</f>
        <v>#DIV/0!</v>
      </c>
      <c r="AI49" s="280" t="s">
        <v>96</v>
      </c>
      <c r="AJ49" s="281" t="e">
        <f>AJ45/(AJ43*EFFICIENCY!$I$28)</f>
        <v>#DIV/0!</v>
      </c>
      <c r="AK49" s="280" t="s">
        <v>96</v>
      </c>
      <c r="AL49" s="281" t="e">
        <f>AL45/(AL43*EFFICIENCY!$I$28)</f>
        <v>#DIV/0!</v>
      </c>
      <c r="AN49" s="300"/>
      <c r="AO49" s="321"/>
      <c r="AP49" s="320"/>
      <c r="AQ49" s="280" t="s">
        <v>96</v>
      </c>
      <c r="AR49" s="281" t="e">
        <f>AR45/(AR43*EFFICIENCY!$I$28)</f>
        <v>#DIV/0!</v>
      </c>
      <c r="AS49" s="280" t="s">
        <v>96</v>
      </c>
      <c r="AT49" s="281" t="e">
        <f>AT45/(AT43*EFFICIENCY!$I$28)</f>
        <v>#DIV/0!</v>
      </c>
      <c r="AU49" s="280" t="s">
        <v>96</v>
      </c>
      <c r="AV49" s="281" t="e">
        <f>AV45/(AV43*EFFICIENCY!$I$28)</f>
        <v>#DIV/0!</v>
      </c>
      <c r="AX49" s="300"/>
      <c r="AY49" s="321"/>
      <c r="AZ49" s="320"/>
      <c r="BA49" s="280" t="s">
        <v>96</v>
      </c>
      <c r="BB49" s="281" t="e">
        <f>BB45/(BB43*EFFICIENCY!$I$28)</f>
        <v>#DIV/0!</v>
      </c>
      <c r="BC49" s="280" t="s">
        <v>96</v>
      </c>
      <c r="BD49" s="281" t="e">
        <f>BD45/(BD43*EFFICIENCY!$I$28)</f>
        <v>#DIV/0!</v>
      </c>
      <c r="BE49" s="280" t="s">
        <v>96</v>
      </c>
      <c r="BF49" s="281" t="e">
        <f>BF45/(BF43*EFFICIENCY!$I$28)</f>
        <v>#DIV/0!</v>
      </c>
      <c r="BH49" s="300"/>
      <c r="BI49" s="321"/>
      <c r="BJ49" s="320"/>
      <c r="BK49" s="280" t="s">
        <v>96</v>
      </c>
      <c r="BL49" s="281" t="e">
        <f>BL45/(BL43*EFFICIENCY!$I$28)</f>
        <v>#DIV/0!</v>
      </c>
      <c r="BM49" s="280" t="s">
        <v>96</v>
      </c>
      <c r="BN49" s="281" t="e">
        <f>BN45/(BN43*EFFICIENCY!$I$28)</f>
        <v>#DIV/0!</v>
      </c>
      <c r="BO49" s="280" t="s">
        <v>96</v>
      </c>
      <c r="BP49" s="281" t="e">
        <f>BP45/(BP43*EFFICIENCY!$I$28)</f>
        <v>#DIV/0!</v>
      </c>
    </row>
    <row r="50" spans="10:68" ht="19.5" customHeight="1" thickBot="1">
      <c r="K50" s="686" t="s">
        <v>156</v>
      </c>
      <c r="L50" s="687"/>
      <c r="M50" s="284" t="s">
        <v>94</v>
      </c>
      <c r="N50" s="285" t="e">
        <f>N45/((N43*EFFICIENCY!$K$28))</f>
        <v>#DIV/0!</v>
      </c>
      <c r="O50" s="288" t="s">
        <v>94</v>
      </c>
      <c r="P50" s="285" t="e">
        <f>P45/((P43*EFFICIENCY!$K$28))</f>
        <v>#DIV/0!</v>
      </c>
      <c r="Q50" s="284" t="s">
        <v>94</v>
      </c>
      <c r="R50" s="285" t="e">
        <f>R45/((R43*EFFICIENCY!$K$28))</f>
        <v>#DIV/0!</v>
      </c>
      <c r="S50" s="297"/>
      <c r="T50" s="300"/>
      <c r="U50" s="686" t="s">
        <v>156</v>
      </c>
      <c r="V50" s="687"/>
      <c r="W50" s="284" t="s">
        <v>94</v>
      </c>
      <c r="X50" s="285" t="e">
        <f>X45/((X43*EFFICIENCY!$K$28))</f>
        <v>#DIV/0!</v>
      </c>
      <c r="Y50" s="288" t="s">
        <v>94</v>
      </c>
      <c r="Z50" s="285" t="e">
        <f>Z45/((Z43*EFFICIENCY!$K$28))</f>
        <v>#DIV/0!</v>
      </c>
      <c r="AA50" s="284" t="s">
        <v>94</v>
      </c>
      <c r="AB50" s="285" t="e">
        <f>AB45/((AB43*EFFICIENCY!$K$28))</f>
        <v>#DIV/0!</v>
      </c>
      <c r="AD50" s="300"/>
      <c r="AE50" s="686" t="s">
        <v>156</v>
      </c>
      <c r="AF50" s="687"/>
      <c r="AG50" s="284" t="s">
        <v>94</v>
      </c>
      <c r="AH50" s="285" t="e">
        <f>AH45/((AH43*EFFICIENCY!$K$28))</f>
        <v>#DIV/0!</v>
      </c>
      <c r="AI50" s="288" t="s">
        <v>94</v>
      </c>
      <c r="AJ50" s="285" t="e">
        <f>AJ45/((AJ43*EFFICIENCY!$K$28))</f>
        <v>#DIV/0!</v>
      </c>
      <c r="AK50" s="284" t="s">
        <v>94</v>
      </c>
      <c r="AL50" s="285" t="e">
        <f>AL45/((AL43*EFFICIENCY!$K$28))</f>
        <v>#DIV/0!</v>
      </c>
      <c r="AN50" s="300"/>
      <c r="AO50" s="686" t="s">
        <v>156</v>
      </c>
      <c r="AP50" s="687"/>
      <c r="AQ50" s="284" t="s">
        <v>94</v>
      </c>
      <c r="AR50" s="285" t="e">
        <f>AR45/((AR43*EFFICIENCY!$K$28))</f>
        <v>#DIV/0!</v>
      </c>
      <c r="AS50" s="288" t="s">
        <v>94</v>
      </c>
      <c r="AT50" s="285" t="e">
        <f>AT45/((AT43*EFFICIENCY!$K$28))</f>
        <v>#DIV/0!</v>
      </c>
      <c r="AU50" s="284" t="s">
        <v>94</v>
      </c>
      <c r="AV50" s="285" t="e">
        <f>AV45/((AV43*EFFICIENCY!$K$28))</f>
        <v>#DIV/0!</v>
      </c>
      <c r="AX50" s="300"/>
      <c r="AY50" s="686" t="s">
        <v>156</v>
      </c>
      <c r="AZ50" s="687"/>
      <c r="BA50" s="284" t="s">
        <v>94</v>
      </c>
      <c r="BB50" s="285" t="e">
        <f>BB45/((BB43*EFFICIENCY!$K$28))</f>
        <v>#DIV/0!</v>
      </c>
      <c r="BC50" s="288" t="s">
        <v>94</v>
      </c>
      <c r="BD50" s="285" t="e">
        <f>BD45/((BD43*EFFICIENCY!$K$28))</f>
        <v>#DIV/0!</v>
      </c>
      <c r="BE50" s="284" t="s">
        <v>94</v>
      </c>
      <c r="BF50" s="285" t="e">
        <f>BF45/((BF43*EFFICIENCY!$K$28))</f>
        <v>#DIV/0!</v>
      </c>
      <c r="BH50" s="300"/>
      <c r="BI50" s="686" t="s">
        <v>156</v>
      </c>
      <c r="BJ50" s="687"/>
      <c r="BK50" s="284" t="s">
        <v>94</v>
      </c>
      <c r="BL50" s="285" t="e">
        <f>BL45/((BL43*EFFICIENCY!$K$28))</f>
        <v>#DIV/0!</v>
      </c>
      <c r="BM50" s="288" t="s">
        <v>94</v>
      </c>
      <c r="BN50" s="285" t="e">
        <f>BN45/((BN43*EFFICIENCY!$K$28))</f>
        <v>#DIV/0!</v>
      </c>
      <c r="BO50" s="284" t="s">
        <v>94</v>
      </c>
      <c r="BP50" s="285" t="e">
        <f>BP45/((BP43*EFFICIENCY!$K$28))</f>
        <v>#DIV/0!</v>
      </c>
    </row>
    <row r="51" spans="10:68" ht="16.5" thickBot="1">
      <c r="K51" s="391"/>
      <c r="L51" s="392" t="e">
        <f>R45/R43</f>
        <v>#DIV/0!</v>
      </c>
      <c r="M51" s="649" t="s">
        <v>153</v>
      </c>
      <c r="N51" s="650"/>
      <c r="O51" s="290"/>
      <c r="P51" s="335"/>
      <c r="Q51" s="335" t="s">
        <v>154</v>
      </c>
      <c r="R51" s="336">
        <f>O51-R45</f>
        <v>0</v>
      </c>
      <c r="S51" s="298"/>
      <c r="T51" s="300"/>
      <c r="U51" s="391"/>
      <c r="V51" s="392" t="e">
        <f>AB45/AB43</f>
        <v>#DIV/0!</v>
      </c>
      <c r="W51" s="649" t="s">
        <v>153</v>
      </c>
      <c r="X51" s="650"/>
      <c r="Y51" s="290"/>
      <c r="Z51" s="335"/>
      <c r="AA51" s="335" t="s">
        <v>154</v>
      </c>
      <c r="AB51" s="336">
        <f>Y51-AB45</f>
        <v>0</v>
      </c>
      <c r="AD51" s="300"/>
      <c r="AE51" s="391"/>
      <c r="AF51" s="392" t="e">
        <f>AL45/AL43</f>
        <v>#DIV/0!</v>
      </c>
      <c r="AG51" s="649" t="s">
        <v>153</v>
      </c>
      <c r="AH51" s="650"/>
      <c r="AI51" s="290"/>
      <c r="AJ51" s="335"/>
      <c r="AK51" s="335" t="s">
        <v>154</v>
      </c>
      <c r="AL51" s="336">
        <f>AI51-AL45</f>
        <v>0</v>
      </c>
      <c r="AN51" s="300"/>
      <c r="AO51" s="391"/>
      <c r="AP51" s="392" t="e">
        <f>AV45/AV43</f>
        <v>#DIV/0!</v>
      </c>
      <c r="AQ51" s="649" t="s">
        <v>153</v>
      </c>
      <c r="AR51" s="650"/>
      <c r="AS51" s="290"/>
      <c r="AT51" s="335"/>
      <c r="AU51" s="335" t="s">
        <v>154</v>
      </c>
      <c r="AV51" s="336">
        <f>AS51-AV45</f>
        <v>0</v>
      </c>
      <c r="AX51" s="300"/>
      <c r="AY51" s="391"/>
      <c r="AZ51" s="392" t="e">
        <f>BF45/BF43</f>
        <v>#DIV/0!</v>
      </c>
      <c r="BA51" s="649" t="s">
        <v>153</v>
      </c>
      <c r="BB51" s="650"/>
      <c r="BC51" s="290"/>
      <c r="BD51" s="335"/>
      <c r="BE51" s="335" t="s">
        <v>154</v>
      </c>
      <c r="BF51" s="336">
        <f>BC51-BF45</f>
        <v>0</v>
      </c>
      <c r="BH51" s="300"/>
      <c r="BI51" s="391"/>
      <c r="BJ51" s="392" t="e">
        <f>BP45/BP43</f>
        <v>#DIV/0!</v>
      </c>
      <c r="BK51" s="649" t="s">
        <v>153</v>
      </c>
      <c r="BL51" s="650"/>
      <c r="BM51" s="290"/>
      <c r="BN51" s="335"/>
      <c r="BO51" s="335" t="s">
        <v>154</v>
      </c>
      <c r="BP51" s="336">
        <f>BM51-BP45</f>
        <v>0</v>
      </c>
    </row>
    <row r="52" spans="10:68">
      <c r="T52" s="300"/>
      <c r="AD52" s="300"/>
      <c r="AN52" s="300"/>
      <c r="AX52" s="300"/>
      <c r="BH52" s="300"/>
    </row>
    <row r="53" spans="10:68" ht="13.5" thickBot="1">
      <c r="J53" s="291"/>
      <c r="K53" s="291"/>
      <c r="L53" s="291"/>
      <c r="M53" s="291"/>
      <c r="N53" s="291"/>
      <c r="O53" s="291"/>
      <c r="P53" s="291"/>
      <c r="Q53" s="291"/>
      <c r="R53" s="291"/>
      <c r="S53" s="299"/>
      <c r="T53" s="301"/>
      <c r="U53" s="291"/>
      <c r="V53" s="291"/>
      <c r="W53" s="291"/>
      <c r="X53" s="291"/>
      <c r="Y53" s="291"/>
      <c r="Z53" s="291"/>
      <c r="AA53" s="291"/>
      <c r="AB53" s="291"/>
      <c r="AC53" s="291"/>
      <c r="AD53" s="301"/>
      <c r="AE53" s="291"/>
      <c r="AF53" s="291"/>
      <c r="AG53" s="291"/>
      <c r="AH53" s="291"/>
      <c r="AI53" s="291"/>
      <c r="AJ53" s="291"/>
      <c r="AK53" s="291"/>
      <c r="AL53" s="291"/>
      <c r="AM53" s="291"/>
      <c r="AN53" s="301"/>
      <c r="AO53" s="291"/>
      <c r="AP53" s="291"/>
      <c r="AQ53" s="291"/>
      <c r="AR53" s="291"/>
      <c r="AS53" s="291"/>
      <c r="AT53" s="291"/>
      <c r="AU53" s="291"/>
      <c r="AV53" s="291"/>
      <c r="AW53" s="291"/>
      <c r="AX53" s="301"/>
      <c r="AY53" s="291"/>
      <c r="AZ53" s="291"/>
      <c r="BA53" s="291"/>
      <c r="BB53" s="291"/>
      <c r="BC53" s="291"/>
      <c r="BD53" s="291"/>
      <c r="BE53" s="291"/>
      <c r="BF53" s="291"/>
      <c r="BG53" s="291"/>
      <c r="BH53" s="301"/>
      <c r="BI53" s="291"/>
      <c r="BJ53" s="291"/>
      <c r="BK53" s="291"/>
      <c r="BL53" s="291"/>
      <c r="BM53" s="291"/>
      <c r="BN53" s="291"/>
      <c r="BO53" s="291"/>
      <c r="BP53" s="291"/>
    </row>
    <row r="54" spans="10:68" ht="15.75" thickBot="1">
      <c r="J54" s="154"/>
      <c r="K54" s="409" t="s">
        <v>7</v>
      </c>
      <c r="L54" s="536">
        <f>B30</f>
        <v>42457</v>
      </c>
      <c r="M54" s="651" t="s">
        <v>100</v>
      </c>
      <c r="N54" s="652"/>
      <c r="O54" s="653" t="s">
        <v>99</v>
      </c>
      <c r="P54" s="654"/>
      <c r="Q54" s="655" t="s">
        <v>16</v>
      </c>
      <c r="R54" s="656"/>
      <c r="S54" s="293"/>
      <c r="T54" s="300"/>
      <c r="U54" s="409" t="s">
        <v>7</v>
      </c>
      <c r="V54" s="536">
        <f>B31</f>
        <v>42458</v>
      </c>
      <c r="W54" s="651" t="s">
        <v>100</v>
      </c>
      <c r="X54" s="652"/>
      <c r="Y54" s="653" t="s">
        <v>99</v>
      </c>
      <c r="Z54" s="654"/>
      <c r="AA54" s="655" t="s">
        <v>16</v>
      </c>
      <c r="AB54" s="656"/>
      <c r="AC54" s="154"/>
      <c r="AD54" s="300"/>
      <c r="AE54" s="409" t="s">
        <v>7</v>
      </c>
      <c r="AF54" s="536">
        <f>B32</f>
        <v>42459</v>
      </c>
      <c r="AG54" s="651" t="s">
        <v>100</v>
      </c>
      <c r="AH54" s="652"/>
      <c r="AI54" s="653" t="s">
        <v>99</v>
      </c>
      <c r="AJ54" s="654"/>
      <c r="AK54" s="655" t="s">
        <v>16</v>
      </c>
      <c r="AL54" s="656"/>
      <c r="AM54" s="154"/>
      <c r="AN54" s="300"/>
      <c r="AO54" s="409" t="s">
        <v>7</v>
      </c>
      <c r="AP54" s="536">
        <f>B33</f>
        <v>42460</v>
      </c>
      <c r="AQ54" s="651" t="s">
        <v>100</v>
      </c>
      <c r="AR54" s="652"/>
      <c r="AS54" s="653" t="s">
        <v>99</v>
      </c>
      <c r="AT54" s="654"/>
      <c r="AU54" s="655" t="s">
        <v>16</v>
      </c>
      <c r="AV54" s="656"/>
      <c r="AW54" s="154"/>
      <c r="AX54" s="300"/>
      <c r="AY54" s="409" t="s">
        <v>7</v>
      </c>
      <c r="AZ54" s="536">
        <f>B34</f>
        <v>42461</v>
      </c>
      <c r="BA54" s="651" t="s">
        <v>100</v>
      </c>
      <c r="BB54" s="652"/>
      <c r="BC54" s="653" t="s">
        <v>99</v>
      </c>
      <c r="BD54" s="654"/>
      <c r="BE54" s="655" t="s">
        <v>16</v>
      </c>
      <c r="BF54" s="656"/>
      <c r="BG54" s="154"/>
      <c r="BH54" s="300"/>
      <c r="BI54" s="409" t="s">
        <v>7</v>
      </c>
      <c r="BJ54" s="536">
        <f>B35</f>
        <v>42462</v>
      </c>
      <c r="BK54" s="651" t="s">
        <v>100</v>
      </c>
      <c r="BL54" s="652"/>
      <c r="BM54" s="653" t="s">
        <v>99</v>
      </c>
      <c r="BN54" s="654"/>
      <c r="BO54" s="655" t="s">
        <v>16</v>
      </c>
      <c r="BP54" s="656"/>
    </row>
    <row r="55" spans="10:68" ht="13.5" thickBot="1">
      <c r="J55" s="154"/>
      <c r="K55" s="394"/>
      <c r="L55" s="393"/>
      <c r="M55" s="394"/>
      <c r="N55" s="395"/>
      <c r="O55" s="394"/>
      <c r="P55" s="395"/>
      <c r="Q55" s="393"/>
      <c r="R55" s="395"/>
      <c r="S55" s="156"/>
      <c r="T55" s="300"/>
      <c r="U55" s="394"/>
      <c r="V55" s="393"/>
      <c r="W55" s="394"/>
      <c r="X55" s="395"/>
      <c r="Y55" s="394"/>
      <c r="Z55" s="395"/>
      <c r="AA55" s="393"/>
      <c r="AB55" s="395"/>
      <c r="AC55" s="154"/>
      <c r="AD55" s="300"/>
      <c r="AE55" s="394"/>
      <c r="AF55" s="393"/>
      <c r="AG55" s="394"/>
      <c r="AH55" s="395"/>
      <c r="AI55" s="394"/>
      <c r="AJ55" s="395"/>
      <c r="AK55" s="393"/>
      <c r="AL55" s="395"/>
      <c r="AM55" s="154"/>
      <c r="AN55" s="300"/>
      <c r="AO55" s="394"/>
      <c r="AP55" s="393"/>
      <c r="AQ55" s="394"/>
      <c r="AR55" s="395"/>
      <c r="AS55" s="394"/>
      <c r="AT55" s="395"/>
      <c r="AU55" s="393"/>
      <c r="AV55" s="395"/>
      <c r="AW55" s="154"/>
      <c r="AX55" s="300"/>
      <c r="AY55" s="394"/>
      <c r="AZ55" s="393"/>
      <c r="BA55" s="394"/>
      <c r="BB55" s="395"/>
      <c r="BC55" s="394"/>
      <c r="BD55" s="395"/>
      <c r="BE55" s="393"/>
      <c r="BF55" s="395"/>
      <c r="BG55" s="154"/>
      <c r="BH55" s="300"/>
      <c r="BI55" s="394"/>
      <c r="BJ55" s="393"/>
      <c r="BK55" s="394"/>
      <c r="BL55" s="395"/>
      <c r="BM55" s="394"/>
      <c r="BN55" s="395"/>
      <c r="BO55" s="393"/>
      <c r="BP55" s="395"/>
    </row>
    <row r="56" spans="10:68" ht="16.5" thickBot="1">
      <c r="J56" s="154"/>
      <c r="K56" s="394"/>
      <c r="L56" s="396" t="s">
        <v>155</v>
      </c>
      <c r="M56" s="397" t="s">
        <v>103</v>
      </c>
      <c r="N56" s="279"/>
      <c r="O56" s="397" t="s">
        <v>103</v>
      </c>
      <c r="P56" s="279"/>
      <c r="Q56" s="398" t="s">
        <v>103</v>
      </c>
      <c r="R56" s="399">
        <f>SUM(N56,P56)</f>
        <v>0</v>
      </c>
      <c r="S56" s="294"/>
      <c r="T56" s="300"/>
      <c r="U56" s="394"/>
      <c r="V56" s="396" t="s">
        <v>155</v>
      </c>
      <c r="W56" s="397" t="s">
        <v>103</v>
      </c>
      <c r="X56" s="279"/>
      <c r="Y56" s="397" t="s">
        <v>103</v>
      </c>
      <c r="Z56" s="279"/>
      <c r="AA56" s="398" t="s">
        <v>103</v>
      </c>
      <c r="AB56" s="399">
        <f>SUM(X56,Z56)</f>
        <v>0</v>
      </c>
      <c r="AC56" s="154"/>
      <c r="AD56" s="300"/>
      <c r="AE56" s="394"/>
      <c r="AF56" s="396" t="s">
        <v>155</v>
      </c>
      <c r="AG56" s="397" t="s">
        <v>103</v>
      </c>
      <c r="AH56" s="279"/>
      <c r="AI56" s="397" t="s">
        <v>103</v>
      </c>
      <c r="AJ56" s="279"/>
      <c r="AK56" s="398" t="s">
        <v>103</v>
      </c>
      <c r="AL56" s="399">
        <f>SUM(AH56,AJ56)</f>
        <v>0</v>
      </c>
      <c r="AM56" s="154"/>
      <c r="AN56" s="300"/>
      <c r="AO56" s="394"/>
      <c r="AP56" s="396" t="s">
        <v>155</v>
      </c>
      <c r="AQ56" s="397" t="s">
        <v>103</v>
      </c>
      <c r="AR56" s="279"/>
      <c r="AS56" s="397" t="s">
        <v>103</v>
      </c>
      <c r="AT56" s="279"/>
      <c r="AU56" s="398" t="s">
        <v>103</v>
      </c>
      <c r="AV56" s="399">
        <f>SUM(AR56,AT56)</f>
        <v>0</v>
      </c>
      <c r="AW56" s="154"/>
      <c r="AX56" s="300"/>
      <c r="AY56" s="394"/>
      <c r="AZ56" s="396" t="s">
        <v>155</v>
      </c>
      <c r="BA56" s="397" t="s">
        <v>103</v>
      </c>
      <c r="BB56" s="279"/>
      <c r="BC56" s="397" t="s">
        <v>103</v>
      </c>
      <c r="BD56" s="279"/>
      <c r="BE56" s="398" t="s">
        <v>103</v>
      </c>
      <c r="BF56" s="399">
        <f>SUM(BB56,BD56)</f>
        <v>0</v>
      </c>
      <c r="BG56" s="154"/>
      <c r="BH56" s="300"/>
      <c r="BI56" s="394"/>
      <c r="BJ56" s="396" t="s">
        <v>155</v>
      </c>
      <c r="BK56" s="397" t="s">
        <v>103</v>
      </c>
      <c r="BL56" s="279"/>
      <c r="BM56" s="397" t="s">
        <v>103</v>
      </c>
      <c r="BN56" s="279"/>
      <c r="BO56" s="398" t="s">
        <v>103</v>
      </c>
      <c r="BP56" s="399">
        <f>SUM(BL56,BN56)</f>
        <v>0</v>
      </c>
    </row>
    <row r="57" spans="10:68" ht="18.75" thickBot="1">
      <c r="K57" s="394"/>
      <c r="L57" s="289">
        <v>8</v>
      </c>
      <c r="M57" s="400" t="s">
        <v>5</v>
      </c>
      <c r="N57" s="401">
        <f>VLOOKUP(L54, $B$3:$E$109, 4, FALSE)</f>
        <v>0</v>
      </c>
      <c r="O57" s="400" t="s">
        <v>5</v>
      </c>
      <c r="P57" s="402">
        <f>VLOOKUP(L54, $B$3:$F$109, 5, FALSE)</f>
        <v>0</v>
      </c>
      <c r="Q57" s="403" t="s">
        <v>5</v>
      </c>
      <c r="R57" s="399">
        <f>SUM(N57,P57)</f>
        <v>0</v>
      </c>
      <c r="S57" s="294"/>
      <c r="T57" s="300"/>
      <c r="U57" s="394"/>
      <c r="V57" s="289">
        <v>8</v>
      </c>
      <c r="W57" s="400" t="s">
        <v>5</v>
      </c>
      <c r="X57" s="401">
        <f>VLOOKUP(V54, $B$3:$E$109, 4, FALSE)</f>
        <v>0</v>
      </c>
      <c r="Y57" s="400" t="s">
        <v>5</v>
      </c>
      <c r="Z57" s="402">
        <f>VLOOKUP(V54, $B$3:$F$109, 5, FALSE)</f>
        <v>0</v>
      </c>
      <c r="AA57" s="403" t="s">
        <v>5</v>
      </c>
      <c r="AB57" s="399">
        <f>SUM(X57,Z57)</f>
        <v>0</v>
      </c>
      <c r="AD57" s="300"/>
      <c r="AE57" s="394"/>
      <c r="AF57" s="289">
        <v>8</v>
      </c>
      <c r="AG57" s="400" t="s">
        <v>5</v>
      </c>
      <c r="AH57" s="401">
        <f>VLOOKUP(AF54, $B$3:$E$109, 4, FALSE)</f>
        <v>0</v>
      </c>
      <c r="AI57" s="400" t="s">
        <v>5</v>
      </c>
      <c r="AJ57" s="402">
        <f>VLOOKUP(AF54, $B$3:$F$109, 5, FALSE)</f>
        <v>0</v>
      </c>
      <c r="AK57" s="403" t="s">
        <v>5</v>
      </c>
      <c r="AL57" s="399">
        <f>SUM(AH57,AJ57)</f>
        <v>0</v>
      </c>
      <c r="AN57" s="300"/>
      <c r="AO57" s="394"/>
      <c r="AP57" s="289">
        <v>8</v>
      </c>
      <c r="AQ57" s="400" t="s">
        <v>5</v>
      </c>
      <c r="AR57" s="401">
        <f>VLOOKUP(AP54, $B$3:$E$109, 4, FALSE)</f>
        <v>0</v>
      </c>
      <c r="AS57" s="400" t="s">
        <v>5</v>
      </c>
      <c r="AT57" s="402">
        <f>VLOOKUP(AP54, $B$3:$F$109, 5, FALSE)</f>
        <v>0</v>
      </c>
      <c r="AU57" s="403" t="s">
        <v>5</v>
      </c>
      <c r="AV57" s="399">
        <f>SUM(AR57,AT57)</f>
        <v>0</v>
      </c>
      <c r="AX57" s="300"/>
      <c r="AY57" s="394"/>
      <c r="AZ57" s="289">
        <v>8</v>
      </c>
      <c r="BA57" s="400" t="s">
        <v>5</v>
      </c>
      <c r="BB57" s="401">
        <f>VLOOKUP(AZ54, $B$3:$E$109, 4, FALSE)</f>
        <v>0</v>
      </c>
      <c r="BC57" s="400" t="s">
        <v>5</v>
      </c>
      <c r="BD57" s="402">
        <f>VLOOKUP(AZ54, $B$3:$F$109, 5, FALSE)</f>
        <v>0</v>
      </c>
      <c r="BE57" s="403" t="s">
        <v>5</v>
      </c>
      <c r="BF57" s="399">
        <f>SUM(BB57,BD57)</f>
        <v>0</v>
      </c>
      <c r="BH57" s="300"/>
      <c r="BI57" s="394"/>
      <c r="BJ57" s="289">
        <v>8</v>
      </c>
      <c r="BK57" s="400" t="s">
        <v>5</v>
      </c>
      <c r="BL57" s="401">
        <f>VLOOKUP(BJ54, $B$3:$E$109, 4, FALSE)</f>
        <v>0</v>
      </c>
      <c r="BM57" s="400" t="s">
        <v>5</v>
      </c>
      <c r="BN57" s="402">
        <f>VLOOKUP(BJ54, $B$3:$F$109, 5, FALSE)</f>
        <v>0</v>
      </c>
      <c r="BO57" s="403" t="s">
        <v>5</v>
      </c>
      <c r="BP57" s="399">
        <f>SUM(BL57,BN57)</f>
        <v>0</v>
      </c>
    </row>
    <row r="58" spans="10:68" ht="15.75" customHeight="1">
      <c r="K58" s="394"/>
      <c r="L58" s="393"/>
      <c r="M58" s="657" t="s">
        <v>105</v>
      </c>
      <c r="N58" s="401">
        <f>VLOOKUP(L54, $B$3:$E$109, 2, FALSE)</f>
        <v>0</v>
      </c>
      <c r="O58" s="657" t="s">
        <v>105</v>
      </c>
      <c r="P58" s="402">
        <f>VLOOKUP(L54, $B$3:$E$109, 3, FALSE)</f>
        <v>0</v>
      </c>
      <c r="Q58" s="658" t="s">
        <v>105</v>
      </c>
      <c r="R58" s="399">
        <f>SUM(N58,P58)</f>
        <v>0</v>
      </c>
      <c r="S58" s="294"/>
      <c r="T58" s="300"/>
      <c r="U58" s="394"/>
      <c r="V58" s="393"/>
      <c r="W58" s="657" t="s">
        <v>105</v>
      </c>
      <c r="X58" s="401">
        <f>VLOOKUP(V54, $B$3:$E$109, 2, FALSE)</f>
        <v>0</v>
      </c>
      <c r="Y58" s="657" t="s">
        <v>105</v>
      </c>
      <c r="Z58" s="402">
        <f>VLOOKUP(V54, $B$3:$E$109, 3, FALSE)</f>
        <v>0</v>
      </c>
      <c r="AA58" s="658" t="s">
        <v>105</v>
      </c>
      <c r="AB58" s="399">
        <f>SUM(X58,Z58)</f>
        <v>0</v>
      </c>
      <c r="AD58" s="300"/>
      <c r="AE58" s="394"/>
      <c r="AF58" s="393"/>
      <c r="AG58" s="657" t="s">
        <v>105</v>
      </c>
      <c r="AH58" s="401">
        <f>VLOOKUP(AF54, $B$3:$E$109, 2, FALSE)</f>
        <v>0</v>
      </c>
      <c r="AI58" s="657" t="s">
        <v>105</v>
      </c>
      <c r="AJ58" s="402">
        <f>VLOOKUP(AF54, $B$3:$E$109, 3, FALSE)</f>
        <v>0</v>
      </c>
      <c r="AK58" s="658" t="s">
        <v>105</v>
      </c>
      <c r="AL58" s="399">
        <f>SUM(AH58,AJ58)</f>
        <v>0</v>
      </c>
      <c r="AN58" s="300"/>
      <c r="AO58" s="394"/>
      <c r="AP58" s="393"/>
      <c r="AQ58" s="657" t="s">
        <v>105</v>
      </c>
      <c r="AR58" s="401">
        <f>VLOOKUP(AP54, $B$3:$E$109, 2, FALSE)</f>
        <v>0</v>
      </c>
      <c r="AS58" s="657" t="s">
        <v>105</v>
      </c>
      <c r="AT58" s="402">
        <f>VLOOKUP(AP54, $B$3:$E$109, 3, FALSE)</f>
        <v>0</v>
      </c>
      <c r="AU58" s="658" t="s">
        <v>105</v>
      </c>
      <c r="AV58" s="399">
        <f>SUM(AR58,AT58)</f>
        <v>0</v>
      </c>
      <c r="AX58" s="300"/>
      <c r="AY58" s="394"/>
      <c r="AZ58" s="393"/>
      <c r="BA58" s="657" t="s">
        <v>105</v>
      </c>
      <c r="BB58" s="401">
        <f>VLOOKUP(AZ54, $B$3:$E$109, 2, FALSE)</f>
        <v>0</v>
      </c>
      <c r="BC58" s="657" t="s">
        <v>105</v>
      </c>
      <c r="BD58" s="402">
        <f>VLOOKUP(AZ54, $B$3:$E$109, 3, FALSE)</f>
        <v>0</v>
      </c>
      <c r="BE58" s="658" t="s">
        <v>105</v>
      </c>
      <c r="BF58" s="399">
        <f>SUM(BB58,BD58)</f>
        <v>0</v>
      </c>
      <c r="BH58" s="300"/>
      <c r="BI58" s="394"/>
      <c r="BJ58" s="393"/>
      <c r="BK58" s="657" t="s">
        <v>105</v>
      </c>
      <c r="BL58" s="401">
        <f>VLOOKUP(BJ54, $B$3:$E$109, 2, FALSE)</f>
        <v>0</v>
      </c>
      <c r="BM58" s="657" t="s">
        <v>105</v>
      </c>
      <c r="BN58" s="402">
        <f>VLOOKUP(BJ54, $B$3:$E$109, 3, FALSE)</f>
        <v>0</v>
      </c>
      <c r="BO58" s="658" t="s">
        <v>105</v>
      </c>
      <c r="BP58" s="399">
        <f>SUM(BL58,BN58)</f>
        <v>0</v>
      </c>
    </row>
    <row r="59" spans="10:68" ht="12.75" customHeight="1">
      <c r="K59" s="688" t="s">
        <v>157</v>
      </c>
      <c r="L59" s="689"/>
      <c r="M59" s="658"/>
      <c r="N59" s="395"/>
      <c r="O59" s="657"/>
      <c r="P59" s="395"/>
      <c r="Q59" s="658"/>
      <c r="R59" s="395"/>
      <c r="S59" s="156"/>
      <c r="T59" s="300"/>
      <c r="U59" s="688" t="s">
        <v>157</v>
      </c>
      <c r="V59" s="689"/>
      <c r="W59" s="658"/>
      <c r="X59" s="395"/>
      <c r="Y59" s="657"/>
      <c r="Z59" s="395"/>
      <c r="AA59" s="658"/>
      <c r="AB59" s="395"/>
      <c r="AD59" s="300"/>
      <c r="AE59" s="688" t="s">
        <v>157</v>
      </c>
      <c r="AF59" s="689"/>
      <c r="AG59" s="658"/>
      <c r="AH59" s="395"/>
      <c r="AI59" s="657"/>
      <c r="AJ59" s="395"/>
      <c r="AK59" s="658"/>
      <c r="AL59" s="395"/>
      <c r="AN59" s="300"/>
      <c r="AO59" s="688" t="s">
        <v>157</v>
      </c>
      <c r="AP59" s="689"/>
      <c r="AQ59" s="658"/>
      <c r="AR59" s="395"/>
      <c r="AS59" s="657"/>
      <c r="AT59" s="395"/>
      <c r="AU59" s="658"/>
      <c r="AV59" s="395"/>
      <c r="AX59" s="300"/>
      <c r="AY59" s="688" t="s">
        <v>157</v>
      </c>
      <c r="AZ59" s="689"/>
      <c r="BA59" s="658"/>
      <c r="BB59" s="395"/>
      <c r="BC59" s="657"/>
      <c r="BD59" s="395"/>
      <c r="BE59" s="658"/>
      <c r="BF59" s="395"/>
      <c r="BH59" s="300"/>
      <c r="BI59" s="688" t="s">
        <v>157</v>
      </c>
      <c r="BJ59" s="689"/>
      <c r="BK59" s="658"/>
      <c r="BL59" s="395"/>
      <c r="BM59" s="657"/>
      <c r="BN59" s="395"/>
      <c r="BO59" s="658"/>
      <c r="BP59" s="395"/>
    </row>
    <row r="60" spans="10:68" ht="15.75">
      <c r="K60" s="411"/>
      <c r="L60" s="404">
        <f>R56*13</f>
        <v>0</v>
      </c>
      <c r="M60" s="405"/>
      <c r="N60" s="395"/>
      <c r="O60" s="406"/>
      <c r="P60" s="395"/>
      <c r="Q60" s="407"/>
      <c r="R60" s="395"/>
      <c r="S60" s="156"/>
      <c r="T60" s="300"/>
      <c r="U60" s="411"/>
      <c r="V60" s="404">
        <f>AB56*13</f>
        <v>0</v>
      </c>
      <c r="W60" s="405"/>
      <c r="X60" s="395"/>
      <c r="Y60" s="406"/>
      <c r="Z60" s="395"/>
      <c r="AA60" s="407"/>
      <c r="AB60" s="395"/>
      <c r="AD60" s="300"/>
      <c r="AE60" s="411"/>
      <c r="AF60" s="404">
        <f>AL56*13</f>
        <v>0</v>
      </c>
      <c r="AG60" s="405"/>
      <c r="AH60" s="395"/>
      <c r="AI60" s="406"/>
      <c r="AJ60" s="395"/>
      <c r="AK60" s="407"/>
      <c r="AL60" s="395"/>
      <c r="AN60" s="300"/>
      <c r="AO60" s="411"/>
      <c r="AP60" s="404">
        <f>AV56*13</f>
        <v>0</v>
      </c>
      <c r="AQ60" s="405"/>
      <c r="AR60" s="395"/>
      <c r="AS60" s="406"/>
      <c r="AT60" s="395"/>
      <c r="AU60" s="407"/>
      <c r="AV60" s="395"/>
      <c r="AX60" s="300"/>
      <c r="AY60" s="411"/>
      <c r="AZ60" s="404">
        <f>BF56*13</f>
        <v>0</v>
      </c>
      <c r="BA60" s="405"/>
      <c r="BB60" s="395"/>
      <c r="BC60" s="406"/>
      <c r="BD60" s="395"/>
      <c r="BE60" s="407"/>
      <c r="BF60" s="395"/>
      <c r="BH60" s="300"/>
      <c r="BI60" s="411"/>
      <c r="BJ60" s="404">
        <f>BP56*13</f>
        <v>0</v>
      </c>
      <c r="BK60" s="405"/>
      <c r="BL60" s="395"/>
      <c r="BM60" s="406"/>
      <c r="BN60" s="395"/>
      <c r="BO60" s="407"/>
      <c r="BP60" s="395"/>
    </row>
    <row r="61" spans="10:68" ht="18.75">
      <c r="K61" s="394"/>
      <c r="L61" s="412"/>
      <c r="M61" s="286" t="s">
        <v>97</v>
      </c>
      <c r="N61" s="287" t="e">
        <f>N58/((N56*EFFICIENCY!$H$28))</f>
        <v>#DIV/0!</v>
      </c>
      <c r="O61" s="286" t="s">
        <v>97</v>
      </c>
      <c r="P61" s="287" t="e">
        <f>P58/(P56*EFFICIENCY!$H$28)</f>
        <v>#DIV/0!</v>
      </c>
      <c r="Q61" s="286" t="s">
        <v>97</v>
      </c>
      <c r="R61" s="287" t="e">
        <f>R58/(R56*EFFICIENCY!$H$28)</f>
        <v>#DIV/0!</v>
      </c>
      <c r="S61" s="295"/>
      <c r="T61" s="300"/>
      <c r="U61" s="394"/>
      <c r="V61" s="412"/>
      <c r="W61" s="286" t="s">
        <v>97</v>
      </c>
      <c r="X61" s="287" t="e">
        <f>X58/((X56*EFFICIENCY!$H$28))</f>
        <v>#DIV/0!</v>
      </c>
      <c r="Y61" s="286" t="s">
        <v>97</v>
      </c>
      <c r="Z61" s="287" t="e">
        <f>Z58/(Z56*EFFICIENCY!$H$28)</f>
        <v>#DIV/0!</v>
      </c>
      <c r="AA61" s="286" t="s">
        <v>97</v>
      </c>
      <c r="AB61" s="287" t="e">
        <f>AB58/(AB56*EFFICIENCY!$H$28)</f>
        <v>#DIV/0!</v>
      </c>
      <c r="AD61" s="300"/>
      <c r="AE61" s="394"/>
      <c r="AF61" s="412"/>
      <c r="AG61" s="286" t="s">
        <v>97</v>
      </c>
      <c r="AH61" s="287" t="e">
        <f>AH58/((AH56*EFFICIENCY!$H$28))</f>
        <v>#DIV/0!</v>
      </c>
      <c r="AI61" s="286" t="s">
        <v>97</v>
      </c>
      <c r="AJ61" s="287" t="e">
        <f>AJ58/(AJ56*EFFICIENCY!$H$28)</f>
        <v>#DIV/0!</v>
      </c>
      <c r="AK61" s="286" t="s">
        <v>97</v>
      </c>
      <c r="AL61" s="287" t="e">
        <f>AL58/(AL56*EFFICIENCY!$H$28)</f>
        <v>#DIV/0!</v>
      </c>
      <c r="AN61" s="300"/>
      <c r="AO61" s="394"/>
      <c r="AP61" s="412"/>
      <c r="AQ61" s="286" t="s">
        <v>97</v>
      </c>
      <c r="AR61" s="287" t="e">
        <f>AR58/((AR56*EFFICIENCY!$H$28))</f>
        <v>#DIV/0!</v>
      </c>
      <c r="AS61" s="286" t="s">
        <v>97</v>
      </c>
      <c r="AT61" s="287" t="e">
        <f>AT58/(AT56*EFFICIENCY!$H$28)</f>
        <v>#DIV/0!</v>
      </c>
      <c r="AU61" s="286" t="s">
        <v>97</v>
      </c>
      <c r="AV61" s="287" t="e">
        <f>AV58/(AV56*EFFICIENCY!$H$28)</f>
        <v>#DIV/0!</v>
      </c>
      <c r="AX61" s="300"/>
      <c r="AY61" s="394"/>
      <c r="AZ61" s="412"/>
      <c r="BA61" s="286" t="s">
        <v>97</v>
      </c>
      <c r="BB61" s="287" t="e">
        <f>BB58/((BB56*EFFICIENCY!$H$28))</f>
        <v>#DIV/0!</v>
      </c>
      <c r="BC61" s="286" t="s">
        <v>97</v>
      </c>
      <c r="BD61" s="287" t="e">
        <f>BD58/(BD56*EFFICIENCY!$H$28)</f>
        <v>#DIV/0!</v>
      </c>
      <c r="BE61" s="286" t="s">
        <v>97</v>
      </c>
      <c r="BF61" s="287" t="e">
        <f>BF58/(BF56*EFFICIENCY!$H$28)</f>
        <v>#DIV/0!</v>
      </c>
      <c r="BH61" s="300"/>
      <c r="BI61" s="394"/>
      <c r="BJ61" s="412"/>
      <c r="BK61" s="286" t="s">
        <v>97</v>
      </c>
      <c r="BL61" s="287" t="e">
        <f>BL58/((BL56*EFFICIENCY!$H$28))</f>
        <v>#DIV/0!</v>
      </c>
      <c r="BM61" s="286" t="s">
        <v>97</v>
      </c>
      <c r="BN61" s="287" t="e">
        <f>BN58/(BN56*EFFICIENCY!$H$28)</f>
        <v>#DIV/0!</v>
      </c>
      <c r="BO61" s="286" t="s">
        <v>97</v>
      </c>
      <c r="BP61" s="287" t="e">
        <f>BP58/(BP56*EFFICIENCY!$H$28)</f>
        <v>#DIV/0!</v>
      </c>
    </row>
    <row r="62" spans="10:68" ht="18.75">
      <c r="K62" s="394"/>
      <c r="L62" s="393"/>
      <c r="M62" s="280" t="s">
        <v>96</v>
      </c>
      <c r="N62" s="281" t="e">
        <f>N58/(N56*EFFICIENCY!$I$28)</f>
        <v>#DIV/0!</v>
      </c>
      <c r="O62" s="280" t="s">
        <v>96</v>
      </c>
      <c r="P62" s="281" t="e">
        <f>P58/(P56*EFFICIENCY!$I$28)</f>
        <v>#DIV/0!</v>
      </c>
      <c r="Q62" s="280" t="s">
        <v>96</v>
      </c>
      <c r="R62" s="281" t="e">
        <f>R58/(R56*EFFICIENCY!$I$28)</f>
        <v>#DIV/0!</v>
      </c>
      <c r="S62" s="296"/>
      <c r="T62" s="300"/>
      <c r="U62" s="394"/>
      <c r="V62" s="393"/>
      <c r="W62" s="280" t="s">
        <v>96</v>
      </c>
      <c r="X62" s="281" t="e">
        <f>X58/(X56*EFFICIENCY!$I$28)</f>
        <v>#DIV/0!</v>
      </c>
      <c r="Y62" s="280" t="s">
        <v>96</v>
      </c>
      <c r="Z62" s="281" t="e">
        <f>Z58/(Z56*EFFICIENCY!$I$28)</f>
        <v>#DIV/0!</v>
      </c>
      <c r="AA62" s="280" t="s">
        <v>96</v>
      </c>
      <c r="AB62" s="281" t="e">
        <f>AB58/(AB56*EFFICIENCY!$I$28)</f>
        <v>#DIV/0!</v>
      </c>
      <c r="AD62" s="300"/>
      <c r="AE62" s="394"/>
      <c r="AF62" s="393"/>
      <c r="AG62" s="280" t="s">
        <v>96</v>
      </c>
      <c r="AH62" s="281" t="e">
        <f>AH58/(AH56*EFFICIENCY!$I$28)</f>
        <v>#DIV/0!</v>
      </c>
      <c r="AI62" s="280" t="s">
        <v>96</v>
      </c>
      <c r="AJ62" s="281" t="e">
        <f>AJ58/(AJ56*EFFICIENCY!$I$28)</f>
        <v>#DIV/0!</v>
      </c>
      <c r="AK62" s="280" t="s">
        <v>96</v>
      </c>
      <c r="AL62" s="281" t="e">
        <f>AL58/(AL56*EFFICIENCY!$I$28)</f>
        <v>#DIV/0!</v>
      </c>
      <c r="AN62" s="300"/>
      <c r="AO62" s="394"/>
      <c r="AP62" s="393"/>
      <c r="AQ62" s="280" t="s">
        <v>96</v>
      </c>
      <c r="AR62" s="281" t="e">
        <f>AR58/(AR56*EFFICIENCY!$I$28)</f>
        <v>#DIV/0!</v>
      </c>
      <c r="AS62" s="280" t="s">
        <v>96</v>
      </c>
      <c r="AT62" s="281" t="e">
        <f>AT58/(AT56*EFFICIENCY!$I$28)</f>
        <v>#DIV/0!</v>
      </c>
      <c r="AU62" s="280" t="s">
        <v>96</v>
      </c>
      <c r="AV62" s="281" t="e">
        <f>AV58/(AV56*EFFICIENCY!$I$28)</f>
        <v>#DIV/0!</v>
      </c>
      <c r="AX62" s="300"/>
      <c r="AY62" s="394"/>
      <c r="AZ62" s="393"/>
      <c r="BA62" s="280" t="s">
        <v>96</v>
      </c>
      <c r="BB62" s="281" t="e">
        <f>BB58/(BB56*EFFICIENCY!$I$28)</f>
        <v>#DIV/0!</v>
      </c>
      <c r="BC62" s="280" t="s">
        <v>96</v>
      </c>
      <c r="BD62" s="281" t="e">
        <f>BD58/(BD56*EFFICIENCY!$I$28)</f>
        <v>#DIV/0!</v>
      </c>
      <c r="BE62" s="280" t="s">
        <v>96</v>
      </c>
      <c r="BF62" s="281" t="e">
        <f>BF58/(BF56*EFFICIENCY!$I$28)</f>
        <v>#DIV/0!</v>
      </c>
      <c r="BH62" s="300"/>
      <c r="BI62" s="394"/>
      <c r="BJ62" s="393"/>
      <c r="BK62" s="280" t="s">
        <v>96</v>
      </c>
      <c r="BL62" s="281" t="e">
        <f>BL58/(BL56*EFFICIENCY!$I$28)</f>
        <v>#DIV/0!</v>
      </c>
      <c r="BM62" s="280" t="s">
        <v>96</v>
      </c>
      <c r="BN62" s="281" t="e">
        <f>BN58/(BN56*EFFICIENCY!$I$28)</f>
        <v>#DIV/0!</v>
      </c>
      <c r="BO62" s="280" t="s">
        <v>96</v>
      </c>
      <c r="BP62" s="281" t="e">
        <f>BP58/(BP56*EFFICIENCY!$I$28)</f>
        <v>#DIV/0!</v>
      </c>
    </row>
    <row r="63" spans="10:68" ht="19.5" customHeight="1" thickBot="1">
      <c r="K63" s="690" t="s">
        <v>156</v>
      </c>
      <c r="L63" s="691"/>
      <c r="M63" s="284" t="s">
        <v>94</v>
      </c>
      <c r="N63" s="285" t="e">
        <f>N58/((N56*EFFICIENCY!$K$28))</f>
        <v>#DIV/0!</v>
      </c>
      <c r="O63" s="288" t="s">
        <v>94</v>
      </c>
      <c r="P63" s="285" t="e">
        <f>P58/((P56*EFFICIENCY!$K$28))</f>
        <v>#DIV/0!</v>
      </c>
      <c r="Q63" s="284" t="s">
        <v>94</v>
      </c>
      <c r="R63" s="285" t="e">
        <f>R58/((R56*EFFICIENCY!$K$28))</f>
        <v>#DIV/0!</v>
      </c>
      <c r="S63" s="297"/>
      <c r="T63" s="300"/>
      <c r="U63" s="690" t="s">
        <v>156</v>
      </c>
      <c r="V63" s="691"/>
      <c r="W63" s="284" t="s">
        <v>94</v>
      </c>
      <c r="X63" s="285" t="e">
        <f>X58/((X56*EFFICIENCY!$K$28))</f>
        <v>#DIV/0!</v>
      </c>
      <c r="Y63" s="288" t="s">
        <v>94</v>
      </c>
      <c r="Z63" s="285" t="e">
        <f>Z58/((Z56*EFFICIENCY!$K$28))</f>
        <v>#DIV/0!</v>
      </c>
      <c r="AA63" s="284" t="s">
        <v>94</v>
      </c>
      <c r="AB63" s="285" t="e">
        <f>AB58/((AB56*EFFICIENCY!$K$28))</f>
        <v>#DIV/0!</v>
      </c>
      <c r="AD63" s="300"/>
      <c r="AE63" s="690" t="s">
        <v>156</v>
      </c>
      <c r="AF63" s="691"/>
      <c r="AG63" s="284" t="s">
        <v>94</v>
      </c>
      <c r="AH63" s="285" t="e">
        <f>AH58/((AH56*EFFICIENCY!$K$28))</f>
        <v>#DIV/0!</v>
      </c>
      <c r="AI63" s="288" t="s">
        <v>94</v>
      </c>
      <c r="AJ63" s="285" t="e">
        <f>AJ58/((AJ56*EFFICIENCY!$K$28))</f>
        <v>#DIV/0!</v>
      </c>
      <c r="AK63" s="284" t="s">
        <v>94</v>
      </c>
      <c r="AL63" s="285" t="e">
        <f>AL58/((AL56*EFFICIENCY!$K$28))</f>
        <v>#DIV/0!</v>
      </c>
      <c r="AN63" s="300"/>
      <c r="AO63" s="690" t="s">
        <v>156</v>
      </c>
      <c r="AP63" s="691"/>
      <c r="AQ63" s="284" t="s">
        <v>94</v>
      </c>
      <c r="AR63" s="285" t="e">
        <f>AR58/((AR56*EFFICIENCY!$K$28))</f>
        <v>#DIV/0!</v>
      </c>
      <c r="AS63" s="288" t="s">
        <v>94</v>
      </c>
      <c r="AT63" s="285" t="e">
        <f>AT58/((AT56*EFFICIENCY!$K$28))</f>
        <v>#DIV/0!</v>
      </c>
      <c r="AU63" s="284" t="s">
        <v>94</v>
      </c>
      <c r="AV63" s="285" t="e">
        <f>AV58/((AV56*EFFICIENCY!$K$28))</f>
        <v>#DIV/0!</v>
      </c>
      <c r="AX63" s="300"/>
      <c r="AY63" s="690" t="s">
        <v>156</v>
      </c>
      <c r="AZ63" s="691"/>
      <c r="BA63" s="284" t="s">
        <v>94</v>
      </c>
      <c r="BB63" s="285" t="e">
        <f>BB58/((BB56*EFFICIENCY!$K$28))</f>
        <v>#DIV/0!</v>
      </c>
      <c r="BC63" s="288" t="s">
        <v>94</v>
      </c>
      <c r="BD63" s="285" t="e">
        <f>BD58/((BD56*EFFICIENCY!$K$28))</f>
        <v>#DIV/0!</v>
      </c>
      <c r="BE63" s="284" t="s">
        <v>94</v>
      </c>
      <c r="BF63" s="285" t="e">
        <f>BF58/((BF56*EFFICIENCY!$K$28))</f>
        <v>#DIV/0!</v>
      </c>
      <c r="BH63" s="300"/>
      <c r="BI63" s="690" t="s">
        <v>156</v>
      </c>
      <c r="BJ63" s="691"/>
      <c r="BK63" s="284" t="s">
        <v>94</v>
      </c>
      <c r="BL63" s="285" t="e">
        <f>BL58/((BL56*EFFICIENCY!$K$28))</f>
        <v>#DIV/0!</v>
      </c>
      <c r="BM63" s="288" t="s">
        <v>94</v>
      </c>
      <c r="BN63" s="285" t="e">
        <f>BN58/((BN56*EFFICIENCY!$K$28))</f>
        <v>#DIV/0!</v>
      </c>
      <c r="BO63" s="284" t="s">
        <v>94</v>
      </c>
      <c r="BP63" s="285" t="e">
        <f>BP58/((BP56*EFFICIENCY!$K$28))</f>
        <v>#DIV/0!</v>
      </c>
    </row>
    <row r="64" spans="10:68" ht="16.5" thickBot="1">
      <c r="K64" s="413"/>
      <c r="L64" s="414" t="e">
        <f>R58/R56</f>
        <v>#DIV/0!</v>
      </c>
      <c r="M64" s="647" t="s">
        <v>153</v>
      </c>
      <c r="N64" s="648"/>
      <c r="O64" s="290"/>
      <c r="P64" s="408"/>
      <c r="Q64" s="408" t="s">
        <v>154</v>
      </c>
      <c r="R64" s="415">
        <f>O64-R58</f>
        <v>0</v>
      </c>
      <c r="S64" s="298"/>
      <c r="T64" s="300"/>
      <c r="U64" s="413"/>
      <c r="V64" s="414" t="e">
        <f>AB58/AB56</f>
        <v>#DIV/0!</v>
      </c>
      <c r="W64" s="647" t="s">
        <v>153</v>
      </c>
      <c r="X64" s="648"/>
      <c r="Y64" s="290"/>
      <c r="Z64" s="408"/>
      <c r="AA64" s="408" t="s">
        <v>154</v>
      </c>
      <c r="AB64" s="415">
        <f>Y64-AB58</f>
        <v>0</v>
      </c>
      <c r="AD64" s="300"/>
      <c r="AE64" s="413"/>
      <c r="AF64" s="414" t="e">
        <f>AL58/AL56</f>
        <v>#DIV/0!</v>
      </c>
      <c r="AG64" s="647" t="s">
        <v>153</v>
      </c>
      <c r="AH64" s="648"/>
      <c r="AI64" s="290"/>
      <c r="AJ64" s="408"/>
      <c r="AK64" s="408" t="s">
        <v>154</v>
      </c>
      <c r="AL64" s="415">
        <f>AI64-AL58</f>
        <v>0</v>
      </c>
      <c r="AN64" s="300"/>
      <c r="AO64" s="413"/>
      <c r="AP64" s="414" t="e">
        <f>AV58/AV56</f>
        <v>#DIV/0!</v>
      </c>
      <c r="AQ64" s="647" t="s">
        <v>153</v>
      </c>
      <c r="AR64" s="648"/>
      <c r="AS64" s="290"/>
      <c r="AT64" s="408"/>
      <c r="AU64" s="408" t="s">
        <v>154</v>
      </c>
      <c r="AV64" s="415">
        <f>AS64-AV58</f>
        <v>0</v>
      </c>
      <c r="AX64" s="300"/>
      <c r="AY64" s="413"/>
      <c r="AZ64" s="414" t="e">
        <f>BF58/BF56</f>
        <v>#DIV/0!</v>
      </c>
      <c r="BA64" s="647" t="s">
        <v>153</v>
      </c>
      <c r="BB64" s="648"/>
      <c r="BC64" s="290"/>
      <c r="BD64" s="408"/>
      <c r="BE64" s="408" t="s">
        <v>154</v>
      </c>
      <c r="BF64" s="415">
        <f>BC64-BF58</f>
        <v>0</v>
      </c>
      <c r="BH64" s="300"/>
      <c r="BI64" s="413"/>
      <c r="BJ64" s="414" t="e">
        <f>BP58/BP56</f>
        <v>#DIV/0!</v>
      </c>
      <c r="BK64" s="647" t="s">
        <v>153</v>
      </c>
      <c r="BL64" s="648"/>
      <c r="BM64" s="290"/>
      <c r="BN64" s="408"/>
      <c r="BO64" s="408" t="s">
        <v>154</v>
      </c>
      <c r="BP64" s="415">
        <f>BM64-BP58</f>
        <v>0</v>
      </c>
    </row>
    <row r="65" spans="20:60">
      <c r="T65" s="300"/>
      <c r="AD65" s="300"/>
      <c r="AN65" s="300"/>
      <c r="AX65" s="300"/>
      <c r="BH65" s="300"/>
    </row>
    <row r="66" spans="20:60">
      <c r="T66" s="300"/>
      <c r="BH66" s="300"/>
    </row>
    <row r="67" spans="20:60">
      <c r="T67" s="300"/>
      <c r="BH67" s="300"/>
    </row>
    <row r="68" spans="20:60">
      <c r="T68" s="300"/>
      <c r="BH68" s="300"/>
    </row>
    <row r="69" spans="20:60">
      <c r="T69" s="300"/>
      <c r="BH69" s="300"/>
    </row>
    <row r="70" spans="20:60">
      <c r="T70" s="300"/>
      <c r="BH70" s="300"/>
    </row>
  </sheetData>
  <mergeCells count="267">
    <mergeCell ref="AQ1:AR1"/>
    <mergeCell ref="BA1:BB1"/>
    <mergeCell ref="BK1:BL1"/>
    <mergeCell ref="W2:X2"/>
    <mergeCell ref="Y2:Z2"/>
    <mergeCell ref="AA2:AB2"/>
    <mergeCell ref="M1:N1"/>
    <mergeCell ref="W1:X1"/>
    <mergeCell ref="AG1:AH1"/>
    <mergeCell ref="BA2:BB2"/>
    <mergeCell ref="BC2:BD2"/>
    <mergeCell ref="BE2:BF2"/>
    <mergeCell ref="BK2:BL2"/>
    <mergeCell ref="BM2:BN2"/>
    <mergeCell ref="BO2:BP2"/>
    <mergeCell ref="AG2:AH2"/>
    <mergeCell ref="AI2:AJ2"/>
    <mergeCell ref="AK2:AL2"/>
    <mergeCell ref="AQ2:AR2"/>
    <mergeCell ref="AS2:AT2"/>
    <mergeCell ref="AU2:AV2"/>
    <mergeCell ref="BK6:BK7"/>
    <mergeCell ref="BM6:BM7"/>
    <mergeCell ref="BO6:BO7"/>
    <mergeCell ref="AG6:AG7"/>
    <mergeCell ref="AI6:AI7"/>
    <mergeCell ref="AK6:AK7"/>
    <mergeCell ref="AQ6:AQ7"/>
    <mergeCell ref="AS6:AS7"/>
    <mergeCell ref="AU6:AU7"/>
    <mergeCell ref="U7:V7"/>
    <mergeCell ref="AE7:AF7"/>
    <mergeCell ref="AO7:AP7"/>
    <mergeCell ref="AY7:AZ7"/>
    <mergeCell ref="BI7:BJ7"/>
    <mergeCell ref="BA6:BA7"/>
    <mergeCell ref="BC6:BC7"/>
    <mergeCell ref="BE6:BE7"/>
    <mergeCell ref="W6:W7"/>
    <mergeCell ref="Y6:Y7"/>
    <mergeCell ref="AA6:AA7"/>
    <mergeCell ref="AQ12:AR12"/>
    <mergeCell ref="BA12:BB12"/>
    <mergeCell ref="BK12:BL12"/>
    <mergeCell ref="U11:V11"/>
    <mergeCell ref="AE11:AF11"/>
    <mergeCell ref="AO11:AP11"/>
    <mergeCell ref="AY11:AZ11"/>
    <mergeCell ref="BI11:BJ11"/>
    <mergeCell ref="M15:N15"/>
    <mergeCell ref="O15:P15"/>
    <mergeCell ref="Q15:R15"/>
    <mergeCell ref="W15:X15"/>
    <mergeCell ref="Y15:Z15"/>
    <mergeCell ref="AA15:AB15"/>
    <mergeCell ref="W12:X12"/>
    <mergeCell ref="AG12:AH12"/>
    <mergeCell ref="BA15:BB15"/>
    <mergeCell ref="BC15:BD15"/>
    <mergeCell ref="BE15:BF15"/>
    <mergeCell ref="BK15:BL15"/>
    <mergeCell ref="BM15:BN15"/>
    <mergeCell ref="BO15:BP15"/>
    <mergeCell ref="AG15:AH15"/>
    <mergeCell ref="AI15:AJ15"/>
    <mergeCell ref="AK15:AL15"/>
    <mergeCell ref="AQ15:AR15"/>
    <mergeCell ref="AS15:AT15"/>
    <mergeCell ref="AU15:AV15"/>
    <mergeCell ref="BK19:BK20"/>
    <mergeCell ref="BM19:BM20"/>
    <mergeCell ref="BO19:BO20"/>
    <mergeCell ref="AG19:AG20"/>
    <mergeCell ref="AI19:AI20"/>
    <mergeCell ref="AK19:AK20"/>
    <mergeCell ref="AQ19:AQ20"/>
    <mergeCell ref="AS19:AS20"/>
    <mergeCell ref="AU19:AU20"/>
    <mergeCell ref="K20:L20"/>
    <mergeCell ref="U20:V20"/>
    <mergeCell ref="AE20:AF20"/>
    <mergeCell ref="AO20:AP20"/>
    <mergeCell ref="AY20:AZ20"/>
    <mergeCell ref="BI20:BJ20"/>
    <mergeCell ref="BA19:BA20"/>
    <mergeCell ref="BC19:BC20"/>
    <mergeCell ref="BE19:BE20"/>
    <mergeCell ref="M19:M20"/>
    <mergeCell ref="O19:O20"/>
    <mergeCell ref="Q19:Q20"/>
    <mergeCell ref="W19:W20"/>
    <mergeCell ref="Y19:Y20"/>
    <mergeCell ref="AA19:AA20"/>
    <mergeCell ref="AQ25:AR25"/>
    <mergeCell ref="BA25:BB25"/>
    <mergeCell ref="BK25:BL25"/>
    <mergeCell ref="K24:L24"/>
    <mergeCell ref="U24:V24"/>
    <mergeCell ref="AE24:AF24"/>
    <mergeCell ref="AO24:AP24"/>
    <mergeCell ref="AY24:AZ24"/>
    <mergeCell ref="BI24:BJ24"/>
    <mergeCell ref="M28:N28"/>
    <mergeCell ref="O28:P28"/>
    <mergeCell ref="Q28:R28"/>
    <mergeCell ref="W28:X28"/>
    <mergeCell ref="Y28:Z28"/>
    <mergeCell ref="AA28:AB28"/>
    <mergeCell ref="M25:N25"/>
    <mergeCell ref="W25:X25"/>
    <mergeCell ref="AG25:AH25"/>
    <mergeCell ref="BA28:BB28"/>
    <mergeCell ref="BC28:BD28"/>
    <mergeCell ref="BE28:BF28"/>
    <mergeCell ref="BK28:BL28"/>
    <mergeCell ref="BM28:BN28"/>
    <mergeCell ref="BO28:BP28"/>
    <mergeCell ref="AG28:AH28"/>
    <mergeCell ref="AI28:AJ28"/>
    <mergeCell ref="AK28:AL28"/>
    <mergeCell ref="AQ28:AR28"/>
    <mergeCell ref="AS28:AT28"/>
    <mergeCell ref="AU28:AV28"/>
    <mergeCell ref="BK32:BK33"/>
    <mergeCell ref="BM32:BM33"/>
    <mergeCell ref="BO32:BO33"/>
    <mergeCell ref="AG32:AG33"/>
    <mergeCell ref="AI32:AI33"/>
    <mergeCell ref="AK32:AK33"/>
    <mergeCell ref="AQ32:AQ33"/>
    <mergeCell ref="AS32:AS33"/>
    <mergeCell ref="AU32:AU33"/>
    <mergeCell ref="K33:L33"/>
    <mergeCell ref="U33:V33"/>
    <mergeCell ref="AE33:AF33"/>
    <mergeCell ref="AO33:AP33"/>
    <mergeCell ref="AY33:AZ33"/>
    <mergeCell ref="BI33:BJ33"/>
    <mergeCell ref="BA32:BA33"/>
    <mergeCell ref="BC32:BC33"/>
    <mergeCell ref="BE32:BE33"/>
    <mergeCell ref="M32:M33"/>
    <mergeCell ref="O32:O33"/>
    <mergeCell ref="Q32:Q33"/>
    <mergeCell ref="W32:W33"/>
    <mergeCell ref="Y32:Y33"/>
    <mergeCell ref="AA32:AA33"/>
    <mergeCell ref="AQ38:AR38"/>
    <mergeCell ref="BA38:BB38"/>
    <mergeCell ref="BK38:BL38"/>
    <mergeCell ref="K37:L37"/>
    <mergeCell ref="U37:V37"/>
    <mergeCell ref="AE37:AF37"/>
    <mergeCell ref="AO37:AP37"/>
    <mergeCell ref="AY37:AZ37"/>
    <mergeCell ref="BI37:BJ37"/>
    <mergeCell ref="M41:N41"/>
    <mergeCell ref="O41:P41"/>
    <mergeCell ref="Q41:R41"/>
    <mergeCell ref="W41:X41"/>
    <mergeCell ref="Y41:Z41"/>
    <mergeCell ref="AA41:AB41"/>
    <mergeCell ref="M38:N38"/>
    <mergeCell ref="W38:X38"/>
    <mergeCell ref="AG38:AH38"/>
    <mergeCell ref="BA41:BB41"/>
    <mergeCell ref="BC41:BD41"/>
    <mergeCell ref="BE41:BF41"/>
    <mergeCell ref="BK41:BL41"/>
    <mergeCell ref="BM41:BN41"/>
    <mergeCell ref="BO41:BP41"/>
    <mergeCell ref="AG41:AH41"/>
    <mergeCell ref="AI41:AJ41"/>
    <mergeCell ref="AK41:AL41"/>
    <mergeCell ref="AQ41:AR41"/>
    <mergeCell ref="AS41:AT41"/>
    <mergeCell ref="AU41:AV41"/>
    <mergeCell ref="BK45:BK46"/>
    <mergeCell ref="BM45:BM46"/>
    <mergeCell ref="BO45:BO46"/>
    <mergeCell ref="AG45:AG46"/>
    <mergeCell ref="AI45:AI46"/>
    <mergeCell ref="AK45:AK46"/>
    <mergeCell ref="AQ45:AQ46"/>
    <mergeCell ref="AS45:AS46"/>
    <mergeCell ref="AU45:AU46"/>
    <mergeCell ref="K46:L46"/>
    <mergeCell ref="U46:V46"/>
    <mergeCell ref="AE46:AF46"/>
    <mergeCell ref="AO46:AP46"/>
    <mergeCell ref="AY46:AZ46"/>
    <mergeCell ref="BI46:BJ46"/>
    <mergeCell ref="BA45:BA46"/>
    <mergeCell ref="BC45:BC46"/>
    <mergeCell ref="BE45:BE46"/>
    <mergeCell ref="M45:M46"/>
    <mergeCell ref="O45:O46"/>
    <mergeCell ref="Q45:Q46"/>
    <mergeCell ref="W45:W46"/>
    <mergeCell ref="Y45:Y46"/>
    <mergeCell ref="AA45:AA46"/>
    <mergeCell ref="AQ51:AR51"/>
    <mergeCell ref="BA51:BB51"/>
    <mergeCell ref="BK51:BL51"/>
    <mergeCell ref="K50:L50"/>
    <mergeCell ref="U50:V50"/>
    <mergeCell ref="AE50:AF50"/>
    <mergeCell ref="AO50:AP50"/>
    <mergeCell ref="AY50:AZ50"/>
    <mergeCell ref="BI50:BJ50"/>
    <mergeCell ref="M54:N54"/>
    <mergeCell ref="O54:P54"/>
    <mergeCell ref="Q54:R54"/>
    <mergeCell ref="W54:X54"/>
    <mergeCell ref="Y54:Z54"/>
    <mergeCell ref="AA54:AB54"/>
    <mergeCell ref="M51:N51"/>
    <mergeCell ref="W51:X51"/>
    <mergeCell ref="AG51:AH51"/>
    <mergeCell ref="BA54:BB54"/>
    <mergeCell ref="BC54:BD54"/>
    <mergeCell ref="BE54:BF54"/>
    <mergeCell ref="BK54:BL54"/>
    <mergeCell ref="BM54:BN54"/>
    <mergeCell ref="BO54:BP54"/>
    <mergeCell ref="AG54:AH54"/>
    <mergeCell ref="AI54:AJ54"/>
    <mergeCell ref="AK54:AL54"/>
    <mergeCell ref="AQ54:AR54"/>
    <mergeCell ref="AS54:AT54"/>
    <mergeCell ref="AU54:AV54"/>
    <mergeCell ref="BK58:BK59"/>
    <mergeCell ref="BM58:BM59"/>
    <mergeCell ref="BO58:BO59"/>
    <mergeCell ref="AG58:AG59"/>
    <mergeCell ref="AI58:AI59"/>
    <mergeCell ref="AK58:AK59"/>
    <mergeCell ref="AQ58:AQ59"/>
    <mergeCell ref="AS58:AS59"/>
    <mergeCell ref="AU58:AU59"/>
    <mergeCell ref="K59:L59"/>
    <mergeCell ref="U59:V59"/>
    <mergeCell ref="AE59:AF59"/>
    <mergeCell ref="AO59:AP59"/>
    <mergeCell ref="AY59:AZ59"/>
    <mergeCell ref="BI59:BJ59"/>
    <mergeCell ref="BA58:BA59"/>
    <mergeCell ref="BC58:BC59"/>
    <mergeCell ref="BE58:BE59"/>
    <mergeCell ref="M58:M59"/>
    <mergeCell ref="O58:O59"/>
    <mergeCell ref="Q58:Q59"/>
    <mergeCell ref="W58:W59"/>
    <mergeCell ref="Y58:Y59"/>
    <mergeCell ref="AA58:AA59"/>
    <mergeCell ref="M64:N64"/>
    <mergeCell ref="W64:X64"/>
    <mergeCell ref="AG64:AH64"/>
    <mergeCell ref="AQ64:AR64"/>
    <mergeCell ref="BA64:BB64"/>
    <mergeCell ref="BK64:BL64"/>
    <mergeCell ref="K63:L63"/>
    <mergeCell ref="U63:V63"/>
    <mergeCell ref="AE63:AF63"/>
    <mergeCell ref="AO63:AP63"/>
    <mergeCell ref="AY63:AZ63"/>
    <mergeCell ref="BI63:BJ63"/>
  </mergeCells>
  <dataValidations count="1">
    <dataValidation type="list" allowBlank="1" showInputMessage="1" showErrorMessage="1" sqref="L5 L18 L31 L44 L57 V5 V18 V31 V44 V57 AF5 AF18 AF31 AF44 AF57 AP5 AP18 AP31 AP44 AP57 AZ5 AZ18 AZ31 AZ44 AZ57 BJ5 BJ18 BJ31 BJ44 BJ57" xr:uid="{00000000-0002-0000-0800-000000000000}">
      <formula1>"8, 10, 12"</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B1:BP70"/>
  <sheetViews>
    <sheetView zoomScale="85" zoomScaleNormal="85" workbookViewId="0">
      <selection activeCell="C6" sqref="C6"/>
    </sheetView>
  </sheetViews>
  <sheetFormatPr defaultRowHeight="12.75"/>
  <cols>
    <col min="1" max="11" width="9.140625" style="150"/>
    <col min="12" max="12" width="11.140625" style="150" customWidth="1"/>
    <col min="13" max="13" width="10.5703125" style="150" customWidth="1"/>
    <col min="14" max="14" width="11.28515625" style="150" customWidth="1"/>
    <col min="15" max="15" width="10.5703125" style="150" customWidth="1"/>
    <col min="16" max="16" width="10.28515625" style="150" customWidth="1"/>
    <col min="17" max="17" width="10.140625" style="150" customWidth="1"/>
    <col min="18" max="18" width="10" style="150" bestFit="1" customWidth="1"/>
    <col min="19" max="19" width="7.42578125" style="151" customWidth="1"/>
    <col min="20" max="20" width="7" style="150" customWidth="1"/>
    <col min="21" max="21" width="9.140625" style="150"/>
    <col min="22" max="22" width="11.140625" style="150" customWidth="1"/>
    <col min="23" max="23" width="10.5703125" style="150" customWidth="1"/>
    <col min="24" max="24" width="11.28515625" style="150" customWidth="1"/>
    <col min="25" max="25" width="10.5703125" style="150" customWidth="1"/>
    <col min="26" max="26" width="10.28515625" style="150" customWidth="1"/>
    <col min="27" max="27" width="10.140625" style="150" customWidth="1"/>
    <col min="28" max="28" width="10" style="150" bestFit="1" customWidth="1"/>
    <col min="29" max="31" width="9.140625" style="150"/>
    <col min="32" max="32" width="11.140625" style="150" customWidth="1"/>
    <col min="33" max="33" width="10.5703125" style="150" customWidth="1"/>
    <col min="34" max="34" width="11.28515625" style="150" customWidth="1"/>
    <col min="35" max="35" width="10.5703125" style="150" customWidth="1"/>
    <col min="36" max="36" width="10.28515625" style="150" customWidth="1"/>
    <col min="37" max="37" width="10.140625" style="150" customWidth="1"/>
    <col min="38" max="38" width="10" style="150" bestFit="1" customWidth="1"/>
    <col min="39" max="41" width="9.140625" style="150"/>
    <col min="42" max="42" width="11.140625" style="150" customWidth="1"/>
    <col min="43" max="43" width="10.5703125" style="150" customWidth="1"/>
    <col min="44" max="44" width="11.28515625" style="150" customWidth="1"/>
    <col min="45" max="45" width="10.5703125" style="150" customWidth="1"/>
    <col min="46" max="46" width="10.28515625" style="150" customWidth="1"/>
    <col min="47" max="47" width="10.140625" style="150" customWidth="1"/>
    <col min="48" max="48" width="10" style="150" bestFit="1" customWidth="1"/>
    <col min="49" max="51" width="9.140625" style="150"/>
    <col min="52" max="52" width="11.140625" style="150" customWidth="1"/>
    <col min="53" max="53" width="10.5703125" style="150" customWidth="1"/>
    <col min="54" max="54" width="11.28515625" style="150" customWidth="1"/>
    <col min="55" max="55" width="10.5703125" style="150" customWidth="1"/>
    <col min="56" max="56" width="10.28515625" style="150" customWidth="1"/>
    <col min="57" max="57" width="10.140625" style="150" customWidth="1"/>
    <col min="58" max="58" width="10" style="150" bestFit="1" customWidth="1"/>
    <col min="59" max="61" width="9.140625" style="150"/>
    <col min="62" max="62" width="11.140625" style="150" customWidth="1"/>
    <col min="63" max="63" width="10.5703125" style="150" customWidth="1"/>
    <col min="64" max="64" width="11.28515625" style="150" customWidth="1"/>
    <col min="65" max="65" width="10.5703125" style="150" customWidth="1"/>
    <col min="66" max="66" width="10.28515625" style="150" customWidth="1"/>
    <col min="67" max="67" width="10.140625" style="150" customWidth="1"/>
    <col min="68" max="68" width="10" style="150" bestFit="1" customWidth="1"/>
    <col min="69" max="16384" width="9.140625" style="150"/>
  </cols>
  <sheetData>
    <row r="1" spans="2:68" ht="13.5" thickBot="1">
      <c r="L1" s="154"/>
      <c r="M1" s="671"/>
      <c r="N1" s="671"/>
      <c r="O1" s="154"/>
      <c r="P1" s="154"/>
      <c r="Q1" s="228">
        <v>13</v>
      </c>
      <c r="R1" s="228">
        <v>15</v>
      </c>
      <c r="S1" s="292"/>
      <c r="T1" s="228">
        <v>18</v>
      </c>
      <c r="V1" s="154"/>
      <c r="W1" s="671"/>
      <c r="X1" s="671"/>
      <c r="Y1" s="154"/>
      <c r="Z1" s="154"/>
      <c r="AA1" s="228"/>
      <c r="AB1" s="228"/>
      <c r="AD1" s="300"/>
      <c r="AF1" s="154"/>
      <c r="AG1" s="671"/>
      <c r="AH1" s="671"/>
      <c r="AI1" s="154"/>
      <c r="AJ1" s="154"/>
      <c r="AK1" s="228"/>
      <c r="AL1" s="228"/>
      <c r="AN1" s="300"/>
      <c r="AP1" s="154"/>
      <c r="AQ1" s="671"/>
      <c r="AR1" s="671"/>
      <c r="AS1" s="154"/>
      <c r="AT1" s="154"/>
      <c r="AU1" s="228"/>
      <c r="AV1" s="228"/>
      <c r="AX1" s="300"/>
      <c r="AZ1" s="154"/>
      <c r="BA1" s="671"/>
      <c r="BB1" s="671"/>
      <c r="BC1" s="154"/>
      <c r="BD1" s="154"/>
      <c r="BE1" s="228"/>
      <c r="BF1" s="228"/>
      <c r="BH1" s="300"/>
      <c r="BJ1" s="154"/>
      <c r="BK1" s="671"/>
      <c r="BL1" s="671"/>
      <c r="BM1" s="154"/>
      <c r="BN1" s="154"/>
      <c r="BO1" s="228"/>
      <c r="BP1" s="228"/>
    </row>
    <row r="2" spans="2:68" ht="15.75" thickBot="1">
      <c r="K2" s="203"/>
      <c r="L2" s="443"/>
      <c r="M2" s="444"/>
      <c r="N2" s="444"/>
      <c r="O2" s="444"/>
      <c r="P2" s="444"/>
      <c r="Q2" s="444"/>
      <c r="R2" s="444"/>
      <c r="S2" s="293"/>
      <c r="T2" s="156"/>
      <c r="U2" s="203"/>
      <c r="V2" s="443"/>
      <c r="W2" s="444"/>
      <c r="X2" s="444"/>
      <c r="Y2" s="444"/>
      <c r="Z2" s="444"/>
      <c r="AA2" s="444"/>
      <c r="AB2" s="444"/>
      <c r="AC2" s="156"/>
      <c r="AD2" s="156"/>
      <c r="AE2" s="203"/>
      <c r="AF2" s="443"/>
      <c r="AG2" s="444"/>
      <c r="AH2" s="444"/>
      <c r="AI2" s="444"/>
      <c r="AJ2" s="444"/>
      <c r="AK2" s="444"/>
      <c r="AL2" s="444"/>
      <c r="AM2" s="156"/>
      <c r="AN2" s="156"/>
      <c r="AO2" s="203"/>
      <c r="AP2" s="443"/>
      <c r="AQ2" s="444"/>
      <c r="AR2" s="444"/>
      <c r="AS2" s="444"/>
      <c r="AT2" s="444"/>
      <c r="AU2" s="444"/>
      <c r="AV2" s="444"/>
      <c r="AX2" s="300"/>
      <c r="AY2" s="373" t="s">
        <v>7</v>
      </c>
      <c r="AZ2" s="532">
        <f>B6</f>
        <v>42461</v>
      </c>
      <c r="BA2" s="674" t="s">
        <v>100</v>
      </c>
      <c r="BB2" s="675"/>
      <c r="BC2" s="674" t="s">
        <v>99</v>
      </c>
      <c r="BD2" s="675"/>
      <c r="BE2" s="709" t="s">
        <v>16</v>
      </c>
      <c r="BF2" s="677"/>
      <c r="BH2" s="300"/>
      <c r="BI2" s="373" t="s">
        <v>7</v>
      </c>
      <c r="BJ2" s="532">
        <f>B7</f>
        <v>42462</v>
      </c>
      <c r="BK2" s="674" t="s">
        <v>100</v>
      </c>
      <c r="BL2" s="675"/>
      <c r="BM2" s="674" t="s">
        <v>99</v>
      </c>
      <c r="BN2" s="675"/>
      <c r="BO2" s="676" t="s">
        <v>16</v>
      </c>
      <c r="BP2" s="677"/>
    </row>
    <row r="3" spans="2:68" ht="13.5" thickBot="1">
      <c r="K3" s="156"/>
      <c r="L3" s="156"/>
      <c r="M3" s="156"/>
      <c r="N3" s="156"/>
      <c r="O3" s="224"/>
      <c r="P3" s="224"/>
      <c r="Q3" s="224"/>
      <c r="R3" s="224"/>
      <c r="S3" s="156"/>
      <c r="T3" s="156"/>
      <c r="U3" s="156"/>
      <c r="V3" s="156"/>
      <c r="W3" s="156"/>
      <c r="X3" s="156"/>
      <c r="Y3" s="224"/>
      <c r="Z3" s="224"/>
      <c r="AA3" s="224"/>
      <c r="AB3" s="224"/>
      <c r="AC3" s="156"/>
      <c r="AD3" s="156"/>
      <c r="AE3" s="156"/>
      <c r="AF3" s="156"/>
      <c r="AG3" s="156"/>
      <c r="AH3" s="156"/>
      <c r="AI3" s="224"/>
      <c r="AJ3" s="224"/>
      <c r="AK3" s="224"/>
      <c r="AL3" s="224"/>
      <c r="AM3" s="156"/>
      <c r="AN3" s="156"/>
      <c r="AO3" s="156"/>
      <c r="AP3" s="156"/>
      <c r="AQ3" s="156"/>
      <c r="AR3" s="156"/>
      <c r="AS3" s="224"/>
      <c r="AT3" s="224"/>
      <c r="AU3" s="224"/>
      <c r="AV3" s="224"/>
      <c r="AX3" s="300"/>
      <c r="AY3" s="356"/>
      <c r="AZ3" s="355"/>
      <c r="BA3" s="356"/>
      <c r="BB3" s="357"/>
      <c r="BC3" s="367"/>
      <c r="BD3" s="368"/>
      <c r="BE3" s="369"/>
      <c r="BF3" s="368"/>
      <c r="BH3" s="300"/>
      <c r="BI3" s="356"/>
      <c r="BJ3" s="355"/>
      <c r="BK3" s="356"/>
      <c r="BL3" s="357"/>
      <c r="BM3" s="367"/>
      <c r="BN3" s="368"/>
      <c r="BO3" s="369"/>
      <c r="BP3" s="368"/>
    </row>
    <row r="4" spans="2:68" ht="16.5" thickBot="1">
      <c r="C4" s="277" t="s">
        <v>149</v>
      </c>
      <c r="D4" s="277" t="s">
        <v>149</v>
      </c>
      <c r="E4" s="150" t="s">
        <v>5</v>
      </c>
      <c r="F4" s="150" t="s">
        <v>5</v>
      </c>
      <c r="G4" s="277" t="s">
        <v>149</v>
      </c>
      <c r="H4" s="150" t="s">
        <v>5</v>
      </c>
      <c r="K4" s="156"/>
      <c r="L4" s="445"/>
      <c r="M4" s="439"/>
      <c r="N4" s="446"/>
      <c r="O4" s="439"/>
      <c r="P4" s="446"/>
      <c r="Q4" s="439"/>
      <c r="R4" s="447"/>
      <c r="S4" s="294"/>
      <c r="T4" s="156"/>
      <c r="U4" s="156"/>
      <c r="V4" s="445"/>
      <c r="W4" s="439"/>
      <c r="X4" s="446"/>
      <c r="Y4" s="439"/>
      <c r="Z4" s="446"/>
      <c r="AA4" s="439"/>
      <c r="AB4" s="447"/>
      <c r="AC4" s="156"/>
      <c r="AD4" s="156"/>
      <c r="AE4" s="156"/>
      <c r="AF4" s="445"/>
      <c r="AG4" s="439"/>
      <c r="AH4" s="446"/>
      <c r="AI4" s="439"/>
      <c r="AJ4" s="446"/>
      <c r="AK4" s="439"/>
      <c r="AL4" s="447"/>
      <c r="AM4" s="156"/>
      <c r="AN4" s="156"/>
      <c r="AO4" s="156"/>
      <c r="AP4" s="445"/>
      <c r="AQ4" s="439"/>
      <c r="AR4" s="446"/>
      <c r="AS4" s="439"/>
      <c r="AT4" s="446"/>
      <c r="AU4" s="439"/>
      <c r="AV4" s="447"/>
      <c r="AX4" s="300"/>
      <c r="AY4" s="356"/>
      <c r="AZ4" s="371" t="s">
        <v>155</v>
      </c>
      <c r="BA4" s="358" t="s">
        <v>103</v>
      </c>
      <c r="BB4" s="279"/>
      <c r="BC4" s="358" t="s">
        <v>103</v>
      </c>
      <c r="BD4" s="279"/>
      <c r="BE4" s="359" t="s">
        <v>103</v>
      </c>
      <c r="BF4" s="370">
        <f>SUM(BB4,BD4)</f>
        <v>0</v>
      </c>
      <c r="BH4" s="300"/>
      <c r="BI4" s="356"/>
      <c r="BJ4" s="371" t="s">
        <v>155</v>
      </c>
      <c r="BK4" s="358" t="s">
        <v>103</v>
      </c>
      <c r="BL4" s="279"/>
      <c r="BM4" s="358" t="s">
        <v>103</v>
      </c>
      <c r="BN4" s="279"/>
      <c r="BO4" s="359" t="s">
        <v>103</v>
      </c>
      <c r="BP4" s="370">
        <f>SUM(BL4,BN4)</f>
        <v>0</v>
      </c>
    </row>
    <row r="5" spans="2:68" ht="18.75" thickBot="1">
      <c r="B5" s="277" t="s">
        <v>150</v>
      </c>
      <c r="C5" s="277" t="s">
        <v>151</v>
      </c>
      <c r="D5" s="277" t="s">
        <v>137</v>
      </c>
      <c r="E5" s="277" t="s">
        <v>151</v>
      </c>
      <c r="F5" s="277" t="s">
        <v>137</v>
      </c>
      <c r="G5" s="277" t="s">
        <v>152</v>
      </c>
      <c r="H5" s="277" t="s">
        <v>152</v>
      </c>
      <c r="K5" s="156"/>
      <c r="L5" s="448"/>
      <c r="M5" s="449"/>
      <c r="N5" s="450"/>
      <c r="O5" s="439"/>
      <c r="P5" s="450"/>
      <c r="Q5" s="439"/>
      <c r="R5" s="447"/>
      <c r="S5" s="294"/>
      <c r="T5" s="156"/>
      <c r="U5" s="156"/>
      <c r="V5" s="448"/>
      <c r="W5" s="449"/>
      <c r="X5" s="450"/>
      <c r="Y5" s="439"/>
      <c r="Z5" s="450"/>
      <c r="AA5" s="439"/>
      <c r="AB5" s="447"/>
      <c r="AC5" s="156"/>
      <c r="AD5" s="156"/>
      <c r="AE5" s="156"/>
      <c r="AF5" s="448"/>
      <c r="AG5" s="449"/>
      <c r="AH5" s="450"/>
      <c r="AI5" s="439"/>
      <c r="AJ5" s="450"/>
      <c r="AK5" s="439"/>
      <c r="AL5" s="447"/>
      <c r="AM5" s="156"/>
      <c r="AN5" s="156"/>
      <c r="AO5" s="156"/>
      <c r="AP5" s="448"/>
      <c r="AQ5" s="449"/>
      <c r="AR5" s="450"/>
      <c r="AS5" s="439"/>
      <c r="AT5" s="450"/>
      <c r="AU5" s="439"/>
      <c r="AV5" s="447"/>
      <c r="AX5" s="300"/>
      <c r="AY5" s="356"/>
      <c r="AZ5" s="289">
        <v>8</v>
      </c>
      <c r="BA5" s="360" t="s">
        <v>5</v>
      </c>
      <c r="BB5" s="361">
        <f>VLOOKUP(AZ2, $B$3:$E$109, 4, FALSE)</f>
        <v>0</v>
      </c>
      <c r="BC5" s="358" t="s">
        <v>5</v>
      </c>
      <c r="BD5" s="361">
        <f>VLOOKUP(AZ2, $B$3:$F$109, 5, FALSE)</f>
        <v>0</v>
      </c>
      <c r="BE5" s="359" t="s">
        <v>5</v>
      </c>
      <c r="BF5" s="370">
        <f>SUM(BB5,BD5)</f>
        <v>0</v>
      </c>
      <c r="BH5" s="300"/>
      <c r="BI5" s="356"/>
      <c r="BJ5" s="289">
        <v>8</v>
      </c>
      <c r="BK5" s="360" t="s">
        <v>5</v>
      </c>
      <c r="BL5" s="361">
        <f>VLOOKUP(BJ2, $B$3:$E$109, 4, FALSE)</f>
        <v>0</v>
      </c>
      <c r="BM5" s="358" t="s">
        <v>5</v>
      </c>
      <c r="BN5" s="361">
        <f>VLOOKUP(BJ2, $B$3:$F$109, 5, FALSE)</f>
        <v>0</v>
      </c>
      <c r="BO5" s="359" t="s">
        <v>5</v>
      </c>
      <c r="BP5" s="370">
        <f>SUM(BL5,BN5)</f>
        <v>0</v>
      </c>
    </row>
    <row r="6" spans="2:68" ht="15.75" customHeight="1">
      <c r="B6" s="278">
        <v>42461</v>
      </c>
      <c r="D6" s="2"/>
      <c r="E6" s="2"/>
      <c r="F6" s="2"/>
      <c r="G6" s="2">
        <f t="shared" ref="G6:G35" si="0">C6+D6</f>
        <v>0</v>
      </c>
      <c r="H6" s="2">
        <f t="shared" ref="H6:H35" si="1">E6+F6</f>
        <v>0</v>
      </c>
      <c r="K6" s="156"/>
      <c r="L6" s="156"/>
      <c r="M6" s="440"/>
      <c r="N6" s="450"/>
      <c r="O6" s="440"/>
      <c r="P6" s="450"/>
      <c r="Q6" s="440"/>
      <c r="R6" s="447"/>
      <c r="S6" s="294"/>
      <c r="T6" s="156"/>
      <c r="U6" s="156"/>
      <c r="V6" s="156"/>
      <c r="W6" s="440"/>
      <c r="X6" s="450"/>
      <c r="Y6" s="440"/>
      <c r="Z6" s="450"/>
      <c r="AA6" s="440"/>
      <c r="AB6" s="447"/>
      <c r="AC6" s="156"/>
      <c r="AD6" s="156"/>
      <c r="AE6" s="156"/>
      <c r="AF6" s="156"/>
      <c r="AG6" s="440"/>
      <c r="AH6" s="450"/>
      <c r="AI6" s="440"/>
      <c r="AJ6" s="450"/>
      <c r="AK6" s="440"/>
      <c r="AL6" s="447"/>
      <c r="AM6" s="156"/>
      <c r="AN6" s="156"/>
      <c r="AO6" s="156"/>
      <c r="AP6" s="156"/>
      <c r="AQ6" s="440"/>
      <c r="AR6" s="450"/>
      <c r="AS6" s="440"/>
      <c r="AT6" s="450"/>
      <c r="AU6" s="440"/>
      <c r="AV6" s="447"/>
      <c r="AX6" s="300"/>
      <c r="AY6" s="356"/>
      <c r="AZ6" s="355"/>
      <c r="BA6" s="673" t="s">
        <v>105</v>
      </c>
      <c r="BB6" s="361">
        <f>VLOOKUP(AZ2, $B$3:$E$109, 2, FALSE)</f>
        <v>0</v>
      </c>
      <c r="BC6" s="672" t="s">
        <v>105</v>
      </c>
      <c r="BD6" s="361">
        <f>VLOOKUP(AZ2, $B$3:$E$109, 3, FALSE)</f>
        <v>0</v>
      </c>
      <c r="BE6" s="672" t="s">
        <v>105</v>
      </c>
      <c r="BF6" s="370">
        <f>SUM(BB6,BD6)</f>
        <v>0</v>
      </c>
      <c r="BH6" s="300"/>
      <c r="BI6" s="356"/>
      <c r="BJ6" s="355"/>
      <c r="BK6" s="672" t="s">
        <v>105</v>
      </c>
      <c r="BL6" s="361">
        <f>VLOOKUP(BJ2, $B$3:$E$109, 2, FALSE)</f>
        <v>0</v>
      </c>
      <c r="BM6" s="672" t="s">
        <v>105</v>
      </c>
      <c r="BN6" s="361">
        <f>VLOOKUP(BJ2, $B$3:$E$109, 3, FALSE)</f>
        <v>0</v>
      </c>
      <c r="BO6" s="673" t="s">
        <v>105</v>
      </c>
      <c r="BP6" s="370">
        <f>SUM(BL6,BN6)</f>
        <v>0</v>
      </c>
    </row>
    <row r="7" spans="2:68" ht="17.25" customHeight="1">
      <c r="B7" s="278">
        <v>42462</v>
      </c>
      <c r="C7" s="2"/>
      <c r="D7" s="337"/>
      <c r="E7" s="2"/>
      <c r="F7" s="2"/>
      <c r="G7" s="337">
        <f t="shared" si="0"/>
        <v>0</v>
      </c>
      <c r="H7" s="2">
        <f t="shared" si="1"/>
        <v>0</v>
      </c>
      <c r="K7" s="451"/>
      <c r="L7" s="451"/>
      <c r="M7" s="440"/>
      <c r="N7" s="156"/>
      <c r="O7" s="440"/>
      <c r="P7" s="224"/>
      <c r="Q7" s="440"/>
      <c r="R7" s="224"/>
      <c r="S7" s="156"/>
      <c r="T7" s="156"/>
      <c r="U7" s="451"/>
      <c r="V7" s="451"/>
      <c r="W7" s="440"/>
      <c r="X7" s="156"/>
      <c r="Y7" s="440"/>
      <c r="Z7" s="224"/>
      <c r="AA7" s="440"/>
      <c r="AB7" s="224"/>
      <c r="AC7" s="156"/>
      <c r="AD7" s="156"/>
      <c r="AE7" s="451"/>
      <c r="AF7" s="451"/>
      <c r="AG7" s="440"/>
      <c r="AH7" s="156"/>
      <c r="AI7" s="440"/>
      <c r="AJ7" s="224"/>
      <c r="AK7" s="440"/>
      <c r="AL7" s="224"/>
      <c r="AM7" s="156"/>
      <c r="AN7" s="156"/>
      <c r="AO7" s="451"/>
      <c r="AP7" s="451"/>
      <c r="AQ7" s="440"/>
      <c r="AR7" s="156"/>
      <c r="AS7" s="440"/>
      <c r="AT7" s="224"/>
      <c r="AU7" s="440"/>
      <c r="AV7" s="224"/>
      <c r="AX7" s="300"/>
      <c r="AY7" s="704" t="s">
        <v>157</v>
      </c>
      <c r="AZ7" s="705"/>
      <c r="BA7" s="673"/>
      <c r="BB7" s="357"/>
      <c r="BC7" s="672"/>
      <c r="BD7" s="368"/>
      <c r="BE7" s="672"/>
      <c r="BF7" s="368"/>
      <c r="BH7" s="300"/>
      <c r="BI7" s="704" t="s">
        <v>157</v>
      </c>
      <c r="BJ7" s="705"/>
      <c r="BK7" s="673"/>
      <c r="BL7" s="357"/>
      <c r="BM7" s="672"/>
      <c r="BN7" s="368"/>
      <c r="BO7" s="673"/>
      <c r="BP7" s="368"/>
    </row>
    <row r="8" spans="2:68" ht="15.75">
      <c r="B8" s="278">
        <v>42463</v>
      </c>
      <c r="C8" s="2"/>
      <c r="G8" s="150">
        <f t="shared" si="0"/>
        <v>0</v>
      </c>
      <c r="H8" s="150">
        <f t="shared" si="1"/>
        <v>0</v>
      </c>
      <c r="K8" s="451"/>
      <c r="L8" s="441"/>
      <c r="M8" s="442"/>
      <c r="N8" s="156"/>
      <c r="O8" s="440"/>
      <c r="P8" s="156"/>
      <c r="Q8" s="442"/>
      <c r="R8" s="156"/>
      <c r="S8" s="156"/>
      <c r="T8" s="156"/>
      <c r="U8" s="451"/>
      <c r="V8" s="441"/>
      <c r="W8" s="442"/>
      <c r="X8" s="156"/>
      <c r="Y8" s="440"/>
      <c r="Z8" s="156"/>
      <c r="AA8" s="442"/>
      <c r="AB8" s="156"/>
      <c r="AC8" s="156"/>
      <c r="AD8" s="156"/>
      <c r="AE8" s="451"/>
      <c r="AF8" s="441"/>
      <c r="AG8" s="442"/>
      <c r="AH8" s="156"/>
      <c r="AI8" s="440"/>
      <c r="AJ8" s="156"/>
      <c r="AK8" s="442"/>
      <c r="AL8" s="156"/>
      <c r="AM8" s="156"/>
      <c r="AN8" s="156"/>
      <c r="AO8" s="451"/>
      <c r="AP8" s="441"/>
      <c r="AQ8" s="442"/>
      <c r="AR8" s="156"/>
      <c r="AS8" s="440"/>
      <c r="AT8" s="156"/>
      <c r="AU8" s="442"/>
      <c r="AV8" s="156"/>
      <c r="AX8" s="300"/>
      <c r="AY8" s="374"/>
      <c r="AZ8" s="372">
        <f>BF4*13</f>
        <v>0</v>
      </c>
      <c r="BA8" s="362"/>
      <c r="BB8" s="357"/>
      <c r="BC8" s="363"/>
      <c r="BD8" s="357"/>
      <c r="BE8" s="364"/>
      <c r="BF8" s="357"/>
      <c r="BH8" s="300"/>
      <c r="BI8" s="374"/>
      <c r="BJ8" s="372">
        <f>BP4*13</f>
        <v>0</v>
      </c>
      <c r="BK8" s="362"/>
      <c r="BL8" s="357"/>
      <c r="BM8" s="363"/>
      <c r="BN8" s="357"/>
      <c r="BO8" s="364"/>
      <c r="BP8" s="357"/>
    </row>
    <row r="9" spans="2:68" ht="18.75">
      <c r="B9" s="278">
        <v>42464</v>
      </c>
      <c r="G9" s="150">
        <f t="shared" si="0"/>
        <v>0</v>
      </c>
      <c r="H9" s="150">
        <f t="shared" si="1"/>
        <v>0</v>
      </c>
      <c r="K9" s="156"/>
      <c r="L9" s="98"/>
      <c r="M9" s="452"/>
      <c r="N9" s="295"/>
      <c r="O9" s="452"/>
      <c r="P9" s="295"/>
      <c r="Q9" s="452"/>
      <c r="R9" s="295"/>
      <c r="S9" s="295"/>
      <c r="T9" s="156"/>
      <c r="U9" s="156"/>
      <c r="V9" s="98"/>
      <c r="W9" s="452"/>
      <c r="X9" s="295"/>
      <c r="Y9" s="452"/>
      <c r="Z9" s="295"/>
      <c r="AA9" s="452"/>
      <c r="AB9" s="295"/>
      <c r="AC9" s="156"/>
      <c r="AD9" s="156"/>
      <c r="AE9" s="156"/>
      <c r="AF9" s="98"/>
      <c r="AG9" s="452"/>
      <c r="AH9" s="295"/>
      <c r="AI9" s="452"/>
      <c r="AJ9" s="295"/>
      <c r="AK9" s="452"/>
      <c r="AL9" s="295"/>
      <c r="AM9" s="156"/>
      <c r="AN9" s="156"/>
      <c r="AO9" s="156"/>
      <c r="AP9" s="98"/>
      <c r="AQ9" s="452"/>
      <c r="AR9" s="295"/>
      <c r="AS9" s="452"/>
      <c r="AT9" s="295"/>
      <c r="AU9" s="452"/>
      <c r="AV9" s="295"/>
      <c r="AX9" s="300"/>
      <c r="AY9" s="356"/>
      <c r="AZ9" s="375"/>
      <c r="BA9" s="286" t="s">
        <v>97</v>
      </c>
      <c r="BB9" s="287" t="e">
        <f>BB6/((BB4*EFFICIENCY!$H$28))</f>
        <v>#DIV/0!</v>
      </c>
      <c r="BC9" s="286" t="s">
        <v>97</v>
      </c>
      <c r="BD9" s="287" t="e">
        <f>BD6/(BD4*EFFICIENCY!$H$28)</f>
        <v>#DIV/0!</v>
      </c>
      <c r="BE9" s="286" t="s">
        <v>97</v>
      </c>
      <c r="BF9" s="287" t="e">
        <f>BF6/(BF4*EFFICIENCY!$H$28)</f>
        <v>#DIV/0!</v>
      </c>
      <c r="BH9" s="300"/>
      <c r="BI9" s="356"/>
      <c r="BJ9" s="375"/>
      <c r="BK9" s="286" t="s">
        <v>97</v>
      </c>
      <c r="BL9" s="287" t="e">
        <f>BL6/((BL4*EFFICIENCY!$H$28))</f>
        <v>#DIV/0!</v>
      </c>
      <c r="BM9" s="286" t="s">
        <v>97</v>
      </c>
      <c r="BN9" s="287" t="e">
        <f>BN6/(BN4*EFFICIENCY!$H$28)</f>
        <v>#DIV/0!</v>
      </c>
      <c r="BO9" s="286" t="s">
        <v>97</v>
      </c>
      <c r="BP9" s="287" t="e">
        <f>BP6/(BP4*EFFICIENCY!$H$28)</f>
        <v>#DIV/0!</v>
      </c>
    </row>
    <row r="10" spans="2:68" ht="18.75" customHeight="1">
      <c r="B10" s="278">
        <v>42465</v>
      </c>
      <c r="G10" s="150">
        <f t="shared" si="0"/>
        <v>0</v>
      </c>
      <c r="H10" s="150">
        <f t="shared" si="1"/>
        <v>0</v>
      </c>
      <c r="K10" s="156"/>
      <c r="L10" s="156"/>
      <c r="M10" s="453"/>
      <c r="N10" s="296"/>
      <c r="O10" s="453"/>
      <c r="P10" s="296"/>
      <c r="Q10" s="453"/>
      <c r="R10" s="296"/>
      <c r="S10" s="296"/>
      <c r="T10" s="156"/>
      <c r="U10" s="156"/>
      <c r="V10" s="156"/>
      <c r="W10" s="453"/>
      <c r="X10" s="296"/>
      <c r="Y10" s="453"/>
      <c r="Z10" s="296"/>
      <c r="AA10" s="453"/>
      <c r="AB10" s="296"/>
      <c r="AC10" s="156"/>
      <c r="AD10" s="156"/>
      <c r="AE10" s="156"/>
      <c r="AF10" s="156"/>
      <c r="AG10" s="453"/>
      <c r="AH10" s="296"/>
      <c r="AI10" s="453"/>
      <c r="AJ10" s="296"/>
      <c r="AK10" s="453"/>
      <c r="AL10" s="296"/>
      <c r="AM10" s="156"/>
      <c r="AN10" s="156"/>
      <c r="AO10" s="156"/>
      <c r="AP10" s="156"/>
      <c r="AQ10" s="453"/>
      <c r="AR10" s="296"/>
      <c r="AS10" s="453"/>
      <c r="AT10" s="296"/>
      <c r="AU10" s="453"/>
      <c r="AV10" s="296"/>
      <c r="AX10" s="300"/>
      <c r="AY10" s="356"/>
      <c r="AZ10" s="355"/>
      <c r="BA10" s="280" t="s">
        <v>96</v>
      </c>
      <c r="BB10" s="281" t="e">
        <f>BB6/(BB4*EFFICIENCY!$I$28)</f>
        <v>#DIV/0!</v>
      </c>
      <c r="BC10" s="280" t="s">
        <v>96</v>
      </c>
      <c r="BD10" s="281" t="e">
        <f>BD6/(BD4*EFFICIENCY!$I$28)</f>
        <v>#DIV/0!</v>
      </c>
      <c r="BE10" s="280" t="s">
        <v>96</v>
      </c>
      <c r="BF10" s="281" t="e">
        <f>BF6/(BF4*EFFICIENCY!$I$28)</f>
        <v>#DIV/0!</v>
      </c>
      <c r="BH10" s="300"/>
      <c r="BI10" s="356"/>
      <c r="BJ10" s="355"/>
      <c r="BK10" s="280" t="s">
        <v>96</v>
      </c>
      <c r="BL10" s="281" t="e">
        <f>BL6/(BL4*EFFICIENCY!$I$28)</f>
        <v>#DIV/0!</v>
      </c>
      <c r="BM10" s="280" t="s">
        <v>96</v>
      </c>
      <c r="BN10" s="281" t="e">
        <f>BN6/(BN4*EFFICIENCY!$I$28)</f>
        <v>#DIV/0!</v>
      </c>
      <c r="BO10" s="280" t="s">
        <v>96</v>
      </c>
      <c r="BP10" s="281" t="e">
        <f>BP6/(BP4*EFFICIENCY!$I$28)</f>
        <v>#DIV/0!</v>
      </c>
    </row>
    <row r="11" spans="2:68" ht="17.25" customHeight="1" thickBot="1">
      <c r="B11" s="278">
        <v>42466</v>
      </c>
      <c r="G11" s="150">
        <f t="shared" si="0"/>
        <v>0</v>
      </c>
      <c r="H11" s="150">
        <f t="shared" si="1"/>
        <v>0</v>
      </c>
      <c r="K11" s="454"/>
      <c r="L11" s="454"/>
      <c r="M11" s="455"/>
      <c r="N11" s="297"/>
      <c r="O11" s="455"/>
      <c r="P11" s="297"/>
      <c r="Q11" s="455"/>
      <c r="R11" s="297"/>
      <c r="S11" s="297"/>
      <c r="T11" s="156"/>
      <c r="U11" s="454"/>
      <c r="V11" s="454"/>
      <c r="W11" s="455"/>
      <c r="X11" s="297"/>
      <c r="Y11" s="455"/>
      <c r="Z11" s="297"/>
      <c r="AA11" s="455"/>
      <c r="AB11" s="297"/>
      <c r="AC11" s="156"/>
      <c r="AD11" s="156"/>
      <c r="AE11" s="454"/>
      <c r="AF11" s="454"/>
      <c r="AG11" s="455"/>
      <c r="AH11" s="297"/>
      <c r="AI11" s="455"/>
      <c r="AJ11" s="297"/>
      <c r="AK11" s="455"/>
      <c r="AL11" s="297"/>
      <c r="AM11" s="156"/>
      <c r="AN11" s="156"/>
      <c r="AO11" s="454"/>
      <c r="AP11" s="454"/>
      <c r="AQ11" s="455"/>
      <c r="AR11" s="297"/>
      <c r="AS11" s="455"/>
      <c r="AT11" s="297"/>
      <c r="AU11" s="455"/>
      <c r="AV11" s="297"/>
      <c r="AX11" s="300"/>
      <c r="AY11" s="692" t="s">
        <v>156</v>
      </c>
      <c r="AZ11" s="708"/>
      <c r="BA11" s="284" t="s">
        <v>94</v>
      </c>
      <c r="BB11" s="285" t="e">
        <f>BB6/((BB4*EFFICIENCY!$K$28))</f>
        <v>#DIV/0!</v>
      </c>
      <c r="BC11" s="288" t="s">
        <v>94</v>
      </c>
      <c r="BD11" s="285" t="e">
        <f>BD6/((BD4*EFFICIENCY!$K$28))</f>
        <v>#DIV/0!</v>
      </c>
      <c r="BE11" s="284" t="s">
        <v>94</v>
      </c>
      <c r="BF11" s="285" t="e">
        <f>BF6/((BF4*EFFICIENCY!$K$28))</f>
        <v>#DIV/0!</v>
      </c>
      <c r="BH11" s="300"/>
      <c r="BI11" s="692" t="s">
        <v>156</v>
      </c>
      <c r="BJ11" s="693"/>
      <c r="BK11" s="284" t="s">
        <v>94</v>
      </c>
      <c r="BL11" s="285" t="e">
        <f>BL6/((BL4*EFFICIENCY!$K$28))</f>
        <v>#DIV/0!</v>
      </c>
      <c r="BM11" s="288" t="s">
        <v>94</v>
      </c>
      <c r="BN11" s="285" t="e">
        <f>BN6/((BN4*EFFICIENCY!$K$28))</f>
        <v>#DIV/0!</v>
      </c>
      <c r="BO11" s="284" t="s">
        <v>94</v>
      </c>
      <c r="BP11" s="285" t="e">
        <f>BP6/((BP4*EFFICIENCY!$K$28))</f>
        <v>#DIV/0!</v>
      </c>
    </row>
    <row r="12" spans="2:68" ht="16.5" thickBot="1">
      <c r="B12" s="278">
        <v>42467</v>
      </c>
      <c r="G12" s="150">
        <f t="shared" si="0"/>
        <v>0</v>
      </c>
      <c r="H12" s="150">
        <f t="shared" si="1"/>
        <v>0</v>
      </c>
      <c r="K12" s="156"/>
      <c r="L12" s="441"/>
      <c r="M12" s="456"/>
      <c r="N12" s="456"/>
      <c r="O12" s="457"/>
      <c r="P12" s="458"/>
      <c r="Q12" s="458"/>
      <c r="R12" s="298"/>
      <c r="S12" s="298"/>
      <c r="T12" s="156"/>
      <c r="U12" s="156"/>
      <c r="V12" s="441"/>
      <c r="W12" s="456"/>
      <c r="X12" s="456"/>
      <c r="Y12" s="457"/>
      <c r="Z12" s="458"/>
      <c r="AA12" s="458"/>
      <c r="AB12" s="298"/>
      <c r="AC12" s="156"/>
      <c r="AD12" s="156"/>
      <c r="AE12" s="156"/>
      <c r="AF12" s="441"/>
      <c r="AG12" s="456"/>
      <c r="AH12" s="456"/>
      <c r="AI12" s="457"/>
      <c r="AJ12" s="458"/>
      <c r="AK12" s="458"/>
      <c r="AL12" s="298"/>
      <c r="AM12" s="156"/>
      <c r="AN12" s="156"/>
      <c r="AO12" s="156"/>
      <c r="AP12" s="441"/>
      <c r="AQ12" s="456"/>
      <c r="AR12" s="456"/>
      <c r="AS12" s="457"/>
      <c r="AT12" s="458"/>
      <c r="AU12" s="458"/>
      <c r="AV12" s="298"/>
      <c r="AX12" s="300"/>
      <c r="AY12" s="376"/>
      <c r="AZ12" s="377" t="e">
        <f>BF6/BF4</f>
        <v>#DIV/0!</v>
      </c>
      <c r="BA12" s="706" t="s">
        <v>153</v>
      </c>
      <c r="BB12" s="707"/>
      <c r="BC12" s="290"/>
      <c r="BD12" s="365"/>
      <c r="BE12" s="365" t="s">
        <v>154</v>
      </c>
      <c r="BF12" s="366">
        <f>BC12-BF6</f>
        <v>0</v>
      </c>
      <c r="BH12" s="300"/>
      <c r="BI12" s="376"/>
      <c r="BJ12" s="377" t="e">
        <f>BP6/BP4</f>
        <v>#DIV/0!</v>
      </c>
      <c r="BK12" s="678" t="s">
        <v>153</v>
      </c>
      <c r="BL12" s="679"/>
      <c r="BM12" s="290"/>
      <c r="BN12" s="365"/>
      <c r="BO12" s="365" t="s">
        <v>154</v>
      </c>
      <c r="BP12" s="366">
        <f>BM12-BP6</f>
        <v>0</v>
      </c>
    </row>
    <row r="13" spans="2:68" ht="15.75" customHeight="1">
      <c r="B13" s="278">
        <v>42468</v>
      </c>
      <c r="G13" s="150">
        <f t="shared" si="0"/>
        <v>0</v>
      </c>
      <c r="H13" s="150">
        <f t="shared" si="1"/>
        <v>0</v>
      </c>
      <c r="L13" s="154"/>
      <c r="T13" s="300"/>
      <c r="V13" s="154"/>
      <c r="AD13" s="300"/>
      <c r="AF13" s="154"/>
      <c r="AN13" s="300"/>
      <c r="AP13" s="154"/>
      <c r="AX13" s="300"/>
      <c r="AZ13" s="154"/>
      <c r="BH13" s="300"/>
      <c r="BJ13" s="154"/>
    </row>
    <row r="14" spans="2:68" ht="15" customHeight="1" thickBot="1">
      <c r="B14" s="278">
        <v>42469</v>
      </c>
      <c r="G14" s="150">
        <f t="shared" si="0"/>
        <v>0</v>
      </c>
      <c r="H14" s="150">
        <f t="shared" si="1"/>
        <v>0</v>
      </c>
      <c r="K14" s="291"/>
      <c r="L14" s="291"/>
      <c r="M14" s="291"/>
      <c r="N14" s="291"/>
      <c r="O14" s="291"/>
      <c r="P14" s="291"/>
      <c r="Q14" s="291"/>
      <c r="R14" s="291"/>
      <c r="S14" s="299"/>
      <c r="T14" s="301"/>
      <c r="U14" s="291"/>
      <c r="V14" s="291"/>
      <c r="W14" s="291"/>
      <c r="X14" s="291"/>
      <c r="Y14" s="291"/>
      <c r="Z14" s="291"/>
      <c r="AA14" s="291"/>
      <c r="AB14" s="291"/>
      <c r="AC14" s="291"/>
      <c r="AD14" s="301"/>
      <c r="AE14" s="291"/>
      <c r="AF14" s="291"/>
      <c r="AG14" s="291"/>
      <c r="AH14" s="291"/>
      <c r="AI14" s="291"/>
      <c r="AJ14" s="291"/>
      <c r="AK14" s="291"/>
      <c r="AL14" s="291"/>
      <c r="AM14" s="291"/>
      <c r="AN14" s="301"/>
      <c r="AO14" s="291"/>
      <c r="AP14" s="291"/>
      <c r="AQ14" s="291"/>
      <c r="AR14" s="291"/>
      <c r="AS14" s="291"/>
      <c r="AT14" s="291"/>
      <c r="AU14" s="291"/>
      <c r="AV14" s="291"/>
      <c r="AW14" s="291"/>
      <c r="AX14" s="301"/>
      <c r="AY14" s="291"/>
      <c r="AZ14" s="291"/>
      <c r="BA14" s="291"/>
      <c r="BB14" s="291"/>
      <c r="BC14" s="291"/>
      <c r="BD14" s="291"/>
      <c r="BE14" s="291"/>
      <c r="BF14" s="291"/>
      <c r="BG14" s="291"/>
      <c r="BH14" s="300"/>
      <c r="BI14" s="291"/>
      <c r="BJ14" s="291"/>
      <c r="BK14" s="291"/>
      <c r="BL14" s="291"/>
      <c r="BM14" s="291"/>
      <c r="BN14" s="291"/>
      <c r="BO14" s="291"/>
      <c r="BP14" s="291"/>
    </row>
    <row r="15" spans="2:68" ht="15.75" thickBot="1">
      <c r="B15" s="278">
        <v>42470</v>
      </c>
      <c r="G15" s="150">
        <f t="shared" si="0"/>
        <v>0</v>
      </c>
      <c r="H15" s="150">
        <f t="shared" si="1"/>
        <v>0</v>
      </c>
      <c r="K15" s="378" t="s">
        <v>7</v>
      </c>
      <c r="L15" s="533">
        <f>B9</f>
        <v>42464</v>
      </c>
      <c r="M15" s="663" t="s">
        <v>100</v>
      </c>
      <c r="N15" s="664"/>
      <c r="O15" s="665" t="s">
        <v>99</v>
      </c>
      <c r="P15" s="666"/>
      <c r="Q15" s="667" t="s">
        <v>16</v>
      </c>
      <c r="R15" s="668"/>
      <c r="S15" s="293"/>
      <c r="T15" s="302"/>
      <c r="U15" s="378" t="s">
        <v>7</v>
      </c>
      <c r="V15" s="533">
        <f>B10</f>
        <v>42465</v>
      </c>
      <c r="W15" s="663" t="s">
        <v>100</v>
      </c>
      <c r="X15" s="664"/>
      <c r="Y15" s="665" t="s">
        <v>99</v>
      </c>
      <c r="Z15" s="666"/>
      <c r="AA15" s="667" t="s">
        <v>16</v>
      </c>
      <c r="AB15" s="668"/>
      <c r="AD15" s="300"/>
      <c r="AE15" s="378" t="s">
        <v>7</v>
      </c>
      <c r="AF15" s="533">
        <f>B11</f>
        <v>42466</v>
      </c>
      <c r="AG15" s="663" t="s">
        <v>100</v>
      </c>
      <c r="AH15" s="664"/>
      <c r="AI15" s="665" t="s">
        <v>99</v>
      </c>
      <c r="AJ15" s="666"/>
      <c r="AK15" s="667" t="s">
        <v>16</v>
      </c>
      <c r="AL15" s="668"/>
      <c r="AN15" s="300"/>
      <c r="AO15" s="378" t="s">
        <v>7</v>
      </c>
      <c r="AP15" s="533">
        <f>B12</f>
        <v>42467</v>
      </c>
      <c r="AQ15" s="663" t="s">
        <v>100</v>
      </c>
      <c r="AR15" s="664"/>
      <c r="AS15" s="665" t="s">
        <v>99</v>
      </c>
      <c r="AT15" s="666"/>
      <c r="AU15" s="667" t="s">
        <v>16</v>
      </c>
      <c r="AV15" s="668"/>
      <c r="AX15" s="300"/>
      <c r="AY15" s="378" t="s">
        <v>7</v>
      </c>
      <c r="AZ15" s="533">
        <f>B13</f>
        <v>42468</v>
      </c>
      <c r="BA15" s="663" t="s">
        <v>100</v>
      </c>
      <c r="BB15" s="664"/>
      <c r="BC15" s="665" t="s">
        <v>99</v>
      </c>
      <c r="BD15" s="666"/>
      <c r="BE15" s="667" t="s">
        <v>16</v>
      </c>
      <c r="BF15" s="668"/>
      <c r="BH15" s="300"/>
      <c r="BI15" s="378" t="s">
        <v>7</v>
      </c>
      <c r="BJ15" s="533">
        <f>B14</f>
        <v>42469</v>
      </c>
      <c r="BK15" s="663" t="s">
        <v>100</v>
      </c>
      <c r="BL15" s="664"/>
      <c r="BM15" s="665" t="s">
        <v>99</v>
      </c>
      <c r="BN15" s="666"/>
      <c r="BO15" s="667" t="s">
        <v>16</v>
      </c>
      <c r="BP15" s="668"/>
    </row>
    <row r="16" spans="2:68" ht="13.5" thickBot="1">
      <c r="B16" s="278">
        <v>42471</v>
      </c>
      <c r="G16" s="150">
        <f t="shared" si="0"/>
        <v>0</v>
      </c>
      <c r="H16" s="150">
        <f t="shared" si="1"/>
        <v>0</v>
      </c>
      <c r="K16" s="339"/>
      <c r="L16" s="338"/>
      <c r="M16" s="339"/>
      <c r="N16" s="340"/>
      <c r="O16" s="339"/>
      <c r="P16" s="340"/>
      <c r="Q16" s="338"/>
      <c r="R16" s="340"/>
      <c r="S16" s="156"/>
      <c r="T16" s="302"/>
      <c r="U16" s="339"/>
      <c r="V16" s="338"/>
      <c r="W16" s="339"/>
      <c r="X16" s="340"/>
      <c r="Y16" s="339"/>
      <c r="Z16" s="340"/>
      <c r="AA16" s="338"/>
      <c r="AB16" s="340"/>
      <c r="AD16" s="300"/>
      <c r="AE16" s="339"/>
      <c r="AF16" s="338"/>
      <c r="AG16" s="339"/>
      <c r="AH16" s="340"/>
      <c r="AI16" s="339"/>
      <c r="AJ16" s="340"/>
      <c r="AK16" s="338"/>
      <c r="AL16" s="340"/>
      <c r="AN16" s="300"/>
      <c r="AO16" s="339"/>
      <c r="AP16" s="338"/>
      <c r="AQ16" s="339"/>
      <c r="AR16" s="340"/>
      <c r="AS16" s="339"/>
      <c r="AT16" s="340"/>
      <c r="AU16" s="338"/>
      <c r="AV16" s="340"/>
      <c r="AX16" s="300"/>
      <c r="AY16" s="339"/>
      <c r="AZ16" s="338"/>
      <c r="BA16" s="339"/>
      <c r="BB16" s="340"/>
      <c r="BC16" s="339"/>
      <c r="BD16" s="340"/>
      <c r="BE16" s="338"/>
      <c r="BF16" s="340"/>
      <c r="BH16" s="300"/>
      <c r="BI16" s="339"/>
      <c r="BJ16" s="338"/>
      <c r="BK16" s="339"/>
      <c r="BL16" s="340"/>
      <c r="BM16" s="339"/>
      <c r="BN16" s="340"/>
      <c r="BO16" s="338"/>
      <c r="BP16" s="340"/>
    </row>
    <row r="17" spans="2:68" ht="16.5" thickBot="1">
      <c r="B17" s="278">
        <v>42472</v>
      </c>
      <c r="G17" s="150">
        <f t="shared" si="0"/>
        <v>0</v>
      </c>
      <c r="H17" s="150">
        <f t="shared" si="1"/>
        <v>0</v>
      </c>
      <c r="K17" s="339"/>
      <c r="L17" s="341" t="s">
        <v>155</v>
      </c>
      <c r="M17" s="342" t="s">
        <v>103</v>
      </c>
      <c r="N17" s="279"/>
      <c r="O17" s="342" t="s">
        <v>103</v>
      </c>
      <c r="P17" s="279"/>
      <c r="Q17" s="343" t="s">
        <v>103</v>
      </c>
      <c r="R17" s="344">
        <f>SUM(N17,P17)</f>
        <v>0</v>
      </c>
      <c r="S17" s="294"/>
      <c r="T17" s="302"/>
      <c r="U17" s="339"/>
      <c r="V17" s="341" t="s">
        <v>155</v>
      </c>
      <c r="W17" s="342" t="s">
        <v>103</v>
      </c>
      <c r="X17" s="279"/>
      <c r="Y17" s="342" t="s">
        <v>103</v>
      </c>
      <c r="Z17" s="279"/>
      <c r="AA17" s="343" t="s">
        <v>103</v>
      </c>
      <c r="AB17" s="344">
        <f>SUM(X17,Z17)</f>
        <v>0</v>
      </c>
      <c r="AD17" s="300"/>
      <c r="AE17" s="339"/>
      <c r="AF17" s="341" t="s">
        <v>155</v>
      </c>
      <c r="AG17" s="342" t="s">
        <v>103</v>
      </c>
      <c r="AH17" s="279"/>
      <c r="AI17" s="342" t="s">
        <v>103</v>
      </c>
      <c r="AJ17" s="279"/>
      <c r="AK17" s="343" t="s">
        <v>103</v>
      </c>
      <c r="AL17" s="344">
        <f>SUM(AH17,AJ17)</f>
        <v>0</v>
      </c>
      <c r="AN17" s="300"/>
      <c r="AO17" s="339"/>
      <c r="AP17" s="341" t="s">
        <v>155</v>
      </c>
      <c r="AQ17" s="342" t="s">
        <v>103</v>
      </c>
      <c r="AR17" s="279"/>
      <c r="AS17" s="342" t="s">
        <v>103</v>
      </c>
      <c r="AT17" s="279"/>
      <c r="AU17" s="343" t="s">
        <v>103</v>
      </c>
      <c r="AV17" s="344">
        <f>SUM(AR17,AT17)</f>
        <v>0</v>
      </c>
      <c r="AX17" s="300"/>
      <c r="AY17" s="339"/>
      <c r="AZ17" s="341" t="s">
        <v>155</v>
      </c>
      <c r="BA17" s="342" t="s">
        <v>103</v>
      </c>
      <c r="BB17" s="279"/>
      <c r="BC17" s="342" t="s">
        <v>103</v>
      </c>
      <c r="BD17" s="279"/>
      <c r="BE17" s="343" t="s">
        <v>103</v>
      </c>
      <c r="BF17" s="344">
        <f>SUM(BB17,BD17)</f>
        <v>0</v>
      </c>
      <c r="BH17" s="300"/>
      <c r="BI17" s="339"/>
      <c r="BJ17" s="341" t="s">
        <v>155</v>
      </c>
      <c r="BK17" s="342" t="s">
        <v>103</v>
      </c>
      <c r="BL17" s="279"/>
      <c r="BM17" s="342" t="s">
        <v>103</v>
      </c>
      <c r="BN17" s="279"/>
      <c r="BO17" s="343" t="s">
        <v>103</v>
      </c>
      <c r="BP17" s="344">
        <f>SUM(BL17,BN17)</f>
        <v>0</v>
      </c>
    </row>
    <row r="18" spans="2:68" ht="18.75" thickBot="1">
      <c r="B18" s="278">
        <v>42473</v>
      </c>
      <c r="G18" s="150">
        <f t="shared" si="0"/>
        <v>0</v>
      </c>
      <c r="H18" s="150">
        <f t="shared" si="1"/>
        <v>0</v>
      </c>
      <c r="K18" s="339"/>
      <c r="L18" s="289">
        <v>8</v>
      </c>
      <c r="M18" s="345" t="s">
        <v>5</v>
      </c>
      <c r="N18" s="346">
        <f>VLOOKUP(L15, $B$3:$E$109, 4, FALSE)</f>
        <v>0</v>
      </c>
      <c r="O18" s="345" t="s">
        <v>5</v>
      </c>
      <c r="P18" s="347">
        <f>VLOOKUP(L15, $B$3:$F$109, 5, FALSE)</f>
        <v>0</v>
      </c>
      <c r="Q18" s="348" t="s">
        <v>5</v>
      </c>
      <c r="R18" s="344">
        <f>SUM(N18,P18)</f>
        <v>0</v>
      </c>
      <c r="S18" s="294"/>
      <c r="T18" s="302"/>
      <c r="U18" s="339"/>
      <c r="V18" s="289">
        <v>8</v>
      </c>
      <c r="W18" s="345" t="s">
        <v>5</v>
      </c>
      <c r="X18" s="346">
        <f>VLOOKUP(V15, $B$3:$E$109, 4, FALSE)</f>
        <v>0</v>
      </c>
      <c r="Y18" s="345" t="s">
        <v>5</v>
      </c>
      <c r="Z18" s="347">
        <f>VLOOKUP(V15, $B$3:$F$109, 5, FALSE)</f>
        <v>0</v>
      </c>
      <c r="AA18" s="348" t="s">
        <v>5</v>
      </c>
      <c r="AB18" s="344">
        <f>SUM(X18,Z18)</f>
        <v>0</v>
      </c>
      <c r="AD18" s="300"/>
      <c r="AE18" s="339"/>
      <c r="AF18" s="289">
        <v>8</v>
      </c>
      <c r="AG18" s="345" t="s">
        <v>5</v>
      </c>
      <c r="AH18" s="346">
        <f>VLOOKUP(AF15, $B$3:$E$109, 4, FALSE)</f>
        <v>0</v>
      </c>
      <c r="AI18" s="345" t="s">
        <v>5</v>
      </c>
      <c r="AJ18" s="347">
        <f>VLOOKUP(AF15, $B$3:$F$109, 5, FALSE)</f>
        <v>0</v>
      </c>
      <c r="AK18" s="348" t="s">
        <v>5</v>
      </c>
      <c r="AL18" s="344">
        <f>SUM(AH18,AJ18)</f>
        <v>0</v>
      </c>
      <c r="AN18" s="300"/>
      <c r="AO18" s="339"/>
      <c r="AP18" s="289">
        <v>8</v>
      </c>
      <c r="AQ18" s="345" t="s">
        <v>5</v>
      </c>
      <c r="AR18" s="346">
        <f>VLOOKUP(AP15, $B$3:$E$109, 4, FALSE)</f>
        <v>0</v>
      </c>
      <c r="AS18" s="345" t="s">
        <v>5</v>
      </c>
      <c r="AT18" s="347">
        <f>VLOOKUP(AP15, $B$3:$F$109, 5, FALSE)</f>
        <v>0</v>
      </c>
      <c r="AU18" s="348" t="s">
        <v>5</v>
      </c>
      <c r="AV18" s="344">
        <f>SUM(AR18,AT18)</f>
        <v>0</v>
      </c>
      <c r="AX18" s="300"/>
      <c r="AY18" s="339"/>
      <c r="AZ18" s="289">
        <v>8</v>
      </c>
      <c r="BA18" s="345" t="s">
        <v>5</v>
      </c>
      <c r="BB18" s="346">
        <f>VLOOKUP(AZ15, $B$3:$E$109, 4, FALSE)</f>
        <v>0</v>
      </c>
      <c r="BC18" s="345" t="s">
        <v>5</v>
      </c>
      <c r="BD18" s="347">
        <f>VLOOKUP(AZ15, $B$3:$F$109, 5, FALSE)</f>
        <v>0</v>
      </c>
      <c r="BE18" s="348" t="s">
        <v>5</v>
      </c>
      <c r="BF18" s="344">
        <f>SUM(BB18,BD18)</f>
        <v>0</v>
      </c>
      <c r="BH18" s="300"/>
      <c r="BI18" s="339"/>
      <c r="BJ18" s="289">
        <v>8</v>
      </c>
      <c r="BK18" s="345" t="s">
        <v>5</v>
      </c>
      <c r="BL18" s="346">
        <f>VLOOKUP(BJ15, $B$3:$E$109, 4, FALSE)</f>
        <v>0</v>
      </c>
      <c r="BM18" s="345" t="s">
        <v>5</v>
      </c>
      <c r="BN18" s="347">
        <f>VLOOKUP(BJ15, $B$3:$F$109, 5, FALSE)</f>
        <v>0</v>
      </c>
      <c r="BO18" s="348" t="s">
        <v>5</v>
      </c>
      <c r="BP18" s="344">
        <f>SUM(BL18,BN18)</f>
        <v>0</v>
      </c>
    </row>
    <row r="19" spans="2:68" ht="15.75" customHeight="1">
      <c r="B19" s="278">
        <v>42474</v>
      </c>
      <c r="G19" s="150">
        <f t="shared" si="0"/>
        <v>0</v>
      </c>
      <c r="H19" s="150">
        <f t="shared" si="1"/>
        <v>0</v>
      </c>
      <c r="K19" s="339"/>
      <c r="L19" s="338"/>
      <c r="M19" s="669" t="s">
        <v>105</v>
      </c>
      <c r="N19" s="346">
        <f>VLOOKUP(L15, $B$3:$E$109, 2, FALSE)</f>
        <v>0</v>
      </c>
      <c r="O19" s="669" t="s">
        <v>105</v>
      </c>
      <c r="P19" s="347">
        <f>VLOOKUP(L15, $B$3:$E$109, 3, FALSE)</f>
        <v>0</v>
      </c>
      <c r="Q19" s="670" t="s">
        <v>105</v>
      </c>
      <c r="R19" s="344">
        <f>SUM(N19,P19)</f>
        <v>0</v>
      </c>
      <c r="S19" s="294"/>
      <c r="T19" s="302"/>
      <c r="U19" s="339"/>
      <c r="V19" s="338"/>
      <c r="W19" s="669" t="s">
        <v>105</v>
      </c>
      <c r="X19" s="346">
        <f>VLOOKUP(V15, $B$3:$E$109, 2, FALSE)</f>
        <v>0</v>
      </c>
      <c r="Y19" s="669" t="s">
        <v>105</v>
      </c>
      <c r="Z19" s="347">
        <f>VLOOKUP(V15, $B$3:$E$109, 3, FALSE)</f>
        <v>0</v>
      </c>
      <c r="AA19" s="670" t="s">
        <v>105</v>
      </c>
      <c r="AB19" s="344">
        <f>SUM(X19,Z19)</f>
        <v>0</v>
      </c>
      <c r="AD19" s="300"/>
      <c r="AE19" s="339"/>
      <c r="AF19" s="338"/>
      <c r="AG19" s="669" t="s">
        <v>105</v>
      </c>
      <c r="AH19" s="346">
        <f>VLOOKUP(AF15, $B$3:$E$109, 2, FALSE)</f>
        <v>0</v>
      </c>
      <c r="AI19" s="669" t="s">
        <v>105</v>
      </c>
      <c r="AJ19" s="347">
        <f>VLOOKUP(AF15, $B$3:$E$109, 3, FALSE)</f>
        <v>0</v>
      </c>
      <c r="AK19" s="670" t="s">
        <v>105</v>
      </c>
      <c r="AL19" s="344">
        <f>SUM(AH19,AJ19)</f>
        <v>0</v>
      </c>
      <c r="AN19" s="300"/>
      <c r="AO19" s="339"/>
      <c r="AP19" s="338"/>
      <c r="AQ19" s="669" t="s">
        <v>105</v>
      </c>
      <c r="AR19" s="346">
        <f>VLOOKUP(AP15, $B$3:$E$109, 2, FALSE)</f>
        <v>0</v>
      </c>
      <c r="AS19" s="669" t="s">
        <v>105</v>
      </c>
      <c r="AT19" s="347">
        <f>VLOOKUP(AP15, $B$3:$E$109, 3, FALSE)</f>
        <v>0</v>
      </c>
      <c r="AU19" s="670" t="s">
        <v>105</v>
      </c>
      <c r="AV19" s="344">
        <f>SUM(AR19,AT19)</f>
        <v>0</v>
      </c>
      <c r="AX19" s="300"/>
      <c r="AY19" s="339"/>
      <c r="AZ19" s="338"/>
      <c r="BA19" s="669" t="s">
        <v>105</v>
      </c>
      <c r="BB19" s="346">
        <f>VLOOKUP(AZ15, $B$3:$E$109, 2, FALSE)</f>
        <v>0</v>
      </c>
      <c r="BC19" s="669" t="s">
        <v>105</v>
      </c>
      <c r="BD19" s="347">
        <f>VLOOKUP(AZ15, $B$3:$E$109, 3, FALSE)</f>
        <v>0</v>
      </c>
      <c r="BE19" s="670" t="s">
        <v>105</v>
      </c>
      <c r="BF19" s="344">
        <f>SUM(BB19,BD19)</f>
        <v>0</v>
      </c>
      <c r="BH19" s="300"/>
      <c r="BI19" s="339"/>
      <c r="BJ19" s="338"/>
      <c r="BK19" s="669" t="s">
        <v>105</v>
      </c>
      <c r="BL19" s="346">
        <f>VLOOKUP(BJ15, $B$3:$E$109, 2, FALSE)</f>
        <v>0</v>
      </c>
      <c r="BM19" s="669" t="s">
        <v>105</v>
      </c>
      <c r="BN19" s="347">
        <f>VLOOKUP(BJ15, $B$3:$E$109, 3, FALSE)</f>
        <v>0</v>
      </c>
      <c r="BO19" s="670" t="s">
        <v>105</v>
      </c>
      <c r="BP19" s="344">
        <f>SUM(BL19,BN19)</f>
        <v>0</v>
      </c>
    </row>
    <row r="20" spans="2:68" ht="12.75" customHeight="1">
      <c r="B20" s="278">
        <v>42475</v>
      </c>
      <c r="G20" s="150">
        <f t="shared" si="0"/>
        <v>0</v>
      </c>
      <c r="H20" s="150">
        <f t="shared" si="1"/>
        <v>0</v>
      </c>
      <c r="K20" s="698" t="s">
        <v>157</v>
      </c>
      <c r="L20" s="699"/>
      <c r="M20" s="670"/>
      <c r="N20" s="340"/>
      <c r="O20" s="669"/>
      <c r="P20" s="340"/>
      <c r="Q20" s="670"/>
      <c r="R20" s="340"/>
      <c r="S20" s="156"/>
      <c r="T20" s="302"/>
      <c r="U20" s="698" t="s">
        <v>157</v>
      </c>
      <c r="V20" s="699"/>
      <c r="W20" s="670"/>
      <c r="X20" s="340"/>
      <c r="Y20" s="669"/>
      <c r="Z20" s="340"/>
      <c r="AA20" s="670"/>
      <c r="AB20" s="340"/>
      <c r="AD20" s="300"/>
      <c r="AE20" s="698" t="s">
        <v>157</v>
      </c>
      <c r="AF20" s="699"/>
      <c r="AG20" s="670"/>
      <c r="AH20" s="340"/>
      <c r="AI20" s="669"/>
      <c r="AJ20" s="340"/>
      <c r="AK20" s="670"/>
      <c r="AL20" s="340"/>
      <c r="AN20" s="300"/>
      <c r="AO20" s="698" t="s">
        <v>157</v>
      </c>
      <c r="AP20" s="699"/>
      <c r="AQ20" s="670"/>
      <c r="AR20" s="340"/>
      <c r="AS20" s="669"/>
      <c r="AT20" s="340"/>
      <c r="AU20" s="670"/>
      <c r="AV20" s="340"/>
      <c r="AX20" s="300"/>
      <c r="AY20" s="698" t="s">
        <v>157</v>
      </c>
      <c r="AZ20" s="699"/>
      <c r="BA20" s="670"/>
      <c r="BB20" s="340"/>
      <c r="BC20" s="669"/>
      <c r="BD20" s="340"/>
      <c r="BE20" s="670"/>
      <c r="BF20" s="340"/>
      <c r="BH20" s="300"/>
      <c r="BI20" s="698" t="s">
        <v>157</v>
      </c>
      <c r="BJ20" s="699"/>
      <c r="BK20" s="670"/>
      <c r="BL20" s="340"/>
      <c r="BM20" s="669"/>
      <c r="BN20" s="340"/>
      <c r="BO20" s="670"/>
      <c r="BP20" s="340"/>
    </row>
    <row r="21" spans="2:68" ht="15.75">
      <c r="B21" s="278">
        <v>42476</v>
      </c>
      <c r="G21" s="150">
        <f t="shared" si="0"/>
        <v>0</v>
      </c>
      <c r="H21" s="150">
        <f t="shared" si="1"/>
        <v>0</v>
      </c>
      <c r="K21" s="379"/>
      <c r="L21" s="349">
        <f>R17*13</f>
        <v>0</v>
      </c>
      <c r="M21" s="350"/>
      <c r="N21" s="340"/>
      <c r="O21" s="351"/>
      <c r="P21" s="340"/>
      <c r="Q21" s="352"/>
      <c r="R21" s="340"/>
      <c r="S21" s="156"/>
      <c r="T21" s="302"/>
      <c r="U21" s="379"/>
      <c r="V21" s="349">
        <f>AB17*13</f>
        <v>0</v>
      </c>
      <c r="W21" s="350"/>
      <c r="X21" s="340"/>
      <c r="Y21" s="351"/>
      <c r="Z21" s="340"/>
      <c r="AA21" s="352"/>
      <c r="AB21" s="340"/>
      <c r="AD21" s="300"/>
      <c r="AE21" s="379"/>
      <c r="AF21" s="349">
        <f>AL17*13</f>
        <v>0</v>
      </c>
      <c r="AG21" s="350"/>
      <c r="AH21" s="340"/>
      <c r="AI21" s="351"/>
      <c r="AJ21" s="340"/>
      <c r="AK21" s="352"/>
      <c r="AL21" s="340"/>
      <c r="AN21" s="300"/>
      <c r="AO21" s="379"/>
      <c r="AP21" s="349">
        <f>AV17*13</f>
        <v>0</v>
      </c>
      <c r="AQ21" s="350"/>
      <c r="AR21" s="340"/>
      <c r="AS21" s="351"/>
      <c r="AT21" s="340"/>
      <c r="AU21" s="352"/>
      <c r="AV21" s="340"/>
      <c r="AX21" s="300"/>
      <c r="AY21" s="379"/>
      <c r="AZ21" s="349">
        <f>BF17*13</f>
        <v>0</v>
      </c>
      <c r="BA21" s="350"/>
      <c r="BB21" s="340"/>
      <c r="BC21" s="351"/>
      <c r="BD21" s="340"/>
      <c r="BE21" s="352"/>
      <c r="BF21" s="340"/>
      <c r="BH21" s="300"/>
      <c r="BI21" s="379"/>
      <c r="BJ21" s="349">
        <f>BP17*13</f>
        <v>0</v>
      </c>
      <c r="BK21" s="350"/>
      <c r="BL21" s="340"/>
      <c r="BM21" s="351"/>
      <c r="BN21" s="340"/>
      <c r="BO21" s="352"/>
      <c r="BP21" s="340"/>
    </row>
    <row r="22" spans="2:68" ht="18.75">
      <c r="B22" s="278">
        <v>42477</v>
      </c>
      <c r="G22" s="150">
        <f t="shared" si="0"/>
        <v>0</v>
      </c>
      <c r="H22" s="150">
        <f t="shared" si="1"/>
        <v>0</v>
      </c>
      <c r="K22" s="339"/>
      <c r="L22" s="380"/>
      <c r="M22" s="286" t="s">
        <v>97</v>
      </c>
      <c r="N22" s="287" t="e">
        <f>N19/((N17*EFFICIENCY!$H$28))</f>
        <v>#DIV/0!</v>
      </c>
      <c r="O22" s="286" t="s">
        <v>97</v>
      </c>
      <c r="P22" s="287" t="e">
        <f>P19/(P17*EFFICIENCY!$H$28)</f>
        <v>#DIV/0!</v>
      </c>
      <c r="Q22" s="286" t="s">
        <v>97</v>
      </c>
      <c r="R22" s="287" t="e">
        <f>R19/(R17*EFFICIENCY!$H$28)</f>
        <v>#DIV/0!</v>
      </c>
      <c r="S22" s="295"/>
      <c r="T22" s="302"/>
      <c r="U22" s="339"/>
      <c r="V22" s="380"/>
      <c r="W22" s="286" t="s">
        <v>97</v>
      </c>
      <c r="X22" s="287" t="e">
        <f>X19/((X17*EFFICIENCY!$H$28))</f>
        <v>#DIV/0!</v>
      </c>
      <c r="Y22" s="286" t="s">
        <v>97</v>
      </c>
      <c r="Z22" s="287" t="e">
        <f>Z19/(Z17*EFFICIENCY!$H$28)</f>
        <v>#DIV/0!</v>
      </c>
      <c r="AA22" s="286" t="s">
        <v>97</v>
      </c>
      <c r="AB22" s="287" t="e">
        <f>AB19/(AB17*EFFICIENCY!$H$28)</f>
        <v>#DIV/0!</v>
      </c>
      <c r="AD22" s="300"/>
      <c r="AE22" s="339"/>
      <c r="AF22" s="380"/>
      <c r="AG22" s="286" t="s">
        <v>97</v>
      </c>
      <c r="AH22" s="287" t="e">
        <f>AH19/((AH17*EFFICIENCY!$H$28))</f>
        <v>#DIV/0!</v>
      </c>
      <c r="AI22" s="286" t="s">
        <v>97</v>
      </c>
      <c r="AJ22" s="287" t="e">
        <f>AJ19/(AJ17*EFFICIENCY!$H$28)</f>
        <v>#DIV/0!</v>
      </c>
      <c r="AK22" s="286" t="s">
        <v>97</v>
      </c>
      <c r="AL22" s="287" t="e">
        <f>AL19/(AL17*EFFICIENCY!$H$28)</f>
        <v>#DIV/0!</v>
      </c>
      <c r="AN22" s="300"/>
      <c r="AO22" s="339"/>
      <c r="AP22" s="380"/>
      <c r="AQ22" s="286" t="s">
        <v>97</v>
      </c>
      <c r="AR22" s="287" t="e">
        <f>AR19/((AR17*EFFICIENCY!$H$28))</f>
        <v>#DIV/0!</v>
      </c>
      <c r="AS22" s="286" t="s">
        <v>97</v>
      </c>
      <c r="AT22" s="287" t="e">
        <f>AT19/(AT17*EFFICIENCY!$H$28)</f>
        <v>#DIV/0!</v>
      </c>
      <c r="AU22" s="286" t="s">
        <v>97</v>
      </c>
      <c r="AV22" s="287" t="e">
        <f>AV19/(AV17*EFFICIENCY!$H$28)</f>
        <v>#DIV/0!</v>
      </c>
      <c r="AX22" s="300"/>
      <c r="AY22" s="339"/>
      <c r="AZ22" s="380"/>
      <c r="BA22" s="286" t="s">
        <v>97</v>
      </c>
      <c r="BB22" s="287" t="e">
        <f>BB19/((BB17*EFFICIENCY!$H$28))</f>
        <v>#DIV/0!</v>
      </c>
      <c r="BC22" s="286" t="s">
        <v>97</v>
      </c>
      <c r="BD22" s="287" t="e">
        <f>BD19/(BD17*EFFICIENCY!$H$28)</f>
        <v>#DIV/0!</v>
      </c>
      <c r="BE22" s="286" t="s">
        <v>97</v>
      </c>
      <c r="BF22" s="287" t="e">
        <f>BF19/(BF17*EFFICIENCY!$H$28)</f>
        <v>#DIV/0!</v>
      </c>
      <c r="BH22" s="300"/>
      <c r="BI22" s="339"/>
      <c r="BJ22" s="380"/>
      <c r="BK22" s="286" t="s">
        <v>97</v>
      </c>
      <c r="BL22" s="287" t="e">
        <f>BL19/((BL17*EFFICIENCY!$H$28))</f>
        <v>#DIV/0!</v>
      </c>
      <c r="BM22" s="286" t="s">
        <v>97</v>
      </c>
      <c r="BN22" s="287" t="e">
        <f>BN19/(BN17*EFFICIENCY!$H$28)</f>
        <v>#DIV/0!</v>
      </c>
      <c r="BO22" s="286" t="s">
        <v>97</v>
      </c>
      <c r="BP22" s="287" t="e">
        <f>BP19/(BP17*EFFICIENCY!$H$28)</f>
        <v>#DIV/0!</v>
      </c>
    </row>
    <row r="23" spans="2:68" ht="18.75">
      <c r="B23" s="278">
        <v>42478</v>
      </c>
      <c r="G23" s="150">
        <f t="shared" si="0"/>
        <v>0</v>
      </c>
      <c r="H23" s="150">
        <f t="shared" si="1"/>
        <v>0</v>
      </c>
      <c r="K23" s="339"/>
      <c r="L23" s="338"/>
      <c r="M23" s="280" t="s">
        <v>96</v>
      </c>
      <c r="N23" s="281" t="e">
        <f>N19/(N17*EFFICIENCY!$I$28)</f>
        <v>#DIV/0!</v>
      </c>
      <c r="O23" s="280" t="s">
        <v>96</v>
      </c>
      <c r="P23" s="281" t="e">
        <f>P19/(P17*EFFICIENCY!$I$28)</f>
        <v>#DIV/0!</v>
      </c>
      <c r="Q23" s="280" t="s">
        <v>96</v>
      </c>
      <c r="R23" s="281" t="e">
        <f>R19/(R17*EFFICIENCY!$I$28)</f>
        <v>#DIV/0!</v>
      </c>
      <c r="S23" s="296"/>
      <c r="T23" s="302"/>
      <c r="U23" s="339"/>
      <c r="V23" s="338"/>
      <c r="W23" s="280" t="s">
        <v>96</v>
      </c>
      <c r="X23" s="281" t="e">
        <f>X19/(X17*EFFICIENCY!$I$28)</f>
        <v>#DIV/0!</v>
      </c>
      <c r="Y23" s="280" t="s">
        <v>96</v>
      </c>
      <c r="Z23" s="281" t="e">
        <f>Z19/(Z17*EFFICIENCY!$I$28)</f>
        <v>#DIV/0!</v>
      </c>
      <c r="AA23" s="280" t="s">
        <v>96</v>
      </c>
      <c r="AB23" s="281" t="e">
        <f>AB19/(AB17*EFFICIENCY!$I$28)</f>
        <v>#DIV/0!</v>
      </c>
      <c r="AD23" s="300"/>
      <c r="AE23" s="339"/>
      <c r="AF23" s="338"/>
      <c r="AG23" s="280" t="s">
        <v>96</v>
      </c>
      <c r="AH23" s="281" t="e">
        <f>AH19/(AH17*EFFICIENCY!$I$28)</f>
        <v>#DIV/0!</v>
      </c>
      <c r="AI23" s="280" t="s">
        <v>96</v>
      </c>
      <c r="AJ23" s="281" t="e">
        <f>AJ19/(AJ17*EFFICIENCY!$I$28)</f>
        <v>#DIV/0!</v>
      </c>
      <c r="AK23" s="280" t="s">
        <v>96</v>
      </c>
      <c r="AL23" s="281" t="e">
        <f>AL19/(AL17*EFFICIENCY!$I$28)</f>
        <v>#DIV/0!</v>
      </c>
      <c r="AN23" s="300"/>
      <c r="AO23" s="339"/>
      <c r="AP23" s="338"/>
      <c r="AQ23" s="280" t="s">
        <v>96</v>
      </c>
      <c r="AR23" s="281" t="e">
        <f>AR19/(AR17*EFFICIENCY!$I$28)</f>
        <v>#DIV/0!</v>
      </c>
      <c r="AS23" s="280" t="s">
        <v>96</v>
      </c>
      <c r="AT23" s="281" t="e">
        <f>AT19/(AT17*EFFICIENCY!$I$28)</f>
        <v>#DIV/0!</v>
      </c>
      <c r="AU23" s="280" t="s">
        <v>96</v>
      </c>
      <c r="AV23" s="281" t="e">
        <f>AV19/(AV17*EFFICIENCY!$I$28)</f>
        <v>#DIV/0!</v>
      </c>
      <c r="AX23" s="300"/>
      <c r="AY23" s="339"/>
      <c r="AZ23" s="338"/>
      <c r="BA23" s="280" t="s">
        <v>96</v>
      </c>
      <c r="BB23" s="281" t="e">
        <f>BB19/(BB17*EFFICIENCY!$I$28)</f>
        <v>#DIV/0!</v>
      </c>
      <c r="BC23" s="280" t="s">
        <v>96</v>
      </c>
      <c r="BD23" s="281" t="e">
        <f>BD19/(BD17*EFFICIENCY!$I$28)</f>
        <v>#DIV/0!</v>
      </c>
      <c r="BE23" s="280" t="s">
        <v>96</v>
      </c>
      <c r="BF23" s="281" t="e">
        <f>BF19/(BF17*EFFICIENCY!$I$28)</f>
        <v>#DIV/0!</v>
      </c>
      <c r="BH23" s="300"/>
      <c r="BI23" s="339"/>
      <c r="BJ23" s="338"/>
      <c r="BK23" s="280" t="s">
        <v>96</v>
      </c>
      <c r="BL23" s="281" t="e">
        <f>BL19/(BL17*EFFICIENCY!$I$28)</f>
        <v>#DIV/0!</v>
      </c>
      <c r="BM23" s="280" t="s">
        <v>96</v>
      </c>
      <c r="BN23" s="281" t="e">
        <f>BN19/(BN17*EFFICIENCY!$I$28)</f>
        <v>#DIV/0!</v>
      </c>
      <c r="BO23" s="280" t="s">
        <v>96</v>
      </c>
      <c r="BP23" s="281" t="e">
        <f>BP19/(BP17*EFFICIENCY!$I$28)</f>
        <v>#DIV/0!</v>
      </c>
    </row>
    <row r="24" spans="2:68" ht="19.5" customHeight="1" thickBot="1">
      <c r="B24" s="278">
        <v>42479</v>
      </c>
      <c r="G24" s="150">
        <f t="shared" si="0"/>
        <v>0</v>
      </c>
      <c r="H24" s="150">
        <f t="shared" si="1"/>
        <v>0</v>
      </c>
      <c r="K24" s="694" t="s">
        <v>156</v>
      </c>
      <c r="L24" s="695"/>
      <c r="M24" s="284" t="s">
        <v>94</v>
      </c>
      <c r="N24" s="285" t="e">
        <f>N19/((N17*EFFICIENCY!$K$28))</f>
        <v>#DIV/0!</v>
      </c>
      <c r="O24" s="288" t="s">
        <v>94</v>
      </c>
      <c r="P24" s="285" t="e">
        <f>P19/((P17*EFFICIENCY!$K$28))</f>
        <v>#DIV/0!</v>
      </c>
      <c r="Q24" s="284" t="s">
        <v>94</v>
      </c>
      <c r="R24" s="285" t="e">
        <f>R19/((R17*EFFICIENCY!$K$28))</f>
        <v>#DIV/0!</v>
      </c>
      <c r="S24" s="297"/>
      <c r="T24" s="302"/>
      <c r="U24" s="694" t="s">
        <v>156</v>
      </c>
      <c r="V24" s="695"/>
      <c r="W24" s="284" t="s">
        <v>94</v>
      </c>
      <c r="X24" s="285" t="e">
        <f>X19/((X17*EFFICIENCY!$K$28))</f>
        <v>#DIV/0!</v>
      </c>
      <c r="Y24" s="288" t="s">
        <v>94</v>
      </c>
      <c r="Z24" s="285" t="e">
        <f>Z19/((Z17*EFFICIENCY!$K$28))</f>
        <v>#DIV/0!</v>
      </c>
      <c r="AA24" s="284" t="s">
        <v>94</v>
      </c>
      <c r="AB24" s="285" t="e">
        <f>AB19/((AB17*EFFICIENCY!$K$28))</f>
        <v>#DIV/0!</v>
      </c>
      <c r="AD24" s="300"/>
      <c r="AE24" s="694" t="s">
        <v>156</v>
      </c>
      <c r="AF24" s="695"/>
      <c r="AG24" s="284" t="s">
        <v>94</v>
      </c>
      <c r="AH24" s="285" t="e">
        <f>AH19/((AH17*EFFICIENCY!$K$28))</f>
        <v>#DIV/0!</v>
      </c>
      <c r="AI24" s="288" t="s">
        <v>94</v>
      </c>
      <c r="AJ24" s="285" t="e">
        <f>AJ19/((AJ17*EFFICIENCY!$K$28))</f>
        <v>#DIV/0!</v>
      </c>
      <c r="AK24" s="284" t="s">
        <v>94</v>
      </c>
      <c r="AL24" s="285" t="e">
        <f>AL19/((AL17*EFFICIENCY!$K$28))</f>
        <v>#DIV/0!</v>
      </c>
      <c r="AN24" s="300"/>
      <c r="AO24" s="694" t="s">
        <v>156</v>
      </c>
      <c r="AP24" s="695"/>
      <c r="AQ24" s="284" t="s">
        <v>94</v>
      </c>
      <c r="AR24" s="285" t="e">
        <f>AR19/((AR17*EFFICIENCY!$K$28))</f>
        <v>#DIV/0!</v>
      </c>
      <c r="AS24" s="288" t="s">
        <v>94</v>
      </c>
      <c r="AT24" s="285" t="e">
        <f>AT19/((AT17*EFFICIENCY!$K$28))</f>
        <v>#DIV/0!</v>
      </c>
      <c r="AU24" s="284" t="s">
        <v>94</v>
      </c>
      <c r="AV24" s="285" t="e">
        <f>AV19/((AV17*EFFICIENCY!$K$28))</f>
        <v>#DIV/0!</v>
      </c>
      <c r="AX24" s="300"/>
      <c r="AY24" s="694" t="s">
        <v>156</v>
      </c>
      <c r="AZ24" s="695"/>
      <c r="BA24" s="284" t="s">
        <v>94</v>
      </c>
      <c r="BB24" s="285" t="e">
        <f>BB19/((BB17*EFFICIENCY!$K$28))</f>
        <v>#DIV/0!</v>
      </c>
      <c r="BC24" s="288" t="s">
        <v>94</v>
      </c>
      <c r="BD24" s="285" t="e">
        <f>BD19/((BD17*EFFICIENCY!$K$28))</f>
        <v>#DIV/0!</v>
      </c>
      <c r="BE24" s="284" t="s">
        <v>94</v>
      </c>
      <c r="BF24" s="285" t="e">
        <f>BF19/((BF17*EFFICIENCY!$K$28))</f>
        <v>#DIV/0!</v>
      </c>
      <c r="BH24" s="300"/>
      <c r="BI24" s="694" t="s">
        <v>156</v>
      </c>
      <c r="BJ24" s="695"/>
      <c r="BK24" s="284" t="s">
        <v>94</v>
      </c>
      <c r="BL24" s="285" t="e">
        <f>BL19/((BL17*EFFICIENCY!$K$28))</f>
        <v>#DIV/0!</v>
      </c>
      <c r="BM24" s="288" t="s">
        <v>94</v>
      </c>
      <c r="BN24" s="285" t="e">
        <f>BN19/((BN17*EFFICIENCY!$K$28))</f>
        <v>#DIV/0!</v>
      </c>
      <c r="BO24" s="284" t="s">
        <v>94</v>
      </c>
      <c r="BP24" s="285" t="e">
        <f>BP19/((BP17*EFFICIENCY!$K$28))</f>
        <v>#DIV/0!</v>
      </c>
    </row>
    <row r="25" spans="2:68" ht="16.5" thickBot="1">
      <c r="B25" s="278">
        <v>42480</v>
      </c>
      <c r="G25" s="150">
        <f t="shared" si="0"/>
        <v>0</v>
      </c>
      <c r="H25" s="150">
        <f t="shared" si="1"/>
        <v>0</v>
      </c>
      <c r="K25" s="381"/>
      <c r="L25" s="382" t="e">
        <f>R19/R17</f>
        <v>#DIV/0!</v>
      </c>
      <c r="M25" s="661" t="s">
        <v>153</v>
      </c>
      <c r="N25" s="662"/>
      <c r="O25" s="290"/>
      <c r="P25" s="353"/>
      <c r="Q25" s="353" t="s">
        <v>154</v>
      </c>
      <c r="R25" s="354">
        <f>O25-R19</f>
        <v>0</v>
      </c>
      <c r="S25" s="298"/>
      <c r="T25" s="300"/>
      <c r="U25" s="381"/>
      <c r="V25" s="382" t="e">
        <f>AB19/AB17</f>
        <v>#DIV/0!</v>
      </c>
      <c r="W25" s="661" t="s">
        <v>153</v>
      </c>
      <c r="X25" s="662"/>
      <c r="Y25" s="290"/>
      <c r="Z25" s="353"/>
      <c r="AA25" s="353" t="s">
        <v>154</v>
      </c>
      <c r="AB25" s="354">
        <f>Y25-AB19</f>
        <v>0</v>
      </c>
      <c r="AD25" s="300"/>
      <c r="AE25" s="381"/>
      <c r="AF25" s="382" t="e">
        <f>AL19/AL17</f>
        <v>#DIV/0!</v>
      </c>
      <c r="AG25" s="661" t="s">
        <v>153</v>
      </c>
      <c r="AH25" s="662"/>
      <c r="AI25" s="290"/>
      <c r="AJ25" s="353"/>
      <c r="AK25" s="353" t="s">
        <v>154</v>
      </c>
      <c r="AL25" s="354">
        <f>AI25-AL19</f>
        <v>0</v>
      </c>
      <c r="AN25" s="300"/>
      <c r="AO25" s="381"/>
      <c r="AP25" s="382" t="e">
        <f>AV19/AV17</f>
        <v>#DIV/0!</v>
      </c>
      <c r="AQ25" s="661" t="s">
        <v>153</v>
      </c>
      <c r="AR25" s="662"/>
      <c r="AS25" s="290"/>
      <c r="AT25" s="353"/>
      <c r="AU25" s="353" t="s">
        <v>154</v>
      </c>
      <c r="AV25" s="354">
        <f>AS25-AV19</f>
        <v>0</v>
      </c>
      <c r="AX25" s="300"/>
      <c r="AY25" s="381"/>
      <c r="AZ25" s="382" t="e">
        <f>BF19/BF17</f>
        <v>#DIV/0!</v>
      </c>
      <c r="BA25" s="661" t="s">
        <v>153</v>
      </c>
      <c r="BB25" s="662"/>
      <c r="BC25" s="290"/>
      <c r="BD25" s="353"/>
      <c r="BE25" s="353" t="s">
        <v>154</v>
      </c>
      <c r="BF25" s="354">
        <f>BC25-BF19</f>
        <v>0</v>
      </c>
      <c r="BH25" s="300"/>
      <c r="BI25" s="381"/>
      <c r="BJ25" s="382" t="e">
        <f>BP19/BP17</f>
        <v>#DIV/0!</v>
      </c>
      <c r="BK25" s="661" t="s">
        <v>153</v>
      </c>
      <c r="BL25" s="662"/>
      <c r="BM25" s="290"/>
      <c r="BN25" s="353"/>
      <c r="BO25" s="353" t="s">
        <v>154</v>
      </c>
      <c r="BP25" s="354">
        <f>BM25-BP19</f>
        <v>0</v>
      </c>
    </row>
    <row r="26" spans="2:68">
      <c r="B26" s="278">
        <v>42481</v>
      </c>
      <c r="G26" s="150">
        <f t="shared" si="0"/>
        <v>0</v>
      </c>
      <c r="H26" s="150">
        <f t="shared" si="1"/>
        <v>0</v>
      </c>
      <c r="T26" s="300"/>
      <c r="AD26" s="300"/>
      <c r="AN26" s="300"/>
      <c r="AX26" s="300"/>
      <c r="BH26" s="300"/>
    </row>
    <row r="27" spans="2:68" ht="13.5" thickBot="1">
      <c r="B27" s="278">
        <v>42482</v>
      </c>
      <c r="G27" s="150">
        <f t="shared" si="0"/>
        <v>0</v>
      </c>
      <c r="H27" s="150">
        <f t="shared" si="1"/>
        <v>0</v>
      </c>
      <c r="J27" s="291"/>
      <c r="K27" s="291"/>
      <c r="L27" s="291"/>
      <c r="M27" s="291"/>
      <c r="N27" s="291"/>
      <c r="O27" s="291"/>
      <c r="P27" s="291"/>
      <c r="Q27" s="291"/>
      <c r="R27" s="291"/>
      <c r="S27" s="299"/>
      <c r="T27" s="301"/>
      <c r="U27" s="291"/>
      <c r="V27" s="291"/>
      <c r="W27" s="291"/>
      <c r="X27" s="291"/>
      <c r="Y27" s="291"/>
      <c r="Z27" s="291"/>
      <c r="AA27" s="291"/>
      <c r="AB27" s="291"/>
      <c r="AC27" s="291"/>
      <c r="AD27" s="301"/>
      <c r="AE27" s="291"/>
      <c r="AF27" s="291"/>
      <c r="AG27" s="291"/>
      <c r="AH27" s="291"/>
      <c r="AI27" s="291"/>
      <c r="AJ27" s="291"/>
      <c r="AK27" s="291"/>
      <c r="AL27" s="291"/>
      <c r="AM27" s="291"/>
      <c r="AN27" s="301"/>
      <c r="AO27" s="291"/>
      <c r="AP27" s="291"/>
      <c r="AQ27" s="291"/>
      <c r="AR27" s="291"/>
      <c r="AS27" s="291"/>
      <c r="AT27" s="291"/>
      <c r="AU27" s="291"/>
      <c r="AV27" s="291"/>
      <c r="AW27" s="291"/>
      <c r="AX27" s="301"/>
      <c r="AY27" s="291"/>
      <c r="AZ27" s="291"/>
      <c r="BA27" s="291"/>
      <c r="BB27" s="291"/>
      <c r="BC27" s="291"/>
      <c r="BD27" s="291"/>
      <c r="BE27" s="291"/>
      <c r="BF27" s="291"/>
      <c r="BG27" s="291"/>
      <c r="BH27" s="301"/>
      <c r="BI27" s="291"/>
      <c r="BJ27" s="291"/>
      <c r="BK27" s="291"/>
      <c r="BL27" s="291"/>
      <c r="BM27" s="291"/>
      <c r="BN27" s="291"/>
      <c r="BO27" s="291"/>
      <c r="BP27" s="291"/>
    </row>
    <row r="28" spans="2:68" ht="15.75" thickBot="1">
      <c r="B28" s="278">
        <v>42483</v>
      </c>
      <c r="G28" s="150">
        <f t="shared" si="0"/>
        <v>0</v>
      </c>
      <c r="H28" s="150">
        <f t="shared" si="1"/>
        <v>0</v>
      </c>
      <c r="J28" s="154"/>
      <c r="K28" s="383" t="s">
        <v>7</v>
      </c>
      <c r="L28" s="534">
        <f>B16</f>
        <v>42471</v>
      </c>
      <c r="M28" s="680" t="s">
        <v>100</v>
      </c>
      <c r="N28" s="681"/>
      <c r="O28" s="682" t="s">
        <v>99</v>
      </c>
      <c r="P28" s="683"/>
      <c r="Q28" s="684" t="s">
        <v>16</v>
      </c>
      <c r="R28" s="685"/>
      <c r="S28" s="293"/>
      <c r="T28" s="300"/>
      <c r="U28" s="383" t="s">
        <v>7</v>
      </c>
      <c r="V28" s="534">
        <f>B17</f>
        <v>42472</v>
      </c>
      <c r="W28" s="680" t="s">
        <v>100</v>
      </c>
      <c r="X28" s="681"/>
      <c r="Y28" s="682" t="s">
        <v>99</v>
      </c>
      <c r="Z28" s="683"/>
      <c r="AA28" s="684" t="s">
        <v>16</v>
      </c>
      <c r="AB28" s="685"/>
      <c r="AC28" s="154"/>
      <c r="AD28" s="300"/>
      <c r="AE28" s="383" t="s">
        <v>7</v>
      </c>
      <c r="AF28" s="534">
        <f>B18</f>
        <v>42473</v>
      </c>
      <c r="AG28" s="680" t="s">
        <v>100</v>
      </c>
      <c r="AH28" s="681"/>
      <c r="AI28" s="682" t="s">
        <v>99</v>
      </c>
      <c r="AJ28" s="683"/>
      <c r="AK28" s="684" t="s">
        <v>16</v>
      </c>
      <c r="AL28" s="685"/>
      <c r="AM28" s="154"/>
      <c r="AN28" s="300"/>
      <c r="AO28" s="383" t="s">
        <v>7</v>
      </c>
      <c r="AP28" s="534">
        <f>B19</f>
        <v>42474</v>
      </c>
      <c r="AQ28" s="680" t="s">
        <v>100</v>
      </c>
      <c r="AR28" s="681"/>
      <c r="AS28" s="682" t="s">
        <v>99</v>
      </c>
      <c r="AT28" s="683"/>
      <c r="AU28" s="684" t="s">
        <v>16</v>
      </c>
      <c r="AV28" s="685"/>
      <c r="AW28" s="154"/>
      <c r="AX28" s="300"/>
      <c r="AY28" s="383" t="s">
        <v>7</v>
      </c>
      <c r="AZ28" s="534">
        <f>B20</f>
        <v>42475</v>
      </c>
      <c r="BA28" s="680" t="s">
        <v>100</v>
      </c>
      <c r="BB28" s="681"/>
      <c r="BC28" s="682" t="s">
        <v>99</v>
      </c>
      <c r="BD28" s="683"/>
      <c r="BE28" s="684" t="s">
        <v>16</v>
      </c>
      <c r="BF28" s="685"/>
      <c r="BG28" s="154"/>
      <c r="BH28" s="300"/>
      <c r="BI28" s="383" t="s">
        <v>7</v>
      </c>
      <c r="BJ28" s="534">
        <f>B21</f>
        <v>42476</v>
      </c>
      <c r="BK28" s="680" t="s">
        <v>100</v>
      </c>
      <c r="BL28" s="681"/>
      <c r="BM28" s="682" t="s">
        <v>99</v>
      </c>
      <c r="BN28" s="683"/>
      <c r="BO28" s="684" t="s">
        <v>16</v>
      </c>
      <c r="BP28" s="685"/>
    </row>
    <row r="29" spans="2:68" ht="13.5" thickBot="1">
      <c r="B29" s="278">
        <v>42484</v>
      </c>
      <c r="G29" s="150">
        <f t="shared" si="0"/>
        <v>0</v>
      </c>
      <c r="H29" s="150">
        <f t="shared" si="1"/>
        <v>0</v>
      </c>
      <c r="K29" s="304"/>
      <c r="L29" s="303"/>
      <c r="M29" s="304"/>
      <c r="N29" s="305"/>
      <c r="O29" s="304"/>
      <c r="P29" s="305"/>
      <c r="Q29" s="303"/>
      <c r="R29" s="305"/>
      <c r="S29" s="156"/>
      <c r="T29" s="300"/>
      <c r="U29" s="304"/>
      <c r="V29" s="303"/>
      <c r="W29" s="304"/>
      <c r="X29" s="305"/>
      <c r="Y29" s="304"/>
      <c r="Z29" s="305"/>
      <c r="AA29" s="303"/>
      <c r="AB29" s="305"/>
      <c r="AD29" s="300"/>
      <c r="AE29" s="304"/>
      <c r="AF29" s="303"/>
      <c r="AG29" s="304"/>
      <c r="AH29" s="305"/>
      <c r="AI29" s="304"/>
      <c r="AJ29" s="305"/>
      <c r="AK29" s="303"/>
      <c r="AL29" s="305"/>
      <c r="AN29" s="300"/>
      <c r="AO29" s="304"/>
      <c r="AP29" s="303"/>
      <c r="AQ29" s="304"/>
      <c r="AR29" s="305"/>
      <c r="AS29" s="304"/>
      <c r="AT29" s="305"/>
      <c r="AU29" s="303"/>
      <c r="AV29" s="305"/>
      <c r="AX29" s="300"/>
      <c r="AY29" s="304"/>
      <c r="AZ29" s="303"/>
      <c r="BA29" s="304"/>
      <c r="BB29" s="305"/>
      <c r="BC29" s="304"/>
      <c r="BD29" s="305"/>
      <c r="BE29" s="303"/>
      <c r="BF29" s="305"/>
      <c r="BH29" s="300"/>
      <c r="BI29" s="304"/>
      <c r="BJ29" s="303"/>
      <c r="BK29" s="304"/>
      <c r="BL29" s="305"/>
      <c r="BM29" s="304"/>
      <c r="BN29" s="305"/>
      <c r="BO29" s="303"/>
      <c r="BP29" s="305"/>
    </row>
    <row r="30" spans="2:68" ht="16.5" thickBot="1">
      <c r="B30" s="278">
        <v>42485</v>
      </c>
      <c r="G30" s="150">
        <f t="shared" si="0"/>
        <v>0</v>
      </c>
      <c r="H30" s="150">
        <f t="shared" si="1"/>
        <v>0</v>
      </c>
      <c r="K30" s="304"/>
      <c r="L30" s="306" t="s">
        <v>155</v>
      </c>
      <c r="M30" s="307" t="s">
        <v>103</v>
      </c>
      <c r="N30" s="279"/>
      <c r="O30" s="307" t="s">
        <v>103</v>
      </c>
      <c r="P30" s="279"/>
      <c r="Q30" s="308" t="s">
        <v>103</v>
      </c>
      <c r="R30" s="309">
        <f>SUM(N30,P30)</f>
        <v>0</v>
      </c>
      <c r="S30" s="294"/>
      <c r="T30" s="300"/>
      <c r="U30" s="304"/>
      <c r="V30" s="306" t="s">
        <v>155</v>
      </c>
      <c r="W30" s="307" t="s">
        <v>103</v>
      </c>
      <c r="X30" s="279"/>
      <c r="Y30" s="307" t="s">
        <v>103</v>
      </c>
      <c r="Z30" s="279"/>
      <c r="AA30" s="308" t="s">
        <v>103</v>
      </c>
      <c r="AB30" s="309">
        <f>SUM(X30,Z30)</f>
        <v>0</v>
      </c>
      <c r="AD30" s="300"/>
      <c r="AE30" s="304"/>
      <c r="AF30" s="306" t="s">
        <v>155</v>
      </c>
      <c r="AG30" s="307" t="s">
        <v>103</v>
      </c>
      <c r="AH30" s="279"/>
      <c r="AI30" s="307" t="s">
        <v>103</v>
      </c>
      <c r="AJ30" s="279"/>
      <c r="AK30" s="308" t="s">
        <v>103</v>
      </c>
      <c r="AL30" s="309">
        <f>SUM(AH30,AJ30)</f>
        <v>0</v>
      </c>
      <c r="AN30" s="300"/>
      <c r="AO30" s="304"/>
      <c r="AP30" s="306" t="s">
        <v>155</v>
      </c>
      <c r="AQ30" s="307" t="s">
        <v>103</v>
      </c>
      <c r="AR30" s="279"/>
      <c r="AS30" s="307" t="s">
        <v>103</v>
      </c>
      <c r="AT30" s="279"/>
      <c r="AU30" s="308" t="s">
        <v>103</v>
      </c>
      <c r="AV30" s="309">
        <f>SUM(AR30,AT30)</f>
        <v>0</v>
      </c>
      <c r="AX30" s="300"/>
      <c r="AY30" s="304"/>
      <c r="AZ30" s="306" t="s">
        <v>155</v>
      </c>
      <c r="BA30" s="307" t="s">
        <v>103</v>
      </c>
      <c r="BB30" s="279"/>
      <c r="BC30" s="307" t="s">
        <v>103</v>
      </c>
      <c r="BD30" s="279"/>
      <c r="BE30" s="308" t="s">
        <v>103</v>
      </c>
      <c r="BF30" s="309">
        <f>SUM(BB30,BD30)</f>
        <v>0</v>
      </c>
      <c r="BH30" s="300"/>
      <c r="BI30" s="304"/>
      <c r="BJ30" s="306" t="s">
        <v>155</v>
      </c>
      <c r="BK30" s="307" t="s">
        <v>103</v>
      </c>
      <c r="BL30" s="279"/>
      <c r="BM30" s="307" t="s">
        <v>103</v>
      </c>
      <c r="BN30" s="279"/>
      <c r="BO30" s="308" t="s">
        <v>103</v>
      </c>
      <c r="BP30" s="309">
        <f>SUM(BL30,BN30)</f>
        <v>0</v>
      </c>
    </row>
    <row r="31" spans="2:68" ht="18.75" thickBot="1">
      <c r="B31" s="278">
        <v>42486</v>
      </c>
      <c r="G31" s="150">
        <f t="shared" si="0"/>
        <v>0</v>
      </c>
      <c r="H31" s="150">
        <f t="shared" si="1"/>
        <v>0</v>
      </c>
      <c r="K31" s="304"/>
      <c r="L31" s="289">
        <v>8</v>
      </c>
      <c r="M31" s="310" t="s">
        <v>5</v>
      </c>
      <c r="N31" s="311">
        <f>VLOOKUP(L28, $B$3:$E$109, 4, FALSE)</f>
        <v>0</v>
      </c>
      <c r="O31" s="310" t="s">
        <v>5</v>
      </c>
      <c r="P31" s="312">
        <f>VLOOKUP(L28, $B$3:$F$109, 5, FALSE)</f>
        <v>0</v>
      </c>
      <c r="Q31" s="313" t="s">
        <v>5</v>
      </c>
      <c r="R31" s="309">
        <f>SUM(N31,P31)</f>
        <v>0</v>
      </c>
      <c r="S31" s="294"/>
      <c r="T31" s="300"/>
      <c r="U31" s="304"/>
      <c r="V31" s="289">
        <v>8</v>
      </c>
      <c r="W31" s="310" t="s">
        <v>5</v>
      </c>
      <c r="X31" s="311">
        <f>VLOOKUP(V28, $B$3:$E$109, 4, FALSE)</f>
        <v>0</v>
      </c>
      <c r="Y31" s="310" t="s">
        <v>5</v>
      </c>
      <c r="Z31" s="312">
        <f>VLOOKUP(V28, $B$3:$F$109, 5, FALSE)</f>
        <v>0</v>
      </c>
      <c r="AA31" s="313" t="s">
        <v>5</v>
      </c>
      <c r="AB31" s="309">
        <f>SUM(X31,Z31)</f>
        <v>0</v>
      </c>
      <c r="AD31" s="300"/>
      <c r="AE31" s="304"/>
      <c r="AF31" s="289">
        <v>8</v>
      </c>
      <c r="AG31" s="310" t="s">
        <v>5</v>
      </c>
      <c r="AH31" s="311">
        <f>VLOOKUP(AF28, $B$3:$E$109, 4, FALSE)</f>
        <v>0</v>
      </c>
      <c r="AI31" s="310" t="s">
        <v>5</v>
      </c>
      <c r="AJ31" s="312">
        <f>VLOOKUP(AF28, $B$3:$F$109, 5, FALSE)</f>
        <v>0</v>
      </c>
      <c r="AK31" s="313" t="s">
        <v>5</v>
      </c>
      <c r="AL31" s="309">
        <f>SUM(AH31,AJ31)</f>
        <v>0</v>
      </c>
      <c r="AN31" s="300"/>
      <c r="AO31" s="304"/>
      <c r="AP31" s="289">
        <v>8</v>
      </c>
      <c r="AQ31" s="310" t="s">
        <v>5</v>
      </c>
      <c r="AR31" s="311">
        <f>VLOOKUP(AP28, $B$3:$E$109, 4, FALSE)</f>
        <v>0</v>
      </c>
      <c r="AS31" s="310" t="s">
        <v>5</v>
      </c>
      <c r="AT31" s="312">
        <f>VLOOKUP(AP28, $B$3:$F$109, 5, FALSE)</f>
        <v>0</v>
      </c>
      <c r="AU31" s="313" t="s">
        <v>5</v>
      </c>
      <c r="AV31" s="309">
        <f>SUM(AR31,AT31)</f>
        <v>0</v>
      </c>
      <c r="AX31" s="300"/>
      <c r="AY31" s="304"/>
      <c r="AZ31" s="289">
        <v>8</v>
      </c>
      <c r="BA31" s="310" t="s">
        <v>5</v>
      </c>
      <c r="BB31" s="311">
        <f>VLOOKUP(AZ28, $B$3:$E$109, 4, FALSE)</f>
        <v>0</v>
      </c>
      <c r="BC31" s="310" t="s">
        <v>5</v>
      </c>
      <c r="BD31" s="312">
        <f>VLOOKUP(AZ28, $B$3:$F$109, 5, FALSE)</f>
        <v>0</v>
      </c>
      <c r="BE31" s="313" t="s">
        <v>5</v>
      </c>
      <c r="BF31" s="309">
        <f>SUM(BB31,BD31)</f>
        <v>0</v>
      </c>
      <c r="BH31" s="300"/>
      <c r="BI31" s="304"/>
      <c r="BJ31" s="289">
        <v>8</v>
      </c>
      <c r="BK31" s="310" t="s">
        <v>5</v>
      </c>
      <c r="BL31" s="311">
        <f>VLOOKUP(BJ28, $B$3:$E$109, 4, FALSE)</f>
        <v>0</v>
      </c>
      <c r="BM31" s="310" t="s">
        <v>5</v>
      </c>
      <c r="BN31" s="312">
        <f>VLOOKUP(BJ28, $B$3:$F$109, 5, FALSE)</f>
        <v>0</v>
      </c>
      <c r="BO31" s="313" t="s">
        <v>5</v>
      </c>
      <c r="BP31" s="309">
        <f>SUM(BL31,BN31)</f>
        <v>0</v>
      </c>
    </row>
    <row r="32" spans="2:68" ht="15.75" customHeight="1">
      <c r="B32" s="278">
        <v>42487</v>
      </c>
      <c r="G32" s="150">
        <f t="shared" si="0"/>
        <v>0</v>
      </c>
      <c r="H32" s="150">
        <f t="shared" si="1"/>
        <v>0</v>
      </c>
      <c r="K32" s="304"/>
      <c r="L32" s="303"/>
      <c r="M32" s="659" t="s">
        <v>105</v>
      </c>
      <c r="N32" s="311">
        <f>VLOOKUP(L28, $B$3:$E$109, 2, FALSE)</f>
        <v>0</v>
      </c>
      <c r="O32" s="659" t="s">
        <v>105</v>
      </c>
      <c r="P32" s="312">
        <f>VLOOKUP(L28, $B$3:$E$109, 3, FALSE)</f>
        <v>0</v>
      </c>
      <c r="Q32" s="660" t="s">
        <v>105</v>
      </c>
      <c r="R32" s="309">
        <f>SUM(N32,P32)</f>
        <v>0</v>
      </c>
      <c r="S32" s="294"/>
      <c r="T32" s="300"/>
      <c r="U32" s="304"/>
      <c r="V32" s="303"/>
      <c r="W32" s="659" t="s">
        <v>105</v>
      </c>
      <c r="X32" s="311">
        <f>VLOOKUP(V28, $B$3:$E$109, 2, FALSE)</f>
        <v>0</v>
      </c>
      <c r="Y32" s="659" t="s">
        <v>105</v>
      </c>
      <c r="Z32" s="312">
        <f>VLOOKUP(V28, $B$3:$E$109, 3, FALSE)</f>
        <v>0</v>
      </c>
      <c r="AA32" s="660" t="s">
        <v>105</v>
      </c>
      <c r="AB32" s="309">
        <f>SUM(X32,Z32)</f>
        <v>0</v>
      </c>
      <c r="AD32" s="300"/>
      <c r="AE32" s="304"/>
      <c r="AF32" s="303"/>
      <c r="AG32" s="659" t="s">
        <v>105</v>
      </c>
      <c r="AH32" s="311">
        <f>VLOOKUP(AF28, $B$3:$E$109, 2, FALSE)</f>
        <v>0</v>
      </c>
      <c r="AI32" s="659" t="s">
        <v>105</v>
      </c>
      <c r="AJ32" s="312">
        <f>VLOOKUP(AF28, $B$3:$E$109, 3, FALSE)</f>
        <v>0</v>
      </c>
      <c r="AK32" s="660" t="s">
        <v>105</v>
      </c>
      <c r="AL32" s="309">
        <f>SUM(AH32,AJ32)</f>
        <v>0</v>
      </c>
      <c r="AN32" s="300"/>
      <c r="AO32" s="304"/>
      <c r="AP32" s="303"/>
      <c r="AQ32" s="659" t="s">
        <v>105</v>
      </c>
      <c r="AR32" s="311">
        <f>VLOOKUP(AP28, $B$3:$E$109, 2, FALSE)</f>
        <v>0</v>
      </c>
      <c r="AS32" s="659" t="s">
        <v>105</v>
      </c>
      <c r="AT32" s="312">
        <f>VLOOKUP(AP28, $B$3:$E$109, 3, FALSE)</f>
        <v>0</v>
      </c>
      <c r="AU32" s="660" t="s">
        <v>105</v>
      </c>
      <c r="AV32" s="309">
        <f>SUM(AR32,AT32)</f>
        <v>0</v>
      </c>
      <c r="AX32" s="300"/>
      <c r="AY32" s="304"/>
      <c r="AZ32" s="303"/>
      <c r="BA32" s="659" t="s">
        <v>105</v>
      </c>
      <c r="BB32" s="311">
        <f>VLOOKUP(AZ28, $B$3:$E$109, 2, FALSE)</f>
        <v>0</v>
      </c>
      <c r="BC32" s="659" t="s">
        <v>105</v>
      </c>
      <c r="BD32" s="312">
        <f>VLOOKUP(AZ28, $B$3:$E$109, 3, FALSE)</f>
        <v>0</v>
      </c>
      <c r="BE32" s="660" t="s">
        <v>105</v>
      </c>
      <c r="BF32" s="309">
        <f>SUM(BB32,BD32)</f>
        <v>0</v>
      </c>
      <c r="BH32" s="300"/>
      <c r="BI32" s="304"/>
      <c r="BJ32" s="303"/>
      <c r="BK32" s="659" t="s">
        <v>105</v>
      </c>
      <c r="BL32" s="311">
        <f>VLOOKUP(BJ28, $B$3:$E$109, 2, FALSE)</f>
        <v>0</v>
      </c>
      <c r="BM32" s="659" t="s">
        <v>105</v>
      </c>
      <c r="BN32" s="312">
        <f>VLOOKUP(BJ28, $B$3:$E$109, 3, FALSE)</f>
        <v>0</v>
      </c>
      <c r="BO32" s="660" t="s">
        <v>105</v>
      </c>
      <c r="BP32" s="309">
        <f>SUM(BL32,BN32)</f>
        <v>0</v>
      </c>
    </row>
    <row r="33" spans="2:68" ht="12.75" customHeight="1">
      <c r="B33" s="278">
        <v>42488</v>
      </c>
      <c r="G33" s="150">
        <f t="shared" si="0"/>
        <v>0</v>
      </c>
      <c r="H33" s="150">
        <f t="shared" si="1"/>
        <v>0</v>
      </c>
      <c r="K33" s="700" t="s">
        <v>157</v>
      </c>
      <c r="L33" s="701"/>
      <c r="M33" s="660"/>
      <c r="N33" s="305"/>
      <c r="O33" s="659"/>
      <c r="P33" s="305"/>
      <c r="Q33" s="660"/>
      <c r="R33" s="305"/>
      <c r="S33" s="156"/>
      <c r="T33" s="300"/>
      <c r="U33" s="700" t="s">
        <v>157</v>
      </c>
      <c r="V33" s="701"/>
      <c r="W33" s="660"/>
      <c r="X33" s="305"/>
      <c r="Y33" s="659"/>
      <c r="Z33" s="305"/>
      <c r="AA33" s="660"/>
      <c r="AB33" s="305"/>
      <c r="AD33" s="300"/>
      <c r="AE33" s="700" t="s">
        <v>157</v>
      </c>
      <c r="AF33" s="701"/>
      <c r="AG33" s="660"/>
      <c r="AH33" s="305"/>
      <c r="AI33" s="659"/>
      <c r="AJ33" s="305"/>
      <c r="AK33" s="660"/>
      <c r="AL33" s="305"/>
      <c r="AN33" s="300"/>
      <c r="AO33" s="700" t="s">
        <v>157</v>
      </c>
      <c r="AP33" s="701"/>
      <c r="AQ33" s="660"/>
      <c r="AR33" s="305"/>
      <c r="AS33" s="659"/>
      <c r="AT33" s="305"/>
      <c r="AU33" s="660"/>
      <c r="AV33" s="305"/>
      <c r="AX33" s="300"/>
      <c r="AY33" s="700" t="s">
        <v>157</v>
      </c>
      <c r="AZ33" s="701"/>
      <c r="BA33" s="660"/>
      <c r="BB33" s="305"/>
      <c r="BC33" s="659"/>
      <c r="BD33" s="305"/>
      <c r="BE33" s="660"/>
      <c r="BF33" s="305"/>
      <c r="BH33" s="300"/>
      <c r="BI33" s="700" t="s">
        <v>157</v>
      </c>
      <c r="BJ33" s="701"/>
      <c r="BK33" s="660"/>
      <c r="BL33" s="305"/>
      <c r="BM33" s="659"/>
      <c r="BN33" s="305"/>
      <c r="BO33" s="660"/>
      <c r="BP33" s="305"/>
    </row>
    <row r="34" spans="2:68" ht="15.75">
      <c r="B34" s="278">
        <v>42489</v>
      </c>
      <c r="G34" s="150">
        <f t="shared" si="0"/>
        <v>0</v>
      </c>
      <c r="H34" s="150">
        <f t="shared" si="1"/>
        <v>0</v>
      </c>
      <c r="K34" s="384"/>
      <c r="L34" s="314">
        <f>R30*13</f>
        <v>0</v>
      </c>
      <c r="M34" s="315"/>
      <c r="N34" s="305"/>
      <c r="O34" s="316"/>
      <c r="P34" s="305"/>
      <c r="Q34" s="317"/>
      <c r="R34" s="305"/>
      <c r="S34" s="156"/>
      <c r="T34" s="300"/>
      <c r="U34" s="384"/>
      <c r="V34" s="314">
        <f>AB30*13</f>
        <v>0</v>
      </c>
      <c r="W34" s="315"/>
      <c r="X34" s="305"/>
      <c r="Y34" s="316"/>
      <c r="Z34" s="305"/>
      <c r="AA34" s="317"/>
      <c r="AB34" s="305"/>
      <c r="AD34" s="300"/>
      <c r="AE34" s="384"/>
      <c r="AF34" s="314">
        <f>AL30*13</f>
        <v>0</v>
      </c>
      <c r="AG34" s="315"/>
      <c r="AH34" s="305"/>
      <c r="AI34" s="316"/>
      <c r="AJ34" s="305"/>
      <c r="AK34" s="317"/>
      <c r="AL34" s="305"/>
      <c r="AN34" s="300"/>
      <c r="AO34" s="384"/>
      <c r="AP34" s="314">
        <f>AV30*13</f>
        <v>0</v>
      </c>
      <c r="AQ34" s="315"/>
      <c r="AR34" s="305"/>
      <c r="AS34" s="316"/>
      <c r="AT34" s="305"/>
      <c r="AU34" s="317"/>
      <c r="AV34" s="305"/>
      <c r="AX34" s="300"/>
      <c r="AY34" s="384"/>
      <c r="AZ34" s="314">
        <f>BF30*13</f>
        <v>0</v>
      </c>
      <c r="BA34" s="315"/>
      <c r="BB34" s="305"/>
      <c r="BC34" s="316"/>
      <c r="BD34" s="305"/>
      <c r="BE34" s="317"/>
      <c r="BF34" s="305"/>
      <c r="BH34" s="300"/>
      <c r="BI34" s="384"/>
      <c r="BJ34" s="314">
        <f>BP30*13</f>
        <v>0</v>
      </c>
      <c r="BK34" s="315"/>
      <c r="BL34" s="305"/>
      <c r="BM34" s="316"/>
      <c r="BN34" s="305"/>
      <c r="BO34" s="317"/>
      <c r="BP34" s="305"/>
    </row>
    <row r="35" spans="2:68" ht="18.75">
      <c r="B35" s="278">
        <v>42490</v>
      </c>
      <c r="G35" s="150">
        <f t="shared" si="0"/>
        <v>0</v>
      </c>
      <c r="H35" s="150">
        <f t="shared" si="1"/>
        <v>0</v>
      </c>
      <c r="K35" s="304"/>
      <c r="L35" s="385"/>
      <c r="M35" s="286" t="s">
        <v>97</v>
      </c>
      <c r="N35" s="287" t="e">
        <f>N32/((N30*EFFICIENCY!$H$28))</f>
        <v>#DIV/0!</v>
      </c>
      <c r="O35" s="286" t="s">
        <v>97</v>
      </c>
      <c r="P35" s="287" t="e">
        <f>P32/(P30*EFFICIENCY!$H$28)</f>
        <v>#DIV/0!</v>
      </c>
      <c r="Q35" s="286" t="s">
        <v>97</v>
      </c>
      <c r="R35" s="287" t="e">
        <f>R32/(R30*EFFICIENCY!$H$28)</f>
        <v>#DIV/0!</v>
      </c>
      <c r="S35" s="295"/>
      <c r="T35" s="300"/>
      <c r="U35" s="304"/>
      <c r="V35" s="385"/>
      <c r="W35" s="286" t="s">
        <v>97</v>
      </c>
      <c r="X35" s="287" t="e">
        <f>X32/((X30*EFFICIENCY!$H$28))</f>
        <v>#DIV/0!</v>
      </c>
      <c r="Y35" s="286" t="s">
        <v>97</v>
      </c>
      <c r="Z35" s="287" t="e">
        <f>Z32/(Z30*EFFICIENCY!$H$28)</f>
        <v>#DIV/0!</v>
      </c>
      <c r="AA35" s="286" t="s">
        <v>97</v>
      </c>
      <c r="AB35" s="287" t="e">
        <f>AB32/(AB30*EFFICIENCY!$H$28)</f>
        <v>#DIV/0!</v>
      </c>
      <c r="AD35" s="300"/>
      <c r="AE35" s="304"/>
      <c r="AF35" s="385"/>
      <c r="AG35" s="286" t="s">
        <v>97</v>
      </c>
      <c r="AH35" s="287" t="e">
        <f>AH32/((AH30*EFFICIENCY!$H$28))</f>
        <v>#DIV/0!</v>
      </c>
      <c r="AI35" s="286" t="s">
        <v>97</v>
      </c>
      <c r="AJ35" s="287" t="e">
        <f>AJ32/(AJ30*EFFICIENCY!$H$28)</f>
        <v>#DIV/0!</v>
      </c>
      <c r="AK35" s="286" t="s">
        <v>97</v>
      </c>
      <c r="AL35" s="287" t="e">
        <f>AL32/(AL30*EFFICIENCY!$H$28)</f>
        <v>#DIV/0!</v>
      </c>
      <c r="AN35" s="300"/>
      <c r="AO35" s="304"/>
      <c r="AP35" s="385"/>
      <c r="AQ35" s="286" t="s">
        <v>97</v>
      </c>
      <c r="AR35" s="287" t="e">
        <f>AR32/((AR30*EFFICIENCY!$H$28))</f>
        <v>#DIV/0!</v>
      </c>
      <c r="AS35" s="286" t="s">
        <v>97</v>
      </c>
      <c r="AT35" s="287" t="e">
        <f>AT32/(AT30*EFFICIENCY!$H$28)</f>
        <v>#DIV/0!</v>
      </c>
      <c r="AU35" s="286" t="s">
        <v>97</v>
      </c>
      <c r="AV35" s="287" t="e">
        <f>AV32/(AV30*EFFICIENCY!$H$28)</f>
        <v>#DIV/0!</v>
      </c>
      <c r="AX35" s="300"/>
      <c r="AY35" s="304"/>
      <c r="AZ35" s="385"/>
      <c r="BA35" s="286" t="s">
        <v>97</v>
      </c>
      <c r="BB35" s="287" t="e">
        <f>BB32/((BB30*EFFICIENCY!$H$28))</f>
        <v>#DIV/0!</v>
      </c>
      <c r="BC35" s="286" t="s">
        <v>97</v>
      </c>
      <c r="BD35" s="287" t="e">
        <f>BD32/(BD30*EFFICIENCY!$H$28)</f>
        <v>#DIV/0!</v>
      </c>
      <c r="BE35" s="286" t="s">
        <v>97</v>
      </c>
      <c r="BF35" s="287" t="e">
        <f>BF32/(BF30*EFFICIENCY!$H$28)</f>
        <v>#DIV/0!</v>
      </c>
      <c r="BH35" s="300"/>
      <c r="BI35" s="304"/>
      <c r="BJ35" s="385"/>
      <c r="BK35" s="286" t="s">
        <v>97</v>
      </c>
      <c r="BL35" s="287" t="e">
        <f>BL32/((BL30*EFFICIENCY!$H$28))</f>
        <v>#DIV/0!</v>
      </c>
      <c r="BM35" s="286" t="s">
        <v>97</v>
      </c>
      <c r="BN35" s="287" t="e">
        <f>BN32/(BN30*EFFICIENCY!$H$28)</f>
        <v>#DIV/0!</v>
      </c>
      <c r="BO35" s="286" t="s">
        <v>97</v>
      </c>
      <c r="BP35" s="287" t="e">
        <f>BP32/(BP30*EFFICIENCY!$H$28)</f>
        <v>#DIV/0!</v>
      </c>
    </row>
    <row r="36" spans="2:68" ht="18.75">
      <c r="B36" s="278">
        <v>42491</v>
      </c>
      <c r="G36" s="150">
        <f t="shared" ref="G36" si="2">C36+D36</f>
        <v>0</v>
      </c>
      <c r="H36" s="150">
        <f t="shared" ref="H36" si="3">E36+F36</f>
        <v>0</v>
      </c>
      <c r="K36" s="304"/>
      <c r="L36" s="303"/>
      <c r="M36" s="280" t="s">
        <v>96</v>
      </c>
      <c r="N36" s="281" t="e">
        <f>N32/(N30*EFFICIENCY!$I$28)</f>
        <v>#DIV/0!</v>
      </c>
      <c r="O36" s="280" t="s">
        <v>96</v>
      </c>
      <c r="P36" s="281" t="e">
        <f>P32/(P30*EFFICIENCY!$I$28)</f>
        <v>#DIV/0!</v>
      </c>
      <c r="Q36" s="280" t="s">
        <v>96</v>
      </c>
      <c r="R36" s="281" t="e">
        <f>R32/(R30*EFFICIENCY!$I$28)</f>
        <v>#DIV/0!</v>
      </c>
      <c r="S36" s="296"/>
      <c r="T36" s="300"/>
      <c r="U36" s="304"/>
      <c r="V36" s="303"/>
      <c r="W36" s="280" t="s">
        <v>96</v>
      </c>
      <c r="X36" s="281" t="e">
        <f>X32/(X30*EFFICIENCY!$I$28)</f>
        <v>#DIV/0!</v>
      </c>
      <c r="Y36" s="280" t="s">
        <v>96</v>
      </c>
      <c r="Z36" s="281" t="e">
        <f>Z32/(Z30*EFFICIENCY!$I$28)</f>
        <v>#DIV/0!</v>
      </c>
      <c r="AA36" s="280" t="s">
        <v>96</v>
      </c>
      <c r="AB36" s="281" t="e">
        <f>AB32/(AB30*EFFICIENCY!$I$28)</f>
        <v>#DIV/0!</v>
      </c>
      <c r="AD36" s="300"/>
      <c r="AE36" s="304"/>
      <c r="AF36" s="303"/>
      <c r="AG36" s="280" t="s">
        <v>96</v>
      </c>
      <c r="AH36" s="281" t="e">
        <f>AH32/(AH30*EFFICIENCY!$I$28)</f>
        <v>#DIV/0!</v>
      </c>
      <c r="AI36" s="280" t="s">
        <v>96</v>
      </c>
      <c r="AJ36" s="281" t="e">
        <f>AJ32/(AJ30*EFFICIENCY!$I$28)</f>
        <v>#DIV/0!</v>
      </c>
      <c r="AK36" s="280" t="s">
        <v>96</v>
      </c>
      <c r="AL36" s="281" t="e">
        <f>AL32/(AL30*EFFICIENCY!$I$28)</f>
        <v>#DIV/0!</v>
      </c>
      <c r="AN36" s="300"/>
      <c r="AO36" s="304"/>
      <c r="AP36" s="303"/>
      <c r="AQ36" s="280" t="s">
        <v>96</v>
      </c>
      <c r="AR36" s="281" t="e">
        <f>AR32/(AR30*EFFICIENCY!$I$28)</f>
        <v>#DIV/0!</v>
      </c>
      <c r="AS36" s="280" t="s">
        <v>96</v>
      </c>
      <c r="AT36" s="281" t="e">
        <f>AT32/(AT30*EFFICIENCY!$I$28)</f>
        <v>#DIV/0!</v>
      </c>
      <c r="AU36" s="280" t="s">
        <v>96</v>
      </c>
      <c r="AV36" s="281" t="e">
        <f>AV32/(AV30*EFFICIENCY!$I$28)</f>
        <v>#DIV/0!</v>
      </c>
      <c r="AX36" s="300"/>
      <c r="AY36" s="304"/>
      <c r="AZ36" s="303"/>
      <c r="BA36" s="280" t="s">
        <v>96</v>
      </c>
      <c r="BB36" s="281" t="e">
        <f>BB32/(BB30*EFFICIENCY!$I$28)</f>
        <v>#DIV/0!</v>
      </c>
      <c r="BC36" s="280" t="s">
        <v>96</v>
      </c>
      <c r="BD36" s="281" t="e">
        <f>BD32/(BD30*EFFICIENCY!$I$28)</f>
        <v>#DIV/0!</v>
      </c>
      <c r="BE36" s="280" t="s">
        <v>96</v>
      </c>
      <c r="BF36" s="281" t="e">
        <f>BF32/(BF30*EFFICIENCY!$I$28)</f>
        <v>#DIV/0!</v>
      </c>
      <c r="BH36" s="300"/>
      <c r="BI36" s="304"/>
      <c r="BJ36" s="303"/>
      <c r="BK36" s="280" t="s">
        <v>96</v>
      </c>
      <c r="BL36" s="281" t="e">
        <f>BL32/(BL30*EFFICIENCY!$I$28)</f>
        <v>#DIV/0!</v>
      </c>
      <c r="BM36" s="280" t="s">
        <v>96</v>
      </c>
      <c r="BN36" s="281" t="e">
        <f>BN32/(BN30*EFFICIENCY!$I$28)</f>
        <v>#DIV/0!</v>
      </c>
      <c r="BO36" s="280" t="s">
        <v>96</v>
      </c>
      <c r="BP36" s="281" t="e">
        <f>BP32/(BP30*EFFICIENCY!$I$28)</f>
        <v>#DIV/0!</v>
      </c>
    </row>
    <row r="37" spans="2:68" ht="19.5" customHeight="1" thickBot="1">
      <c r="B37" s="278"/>
      <c r="K37" s="696" t="s">
        <v>156</v>
      </c>
      <c r="L37" s="697"/>
      <c r="M37" s="284" t="s">
        <v>94</v>
      </c>
      <c r="N37" s="285" t="e">
        <f>N32/((N30*EFFICIENCY!$K$28))</f>
        <v>#DIV/0!</v>
      </c>
      <c r="O37" s="288" t="s">
        <v>94</v>
      </c>
      <c r="P37" s="285" t="e">
        <f>P32/((P30*EFFICIENCY!$K$28))</f>
        <v>#DIV/0!</v>
      </c>
      <c r="Q37" s="284" t="s">
        <v>94</v>
      </c>
      <c r="R37" s="285" t="e">
        <f>R32/((R30*EFFICIENCY!$K$28))</f>
        <v>#DIV/0!</v>
      </c>
      <c r="S37" s="297"/>
      <c r="T37" s="300"/>
      <c r="U37" s="696" t="s">
        <v>156</v>
      </c>
      <c r="V37" s="697"/>
      <c r="W37" s="284" t="s">
        <v>94</v>
      </c>
      <c r="X37" s="285" t="e">
        <f>X32/((X30*EFFICIENCY!$K$28))</f>
        <v>#DIV/0!</v>
      </c>
      <c r="Y37" s="288" t="s">
        <v>94</v>
      </c>
      <c r="Z37" s="285" t="e">
        <f>Z32/((Z30*EFFICIENCY!$K$28))</f>
        <v>#DIV/0!</v>
      </c>
      <c r="AA37" s="284" t="s">
        <v>94</v>
      </c>
      <c r="AB37" s="285" t="e">
        <f>AB32/((AB30*EFFICIENCY!$K$28))</f>
        <v>#DIV/0!</v>
      </c>
      <c r="AD37" s="300"/>
      <c r="AE37" s="696" t="s">
        <v>156</v>
      </c>
      <c r="AF37" s="697"/>
      <c r="AG37" s="284" t="s">
        <v>94</v>
      </c>
      <c r="AH37" s="285" t="e">
        <f>AH32/((AH30*EFFICIENCY!$K$28))</f>
        <v>#DIV/0!</v>
      </c>
      <c r="AI37" s="288" t="s">
        <v>94</v>
      </c>
      <c r="AJ37" s="285" t="e">
        <f>AJ32/((AJ30*EFFICIENCY!$K$28))</f>
        <v>#DIV/0!</v>
      </c>
      <c r="AK37" s="284" t="s">
        <v>94</v>
      </c>
      <c r="AL37" s="285" t="e">
        <f>AL32/((AL30*EFFICIENCY!$K$28))</f>
        <v>#DIV/0!</v>
      </c>
      <c r="AN37" s="300"/>
      <c r="AO37" s="696" t="s">
        <v>156</v>
      </c>
      <c r="AP37" s="697"/>
      <c r="AQ37" s="284" t="s">
        <v>94</v>
      </c>
      <c r="AR37" s="285" t="e">
        <f>AR32/((AR30*EFFICIENCY!$K$28))</f>
        <v>#DIV/0!</v>
      </c>
      <c r="AS37" s="288" t="s">
        <v>94</v>
      </c>
      <c r="AT37" s="285" t="e">
        <f>AT32/((AT30*EFFICIENCY!$K$28))</f>
        <v>#DIV/0!</v>
      </c>
      <c r="AU37" s="284" t="s">
        <v>94</v>
      </c>
      <c r="AV37" s="285" t="e">
        <f>AV32/((AV30*EFFICIENCY!$K$28))</f>
        <v>#DIV/0!</v>
      </c>
      <c r="AX37" s="300"/>
      <c r="AY37" s="696" t="s">
        <v>156</v>
      </c>
      <c r="AZ37" s="697"/>
      <c r="BA37" s="284" t="s">
        <v>94</v>
      </c>
      <c r="BB37" s="285" t="e">
        <f>BB32/((BB30*EFFICIENCY!$K$28))</f>
        <v>#DIV/0!</v>
      </c>
      <c r="BC37" s="288" t="s">
        <v>94</v>
      </c>
      <c r="BD37" s="285" t="e">
        <f>BD32/((BD30*EFFICIENCY!$K$28))</f>
        <v>#DIV/0!</v>
      </c>
      <c r="BE37" s="284" t="s">
        <v>94</v>
      </c>
      <c r="BF37" s="285" t="e">
        <f>BF32/((BF30*EFFICIENCY!$K$28))</f>
        <v>#DIV/0!</v>
      </c>
      <c r="BH37" s="300"/>
      <c r="BI37" s="696" t="s">
        <v>156</v>
      </c>
      <c r="BJ37" s="697"/>
      <c r="BK37" s="284" t="s">
        <v>94</v>
      </c>
      <c r="BL37" s="285" t="e">
        <f>BL32/((BL30*EFFICIENCY!$K$28))</f>
        <v>#DIV/0!</v>
      </c>
      <c r="BM37" s="288" t="s">
        <v>94</v>
      </c>
      <c r="BN37" s="285" t="e">
        <f>BN32/((BN30*EFFICIENCY!$K$28))</f>
        <v>#DIV/0!</v>
      </c>
      <c r="BO37" s="284" t="s">
        <v>94</v>
      </c>
      <c r="BP37" s="285" t="e">
        <f>BP32/((BP30*EFFICIENCY!$K$28))</f>
        <v>#DIV/0!</v>
      </c>
    </row>
    <row r="38" spans="2:68" ht="16.5" thickBot="1">
      <c r="K38" s="386"/>
      <c r="L38" s="387" t="e">
        <f>R32/R30</f>
        <v>#DIV/0!</v>
      </c>
      <c r="M38" s="637" t="s">
        <v>153</v>
      </c>
      <c r="N38" s="638"/>
      <c r="O38" s="290"/>
      <c r="P38" s="318"/>
      <c r="Q38" s="318" t="s">
        <v>154</v>
      </c>
      <c r="R38" s="319">
        <f>O38-R32</f>
        <v>0</v>
      </c>
      <c r="S38" s="298"/>
      <c r="T38" s="300"/>
      <c r="U38" s="386"/>
      <c r="V38" s="387" t="e">
        <f>AB32/AB30</f>
        <v>#DIV/0!</v>
      </c>
      <c r="W38" s="637" t="s">
        <v>153</v>
      </c>
      <c r="X38" s="638"/>
      <c r="Y38" s="290"/>
      <c r="Z38" s="318"/>
      <c r="AA38" s="318" t="s">
        <v>154</v>
      </c>
      <c r="AB38" s="319">
        <f>Y38-AB32</f>
        <v>0</v>
      </c>
      <c r="AD38" s="300"/>
      <c r="AE38" s="386"/>
      <c r="AF38" s="387" t="e">
        <f>AL32/AL30</f>
        <v>#DIV/0!</v>
      </c>
      <c r="AG38" s="637" t="s">
        <v>153</v>
      </c>
      <c r="AH38" s="638"/>
      <c r="AI38" s="290"/>
      <c r="AJ38" s="318"/>
      <c r="AK38" s="318" t="s">
        <v>154</v>
      </c>
      <c r="AL38" s="319">
        <f>AI38-AL32</f>
        <v>0</v>
      </c>
      <c r="AN38" s="300"/>
      <c r="AO38" s="386"/>
      <c r="AP38" s="387" t="e">
        <f>AV32/AV30</f>
        <v>#DIV/0!</v>
      </c>
      <c r="AQ38" s="637" t="s">
        <v>153</v>
      </c>
      <c r="AR38" s="638"/>
      <c r="AS38" s="290"/>
      <c r="AT38" s="318"/>
      <c r="AU38" s="318" t="s">
        <v>154</v>
      </c>
      <c r="AV38" s="319">
        <f>AS38-AV32</f>
        <v>0</v>
      </c>
      <c r="AX38" s="300"/>
      <c r="AY38" s="386"/>
      <c r="AZ38" s="387" t="e">
        <f>BF32/BF30</f>
        <v>#DIV/0!</v>
      </c>
      <c r="BA38" s="637" t="s">
        <v>153</v>
      </c>
      <c r="BB38" s="638"/>
      <c r="BC38" s="290"/>
      <c r="BD38" s="318"/>
      <c r="BE38" s="318" t="s">
        <v>154</v>
      </c>
      <c r="BF38" s="319">
        <f>BC38-BF32</f>
        <v>0</v>
      </c>
      <c r="BH38" s="300"/>
      <c r="BI38" s="386"/>
      <c r="BJ38" s="387" t="e">
        <f>BP32/BP30</f>
        <v>#DIV/0!</v>
      </c>
      <c r="BK38" s="637" t="s">
        <v>153</v>
      </c>
      <c r="BL38" s="638"/>
      <c r="BM38" s="290"/>
      <c r="BN38" s="318"/>
      <c r="BO38" s="318" t="s">
        <v>154</v>
      </c>
      <c r="BP38" s="319">
        <f>BM38-BP32</f>
        <v>0</v>
      </c>
    </row>
    <row r="39" spans="2:68">
      <c r="T39" s="300"/>
      <c r="AD39" s="300"/>
      <c r="AN39" s="300"/>
      <c r="AX39" s="300"/>
      <c r="BH39" s="300"/>
    </row>
    <row r="40" spans="2:68" ht="13.5" thickBot="1">
      <c r="K40" s="291"/>
      <c r="L40" s="291"/>
      <c r="M40" s="291"/>
      <c r="N40" s="291"/>
      <c r="O40" s="291"/>
      <c r="P40" s="291"/>
      <c r="Q40" s="291"/>
      <c r="R40" s="291"/>
      <c r="S40" s="299"/>
      <c r="T40" s="301"/>
      <c r="U40" s="291"/>
      <c r="V40" s="291"/>
      <c r="W40" s="291"/>
      <c r="X40" s="291"/>
      <c r="Y40" s="291"/>
      <c r="Z40" s="291"/>
      <c r="AA40" s="291"/>
      <c r="AB40" s="291"/>
      <c r="AC40" s="291"/>
      <c r="AD40" s="301"/>
      <c r="AE40" s="291"/>
      <c r="AF40" s="291"/>
      <c r="AG40" s="291"/>
      <c r="AH40" s="291"/>
      <c r="AI40" s="291"/>
      <c r="AJ40" s="291"/>
      <c r="AK40" s="291"/>
      <c r="AL40" s="291"/>
      <c r="AM40" s="291"/>
      <c r="AN40" s="301"/>
      <c r="AO40" s="291"/>
      <c r="AP40" s="291"/>
      <c r="AQ40" s="291"/>
      <c r="AR40" s="291"/>
      <c r="AS40" s="291"/>
      <c r="AT40" s="291"/>
      <c r="AU40" s="291"/>
      <c r="AV40" s="291"/>
      <c r="AW40" s="291"/>
      <c r="AX40" s="301"/>
      <c r="AY40" s="291"/>
      <c r="AZ40" s="291"/>
      <c r="BA40" s="291"/>
      <c r="BB40" s="291"/>
      <c r="BC40" s="291"/>
      <c r="BD40" s="291"/>
      <c r="BE40" s="291"/>
      <c r="BF40" s="291"/>
      <c r="BG40" s="291"/>
      <c r="BH40" s="301"/>
      <c r="BI40" s="291"/>
      <c r="BJ40" s="291"/>
      <c r="BK40" s="291"/>
      <c r="BL40" s="291"/>
      <c r="BM40" s="291"/>
      <c r="BN40" s="291"/>
      <c r="BO40" s="291"/>
      <c r="BP40" s="291"/>
    </row>
    <row r="41" spans="2:68" ht="15.75" thickBot="1">
      <c r="K41" s="388" t="s">
        <v>7</v>
      </c>
      <c r="L41" s="535">
        <f>B23</f>
        <v>42478</v>
      </c>
      <c r="M41" s="639" t="s">
        <v>100</v>
      </c>
      <c r="N41" s="640"/>
      <c r="O41" s="641" t="s">
        <v>99</v>
      </c>
      <c r="P41" s="642"/>
      <c r="Q41" s="643" t="s">
        <v>16</v>
      </c>
      <c r="R41" s="644"/>
      <c r="S41" s="293"/>
      <c r="T41" s="300"/>
      <c r="U41" s="388" t="s">
        <v>7</v>
      </c>
      <c r="V41" s="535">
        <f>B24</f>
        <v>42479</v>
      </c>
      <c r="W41" s="639" t="s">
        <v>100</v>
      </c>
      <c r="X41" s="640"/>
      <c r="Y41" s="641" t="s">
        <v>99</v>
      </c>
      <c r="Z41" s="642"/>
      <c r="AA41" s="643" t="s">
        <v>16</v>
      </c>
      <c r="AB41" s="644"/>
      <c r="AC41" s="154"/>
      <c r="AD41" s="300"/>
      <c r="AE41" s="388" t="s">
        <v>7</v>
      </c>
      <c r="AF41" s="535">
        <f>B25</f>
        <v>42480</v>
      </c>
      <c r="AG41" s="639" t="s">
        <v>100</v>
      </c>
      <c r="AH41" s="640"/>
      <c r="AI41" s="641" t="s">
        <v>99</v>
      </c>
      <c r="AJ41" s="642"/>
      <c r="AK41" s="643" t="s">
        <v>16</v>
      </c>
      <c r="AL41" s="644"/>
      <c r="AM41" s="154"/>
      <c r="AN41" s="300"/>
      <c r="AO41" s="388" t="s">
        <v>7</v>
      </c>
      <c r="AP41" s="535">
        <f>B26</f>
        <v>42481</v>
      </c>
      <c r="AQ41" s="639" t="s">
        <v>100</v>
      </c>
      <c r="AR41" s="640"/>
      <c r="AS41" s="641" t="s">
        <v>99</v>
      </c>
      <c r="AT41" s="642"/>
      <c r="AU41" s="643" t="s">
        <v>16</v>
      </c>
      <c r="AV41" s="644"/>
      <c r="AW41" s="154"/>
      <c r="AX41" s="300"/>
      <c r="AY41" s="388" t="s">
        <v>7</v>
      </c>
      <c r="AZ41" s="535">
        <f>B27</f>
        <v>42482</v>
      </c>
      <c r="BA41" s="639" t="s">
        <v>100</v>
      </c>
      <c r="BB41" s="640"/>
      <c r="BC41" s="641" t="s">
        <v>99</v>
      </c>
      <c r="BD41" s="642"/>
      <c r="BE41" s="643" t="s">
        <v>16</v>
      </c>
      <c r="BF41" s="644"/>
      <c r="BG41" s="154"/>
      <c r="BH41" s="300"/>
      <c r="BI41" s="388" t="s">
        <v>7</v>
      </c>
      <c r="BJ41" s="535">
        <f>B28</f>
        <v>42483</v>
      </c>
      <c r="BK41" s="639" t="s">
        <v>100</v>
      </c>
      <c r="BL41" s="640"/>
      <c r="BM41" s="641" t="s">
        <v>99</v>
      </c>
      <c r="BN41" s="642"/>
      <c r="BO41" s="643" t="s">
        <v>16</v>
      </c>
      <c r="BP41" s="644"/>
    </row>
    <row r="42" spans="2:68" ht="13.5" thickBot="1">
      <c r="K42" s="321"/>
      <c r="L42" s="320"/>
      <c r="M42" s="321"/>
      <c r="N42" s="322"/>
      <c r="O42" s="321"/>
      <c r="P42" s="322"/>
      <c r="Q42" s="320"/>
      <c r="R42" s="322"/>
      <c r="S42" s="156"/>
      <c r="T42" s="300"/>
      <c r="U42" s="321"/>
      <c r="V42" s="320"/>
      <c r="W42" s="321"/>
      <c r="X42" s="322"/>
      <c r="Y42" s="321"/>
      <c r="Z42" s="322"/>
      <c r="AA42" s="320"/>
      <c r="AB42" s="322"/>
      <c r="AC42" s="154"/>
      <c r="AD42" s="300"/>
      <c r="AE42" s="321"/>
      <c r="AF42" s="320"/>
      <c r="AG42" s="321"/>
      <c r="AH42" s="322"/>
      <c r="AI42" s="321"/>
      <c r="AJ42" s="322"/>
      <c r="AK42" s="320"/>
      <c r="AL42" s="322"/>
      <c r="AM42" s="154"/>
      <c r="AN42" s="300"/>
      <c r="AO42" s="321"/>
      <c r="AP42" s="320"/>
      <c r="AQ42" s="321"/>
      <c r="AR42" s="322"/>
      <c r="AS42" s="321"/>
      <c r="AT42" s="322"/>
      <c r="AU42" s="320"/>
      <c r="AV42" s="322"/>
      <c r="AW42" s="154"/>
      <c r="AX42" s="300"/>
      <c r="AY42" s="321"/>
      <c r="AZ42" s="320"/>
      <c r="BA42" s="321"/>
      <c r="BB42" s="322"/>
      <c r="BC42" s="321"/>
      <c r="BD42" s="322"/>
      <c r="BE42" s="320"/>
      <c r="BF42" s="322"/>
      <c r="BG42" s="154"/>
      <c r="BH42" s="300"/>
      <c r="BI42" s="321"/>
      <c r="BJ42" s="320"/>
      <c r="BK42" s="321"/>
      <c r="BL42" s="322"/>
      <c r="BM42" s="321"/>
      <c r="BN42" s="322"/>
      <c r="BO42" s="320"/>
      <c r="BP42" s="322"/>
    </row>
    <row r="43" spans="2:68" ht="16.5" thickBot="1">
      <c r="K43" s="321"/>
      <c r="L43" s="323" t="s">
        <v>155</v>
      </c>
      <c r="M43" s="324" t="s">
        <v>103</v>
      </c>
      <c r="N43" s="279"/>
      <c r="O43" s="324" t="s">
        <v>103</v>
      </c>
      <c r="P43" s="279"/>
      <c r="Q43" s="325" t="s">
        <v>103</v>
      </c>
      <c r="R43" s="326">
        <f>SUM(N43,P43)</f>
        <v>0</v>
      </c>
      <c r="S43" s="294"/>
      <c r="T43" s="300"/>
      <c r="U43" s="321"/>
      <c r="V43" s="323" t="s">
        <v>155</v>
      </c>
      <c r="W43" s="324" t="s">
        <v>103</v>
      </c>
      <c r="X43" s="279"/>
      <c r="Y43" s="324" t="s">
        <v>103</v>
      </c>
      <c r="Z43" s="279"/>
      <c r="AA43" s="325" t="s">
        <v>103</v>
      </c>
      <c r="AB43" s="326">
        <f>SUM(X43,Z43)</f>
        <v>0</v>
      </c>
      <c r="AD43" s="300"/>
      <c r="AE43" s="321"/>
      <c r="AF43" s="323" t="s">
        <v>155</v>
      </c>
      <c r="AG43" s="324" t="s">
        <v>103</v>
      </c>
      <c r="AH43" s="279"/>
      <c r="AI43" s="324" t="s">
        <v>103</v>
      </c>
      <c r="AJ43" s="279"/>
      <c r="AK43" s="325" t="s">
        <v>103</v>
      </c>
      <c r="AL43" s="326">
        <f>SUM(AH43,AJ43)</f>
        <v>0</v>
      </c>
      <c r="AN43" s="300"/>
      <c r="AO43" s="321"/>
      <c r="AP43" s="323" t="s">
        <v>155</v>
      </c>
      <c r="AQ43" s="324" t="s">
        <v>103</v>
      </c>
      <c r="AR43" s="279"/>
      <c r="AS43" s="324" t="s">
        <v>103</v>
      </c>
      <c r="AT43" s="279"/>
      <c r="AU43" s="325" t="s">
        <v>103</v>
      </c>
      <c r="AV43" s="326">
        <f>SUM(AR43,AT43)</f>
        <v>0</v>
      </c>
      <c r="AX43" s="300"/>
      <c r="AY43" s="321"/>
      <c r="AZ43" s="323" t="s">
        <v>155</v>
      </c>
      <c r="BA43" s="324" t="s">
        <v>103</v>
      </c>
      <c r="BB43" s="279"/>
      <c r="BC43" s="324" t="s">
        <v>103</v>
      </c>
      <c r="BD43" s="279"/>
      <c r="BE43" s="325" t="s">
        <v>103</v>
      </c>
      <c r="BF43" s="326">
        <f>SUM(BB43,BD43)</f>
        <v>0</v>
      </c>
      <c r="BH43" s="300"/>
      <c r="BI43" s="321"/>
      <c r="BJ43" s="323" t="s">
        <v>155</v>
      </c>
      <c r="BK43" s="324" t="s">
        <v>103</v>
      </c>
      <c r="BL43" s="279"/>
      <c r="BM43" s="324" t="s">
        <v>103</v>
      </c>
      <c r="BN43" s="279"/>
      <c r="BO43" s="325" t="s">
        <v>103</v>
      </c>
      <c r="BP43" s="326">
        <f>SUM(BL43,BN43)</f>
        <v>0</v>
      </c>
    </row>
    <row r="44" spans="2:68" ht="18.75" thickBot="1">
      <c r="K44" s="321"/>
      <c r="L44" s="289">
        <v>8</v>
      </c>
      <c r="M44" s="327" t="s">
        <v>5</v>
      </c>
      <c r="N44" s="328">
        <f>VLOOKUP(L41, $B$3:$E$109, 4, FALSE)</f>
        <v>0</v>
      </c>
      <c r="O44" s="327" t="s">
        <v>5</v>
      </c>
      <c r="P44" s="329">
        <f>VLOOKUP(L41, $B$3:$F$109, 5, FALSE)</f>
        <v>0</v>
      </c>
      <c r="Q44" s="330" t="s">
        <v>5</v>
      </c>
      <c r="R44" s="326">
        <f>SUM(N44,P44)</f>
        <v>0</v>
      </c>
      <c r="S44" s="294"/>
      <c r="T44" s="300"/>
      <c r="U44" s="321"/>
      <c r="V44" s="289">
        <v>8</v>
      </c>
      <c r="W44" s="327" t="s">
        <v>5</v>
      </c>
      <c r="X44" s="328">
        <f>VLOOKUP(V41, $B$3:$E$109, 4, FALSE)</f>
        <v>0</v>
      </c>
      <c r="Y44" s="327" t="s">
        <v>5</v>
      </c>
      <c r="Z44" s="329">
        <f>VLOOKUP(V41, $B$3:$F$109, 5, FALSE)</f>
        <v>0</v>
      </c>
      <c r="AA44" s="330" t="s">
        <v>5</v>
      </c>
      <c r="AB44" s="326">
        <f>SUM(X44,Z44)</f>
        <v>0</v>
      </c>
      <c r="AD44" s="300"/>
      <c r="AE44" s="321"/>
      <c r="AF44" s="289">
        <v>8</v>
      </c>
      <c r="AG44" s="327" t="s">
        <v>5</v>
      </c>
      <c r="AH44" s="328">
        <f>VLOOKUP(AF41, $B$3:$E$109, 4, FALSE)</f>
        <v>0</v>
      </c>
      <c r="AI44" s="327" t="s">
        <v>5</v>
      </c>
      <c r="AJ44" s="329">
        <f>VLOOKUP(AF41, $B$3:$F$109, 5, FALSE)</f>
        <v>0</v>
      </c>
      <c r="AK44" s="330" t="s">
        <v>5</v>
      </c>
      <c r="AL44" s="326">
        <f>SUM(AH44,AJ44)</f>
        <v>0</v>
      </c>
      <c r="AN44" s="300"/>
      <c r="AO44" s="321"/>
      <c r="AP44" s="289">
        <v>8</v>
      </c>
      <c r="AQ44" s="327" t="s">
        <v>5</v>
      </c>
      <c r="AR44" s="328">
        <f>VLOOKUP(AP41, $B$3:$E$109, 4, FALSE)</f>
        <v>0</v>
      </c>
      <c r="AS44" s="327" t="s">
        <v>5</v>
      </c>
      <c r="AT44" s="329">
        <f>VLOOKUP(AP41, $B$3:$F$109, 5, FALSE)</f>
        <v>0</v>
      </c>
      <c r="AU44" s="330" t="s">
        <v>5</v>
      </c>
      <c r="AV44" s="326">
        <f>SUM(AR44,AT44)</f>
        <v>0</v>
      </c>
      <c r="AX44" s="300"/>
      <c r="AY44" s="321"/>
      <c r="AZ44" s="289">
        <v>8</v>
      </c>
      <c r="BA44" s="327" t="s">
        <v>5</v>
      </c>
      <c r="BB44" s="328">
        <f>VLOOKUP(AZ41, $B$3:$E$109, 4, FALSE)</f>
        <v>0</v>
      </c>
      <c r="BC44" s="327" t="s">
        <v>5</v>
      </c>
      <c r="BD44" s="329">
        <f>VLOOKUP(AZ41, $B$3:$F$109, 5, FALSE)</f>
        <v>0</v>
      </c>
      <c r="BE44" s="330" t="s">
        <v>5</v>
      </c>
      <c r="BF44" s="326">
        <f>SUM(BB44,BD44)</f>
        <v>0</v>
      </c>
      <c r="BH44" s="300"/>
      <c r="BI44" s="321"/>
      <c r="BJ44" s="289">
        <v>8</v>
      </c>
      <c r="BK44" s="327" t="s">
        <v>5</v>
      </c>
      <c r="BL44" s="328">
        <f>VLOOKUP(BJ41, $B$3:$E$109, 4, FALSE)</f>
        <v>0</v>
      </c>
      <c r="BM44" s="327" t="s">
        <v>5</v>
      </c>
      <c r="BN44" s="329">
        <f>VLOOKUP(BJ41, $B$3:$F$109, 5, FALSE)</f>
        <v>0</v>
      </c>
      <c r="BO44" s="330" t="s">
        <v>5</v>
      </c>
      <c r="BP44" s="326">
        <f>SUM(BL44,BN44)</f>
        <v>0</v>
      </c>
    </row>
    <row r="45" spans="2:68" ht="15.75" customHeight="1">
      <c r="K45" s="321"/>
      <c r="L45" s="320"/>
      <c r="M45" s="645" t="s">
        <v>105</v>
      </c>
      <c r="N45" s="328">
        <f>VLOOKUP(L41, $B$3:$E$109, 2, FALSE)</f>
        <v>0</v>
      </c>
      <c r="O45" s="645" t="s">
        <v>105</v>
      </c>
      <c r="P45" s="329">
        <f>VLOOKUP(L41, $B$3:$E$109, 3, FALSE)</f>
        <v>0</v>
      </c>
      <c r="Q45" s="646" t="s">
        <v>105</v>
      </c>
      <c r="R45" s="326">
        <f>SUM(N45,P45)</f>
        <v>0</v>
      </c>
      <c r="S45" s="294"/>
      <c r="T45" s="300"/>
      <c r="U45" s="321"/>
      <c r="V45" s="320"/>
      <c r="W45" s="645" t="s">
        <v>105</v>
      </c>
      <c r="X45" s="328">
        <f>VLOOKUP(V41, $B$3:$E$109, 2, FALSE)</f>
        <v>0</v>
      </c>
      <c r="Y45" s="645" t="s">
        <v>105</v>
      </c>
      <c r="Z45" s="329">
        <f>VLOOKUP(V41, $B$3:$E$109, 3, FALSE)</f>
        <v>0</v>
      </c>
      <c r="AA45" s="646" t="s">
        <v>105</v>
      </c>
      <c r="AB45" s="326">
        <f>SUM(X45,Z45)</f>
        <v>0</v>
      </c>
      <c r="AD45" s="300"/>
      <c r="AE45" s="321"/>
      <c r="AF45" s="320"/>
      <c r="AG45" s="645" t="s">
        <v>105</v>
      </c>
      <c r="AH45" s="328">
        <f>VLOOKUP(AF41, $B$3:$E$109, 2, FALSE)</f>
        <v>0</v>
      </c>
      <c r="AI45" s="645" t="s">
        <v>105</v>
      </c>
      <c r="AJ45" s="329">
        <f>VLOOKUP(AF41, $B$3:$E$109, 3, FALSE)</f>
        <v>0</v>
      </c>
      <c r="AK45" s="646" t="s">
        <v>105</v>
      </c>
      <c r="AL45" s="326">
        <f>SUM(AH45,AJ45)</f>
        <v>0</v>
      </c>
      <c r="AN45" s="300"/>
      <c r="AO45" s="321"/>
      <c r="AP45" s="320"/>
      <c r="AQ45" s="645" t="s">
        <v>105</v>
      </c>
      <c r="AR45" s="328">
        <f>VLOOKUP(AP41, $B$3:$E$109, 2, FALSE)</f>
        <v>0</v>
      </c>
      <c r="AS45" s="645" t="s">
        <v>105</v>
      </c>
      <c r="AT45" s="329">
        <f>VLOOKUP(AP41, $B$3:$E$109, 3, FALSE)</f>
        <v>0</v>
      </c>
      <c r="AU45" s="646" t="s">
        <v>105</v>
      </c>
      <c r="AV45" s="326">
        <f>SUM(AR45,AT45)</f>
        <v>0</v>
      </c>
      <c r="AX45" s="300"/>
      <c r="AY45" s="321"/>
      <c r="AZ45" s="320"/>
      <c r="BA45" s="645" t="s">
        <v>105</v>
      </c>
      <c r="BB45" s="328">
        <f>VLOOKUP(AZ41, $B$3:$E$109, 2, FALSE)</f>
        <v>0</v>
      </c>
      <c r="BC45" s="645" t="s">
        <v>105</v>
      </c>
      <c r="BD45" s="329">
        <f>VLOOKUP(AZ41, $B$3:$E$109, 3, FALSE)</f>
        <v>0</v>
      </c>
      <c r="BE45" s="646" t="s">
        <v>105</v>
      </c>
      <c r="BF45" s="326">
        <f>SUM(BB45,BD45)</f>
        <v>0</v>
      </c>
      <c r="BH45" s="300"/>
      <c r="BI45" s="321"/>
      <c r="BJ45" s="320"/>
      <c r="BK45" s="645" t="s">
        <v>105</v>
      </c>
      <c r="BL45" s="328">
        <f>VLOOKUP(BJ41, $B$3:$E$109, 2, FALSE)</f>
        <v>0</v>
      </c>
      <c r="BM45" s="645" t="s">
        <v>105</v>
      </c>
      <c r="BN45" s="329">
        <f>VLOOKUP(BJ41, $B$3:$E$109, 3, FALSE)</f>
        <v>0</v>
      </c>
      <c r="BO45" s="646" t="s">
        <v>105</v>
      </c>
      <c r="BP45" s="326">
        <f>SUM(BL45,BN45)</f>
        <v>0</v>
      </c>
    </row>
    <row r="46" spans="2:68" ht="12.75" customHeight="1">
      <c r="K46" s="702" t="s">
        <v>157</v>
      </c>
      <c r="L46" s="703"/>
      <c r="M46" s="646"/>
      <c r="N46" s="322"/>
      <c r="O46" s="645"/>
      <c r="P46" s="322"/>
      <c r="Q46" s="646"/>
      <c r="R46" s="322"/>
      <c r="S46" s="156"/>
      <c r="T46" s="300"/>
      <c r="U46" s="702" t="s">
        <v>157</v>
      </c>
      <c r="V46" s="703"/>
      <c r="W46" s="646"/>
      <c r="X46" s="322"/>
      <c r="Y46" s="645"/>
      <c r="Z46" s="322"/>
      <c r="AA46" s="646"/>
      <c r="AB46" s="322"/>
      <c r="AD46" s="300"/>
      <c r="AE46" s="702" t="s">
        <v>157</v>
      </c>
      <c r="AF46" s="703"/>
      <c r="AG46" s="646"/>
      <c r="AH46" s="322"/>
      <c r="AI46" s="645"/>
      <c r="AJ46" s="322"/>
      <c r="AK46" s="646"/>
      <c r="AL46" s="322"/>
      <c r="AN46" s="300"/>
      <c r="AO46" s="702" t="s">
        <v>157</v>
      </c>
      <c r="AP46" s="703"/>
      <c r="AQ46" s="646"/>
      <c r="AR46" s="322"/>
      <c r="AS46" s="645"/>
      <c r="AT46" s="322"/>
      <c r="AU46" s="646"/>
      <c r="AV46" s="322"/>
      <c r="AX46" s="300"/>
      <c r="AY46" s="702" t="s">
        <v>157</v>
      </c>
      <c r="AZ46" s="703"/>
      <c r="BA46" s="646"/>
      <c r="BB46" s="322"/>
      <c r="BC46" s="645"/>
      <c r="BD46" s="322"/>
      <c r="BE46" s="646"/>
      <c r="BF46" s="322"/>
      <c r="BH46" s="300"/>
      <c r="BI46" s="702" t="s">
        <v>157</v>
      </c>
      <c r="BJ46" s="703"/>
      <c r="BK46" s="646"/>
      <c r="BL46" s="322"/>
      <c r="BM46" s="645"/>
      <c r="BN46" s="322"/>
      <c r="BO46" s="646"/>
      <c r="BP46" s="322"/>
    </row>
    <row r="47" spans="2:68" ht="15.75">
      <c r="K47" s="389"/>
      <c r="L47" s="331">
        <f>R43*13</f>
        <v>0</v>
      </c>
      <c r="M47" s="332"/>
      <c r="N47" s="322"/>
      <c r="O47" s="333"/>
      <c r="P47" s="322"/>
      <c r="Q47" s="334"/>
      <c r="R47" s="322"/>
      <c r="S47" s="156"/>
      <c r="T47" s="300"/>
      <c r="U47" s="389"/>
      <c r="V47" s="331">
        <f>AB43*13</f>
        <v>0</v>
      </c>
      <c r="W47" s="332"/>
      <c r="X47" s="322"/>
      <c r="Y47" s="333"/>
      <c r="Z47" s="322"/>
      <c r="AA47" s="334"/>
      <c r="AB47" s="322"/>
      <c r="AD47" s="300"/>
      <c r="AE47" s="389"/>
      <c r="AF47" s="331">
        <f>AL43*13</f>
        <v>0</v>
      </c>
      <c r="AG47" s="332"/>
      <c r="AH47" s="322"/>
      <c r="AI47" s="333"/>
      <c r="AJ47" s="322"/>
      <c r="AK47" s="334"/>
      <c r="AL47" s="322"/>
      <c r="AN47" s="300"/>
      <c r="AO47" s="389"/>
      <c r="AP47" s="331">
        <f>AV43*13</f>
        <v>0</v>
      </c>
      <c r="AQ47" s="332"/>
      <c r="AR47" s="322"/>
      <c r="AS47" s="333"/>
      <c r="AT47" s="322"/>
      <c r="AU47" s="334"/>
      <c r="AV47" s="322"/>
      <c r="AX47" s="300"/>
      <c r="AY47" s="389"/>
      <c r="AZ47" s="331">
        <f>BF43*13</f>
        <v>0</v>
      </c>
      <c r="BA47" s="332"/>
      <c r="BB47" s="322"/>
      <c r="BC47" s="333"/>
      <c r="BD47" s="322"/>
      <c r="BE47" s="334"/>
      <c r="BF47" s="322"/>
      <c r="BH47" s="300"/>
      <c r="BI47" s="389"/>
      <c r="BJ47" s="331">
        <f>BP43*13</f>
        <v>0</v>
      </c>
      <c r="BK47" s="332"/>
      <c r="BL47" s="322"/>
      <c r="BM47" s="333"/>
      <c r="BN47" s="322"/>
      <c r="BO47" s="334"/>
      <c r="BP47" s="322"/>
    </row>
    <row r="48" spans="2:68" ht="18.75">
      <c r="K48" s="321"/>
      <c r="L48" s="390"/>
      <c r="M48" s="286" t="s">
        <v>97</v>
      </c>
      <c r="N48" s="287" t="e">
        <f>N45/((N43*EFFICIENCY!$H$28))</f>
        <v>#DIV/0!</v>
      </c>
      <c r="O48" s="286" t="s">
        <v>97</v>
      </c>
      <c r="P48" s="287" t="e">
        <f>P45/(P43*EFFICIENCY!$H$28)</f>
        <v>#DIV/0!</v>
      </c>
      <c r="Q48" s="286" t="s">
        <v>97</v>
      </c>
      <c r="R48" s="287" t="e">
        <f>R45/(R43*EFFICIENCY!$H$28)</f>
        <v>#DIV/0!</v>
      </c>
      <c r="S48" s="295"/>
      <c r="T48" s="300"/>
      <c r="U48" s="321"/>
      <c r="V48" s="390"/>
      <c r="W48" s="286" t="s">
        <v>97</v>
      </c>
      <c r="X48" s="287" t="e">
        <f>X45/((X43*EFFICIENCY!$H$28))</f>
        <v>#DIV/0!</v>
      </c>
      <c r="Y48" s="286" t="s">
        <v>97</v>
      </c>
      <c r="Z48" s="287" t="e">
        <f>Z45/(Z43*EFFICIENCY!$H$28)</f>
        <v>#DIV/0!</v>
      </c>
      <c r="AA48" s="286" t="s">
        <v>97</v>
      </c>
      <c r="AB48" s="287" t="e">
        <f>AB45/(AB43*EFFICIENCY!$H$28)</f>
        <v>#DIV/0!</v>
      </c>
      <c r="AD48" s="300"/>
      <c r="AE48" s="321"/>
      <c r="AF48" s="390"/>
      <c r="AG48" s="286" t="s">
        <v>97</v>
      </c>
      <c r="AH48" s="287" t="e">
        <f>AH45/((AH43*EFFICIENCY!$H$28))</f>
        <v>#DIV/0!</v>
      </c>
      <c r="AI48" s="286" t="s">
        <v>97</v>
      </c>
      <c r="AJ48" s="287" t="e">
        <f>AJ45/(AJ43*EFFICIENCY!$H$28)</f>
        <v>#DIV/0!</v>
      </c>
      <c r="AK48" s="286" t="s">
        <v>97</v>
      </c>
      <c r="AL48" s="287" t="e">
        <f>AL45/(AL43*EFFICIENCY!$H$28)</f>
        <v>#DIV/0!</v>
      </c>
      <c r="AN48" s="300"/>
      <c r="AO48" s="321"/>
      <c r="AP48" s="390"/>
      <c r="AQ48" s="286" t="s">
        <v>97</v>
      </c>
      <c r="AR48" s="287" t="e">
        <f>AR45/((AR43*EFFICIENCY!$H$28))</f>
        <v>#DIV/0!</v>
      </c>
      <c r="AS48" s="286" t="s">
        <v>97</v>
      </c>
      <c r="AT48" s="287" t="e">
        <f>AT45/(AT43*EFFICIENCY!$H$28)</f>
        <v>#DIV/0!</v>
      </c>
      <c r="AU48" s="286" t="s">
        <v>97</v>
      </c>
      <c r="AV48" s="287" t="e">
        <f>AV45/(AV43*EFFICIENCY!$H$28)</f>
        <v>#DIV/0!</v>
      </c>
      <c r="AX48" s="300"/>
      <c r="AY48" s="321"/>
      <c r="AZ48" s="390"/>
      <c r="BA48" s="286" t="s">
        <v>97</v>
      </c>
      <c r="BB48" s="287" t="e">
        <f>BB45/((BB43*EFFICIENCY!$H$28))</f>
        <v>#DIV/0!</v>
      </c>
      <c r="BC48" s="286" t="s">
        <v>97</v>
      </c>
      <c r="BD48" s="287" t="e">
        <f>BD45/(BD43*EFFICIENCY!$H$28)</f>
        <v>#DIV/0!</v>
      </c>
      <c r="BE48" s="286" t="s">
        <v>97</v>
      </c>
      <c r="BF48" s="287" t="e">
        <f>BF45/(BF43*EFFICIENCY!$H$28)</f>
        <v>#DIV/0!</v>
      </c>
      <c r="BH48" s="300"/>
      <c r="BI48" s="321"/>
      <c r="BJ48" s="390"/>
      <c r="BK48" s="286" t="s">
        <v>97</v>
      </c>
      <c r="BL48" s="287" t="e">
        <f>BL45/((BL43*EFFICIENCY!$H$28))</f>
        <v>#DIV/0!</v>
      </c>
      <c r="BM48" s="286" t="s">
        <v>97</v>
      </c>
      <c r="BN48" s="287" t="e">
        <f>BN45/(BN43*EFFICIENCY!$H$28)</f>
        <v>#DIV/0!</v>
      </c>
      <c r="BO48" s="286" t="s">
        <v>97</v>
      </c>
      <c r="BP48" s="287" t="e">
        <f>BP45/(BP43*EFFICIENCY!$H$28)</f>
        <v>#DIV/0!</v>
      </c>
    </row>
    <row r="49" spans="10:68" ht="18.75">
      <c r="K49" s="321"/>
      <c r="L49" s="320"/>
      <c r="M49" s="280" t="s">
        <v>96</v>
      </c>
      <c r="N49" s="281" t="e">
        <f>N45/(N43*EFFICIENCY!$I$28)</f>
        <v>#DIV/0!</v>
      </c>
      <c r="O49" s="280" t="s">
        <v>96</v>
      </c>
      <c r="P49" s="281" t="e">
        <f>P45/(P43*EFFICIENCY!$I$28)</f>
        <v>#DIV/0!</v>
      </c>
      <c r="Q49" s="280" t="s">
        <v>96</v>
      </c>
      <c r="R49" s="281" t="e">
        <f>R45/(R43*EFFICIENCY!$I$28)</f>
        <v>#DIV/0!</v>
      </c>
      <c r="S49" s="296"/>
      <c r="T49" s="300"/>
      <c r="U49" s="321"/>
      <c r="V49" s="320"/>
      <c r="W49" s="280" t="s">
        <v>96</v>
      </c>
      <c r="X49" s="281" t="e">
        <f>X45/(X43*EFFICIENCY!$I$28)</f>
        <v>#DIV/0!</v>
      </c>
      <c r="Y49" s="280" t="s">
        <v>96</v>
      </c>
      <c r="Z49" s="281" t="e">
        <f>Z45/(Z43*EFFICIENCY!$I$28)</f>
        <v>#DIV/0!</v>
      </c>
      <c r="AA49" s="280" t="s">
        <v>96</v>
      </c>
      <c r="AB49" s="281" t="e">
        <f>AB45/(AB43*EFFICIENCY!$I$28)</f>
        <v>#DIV/0!</v>
      </c>
      <c r="AD49" s="300"/>
      <c r="AE49" s="321"/>
      <c r="AF49" s="320"/>
      <c r="AG49" s="280" t="s">
        <v>96</v>
      </c>
      <c r="AH49" s="281" t="e">
        <f>AH45/(AH43*EFFICIENCY!$I$28)</f>
        <v>#DIV/0!</v>
      </c>
      <c r="AI49" s="280" t="s">
        <v>96</v>
      </c>
      <c r="AJ49" s="281" t="e">
        <f>AJ45/(AJ43*EFFICIENCY!$I$28)</f>
        <v>#DIV/0!</v>
      </c>
      <c r="AK49" s="280" t="s">
        <v>96</v>
      </c>
      <c r="AL49" s="281" t="e">
        <f>AL45/(AL43*EFFICIENCY!$I$28)</f>
        <v>#DIV/0!</v>
      </c>
      <c r="AN49" s="300"/>
      <c r="AO49" s="321"/>
      <c r="AP49" s="320"/>
      <c r="AQ49" s="280" t="s">
        <v>96</v>
      </c>
      <c r="AR49" s="281" t="e">
        <f>AR45/(AR43*EFFICIENCY!$I$28)</f>
        <v>#DIV/0!</v>
      </c>
      <c r="AS49" s="280" t="s">
        <v>96</v>
      </c>
      <c r="AT49" s="281" t="e">
        <f>AT45/(AT43*EFFICIENCY!$I$28)</f>
        <v>#DIV/0!</v>
      </c>
      <c r="AU49" s="280" t="s">
        <v>96</v>
      </c>
      <c r="AV49" s="281" t="e">
        <f>AV45/(AV43*EFFICIENCY!$I$28)</f>
        <v>#DIV/0!</v>
      </c>
      <c r="AX49" s="300"/>
      <c r="AY49" s="321"/>
      <c r="AZ49" s="320"/>
      <c r="BA49" s="280" t="s">
        <v>96</v>
      </c>
      <c r="BB49" s="281" t="e">
        <f>BB45/(BB43*EFFICIENCY!$I$28)</f>
        <v>#DIV/0!</v>
      </c>
      <c r="BC49" s="280" t="s">
        <v>96</v>
      </c>
      <c r="BD49" s="281" t="e">
        <f>BD45/(BD43*EFFICIENCY!$I$28)</f>
        <v>#DIV/0!</v>
      </c>
      <c r="BE49" s="280" t="s">
        <v>96</v>
      </c>
      <c r="BF49" s="281" t="e">
        <f>BF45/(BF43*EFFICIENCY!$I$28)</f>
        <v>#DIV/0!</v>
      </c>
      <c r="BH49" s="300"/>
      <c r="BI49" s="321"/>
      <c r="BJ49" s="320"/>
      <c r="BK49" s="280" t="s">
        <v>96</v>
      </c>
      <c r="BL49" s="281" t="e">
        <f>BL45/(BL43*EFFICIENCY!$I$28)</f>
        <v>#DIV/0!</v>
      </c>
      <c r="BM49" s="280" t="s">
        <v>96</v>
      </c>
      <c r="BN49" s="281" t="e">
        <f>BN45/(BN43*EFFICIENCY!$I$28)</f>
        <v>#DIV/0!</v>
      </c>
      <c r="BO49" s="280" t="s">
        <v>96</v>
      </c>
      <c r="BP49" s="281" t="e">
        <f>BP45/(BP43*EFFICIENCY!$I$28)</f>
        <v>#DIV/0!</v>
      </c>
    </row>
    <row r="50" spans="10:68" ht="19.5" customHeight="1" thickBot="1">
      <c r="K50" s="686" t="s">
        <v>156</v>
      </c>
      <c r="L50" s="687"/>
      <c r="M50" s="284" t="s">
        <v>94</v>
      </c>
      <c r="N50" s="285" t="e">
        <f>N45/((N43*EFFICIENCY!$K$28))</f>
        <v>#DIV/0!</v>
      </c>
      <c r="O50" s="288" t="s">
        <v>94</v>
      </c>
      <c r="P50" s="285" t="e">
        <f>P45/((P43*EFFICIENCY!$K$28))</f>
        <v>#DIV/0!</v>
      </c>
      <c r="Q50" s="284" t="s">
        <v>94</v>
      </c>
      <c r="R50" s="285" t="e">
        <f>R45/((R43*EFFICIENCY!$K$28))</f>
        <v>#DIV/0!</v>
      </c>
      <c r="S50" s="297"/>
      <c r="T50" s="300"/>
      <c r="U50" s="686" t="s">
        <v>156</v>
      </c>
      <c r="V50" s="687"/>
      <c r="W50" s="284" t="s">
        <v>94</v>
      </c>
      <c r="X50" s="285" t="e">
        <f>X45/((X43*EFFICIENCY!$K$28))</f>
        <v>#DIV/0!</v>
      </c>
      <c r="Y50" s="288" t="s">
        <v>94</v>
      </c>
      <c r="Z50" s="285" t="e">
        <f>Z45/((Z43*EFFICIENCY!$K$28))</f>
        <v>#DIV/0!</v>
      </c>
      <c r="AA50" s="284" t="s">
        <v>94</v>
      </c>
      <c r="AB50" s="285" t="e">
        <f>AB45/((AB43*EFFICIENCY!$K$28))</f>
        <v>#DIV/0!</v>
      </c>
      <c r="AD50" s="300"/>
      <c r="AE50" s="686" t="s">
        <v>156</v>
      </c>
      <c r="AF50" s="687"/>
      <c r="AG50" s="284" t="s">
        <v>94</v>
      </c>
      <c r="AH50" s="285" t="e">
        <f>AH45/((AH43*EFFICIENCY!$K$28))</f>
        <v>#DIV/0!</v>
      </c>
      <c r="AI50" s="288" t="s">
        <v>94</v>
      </c>
      <c r="AJ50" s="285" t="e">
        <f>AJ45/((AJ43*EFFICIENCY!$K$28))</f>
        <v>#DIV/0!</v>
      </c>
      <c r="AK50" s="284" t="s">
        <v>94</v>
      </c>
      <c r="AL50" s="285" t="e">
        <f>AL45/((AL43*EFFICIENCY!$K$28))</f>
        <v>#DIV/0!</v>
      </c>
      <c r="AN50" s="300"/>
      <c r="AO50" s="686" t="s">
        <v>156</v>
      </c>
      <c r="AP50" s="687"/>
      <c r="AQ50" s="284" t="s">
        <v>94</v>
      </c>
      <c r="AR50" s="285" t="e">
        <f>AR45/((AR43*EFFICIENCY!$K$28))</f>
        <v>#DIV/0!</v>
      </c>
      <c r="AS50" s="288" t="s">
        <v>94</v>
      </c>
      <c r="AT50" s="285" t="e">
        <f>AT45/((AT43*EFFICIENCY!$K$28))</f>
        <v>#DIV/0!</v>
      </c>
      <c r="AU50" s="284" t="s">
        <v>94</v>
      </c>
      <c r="AV50" s="285" t="e">
        <f>AV45/((AV43*EFFICIENCY!$K$28))</f>
        <v>#DIV/0!</v>
      </c>
      <c r="AX50" s="300"/>
      <c r="AY50" s="686" t="s">
        <v>156</v>
      </c>
      <c r="AZ50" s="687"/>
      <c r="BA50" s="284" t="s">
        <v>94</v>
      </c>
      <c r="BB50" s="285" t="e">
        <f>BB45/((BB43*EFFICIENCY!$K$28))</f>
        <v>#DIV/0!</v>
      </c>
      <c r="BC50" s="288" t="s">
        <v>94</v>
      </c>
      <c r="BD50" s="285" t="e">
        <f>BD45/((BD43*EFFICIENCY!$K$28))</f>
        <v>#DIV/0!</v>
      </c>
      <c r="BE50" s="284" t="s">
        <v>94</v>
      </c>
      <c r="BF50" s="285" t="e">
        <f>BF45/((BF43*EFFICIENCY!$K$28))</f>
        <v>#DIV/0!</v>
      </c>
      <c r="BH50" s="300"/>
      <c r="BI50" s="686" t="s">
        <v>156</v>
      </c>
      <c r="BJ50" s="687"/>
      <c r="BK50" s="284" t="s">
        <v>94</v>
      </c>
      <c r="BL50" s="285" t="e">
        <f>BL45/((BL43*EFFICIENCY!$K$28))</f>
        <v>#DIV/0!</v>
      </c>
      <c r="BM50" s="288" t="s">
        <v>94</v>
      </c>
      <c r="BN50" s="285" t="e">
        <f>BN45/((BN43*EFFICIENCY!$K$28))</f>
        <v>#DIV/0!</v>
      </c>
      <c r="BO50" s="284" t="s">
        <v>94</v>
      </c>
      <c r="BP50" s="285" t="e">
        <f>BP45/((BP43*EFFICIENCY!$K$28))</f>
        <v>#DIV/0!</v>
      </c>
    </row>
    <row r="51" spans="10:68" ht="16.5" thickBot="1">
      <c r="K51" s="391"/>
      <c r="L51" s="392" t="e">
        <f>R45/R43</f>
        <v>#DIV/0!</v>
      </c>
      <c r="M51" s="649" t="s">
        <v>153</v>
      </c>
      <c r="N51" s="650"/>
      <c r="O51" s="290"/>
      <c r="P51" s="335"/>
      <c r="Q51" s="335" t="s">
        <v>154</v>
      </c>
      <c r="R51" s="336">
        <f>O51-R45</f>
        <v>0</v>
      </c>
      <c r="S51" s="298"/>
      <c r="T51" s="300"/>
      <c r="U51" s="391"/>
      <c r="V51" s="392" t="e">
        <f>AB45/AB43</f>
        <v>#DIV/0!</v>
      </c>
      <c r="W51" s="649" t="s">
        <v>153</v>
      </c>
      <c r="X51" s="650"/>
      <c r="Y51" s="290"/>
      <c r="Z51" s="335"/>
      <c r="AA51" s="335" t="s">
        <v>154</v>
      </c>
      <c r="AB51" s="336">
        <f>Y51-AB45</f>
        <v>0</v>
      </c>
      <c r="AD51" s="300"/>
      <c r="AE51" s="391"/>
      <c r="AF51" s="392" t="e">
        <f>AL45/AL43</f>
        <v>#DIV/0!</v>
      </c>
      <c r="AG51" s="649" t="s">
        <v>153</v>
      </c>
      <c r="AH51" s="650"/>
      <c r="AI51" s="290"/>
      <c r="AJ51" s="335"/>
      <c r="AK51" s="335" t="s">
        <v>154</v>
      </c>
      <c r="AL51" s="336">
        <f>AI51-AL45</f>
        <v>0</v>
      </c>
      <c r="AN51" s="300"/>
      <c r="AO51" s="391"/>
      <c r="AP51" s="392" t="e">
        <f>AV45/AV43</f>
        <v>#DIV/0!</v>
      </c>
      <c r="AQ51" s="649" t="s">
        <v>153</v>
      </c>
      <c r="AR51" s="650"/>
      <c r="AS51" s="290"/>
      <c r="AT51" s="335"/>
      <c r="AU51" s="335" t="s">
        <v>154</v>
      </c>
      <c r="AV51" s="336">
        <f>AS51-AV45</f>
        <v>0</v>
      </c>
      <c r="AX51" s="300"/>
      <c r="AY51" s="391"/>
      <c r="AZ51" s="392" t="e">
        <f>BF45/BF43</f>
        <v>#DIV/0!</v>
      </c>
      <c r="BA51" s="649" t="s">
        <v>153</v>
      </c>
      <c r="BB51" s="650"/>
      <c r="BC51" s="290"/>
      <c r="BD51" s="335"/>
      <c r="BE51" s="335" t="s">
        <v>154</v>
      </c>
      <c r="BF51" s="336">
        <f>BC51-BF45</f>
        <v>0</v>
      </c>
      <c r="BH51" s="300"/>
      <c r="BI51" s="391"/>
      <c r="BJ51" s="392" t="e">
        <f>BP45/BP43</f>
        <v>#DIV/0!</v>
      </c>
      <c r="BK51" s="649" t="s">
        <v>153</v>
      </c>
      <c r="BL51" s="650"/>
      <c r="BM51" s="290"/>
      <c r="BN51" s="335"/>
      <c r="BO51" s="335" t="s">
        <v>154</v>
      </c>
      <c r="BP51" s="336">
        <f>BM51-BP45</f>
        <v>0</v>
      </c>
    </row>
    <row r="52" spans="10:68">
      <c r="T52" s="300"/>
      <c r="AD52" s="300"/>
      <c r="AN52" s="300"/>
      <c r="AX52" s="300"/>
      <c r="BH52" s="300"/>
    </row>
    <row r="53" spans="10:68" ht="13.5" thickBot="1">
      <c r="J53" s="291"/>
      <c r="K53" s="291"/>
      <c r="L53" s="291"/>
      <c r="M53" s="291"/>
      <c r="N53" s="291"/>
      <c r="O53" s="291"/>
      <c r="P53" s="291"/>
      <c r="Q53" s="291"/>
      <c r="R53" s="291"/>
      <c r="S53" s="299"/>
      <c r="T53" s="301"/>
      <c r="U53" s="291"/>
      <c r="V53" s="291"/>
      <c r="W53" s="291"/>
      <c r="X53" s="291"/>
      <c r="Y53" s="291"/>
      <c r="Z53" s="291"/>
      <c r="AA53" s="291"/>
      <c r="AB53" s="291"/>
      <c r="AC53" s="291"/>
      <c r="AD53" s="301"/>
      <c r="AE53" s="291"/>
      <c r="AF53" s="291"/>
      <c r="AG53" s="291"/>
      <c r="AH53" s="291"/>
      <c r="AI53" s="291"/>
      <c r="AJ53" s="291"/>
      <c r="AK53" s="291"/>
      <c r="AL53" s="291"/>
      <c r="AM53" s="291"/>
      <c r="AN53" s="301"/>
      <c r="AO53" s="291"/>
      <c r="AP53" s="291"/>
      <c r="AQ53" s="291"/>
      <c r="AR53" s="291"/>
      <c r="AS53" s="291"/>
      <c r="AT53" s="291"/>
      <c r="AU53" s="291"/>
      <c r="AV53" s="291"/>
      <c r="AW53" s="291"/>
      <c r="AX53" s="301"/>
      <c r="AY53" s="291"/>
      <c r="AZ53" s="291"/>
      <c r="BA53" s="291"/>
      <c r="BB53" s="291"/>
      <c r="BC53" s="291"/>
      <c r="BD53" s="291"/>
      <c r="BE53" s="291"/>
      <c r="BF53" s="291"/>
      <c r="BG53" s="291"/>
      <c r="BH53" s="301"/>
      <c r="BI53" s="291"/>
      <c r="BJ53" s="291"/>
      <c r="BK53" s="291"/>
      <c r="BL53" s="291"/>
      <c r="BM53" s="291"/>
      <c r="BN53" s="291"/>
      <c r="BO53" s="291"/>
      <c r="BP53" s="291"/>
    </row>
    <row r="54" spans="10:68" ht="15.75" thickBot="1">
      <c r="J54" s="154"/>
      <c r="K54" s="409" t="s">
        <v>7</v>
      </c>
      <c r="L54" s="536">
        <f>B30</f>
        <v>42485</v>
      </c>
      <c r="M54" s="651" t="s">
        <v>100</v>
      </c>
      <c r="N54" s="652"/>
      <c r="O54" s="653" t="s">
        <v>99</v>
      </c>
      <c r="P54" s="654"/>
      <c r="Q54" s="655" t="s">
        <v>16</v>
      </c>
      <c r="R54" s="656"/>
      <c r="S54" s="293"/>
      <c r="T54" s="300"/>
      <c r="U54" s="409" t="s">
        <v>7</v>
      </c>
      <c r="V54" s="536">
        <f>B31</f>
        <v>42486</v>
      </c>
      <c r="W54" s="651" t="s">
        <v>100</v>
      </c>
      <c r="X54" s="652"/>
      <c r="Y54" s="653" t="s">
        <v>99</v>
      </c>
      <c r="Z54" s="654"/>
      <c r="AA54" s="655" t="s">
        <v>16</v>
      </c>
      <c r="AB54" s="656"/>
      <c r="AC54" s="154"/>
      <c r="AD54" s="300"/>
      <c r="AE54" s="409" t="s">
        <v>7</v>
      </c>
      <c r="AF54" s="536">
        <f>B32</f>
        <v>42487</v>
      </c>
      <c r="AG54" s="651" t="s">
        <v>100</v>
      </c>
      <c r="AH54" s="652"/>
      <c r="AI54" s="653" t="s">
        <v>99</v>
      </c>
      <c r="AJ54" s="654"/>
      <c r="AK54" s="655" t="s">
        <v>16</v>
      </c>
      <c r="AL54" s="656"/>
      <c r="AM54" s="154"/>
      <c r="AN54" s="300"/>
      <c r="AO54" s="409" t="s">
        <v>7</v>
      </c>
      <c r="AP54" s="536">
        <f>B33</f>
        <v>42488</v>
      </c>
      <c r="AQ54" s="651" t="s">
        <v>100</v>
      </c>
      <c r="AR54" s="652"/>
      <c r="AS54" s="653" t="s">
        <v>99</v>
      </c>
      <c r="AT54" s="654"/>
      <c r="AU54" s="655" t="s">
        <v>16</v>
      </c>
      <c r="AV54" s="656"/>
      <c r="AW54" s="154"/>
      <c r="AX54" s="300"/>
      <c r="AY54" s="409" t="s">
        <v>7</v>
      </c>
      <c r="AZ54" s="536">
        <f>B34</f>
        <v>42489</v>
      </c>
      <c r="BA54" s="651" t="s">
        <v>100</v>
      </c>
      <c r="BB54" s="652"/>
      <c r="BC54" s="653" t="s">
        <v>99</v>
      </c>
      <c r="BD54" s="654"/>
      <c r="BE54" s="655" t="s">
        <v>16</v>
      </c>
      <c r="BF54" s="656"/>
      <c r="BG54" s="154"/>
      <c r="BH54" s="300"/>
      <c r="BI54" s="409" t="s">
        <v>7</v>
      </c>
      <c r="BJ54" s="536">
        <f>B35</f>
        <v>42490</v>
      </c>
      <c r="BK54" s="651" t="s">
        <v>100</v>
      </c>
      <c r="BL54" s="652"/>
      <c r="BM54" s="653" t="s">
        <v>99</v>
      </c>
      <c r="BN54" s="654"/>
      <c r="BO54" s="655" t="s">
        <v>16</v>
      </c>
      <c r="BP54" s="656"/>
    </row>
    <row r="55" spans="10:68" ht="13.5" thickBot="1">
      <c r="J55" s="154"/>
      <c r="K55" s="394"/>
      <c r="L55" s="393"/>
      <c r="M55" s="394"/>
      <c r="N55" s="395"/>
      <c r="O55" s="394"/>
      <c r="P55" s="395"/>
      <c r="Q55" s="393"/>
      <c r="R55" s="395"/>
      <c r="S55" s="156"/>
      <c r="T55" s="300"/>
      <c r="U55" s="394"/>
      <c r="V55" s="393"/>
      <c r="W55" s="394"/>
      <c r="X55" s="395"/>
      <c r="Y55" s="394"/>
      <c r="Z55" s="395"/>
      <c r="AA55" s="393"/>
      <c r="AB55" s="395"/>
      <c r="AC55" s="154"/>
      <c r="AD55" s="300"/>
      <c r="AE55" s="394"/>
      <c r="AF55" s="393"/>
      <c r="AG55" s="394"/>
      <c r="AH55" s="395"/>
      <c r="AI55" s="394"/>
      <c r="AJ55" s="395"/>
      <c r="AK55" s="393"/>
      <c r="AL55" s="395"/>
      <c r="AM55" s="154"/>
      <c r="AN55" s="300"/>
      <c r="AO55" s="394"/>
      <c r="AP55" s="393"/>
      <c r="AQ55" s="394"/>
      <c r="AR55" s="395"/>
      <c r="AS55" s="394"/>
      <c r="AT55" s="395"/>
      <c r="AU55" s="393"/>
      <c r="AV55" s="395"/>
      <c r="AW55" s="154"/>
      <c r="AX55" s="300"/>
      <c r="AY55" s="394"/>
      <c r="AZ55" s="393"/>
      <c r="BA55" s="394"/>
      <c r="BB55" s="395"/>
      <c r="BC55" s="394"/>
      <c r="BD55" s="395"/>
      <c r="BE55" s="393"/>
      <c r="BF55" s="395"/>
      <c r="BG55" s="154"/>
      <c r="BH55" s="300"/>
      <c r="BI55" s="394"/>
      <c r="BJ55" s="393"/>
      <c r="BK55" s="394"/>
      <c r="BL55" s="395"/>
      <c r="BM55" s="394"/>
      <c r="BN55" s="395"/>
      <c r="BO55" s="393"/>
      <c r="BP55" s="395"/>
    </row>
    <row r="56" spans="10:68" ht="16.5" thickBot="1">
      <c r="J56" s="154"/>
      <c r="K56" s="394"/>
      <c r="L56" s="396" t="s">
        <v>155</v>
      </c>
      <c r="M56" s="397" t="s">
        <v>103</v>
      </c>
      <c r="N56" s="279"/>
      <c r="O56" s="397" t="s">
        <v>103</v>
      </c>
      <c r="P56" s="279"/>
      <c r="Q56" s="398" t="s">
        <v>103</v>
      </c>
      <c r="R56" s="399">
        <f>SUM(N56,P56)</f>
        <v>0</v>
      </c>
      <c r="S56" s="294"/>
      <c r="T56" s="300"/>
      <c r="U56" s="394"/>
      <c r="V56" s="396" t="s">
        <v>155</v>
      </c>
      <c r="W56" s="397" t="s">
        <v>103</v>
      </c>
      <c r="X56" s="279"/>
      <c r="Y56" s="397" t="s">
        <v>103</v>
      </c>
      <c r="Z56" s="279"/>
      <c r="AA56" s="398" t="s">
        <v>103</v>
      </c>
      <c r="AB56" s="399">
        <f>SUM(X56,Z56)</f>
        <v>0</v>
      </c>
      <c r="AC56" s="154"/>
      <c r="AD56" s="300"/>
      <c r="AE56" s="394"/>
      <c r="AF56" s="396" t="s">
        <v>155</v>
      </c>
      <c r="AG56" s="397" t="s">
        <v>103</v>
      </c>
      <c r="AH56" s="279"/>
      <c r="AI56" s="397" t="s">
        <v>103</v>
      </c>
      <c r="AJ56" s="279"/>
      <c r="AK56" s="398" t="s">
        <v>103</v>
      </c>
      <c r="AL56" s="399">
        <f>SUM(AH56,AJ56)</f>
        <v>0</v>
      </c>
      <c r="AM56" s="154"/>
      <c r="AN56" s="300"/>
      <c r="AO56" s="394"/>
      <c r="AP56" s="396" t="s">
        <v>155</v>
      </c>
      <c r="AQ56" s="397" t="s">
        <v>103</v>
      </c>
      <c r="AR56" s="279"/>
      <c r="AS56" s="397" t="s">
        <v>103</v>
      </c>
      <c r="AT56" s="279"/>
      <c r="AU56" s="398" t="s">
        <v>103</v>
      </c>
      <c r="AV56" s="399">
        <f>SUM(AR56,AT56)</f>
        <v>0</v>
      </c>
      <c r="AW56" s="154"/>
      <c r="AX56" s="300"/>
      <c r="AY56" s="394"/>
      <c r="AZ56" s="396" t="s">
        <v>155</v>
      </c>
      <c r="BA56" s="397" t="s">
        <v>103</v>
      </c>
      <c r="BB56" s="279"/>
      <c r="BC56" s="397" t="s">
        <v>103</v>
      </c>
      <c r="BD56" s="279"/>
      <c r="BE56" s="398" t="s">
        <v>103</v>
      </c>
      <c r="BF56" s="399">
        <f>SUM(BB56,BD56)</f>
        <v>0</v>
      </c>
      <c r="BG56" s="154"/>
      <c r="BH56" s="300"/>
      <c r="BI56" s="394"/>
      <c r="BJ56" s="396" t="s">
        <v>155</v>
      </c>
      <c r="BK56" s="397" t="s">
        <v>103</v>
      </c>
      <c r="BL56" s="279"/>
      <c r="BM56" s="397" t="s">
        <v>103</v>
      </c>
      <c r="BN56" s="279"/>
      <c r="BO56" s="398" t="s">
        <v>103</v>
      </c>
      <c r="BP56" s="399">
        <f>SUM(BL56,BN56)</f>
        <v>0</v>
      </c>
    </row>
    <row r="57" spans="10:68" ht="18.75" thickBot="1">
      <c r="K57" s="394"/>
      <c r="L57" s="289">
        <v>8</v>
      </c>
      <c r="M57" s="400" t="s">
        <v>5</v>
      </c>
      <c r="N57" s="401">
        <f>VLOOKUP(L54, $B$3:$E$109, 4, FALSE)</f>
        <v>0</v>
      </c>
      <c r="O57" s="400" t="s">
        <v>5</v>
      </c>
      <c r="P57" s="402">
        <f>VLOOKUP(L54, $B$3:$F$109, 5, FALSE)</f>
        <v>0</v>
      </c>
      <c r="Q57" s="403" t="s">
        <v>5</v>
      </c>
      <c r="R57" s="399">
        <f>SUM(N57,P57)</f>
        <v>0</v>
      </c>
      <c r="S57" s="294"/>
      <c r="T57" s="300"/>
      <c r="U57" s="394"/>
      <c r="V57" s="289">
        <v>8</v>
      </c>
      <c r="W57" s="400" t="s">
        <v>5</v>
      </c>
      <c r="X57" s="401">
        <f>VLOOKUP(V54, $B$3:$E$109, 4, FALSE)</f>
        <v>0</v>
      </c>
      <c r="Y57" s="400" t="s">
        <v>5</v>
      </c>
      <c r="Z57" s="402">
        <f>VLOOKUP(V54, $B$3:$F$109, 5, FALSE)</f>
        <v>0</v>
      </c>
      <c r="AA57" s="403" t="s">
        <v>5</v>
      </c>
      <c r="AB57" s="399">
        <f>SUM(X57,Z57)</f>
        <v>0</v>
      </c>
      <c r="AD57" s="300"/>
      <c r="AE57" s="394"/>
      <c r="AF57" s="289">
        <v>8</v>
      </c>
      <c r="AG57" s="400" t="s">
        <v>5</v>
      </c>
      <c r="AH57" s="401">
        <f>VLOOKUP(AF54, $B$3:$E$109, 4, FALSE)</f>
        <v>0</v>
      </c>
      <c r="AI57" s="400" t="s">
        <v>5</v>
      </c>
      <c r="AJ57" s="402">
        <f>VLOOKUP(AF54, $B$3:$F$109, 5, FALSE)</f>
        <v>0</v>
      </c>
      <c r="AK57" s="403" t="s">
        <v>5</v>
      </c>
      <c r="AL57" s="399">
        <f>SUM(AH57,AJ57)</f>
        <v>0</v>
      </c>
      <c r="AN57" s="300"/>
      <c r="AO57" s="394"/>
      <c r="AP57" s="289">
        <v>8</v>
      </c>
      <c r="AQ57" s="400" t="s">
        <v>5</v>
      </c>
      <c r="AR57" s="401">
        <f>VLOOKUP(AP54, $B$3:$E$109, 4, FALSE)</f>
        <v>0</v>
      </c>
      <c r="AS57" s="400" t="s">
        <v>5</v>
      </c>
      <c r="AT57" s="402">
        <f>VLOOKUP(AP54, $B$3:$F$109, 5, FALSE)</f>
        <v>0</v>
      </c>
      <c r="AU57" s="403" t="s">
        <v>5</v>
      </c>
      <c r="AV57" s="399">
        <f>SUM(AR57,AT57)</f>
        <v>0</v>
      </c>
      <c r="AX57" s="300"/>
      <c r="AY57" s="394"/>
      <c r="AZ57" s="289">
        <v>8</v>
      </c>
      <c r="BA57" s="400" t="s">
        <v>5</v>
      </c>
      <c r="BB57" s="401">
        <f>VLOOKUP(AZ54, $B$3:$E$109, 4, FALSE)</f>
        <v>0</v>
      </c>
      <c r="BC57" s="400" t="s">
        <v>5</v>
      </c>
      <c r="BD57" s="402">
        <f>VLOOKUP(AZ54, $B$3:$F$109, 5, FALSE)</f>
        <v>0</v>
      </c>
      <c r="BE57" s="403" t="s">
        <v>5</v>
      </c>
      <c r="BF57" s="399">
        <f>SUM(BB57,BD57)</f>
        <v>0</v>
      </c>
      <c r="BH57" s="300"/>
      <c r="BI57" s="394"/>
      <c r="BJ57" s="289">
        <v>8</v>
      </c>
      <c r="BK57" s="400" t="s">
        <v>5</v>
      </c>
      <c r="BL57" s="401">
        <f>VLOOKUP(BJ54, $B$3:$E$109, 4, FALSE)</f>
        <v>0</v>
      </c>
      <c r="BM57" s="400" t="s">
        <v>5</v>
      </c>
      <c r="BN57" s="402">
        <f>VLOOKUP(BJ54, $B$3:$F$109, 5, FALSE)</f>
        <v>0</v>
      </c>
      <c r="BO57" s="403" t="s">
        <v>5</v>
      </c>
      <c r="BP57" s="399">
        <f>SUM(BL57,BN57)</f>
        <v>0</v>
      </c>
    </row>
    <row r="58" spans="10:68" ht="15.75" customHeight="1">
      <c r="K58" s="394"/>
      <c r="L58" s="393"/>
      <c r="M58" s="657" t="s">
        <v>105</v>
      </c>
      <c r="N58" s="401">
        <f>VLOOKUP(L54, $B$3:$E$109, 2, FALSE)</f>
        <v>0</v>
      </c>
      <c r="O58" s="657" t="s">
        <v>105</v>
      </c>
      <c r="P58" s="402">
        <f>VLOOKUP(L54, $B$3:$E$109, 3, FALSE)</f>
        <v>0</v>
      </c>
      <c r="Q58" s="658" t="s">
        <v>105</v>
      </c>
      <c r="R58" s="399">
        <f>SUM(N58,P58)</f>
        <v>0</v>
      </c>
      <c r="S58" s="294"/>
      <c r="T58" s="300"/>
      <c r="U58" s="394"/>
      <c r="V58" s="393"/>
      <c r="W58" s="657" t="s">
        <v>105</v>
      </c>
      <c r="X58" s="401">
        <f>VLOOKUP(V54, $B$3:$E$109, 2, FALSE)</f>
        <v>0</v>
      </c>
      <c r="Y58" s="657" t="s">
        <v>105</v>
      </c>
      <c r="Z58" s="402">
        <f>VLOOKUP(V54, $B$3:$E$109, 3, FALSE)</f>
        <v>0</v>
      </c>
      <c r="AA58" s="658" t="s">
        <v>105</v>
      </c>
      <c r="AB58" s="399">
        <f>SUM(X58,Z58)</f>
        <v>0</v>
      </c>
      <c r="AD58" s="300"/>
      <c r="AE58" s="394"/>
      <c r="AF58" s="393"/>
      <c r="AG58" s="657" t="s">
        <v>105</v>
      </c>
      <c r="AH58" s="401">
        <f>VLOOKUP(AF54, $B$3:$E$109, 2, FALSE)</f>
        <v>0</v>
      </c>
      <c r="AI58" s="657" t="s">
        <v>105</v>
      </c>
      <c r="AJ58" s="402">
        <f>VLOOKUP(AF54, $B$3:$E$109, 3, FALSE)</f>
        <v>0</v>
      </c>
      <c r="AK58" s="658" t="s">
        <v>105</v>
      </c>
      <c r="AL58" s="399">
        <f>SUM(AH58,AJ58)</f>
        <v>0</v>
      </c>
      <c r="AN58" s="300"/>
      <c r="AO58" s="394"/>
      <c r="AP58" s="393"/>
      <c r="AQ58" s="657" t="s">
        <v>105</v>
      </c>
      <c r="AR58" s="401">
        <f>VLOOKUP(AP54, $B$3:$E$109, 2, FALSE)</f>
        <v>0</v>
      </c>
      <c r="AS58" s="657" t="s">
        <v>105</v>
      </c>
      <c r="AT58" s="402">
        <f>VLOOKUP(AP54, $B$3:$E$109, 3, FALSE)</f>
        <v>0</v>
      </c>
      <c r="AU58" s="658" t="s">
        <v>105</v>
      </c>
      <c r="AV58" s="399">
        <f>SUM(AR58,AT58)</f>
        <v>0</v>
      </c>
      <c r="AX58" s="300"/>
      <c r="AY58" s="394"/>
      <c r="AZ58" s="393"/>
      <c r="BA58" s="657" t="s">
        <v>105</v>
      </c>
      <c r="BB58" s="401">
        <f>VLOOKUP(AZ54, $B$3:$E$109, 2, FALSE)</f>
        <v>0</v>
      </c>
      <c r="BC58" s="657" t="s">
        <v>105</v>
      </c>
      <c r="BD58" s="402">
        <f>VLOOKUP(AZ54, $B$3:$E$109, 3, FALSE)</f>
        <v>0</v>
      </c>
      <c r="BE58" s="658" t="s">
        <v>105</v>
      </c>
      <c r="BF58" s="399">
        <f>SUM(BB58,BD58)</f>
        <v>0</v>
      </c>
      <c r="BH58" s="300"/>
      <c r="BI58" s="394"/>
      <c r="BJ58" s="393"/>
      <c r="BK58" s="657" t="s">
        <v>105</v>
      </c>
      <c r="BL58" s="401">
        <f>VLOOKUP(BJ54, $B$3:$E$109, 2, FALSE)</f>
        <v>0</v>
      </c>
      <c r="BM58" s="657" t="s">
        <v>105</v>
      </c>
      <c r="BN58" s="402">
        <f>VLOOKUP(BJ54, $B$3:$E$109, 3, FALSE)</f>
        <v>0</v>
      </c>
      <c r="BO58" s="658" t="s">
        <v>105</v>
      </c>
      <c r="BP58" s="399">
        <f>SUM(BL58,BN58)</f>
        <v>0</v>
      </c>
    </row>
    <row r="59" spans="10:68" ht="12.75" customHeight="1">
      <c r="K59" s="688" t="s">
        <v>157</v>
      </c>
      <c r="L59" s="689"/>
      <c r="M59" s="658"/>
      <c r="N59" s="395"/>
      <c r="O59" s="657"/>
      <c r="P59" s="395"/>
      <c r="Q59" s="658"/>
      <c r="R59" s="395"/>
      <c r="S59" s="156"/>
      <c r="T59" s="300"/>
      <c r="U59" s="688" t="s">
        <v>157</v>
      </c>
      <c r="V59" s="689"/>
      <c r="W59" s="658"/>
      <c r="X59" s="395"/>
      <c r="Y59" s="657"/>
      <c r="Z59" s="395"/>
      <c r="AA59" s="658"/>
      <c r="AB59" s="395"/>
      <c r="AD59" s="300"/>
      <c r="AE59" s="688" t="s">
        <v>157</v>
      </c>
      <c r="AF59" s="689"/>
      <c r="AG59" s="658"/>
      <c r="AH59" s="395"/>
      <c r="AI59" s="657"/>
      <c r="AJ59" s="395"/>
      <c r="AK59" s="658"/>
      <c r="AL59" s="395"/>
      <c r="AN59" s="300"/>
      <c r="AO59" s="688" t="s">
        <v>157</v>
      </c>
      <c r="AP59" s="689"/>
      <c r="AQ59" s="658"/>
      <c r="AR59" s="395"/>
      <c r="AS59" s="657"/>
      <c r="AT59" s="395"/>
      <c r="AU59" s="658"/>
      <c r="AV59" s="395"/>
      <c r="AX59" s="300"/>
      <c r="AY59" s="688" t="s">
        <v>157</v>
      </c>
      <c r="AZ59" s="689"/>
      <c r="BA59" s="658"/>
      <c r="BB59" s="395"/>
      <c r="BC59" s="657"/>
      <c r="BD59" s="395"/>
      <c r="BE59" s="658"/>
      <c r="BF59" s="395"/>
      <c r="BH59" s="300"/>
      <c r="BI59" s="688" t="s">
        <v>157</v>
      </c>
      <c r="BJ59" s="689"/>
      <c r="BK59" s="658"/>
      <c r="BL59" s="395"/>
      <c r="BM59" s="657"/>
      <c r="BN59" s="395"/>
      <c r="BO59" s="658"/>
      <c r="BP59" s="395"/>
    </row>
    <row r="60" spans="10:68" ht="15.75">
      <c r="K60" s="411"/>
      <c r="L60" s="404">
        <f>R56*13</f>
        <v>0</v>
      </c>
      <c r="M60" s="405"/>
      <c r="N60" s="395"/>
      <c r="O60" s="406"/>
      <c r="P60" s="395"/>
      <c r="Q60" s="407"/>
      <c r="R60" s="395"/>
      <c r="S60" s="156"/>
      <c r="T60" s="300"/>
      <c r="U60" s="411"/>
      <c r="V60" s="404">
        <f>AB56*13</f>
        <v>0</v>
      </c>
      <c r="W60" s="405"/>
      <c r="X60" s="395"/>
      <c r="Y60" s="406"/>
      <c r="Z60" s="395"/>
      <c r="AA60" s="407"/>
      <c r="AB60" s="395"/>
      <c r="AD60" s="300"/>
      <c r="AE60" s="411"/>
      <c r="AF60" s="404">
        <f>AL56*13</f>
        <v>0</v>
      </c>
      <c r="AG60" s="405"/>
      <c r="AH60" s="395"/>
      <c r="AI60" s="406"/>
      <c r="AJ60" s="395"/>
      <c r="AK60" s="407"/>
      <c r="AL60" s="395"/>
      <c r="AN60" s="300"/>
      <c r="AO60" s="411"/>
      <c r="AP60" s="404">
        <f>AV56*13</f>
        <v>0</v>
      </c>
      <c r="AQ60" s="405"/>
      <c r="AR60" s="395"/>
      <c r="AS60" s="406"/>
      <c r="AT60" s="395"/>
      <c r="AU60" s="407"/>
      <c r="AV60" s="395"/>
      <c r="AX60" s="300"/>
      <c r="AY60" s="411"/>
      <c r="AZ60" s="404">
        <f>BF56*13</f>
        <v>0</v>
      </c>
      <c r="BA60" s="405"/>
      <c r="BB60" s="395"/>
      <c r="BC60" s="406"/>
      <c r="BD60" s="395"/>
      <c r="BE60" s="407"/>
      <c r="BF60" s="395"/>
      <c r="BH60" s="300"/>
      <c r="BI60" s="411"/>
      <c r="BJ60" s="404">
        <f>BP56*13</f>
        <v>0</v>
      </c>
      <c r="BK60" s="405"/>
      <c r="BL60" s="395"/>
      <c r="BM60" s="406"/>
      <c r="BN60" s="395"/>
      <c r="BO60" s="407"/>
      <c r="BP60" s="395"/>
    </row>
    <row r="61" spans="10:68" ht="18.75">
      <c r="K61" s="394"/>
      <c r="L61" s="412"/>
      <c r="M61" s="286" t="s">
        <v>97</v>
      </c>
      <c r="N61" s="287" t="e">
        <f>N58/((N56*EFFICIENCY!$H$28))</f>
        <v>#DIV/0!</v>
      </c>
      <c r="O61" s="286" t="s">
        <v>97</v>
      </c>
      <c r="P61" s="287" t="e">
        <f>P58/(P56*EFFICIENCY!$H$28)</f>
        <v>#DIV/0!</v>
      </c>
      <c r="Q61" s="286" t="s">
        <v>97</v>
      </c>
      <c r="R61" s="287" t="e">
        <f>R58/(R56*EFFICIENCY!$H$28)</f>
        <v>#DIV/0!</v>
      </c>
      <c r="S61" s="295"/>
      <c r="T61" s="300"/>
      <c r="U61" s="394"/>
      <c r="V61" s="412"/>
      <c r="W61" s="286" t="s">
        <v>97</v>
      </c>
      <c r="X61" s="287" t="e">
        <f>X58/((X56*EFFICIENCY!$H$28))</f>
        <v>#DIV/0!</v>
      </c>
      <c r="Y61" s="286" t="s">
        <v>97</v>
      </c>
      <c r="Z61" s="287" t="e">
        <f>Z58/(Z56*EFFICIENCY!$H$28)</f>
        <v>#DIV/0!</v>
      </c>
      <c r="AA61" s="286" t="s">
        <v>97</v>
      </c>
      <c r="AB61" s="287" t="e">
        <f>AB58/(AB56*EFFICIENCY!$H$28)</f>
        <v>#DIV/0!</v>
      </c>
      <c r="AD61" s="300"/>
      <c r="AE61" s="394"/>
      <c r="AF61" s="412"/>
      <c r="AG61" s="286" t="s">
        <v>97</v>
      </c>
      <c r="AH61" s="287" t="e">
        <f>AH58/((AH56*EFFICIENCY!$H$28))</f>
        <v>#DIV/0!</v>
      </c>
      <c r="AI61" s="286" t="s">
        <v>97</v>
      </c>
      <c r="AJ61" s="287" t="e">
        <f>AJ58/(AJ56*EFFICIENCY!$H$28)</f>
        <v>#DIV/0!</v>
      </c>
      <c r="AK61" s="286" t="s">
        <v>97</v>
      </c>
      <c r="AL61" s="287" t="e">
        <f>AL58/(AL56*EFFICIENCY!$H$28)</f>
        <v>#DIV/0!</v>
      </c>
      <c r="AN61" s="300"/>
      <c r="AO61" s="394"/>
      <c r="AP61" s="412"/>
      <c r="AQ61" s="286" t="s">
        <v>97</v>
      </c>
      <c r="AR61" s="287" t="e">
        <f>AR58/((AR56*EFFICIENCY!$H$28))</f>
        <v>#DIV/0!</v>
      </c>
      <c r="AS61" s="286" t="s">
        <v>97</v>
      </c>
      <c r="AT61" s="287" t="e">
        <f>AT58/(AT56*EFFICIENCY!$H$28)</f>
        <v>#DIV/0!</v>
      </c>
      <c r="AU61" s="286" t="s">
        <v>97</v>
      </c>
      <c r="AV61" s="287" t="e">
        <f>AV58/(AV56*EFFICIENCY!$H$28)</f>
        <v>#DIV/0!</v>
      </c>
      <c r="AX61" s="300"/>
      <c r="AY61" s="394"/>
      <c r="AZ61" s="412"/>
      <c r="BA61" s="286" t="s">
        <v>97</v>
      </c>
      <c r="BB61" s="287" t="e">
        <f>BB58/((BB56*EFFICIENCY!$H$28))</f>
        <v>#DIV/0!</v>
      </c>
      <c r="BC61" s="286" t="s">
        <v>97</v>
      </c>
      <c r="BD61" s="287" t="e">
        <f>BD58/(BD56*EFFICIENCY!$H$28)</f>
        <v>#DIV/0!</v>
      </c>
      <c r="BE61" s="286" t="s">
        <v>97</v>
      </c>
      <c r="BF61" s="287" t="e">
        <f>BF58/(BF56*EFFICIENCY!$H$28)</f>
        <v>#DIV/0!</v>
      </c>
      <c r="BH61" s="300"/>
      <c r="BI61" s="394"/>
      <c r="BJ61" s="412"/>
      <c r="BK61" s="286" t="s">
        <v>97</v>
      </c>
      <c r="BL61" s="287" t="e">
        <f>BL58/((BL56*EFFICIENCY!$H$28))</f>
        <v>#DIV/0!</v>
      </c>
      <c r="BM61" s="286" t="s">
        <v>97</v>
      </c>
      <c r="BN61" s="287" t="e">
        <f>BN58/(BN56*EFFICIENCY!$H$28)</f>
        <v>#DIV/0!</v>
      </c>
      <c r="BO61" s="286" t="s">
        <v>97</v>
      </c>
      <c r="BP61" s="287" t="e">
        <f>BP58/(BP56*EFFICIENCY!$H$28)</f>
        <v>#DIV/0!</v>
      </c>
    </row>
    <row r="62" spans="10:68" ht="18.75">
      <c r="K62" s="394"/>
      <c r="L62" s="393"/>
      <c r="M62" s="280" t="s">
        <v>96</v>
      </c>
      <c r="N62" s="281" t="e">
        <f>N58/(N56*EFFICIENCY!$I$28)</f>
        <v>#DIV/0!</v>
      </c>
      <c r="O62" s="280" t="s">
        <v>96</v>
      </c>
      <c r="P62" s="281" t="e">
        <f>P58/(P56*EFFICIENCY!$I$28)</f>
        <v>#DIV/0!</v>
      </c>
      <c r="Q62" s="280" t="s">
        <v>96</v>
      </c>
      <c r="R62" s="281" t="e">
        <f>R58/(R56*EFFICIENCY!$I$28)</f>
        <v>#DIV/0!</v>
      </c>
      <c r="S62" s="296"/>
      <c r="T62" s="300"/>
      <c r="U62" s="394"/>
      <c r="V62" s="393"/>
      <c r="W62" s="280" t="s">
        <v>96</v>
      </c>
      <c r="X62" s="281" t="e">
        <f>X58/(X56*EFFICIENCY!$I$28)</f>
        <v>#DIV/0!</v>
      </c>
      <c r="Y62" s="280" t="s">
        <v>96</v>
      </c>
      <c r="Z62" s="281" t="e">
        <f>Z58/(Z56*EFFICIENCY!$I$28)</f>
        <v>#DIV/0!</v>
      </c>
      <c r="AA62" s="280" t="s">
        <v>96</v>
      </c>
      <c r="AB62" s="281" t="e">
        <f>AB58/(AB56*EFFICIENCY!$I$28)</f>
        <v>#DIV/0!</v>
      </c>
      <c r="AD62" s="300"/>
      <c r="AE62" s="394"/>
      <c r="AF62" s="393"/>
      <c r="AG62" s="280" t="s">
        <v>96</v>
      </c>
      <c r="AH62" s="281" t="e">
        <f>AH58/(AH56*EFFICIENCY!$I$28)</f>
        <v>#DIV/0!</v>
      </c>
      <c r="AI62" s="280" t="s">
        <v>96</v>
      </c>
      <c r="AJ62" s="281" t="e">
        <f>AJ58/(AJ56*EFFICIENCY!$I$28)</f>
        <v>#DIV/0!</v>
      </c>
      <c r="AK62" s="280" t="s">
        <v>96</v>
      </c>
      <c r="AL62" s="281" t="e">
        <f>AL58/(AL56*EFFICIENCY!$I$28)</f>
        <v>#DIV/0!</v>
      </c>
      <c r="AN62" s="300"/>
      <c r="AO62" s="394"/>
      <c r="AP62" s="393"/>
      <c r="AQ62" s="280" t="s">
        <v>96</v>
      </c>
      <c r="AR62" s="281" t="e">
        <f>AR58/(AR56*EFFICIENCY!$I$28)</f>
        <v>#DIV/0!</v>
      </c>
      <c r="AS62" s="280" t="s">
        <v>96</v>
      </c>
      <c r="AT62" s="281" t="e">
        <f>AT58/(AT56*EFFICIENCY!$I$28)</f>
        <v>#DIV/0!</v>
      </c>
      <c r="AU62" s="280" t="s">
        <v>96</v>
      </c>
      <c r="AV62" s="281" t="e">
        <f>AV58/(AV56*EFFICIENCY!$I$28)</f>
        <v>#DIV/0!</v>
      </c>
      <c r="AX62" s="300"/>
      <c r="AY62" s="394"/>
      <c r="AZ62" s="393"/>
      <c r="BA62" s="280" t="s">
        <v>96</v>
      </c>
      <c r="BB62" s="281" t="e">
        <f>BB58/(BB56*EFFICIENCY!$I$28)</f>
        <v>#DIV/0!</v>
      </c>
      <c r="BC62" s="280" t="s">
        <v>96</v>
      </c>
      <c r="BD62" s="281" t="e">
        <f>BD58/(BD56*EFFICIENCY!$I$28)</f>
        <v>#DIV/0!</v>
      </c>
      <c r="BE62" s="280" t="s">
        <v>96</v>
      </c>
      <c r="BF62" s="281" t="e">
        <f>BF58/(BF56*EFFICIENCY!$I$28)</f>
        <v>#DIV/0!</v>
      </c>
      <c r="BH62" s="300"/>
      <c r="BI62" s="394"/>
      <c r="BJ62" s="393"/>
      <c r="BK62" s="280" t="s">
        <v>96</v>
      </c>
      <c r="BL62" s="281" t="e">
        <f>BL58/(BL56*EFFICIENCY!$I$28)</f>
        <v>#DIV/0!</v>
      </c>
      <c r="BM62" s="280" t="s">
        <v>96</v>
      </c>
      <c r="BN62" s="281" t="e">
        <f>BN58/(BN56*EFFICIENCY!$I$28)</f>
        <v>#DIV/0!</v>
      </c>
      <c r="BO62" s="280" t="s">
        <v>96</v>
      </c>
      <c r="BP62" s="281" t="e">
        <f>BP58/(BP56*EFFICIENCY!$I$28)</f>
        <v>#DIV/0!</v>
      </c>
    </row>
    <row r="63" spans="10:68" ht="19.5" customHeight="1" thickBot="1">
      <c r="K63" s="690" t="s">
        <v>156</v>
      </c>
      <c r="L63" s="691"/>
      <c r="M63" s="284" t="s">
        <v>94</v>
      </c>
      <c r="N63" s="285" t="e">
        <f>N58/((N56*EFFICIENCY!$K$28))</f>
        <v>#DIV/0!</v>
      </c>
      <c r="O63" s="288" t="s">
        <v>94</v>
      </c>
      <c r="P63" s="285" t="e">
        <f>P58/((P56*EFFICIENCY!$K$28))</f>
        <v>#DIV/0!</v>
      </c>
      <c r="Q63" s="284" t="s">
        <v>94</v>
      </c>
      <c r="R63" s="285" t="e">
        <f>R58/((R56*EFFICIENCY!$K$28))</f>
        <v>#DIV/0!</v>
      </c>
      <c r="S63" s="297"/>
      <c r="T63" s="300"/>
      <c r="U63" s="690" t="s">
        <v>156</v>
      </c>
      <c r="V63" s="691"/>
      <c r="W63" s="284" t="s">
        <v>94</v>
      </c>
      <c r="X63" s="285" t="e">
        <f>X58/((X56*EFFICIENCY!$K$28))</f>
        <v>#DIV/0!</v>
      </c>
      <c r="Y63" s="288" t="s">
        <v>94</v>
      </c>
      <c r="Z63" s="285" t="e">
        <f>Z58/((Z56*EFFICIENCY!$K$28))</f>
        <v>#DIV/0!</v>
      </c>
      <c r="AA63" s="284" t="s">
        <v>94</v>
      </c>
      <c r="AB63" s="285" t="e">
        <f>AB58/((AB56*EFFICIENCY!$K$28))</f>
        <v>#DIV/0!</v>
      </c>
      <c r="AD63" s="300"/>
      <c r="AE63" s="690" t="s">
        <v>156</v>
      </c>
      <c r="AF63" s="691"/>
      <c r="AG63" s="284" t="s">
        <v>94</v>
      </c>
      <c r="AH63" s="285" t="e">
        <f>AH58/((AH56*EFFICIENCY!$K$28))</f>
        <v>#DIV/0!</v>
      </c>
      <c r="AI63" s="288" t="s">
        <v>94</v>
      </c>
      <c r="AJ63" s="285" t="e">
        <f>AJ58/((AJ56*EFFICIENCY!$K$28))</f>
        <v>#DIV/0!</v>
      </c>
      <c r="AK63" s="284" t="s">
        <v>94</v>
      </c>
      <c r="AL63" s="285" t="e">
        <f>AL58/((AL56*EFFICIENCY!$K$28))</f>
        <v>#DIV/0!</v>
      </c>
      <c r="AN63" s="300"/>
      <c r="AO63" s="690" t="s">
        <v>156</v>
      </c>
      <c r="AP63" s="691"/>
      <c r="AQ63" s="284" t="s">
        <v>94</v>
      </c>
      <c r="AR63" s="285" t="e">
        <f>AR58/((AR56*EFFICIENCY!$K$28))</f>
        <v>#DIV/0!</v>
      </c>
      <c r="AS63" s="288" t="s">
        <v>94</v>
      </c>
      <c r="AT63" s="285" t="e">
        <f>AT58/((AT56*EFFICIENCY!$K$28))</f>
        <v>#DIV/0!</v>
      </c>
      <c r="AU63" s="284" t="s">
        <v>94</v>
      </c>
      <c r="AV63" s="285" t="e">
        <f>AV58/((AV56*EFFICIENCY!$K$28))</f>
        <v>#DIV/0!</v>
      </c>
      <c r="AX63" s="300"/>
      <c r="AY63" s="690" t="s">
        <v>156</v>
      </c>
      <c r="AZ63" s="691"/>
      <c r="BA63" s="284" t="s">
        <v>94</v>
      </c>
      <c r="BB63" s="285" t="e">
        <f>BB58/((BB56*EFFICIENCY!$K$28))</f>
        <v>#DIV/0!</v>
      </c>
      <c r="BC63" s="288" t="s">
        <v>94</v>
      </c>
      <c r="BD63" s="285" t="e">
        <f>BD58/((BD56*EFFICIENCY!$K$28))</f>
        <v>#DIV/0!</v>
      </c>
      <c r="BE63" s="284" t="s">
        <v>94</v>
      </c>
      <c r="BF63" s="285" t="e">
        <f>BF58/((BF56*EFFICIENCY!$K$28))</f>
        <v>#DIV/0!</v>
      </c>
      <c r="BH63" s="300"/>
      <c r="BI63" s="690" t="s">
        <v>156</v>
      </c>
      <c r="BJ63" s="691"/>
      <c r="BK63" s="284" t="s">
        <v>94</v>
      </c>
      <c r="BL63" s="285" t="e">
        <f>BL58/((BL56*EFFICIENCY!$K$28))</f>
        <v>#DIV/0!</v>
      </c>
      <c r="BM63" s="288" t="s">
        <v>94</v>
      </c>
      <c r="BN63" s="285" t="e">
        <f>BN58/((BN56*EFFICIENCY!$K$28))</f>
        <v>#DIV/0!</v>
      </c>
      <c r="BO63" s="284" t="s">
        <v>94</v>
      </c>
      <c r="BP63" s="285" t="e">
        <f>BP58/((BP56*EFFICIENCY!$K$28))</f>
        <v>#DIV/0!</v>
      </c>
    </row>
    <row r="64" spans="10:68" ht="16.5" thickBot="1">
      <c r="K64" s="413"/>
      <c r="L64" s="414" t="e">
        <f>R58/R56</f>
        <v>#DIV/0!</v>
      </c>
      <c r="M64" s="647" t="s">
        <v>153</v>
      </c>
      <c r="N64" s="648"/>
      <c r="O64" s="290"/>
      <c r="P64" s="408"/>
      <c r="Q64" s="408" t="s">
        <v>154</v>
      </c>
      <c r="R64" s="415">
        <f>O64-R58</f>
        <v>0</v>
      </c>
      <c r="S64" s="298"/>
      <c r="T64" s="300"/>
      <c r="U64" s="413"/>
      <c r="V64" s="414" t="e">
        <f>AB58/AB56</f>
        <v>#DIV/0!</v>
      </c>
      <c r="W64" s="647" t="s">
        <v>153</v>
      </c>
      <c r="X64" s="648"/>
      <c r="Y64" s="290"/>
      <c r="Z64" s="408"/>
      <c r="AA64" s="408" t="s">
        <v>154</v>
      </c>
      <c r="AB64" s="415">
        <f>Y64-AB58</f>
        <v>0</v>
      </c>
      <c r="AD64" s="300"/>
      <c r="AE64" s="413"/>
      <c r="AF64" s="414" t="e">
        <f>AL58/AL56</f>
        <v>#DIV/0!</v>
      </c>
      <c r="AG64" s="647" t="s">
        <v>153</v>
      </c>
      <c r="AH64" s="648"/>
      <c r="AI64" s="290"/>
      <c r="AJ64" s="408"/>
      <c r="AK64" s="408" t="s">
        <v>154</v>
      </c>
      <c r="AL64" s="415">
        <f>AI64-AL58</f>
        <v>0</v>
      </c>
      <c r="AN64" s="300"/>
      <c r="AO64" s="413"/>
      <c r="AP64" s="414" t="e">
        <f>AV58/AV56</f>
        <v>#DIV/0!</v>
      </c>
      <c r="AQ64" s="647" t="s">
        <v>153</v>
      </c>
      <c r="AR64" s="648"/>
      <c r="AS64" s="290"/>
      <c r="AT64" s="408"/>
      <c r="AU64" s="408" t="s">
        <v>154</v>
      </c>
      <c r="AV64" s="415">
        <f>AS64-AV58</f>
        <v>0</v>
      </c>
      <c r="AX64" s="300"/>
      <c r="AY64" s="413"/>
      <c r="AZ64" s="414" t="e">
        <f>BF58/BF56</f>
        <v>#DIV/0!</v>
      </c>
      <c r="BA64" s="647" t="s">
        <v>153</v>
      </c>
      <c r="BB64" s="648"/>
      <c r="BC64" s="290"/>
      <c r="BD64" s="408"/>
      <c r="BE64" s="408" t="s">
        <v>154</v>
      </c>
      <c r="BF64" s="415">
        <f>BC64-BF58</f>
        <v>0</v>
      </c>
      <c r="BH64" s="300"/>
      <c r="BI64" s="413"/>
      <c r="BJ64" s="414" t="e">
        <f>BP58/BP56</f>
        <v>#DIV/0!</v>
      </c>
      <c r="BK64" s="647" t="s">
        <v>153</v>
      </c>
      <c r="BL64" s="648"/>
      <c r="BM64" s="290"/>
      <c r="BN64" s="408"/>
      <c r="BO64" s="408" t="s">
        <v>154</v>
      </c>
      <c r="BP64" s="415">
        <f>BM64-BP58</f>
        <v>0</v>
      </c>
    </row>
    <row r="65" spans="20:60">
      <c r="T65" s="300"/>
      <c r="AD65" s="300"/>
      <c r="AN65" s="300"/>
      <c r="AX65" s="300"/>
      <c r="BH65" s="300"/>
    </row>
    <row r="66" spans="20:60">
      <c r="T66" s="300"/>
      <c r="BH66" s="300"/>
    </row>
    <row r="67" spans="20:60">
      <c r="T67" s="300"/>
      <c r="BH67" s="300"/>
    </row>
    <row r="68" spans="20:60">
      <c r="T68" s="300"/>
      <c r="BH68" s="300"/>
    </row>
    <row r="69" spans="20:60">
      <c r="T69" s="300"/>
      <c r="BH69" s="300"/>
    </row>
    <row r="70" spans="20:60">
      <c r="T70" s="300"/>
      <c r="BH70" s="300"/>
    </row>
  </sheetData>
  <mergeCells count="240">
    <mergeCell ref="AQ1:AR1"/>
    <mergeCell ref="BA1:BB1"/>
    <mergeCell ref="BK1:BL1"/>
    <mergeCell ref="M1:N1"/>
    <mergeCell ref="W1:X1"/>
    <mergeCell ref="AG1:AH1"/>
    <mergeCell ref="BA2:BB2"/>
    <mergeCell ref="BC2:BD2"/>
    <mergeCell ref="BE2:BF2"/>
    <mergeCell ref="BK2:BL2"/>
    <mergeCell ref="BM2:BN2"/>
    <mergeCell ref="BO2:BP2"/>
    <mergeCell ref="BK6:BK7"/>
    <mergeCell ref="BM6:BM7"/>
    <mergeCell ref="BO6:BO7"/>
    <mergeCell ref="AY7:AZ7"/>
    <mergeCell ref="BI7:BJ7"/>
    <mergeCell ref="BA6:BA7"/>
    <mergeCell ref="BC6:BC7"/>
    <mergeCell ref="BE6:BE7"/>
    <mergeCell ref="BA12:BB12"/>
    <mergeCell ref="BK12:BL12"/>
    <mergeCell ref="AY11:AZ11"/>
    <mergeCell ref="BI11:BJ11"/>
    <mergeCell ref="M15:N15"/>
    <mergeCell ref="O15:P15"/>
    <mergeCell ref="Q15:R15"/>
    <mergeCell ref="W15:X15"/>
    <mergeCell ref="Y15:Z15"/>
    <mergeCell ref="AA15:AB15"/>
    <mergeCell ref="BA15:BB15"/>
    <mergeCell ref="BC15:BD15"/>
    <mergeCell ref="BE15:BF15"/>
    <mergeCell ref="BK15:BL15"/>
    <mergeCell ref="BM15:BN15"/>
    <mergeCell ref="BO15:BP15"/>
    <mergeCell ref="AG15:AH15"/>
    <mergeCell ref="AI15:AJ15"/>
    <mergeCell ref="AK15:AL15"/>
    <mergeCell ref="AQ15:AR15"/>
    <mergeCell ref="AS15:AT15"/>
    <mergeCell ref="AU15:AV15"/>
    <mergeCell ref="BK19:BK20"/>
    <mergeCell ref="BM19:BM20"/>
    <mergeCell ref="BO19:BO20"/>
    <mergeCell ref="AG19:AG20"/>
    <mergeCell ref="AI19:AI20"/>
    <mergeCell ref="AK19:AK20"/>
    <mergeCell ref="AQ19:AQ20"/>
    <mergeCell ref="AS19:AS20"/>
    <mergeCell ref="AU19:AU20"/>
    <mergeCell ref="K20:L20"/>
    <mergeCell ref="U20:V20"/>
    <mergeCell ref="AE20:AF20"/>
    <mergeCell ref="AO20:AP20"/>
    <mergeCell ref="AY20:AZ20"/>
    <mergeCell ref="BI20:BJ20"/>
    <mergeCell ref="BA19:BA20"/>
    <mergeCell ref="BC19:BC20"/>
    <mergeCell ref="BE19:BE20"/>
    <mergeCell ref="M19:M20"/>
    <mergeCell ref="O19:O20"/>
    <mergeCell ref="Q19:Q20"/>
    <mergeCell ref="W19:W20"/>
    <mergeCell ref="Y19:Y20"/>
    <mergeCell ref="AA19:AA20"/>
    <mergeCell ref="AQ25:AR25"/>
    <mergeCell ref="BA25:BB25"/>
    <mergeCell ref="BK25:BL25"/>
    <mergeCell ref="K24:L24"/>
    <mergeCell ref="U24:V24"/>
    <mergeCell ref="AE24:AF24"/>
    <mergeCell ref="AO24:AP24"/>
    <mergeCell ref="AY24:AZ24"/>
    <mergeCell ref="BI24:BJ24"/>
    <mergeCell ref="M28:N28"/>
    <mergeCell ref="O28:P28"/>
    <mergeCell ref="Q28:R28"/>
    <mergeCell ref="W28:X28"/>
    <mergeCell ref="Y28:Z28"/>
    <mergeCell ref="AA28:AB28"/>
    <mergeCell ref="M25:N25"/>
    <mergeCell ref="W25:X25"/>
    <mergeCell ref="AG25:AH25"/>
    <mergeCell ref="BA28:BB28"/>
    <mergeCell ref="BC28:BD28"/>
    <mergeCell ref="BE28:BF28"/>
    <mergeCell ref="BK28:BL28"/>
    <mergeCell ref="BM28:BN28"/>
    <mergeCell ref="BO28:BP28"/>
    <mergeCell ref="AG28:AH28"/>
    <mergeCell ref="AI28:AJ28"/>
    <mergeCell ref="AK28:AL28"/>
    <mergeCell ref="AQ28:AR28"/>
    <mergeCell ref="AS28:AT28"/>
    <mergeCell ref="AU28:AV28"/>
    <mergeCell ref="BK32:BK33"/>
    <mergeCell ref="BM32:BM33"/>
    <mergeCell ref="BO32:BO33"/>
    <mergeCell ref="AG32:AG33"/>
    <mergeCell ref="AI32:AI33"/>
    <mergeCell ref="AK32:AK33"/>
    <mergeCell ref="AQ32:AQ33"/>
    <mergeCell ref="AS32:AS33"/>
    <mergeCell ref="AU32:AU33"/>
    <mergeCell ref="K33:L33"/>
    <mergeCell ref="U33:V33"/>
    <mergeCell ref="AE33:AF33"/>
    <mergeCell ref="AO33:AP33"/>
    <mergeCell ref="AY33:AZ33"/>
    <mergeCell ref="BI33:BJ33"/>
    <mergeCell ref="BA32:BA33"/>
    <mergeCell ref="BC32:BC33"/>
    <mergeCell ref="BE32:BE33"/>
    <mergeCell ref="M32:M33"/>
    <mergeCell ref="O32:O33"/>
    <mergeCell ref="Q32:Q33"/>
    <mergeCell ref="W32:W33"/>
    <mergeCell ref="Y32:Y33"/>
    <mergeCell ref="AA32:AA33"/>
    <mergeCell ref="AQ38:AR38"/>
    <mergeCell ref="BA38:BB38"/>
    <mergeCell ref="BK38:BL38"/>
    <mergeCell ref="K37:L37"/>
    <mergeCell ref="U37:V37"/>
    <mergeCell ref="AE37:AF37"/>
    <mergeCell ref="AO37:AP37"/>
    <mergeCell ref="AY37:AZ37"/>
    <mergeCell ref="BI37:BJ37"/>
    <mergeCell ref="M41:N41"/>
    <mergeCell ref="O41:P41"/>
    <mergeCell ref="Q41:R41"/>
    <mergeCell ref="W41:X41"/>
    <mergeCell ref="Y41:Z41"/>
    <mergeCell ref="AA41:AB41"/>
    <mergeCell ref="M38:N38"/>
    <mergeCell ref="W38:X38"/>
    <mergeCell ref="AG38:AH38"/>
    <mergeCell ref="BA41:BB41"/>
    <mergeCell ref="BC41:BD41"/>
    <mergeCell ref="BE41:BF41"/>
    <mergeCell ref="BK41:BL41"/>
    <mergeCell ref="BM41:BN41"/>
    <mergeCell ref="BO41:BP41"/>
    <mergeCell ref="AG41:AH41"/>
    <mergeCell ref="AI41:AJ41"/>
    <mergeCell ref="AK41:AL41"/>
    <mergeCell ref="AQ41:AR41"/>
    <mergeCell ref="AS41:AT41"/>
    <mergeCell ref="AU41:AV41"/>
    <mergeCell ref="BK45:BK46"/>
    <mergeCell ref="BM45:BM46"/>
    <mergeCell ref="BO45:BO46"/>
    <mergeCell ref="AG45:AG46"/>
    <mergeCell ref="AI45:AI46"/>
    <mergeCell ref="AK45:AK46"/>
    <mergeCell ref="AQ45:AQ46"/>
    <mergeCell ref="AS45:AS46"/>
    <mergeCell ref="AU45:AU46"/>
    <mergeCell ref="K46:L46"/>
    <mergeCell ref="U46:V46"/>
    <mergeCell ref="AE46:AF46"/>
    <mergeCell ref="AO46:AP46"/>
    <mergeCell ref="AY46:AZ46"/>
    <mergeCell ref="BI46:BJ46"/>
    <mergeCell ref="BA45:BA46"/>
    <mergeCell ref="BC45:BC46"/>
    <mergeCell ref="BE45:BE46"/>
    <mergeCell ref="M45:M46"/>
    <mergeCell ref="O45:O46"/>
    <mergeCell ref="Q45:Q46"/>
    <mergeCell ref="W45:W46"/>
    <mergeCell ref="Y45:Y46"/>
    <mergeCell ref="AA45:AA46"/>
    <mergeCell ref="AQ51:AR51"/>
    <mergeCell ref="BA51:BB51"/>
    <mergeCell ref="BK51:BL51"/>
    <mergeCell ref="K50:L50"/>
    <mergeCell ref="U50:V50"/>
    <mergeCell ref="AE50:AF50"/>
    <mergeCell ref="AO50:AP50"/>
    <mergeCell ref="AY50:AZ50"/>
    <mergeCell ref="BI50:BJ50"/>
    <mergeCell ref="M54:N54"/>
    <mergeCell ref="O54:P54"/>
    <mergeCell ref="Q54:R54"/>
    <mergeCell ref="W54:X54"/>
    <mergeCell ref="Y54:Z54"/>
    <mergeCell ref="AA54:AB54"/>
    <mergeCell ref="M51:N51"/>
    <mergeCell ref="W51:X51"/>
    <mergeCell ref="AG51:AH51"/>
    <mergeCell ref="BA54:BB54"/>
    <mergeCell ref="BC54:BD54"/>
    <mergeCell ref="BE54:BF54"/>
    <mergeCell ref="BK54:BL54"/>
    <mergeCell ref="BM54:BN54"/>
    <mergeCell ref="BO54:BP54"/>
    <mergeCell ref="AG54:AH54"/>
    <mergeCell ref="AI54:AJ54"/>
    <mergeCell ref="AK54:AL54"/>
    <mergeCell ref="AQ54:AR54"/>
    <mergeCell ref="AS54:AT54"/>
    <mergeCell ref="AU54:AV54"/>
    <mergeCell ref="BK58:BK59"/>
    <mergeCell ref="BM58:BM59"/>
    <mergeCell ref="BO58:BO59"/>
    <mergeCell ref="AG58:AG59"/>
    <mergeCell ref="AI58:AI59"/>
    <mergeCell ref="AK58:AK59"/>
    <mergeCell ref="AQ58:AQ59"/>
    <mergeCell ref="AS58:AS59"/>
    <mergeCell ref="AU58:AU59"/>
    <mergeCell ref="K59:L59"/>
    <mergeCell ref="U59:V59"/>
    <mergeCell ref="AE59:AF59"/>
    <mergeCell ref="AO59:AP59"/>
    <mergeCell ref="AY59:AZ59"/>
    <mergeCell ref="BI59:BJ59"/>
    <mergeCell ref="BA58:BA59"/>
    <mergeCell ref="BC58:BC59"/>
    <mergeCell ref="BE58:BE59"/>
    <mergeCell ref="M58:M59"/>
    <mergeCell ref="O58:O59"/>
    <mergeCell ref="Q58:Q59"/>
    <mergeCell ref="W58:W59"/>
    <mergeCell ref="Y58:Y59"/>
    <mergeCell ref="AA58:AA59"/>
    <mergeCell ref="M64:N64"/>
    <mergeCell ref="W64:X64"/>
    <mergeCell ref="AG64:AH64"/>
    <mergeCell ref="AQ64:AR64"/>
    <mergeCell ref="BA64:BB64"/>
    <mergeCell ref="BK64:BL64"/>
    <mergeCell ref="K63:L63"/>
    <mergeCell ref="U63:V63"/>
    <mergeCell ref="AE63:AF63"/>
    <mergeCell ref="AO63:AP63"/>
    <mergeCell ref="AY63:AZ63"/>
    <mergeCell ref="BI63:BJ63"/>
  </mergeCells>
  <dataValidations count="1">
    <dataValidation type="list" allowBlank="1" showInputMessage="1" showErrorMessage="1" sqref="L5 L18 L31 L44 L57 V5 V18 V31 V44 V57 AF5 AF18 AF31 AF44 AF57 AP5 AP18 AP31 AP44 AP57 AZ5 AZ18 AZ31 AZ44 AZ57 BJ5 BJ18 BJ31 BJ44 BJ57" xr:uid="{00000000-0002-0000-0900-000000000000}">
      <formula1>"8, 10, 12"</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P70"/>
  <sheetViews>
    <sheetView zoomScale="85" zoomScaleNormal="85" workbookViewId="0">
      <selection activeCell="BH9" sqref="BH9"/>
    </sheetView>
  </sheetViews>
  <sheetFormatPr defaultRowHeight="12.75"/>
  <cols>
    <col min="1" max="11" width="9.140625" style="150"/>
    <col min="12" max="12" width="11.140625" style="150" customWidth="1"/>
    <col min="13" max="13" width="10.5703125" style="150" customWidth="1"/>
    <col min="14" max="14" width="11.28515625" style="150" customWidth="1"/>
    <col min="15" max="15" width="10.5703125" style="150" customWidth="1"/>
    <col min="16" max="16" width="10.28515625" style="150" customWidth="1"/>
    <col min="17" max="17" width="10.140625" style="150" customWidth="1"/>
    <col min="18" max="18" width="10" style="150" bestFit="1" customWidth="1"/>
    <col min="19" max="19" width="7.42578125" style="151" customWidth="1"/>
    <col min="20" max="20" width="7" style="150" customWidth="1"/>
    <col min="21" max="21" width="9.140625" style="150"/>
    <col min="22" max="22" width="11.140625" style="150" customWidth="1"/>
    <col min="23" max="23" width="10.5703125" style="150" customWidth="1"/>
    <col min="24" max="24" width="11.28515625" style="150" customWidth="1"/>
    <col min="25" max="25" width="10.5703125" style="150" customWidth="1"/>
    <col min="26" max="26" width="10.28515625" style="150" customWidth="1"/>
    <col min="27" max="27" width="10.140625" style="150" customWidth="1"/>
    <col min="28" max="28" width="10" style="150" bestFit="1" customWidth="1"/>
    <col min="29" max="31" width="9.140625" style="150"/>
    <col min="32" max="32" width="11.140625" style="150" customWidth="1"/>
    <col min="33" max="33" width="10.5703125" style="150" customWidth="1"/>
    <col min="34" max="34" width="11.28515625" style="150" customWidth="1"/>
    <col min="35" max="35" width="10.5703125" style="150" customWidth="1"/>
    <col min="36" max="36" width="10.28515625" style="150" customWidth="1"/>
    <col min="37" max="37" width="10.140625" style="150" customWidth="1"/>
    <col min="38" max="38" width="10" style="150" bestFit="1" customWidth="1"/>
    <col min="39" max="41" width="9.140625" style="150"/>
    <col min="42" max="42" width="11.140625" style="150" customWidth="1"/>
    <col min="43" max="43" width="10.5703125" style="150" customWidth="1"/>
    <col min="44" max="44" width="11.28515625" style="150" customWidth="1"/>
    <col min="45" max="45" width="10.5703125" style="150" customWidth="1"/>
    <col min="46" max="46" width="10.28515625" style="150" customWidth="1"/>
    <col min="47" max="47" width="10.140625" style="150" customWidth="1"/>
    <col min="48" max="48" width="10" style="150" bestFit="1" customWidth="1"/>
    <col min="49" max="51" width="9.140625" style="150"/>
    <col min="52" max="52" width="11.140625" style="150" customWidth="1"/>
    <col min="53" max="53" width="10.5703125" style="150" customWidth="1"/>
    <col min="54" max="54" width="11.28515625" style="150" customWidth="1"/>
    <col min="55" max="55" width="10.5703125" style="150" customWidth="1"/>
    <col min="56" max="56" width="10.28515625" style="150" customWidth="1"/>
    <col min="57" max="57" width="10.140625" style="150" customWidth="1"/>
    <col min="58" max="58" width="10" style="150" bestFit="1" customWidth="1"/>
    <col min="59" max="61" width="9.140625" style="150"/>
    <col min="62" max="62" width="11.140625" style="150" customWidth="1"/>
    <col min="63" max="63" width="10.5703125" style="150" customWidth="1"/>
    <col min="64" max="64" width="11.28515625" style="150" customWidth="1"/>
    <col min="65" max="65" width="10.5703125" style="150" customWidth="1"/>
    <col min="66" max="66" width="10.28515625" style="150" customWidth="1"/>
    <col min="67" max="67" width="10.140625" style="150" customWidth="1"/>
    <col min="68" max="68" width="10" style="150" bestFit="1" customWidth="1"/>
    <col min="69" max="16384" width="9.140625" style="150"/>
  </cols>
  <sheetData>
    <row r="1" spans="2:68" ht="18.75" thickBot="1">
      <c r="C1" s="277" t="s">
        <v>149</v>
      </c>
      <c r="D1" s="277" t="s">
        <v>149</v>
      </c>
      <c r="E1" s="150" t="s">
        <v>5</v>
      </c>
      <c r="F1" s="150" t="s">
        <v>5</v>
      </c>
      <c r="G1" s="277" t="s">
        <v>149</v>
      </c>
      <c r="H1" s="150" t="s">
        <v>5</v>
      </c>
      <c r="K1" s="710" t="s">
        <v>347</v>
      </c>
      <c r="L1" s="711"/>
      <c r="M1" s="157"/>
      <c r="N1" s="157"/>
      <c r="O1" s="154"/>
      <c r="P1" s="154"/>
      <c r="Q1" s="228">
        <v>13</v>
      </c>
      <c r="R1" s="228">
        <v>15</v>
      </c>
      <c r="S1" s="292"/>
      <c r="T1" s="228">
        <v>18</v>
      </c>
      <c r="U1" s="710" t="s">
        <v>348</v>
      </c>
      <c r="V1" s="711"/>
      <c r="W1" s="671"/>
      <c r="X1" s="671"/>
      <c r="Y1" s="154"/>
      <c r="Z1" s="154"/>
      <c r="AA1" s="228"/>
      <c r="AB1" s="228"/>
      <c r="AD1" s="300"/>
      <c r="AE1" s="710" t="s">
        <v>349</v>
      </c>
      <c r="AF1" s="711"/>
      <c r="AG1" s="671"/>
      <c r="AH1" s="671"/>
      <c r="AI1" s="154"/>
      <c r="AJ1" s="154"/>
      <c r="AK1" s="228"/>
      <c r="AL1" s="228"/>
      <c r="AN1" s="300"/>
      <c r="AO1" s="710" t="s">
        <v>350</v>
      </c>
      <c r="AP1" s="711"/>
      <c r="AQ1" s="671"/>
      <c r="AR1" s="671"/>
      <c r="AS1" s="154"/>
      <c r="AT1" s="154"/>
      <c r="AU1" s="228"/>
      <c r="AV1" s="228"/>
      <c r="AX1" s="300"/>
      <c r="AY1" s="710" t="s">
        <v>351</v>
      </c>
      <c r="AZ1" s="711"/>
      <c r="BA1" s="671"/>
      <c r="BB1" s="671"/>
      <c r="BC1" s="154"/>
      <c r="BD1" s="154"/>
      <c r="BE1" s="228"/>
      <c r="BF1" s="228"/>
      <c r="BH1" s="300"/>
      <c r="BI1" s="710" t="s">
        <v>352</v>
      </c>
      <c r="BJ1" s="711"/>
      <c r="BK1" s="671"/>
      <c r="BL1" s="671"/>
      <c r="BM1" s="154"/>
      <c r="BN1" s="154"/>
      <c r="BO1" s="228"/>
      <c r="BP1" s="228"/>
    </row>
    <row r="2" spans="2:68" ht="15.75" thickBot="1">
      <c r="B2" s="277" t="s">
        <v>150</v>
      </c>
      <c r="C2" s="277" t="s">
        <v>151</v>
      </c>
      <c r="D2" s="277" t="s">
        <v>137</v>
      </c>
      <c r="E2" s="277" t="s">
        <v>151</v>
      </c>
      <c r="F2" s="277" t="s">
        <v>137</v>
      </c>
      <c r="G2" s="277" t="s">
        <v>152</v>
      </c>
      <c r="H2" s="277" t="s">
        <v>152</v>
      </c>
      <c r="K2" s="373" t="s">
        <v>7</v>
      </c>
      <c r="L2" s="532">
        <f>B3</f>
        <v>42492</v>
      </c>
      <c r="M2" s="674" t="s">
        <v>100</v>
      </c>
      <c r="N2" s="675"/>
      <c r="O2" s="674" t="s">
        <v>99</v>
      </c>
      <c r="P2" s="675"/>
      <c r="Q2" s="676" t="s">
        <v>16</v>
      </c>
      <c r="R2" s="677"/>
      <c r="S2" s="293"/>
      <c r="T2" s="300"/>
      <c r="U2" s="373" t="s">
        <v>7</v>
      </c>
      <c r="V2" s="532">
        <f>B4</f>
        <v>42493</v>
      </c>
      <c r="W2" s="674" t="s">
        <v>100</v>
      </c>
      <c r="X2" s="675"/>
      <c r="Y2" s="674" t="s">
        <v>99</v>
      </c>
      <c r="Z2" s="675"/>
      <c r="AA2" s="676" t="s">
        <v>16</v>
      </c>
      <c r="AB2" s="677"/>
      <c r="AD2" s="300"/>
      <c r="AE2" s="373" t="s">
        <v>7</v>
      </c>
      <c r="AF2" s="532">
        <f>B5</f>
        <v>42494</v>
      </c>
      <c r="AG2" s="674" t="s">
        <v>100</v>
      </c>
      <c r="AH2" s="675"/>
      <c r="AI2" s="674" t="s">
        <v>99</v>
      </c>
      <c r="AJ2" s="675"/>
      <c r="AK2" s="676" t="s">
        <v>16</v>
      </c>
      <c r="AL2" s="677"/>
      <c r="AN2" s="300"/>
      <c r="AO2" s="373" t="s">
        <v>7</v>
      </c>
      <c r="AP2" s="532">
        <f>B6</f>
        <v>42495</v>
      </c>
      <c r="AQ2" s="674" t="s">
        <v>100</v>
      </c>
      <c r="AR2" s="675"/>
      <c r="AS2" s="674" t="s">
        <v>99</v>
      </c>
      <c r="AT2" s="675"/>
      <c r="AU2" s="676" t="s">
        <v>16</v>
      </c>
      <c r="AV2" s="677"/>
      <c r="AX2" s="300"/>
      <c r="AY2" s="373" t="s">
        <v>7</v>
      </c>
      <c r="AZ2" s="532">
        <f>B7</f>
        <v>42496</v>
      </c>
      <c r="BA2" s="674" t="s">
        <v>100</v>
      </c>
      <c r="BB2" s="675"/>
      <c r="BC2" s="674" t="s">
        <v>99</v>
      </c>
      <c r="BD2" s="675"/>
      <c r="BE2" s="676" t="s">
        <v>16</v>
      </c>
      <c r="BF2" s="677"/>
      <c r="BH2" s="300"/>
      <c r="BI2" s="373" t="s">
        <v>7</v>
      </c>
      <c r="BJ2" s="532">
        <f>B8</f>
        <v>42497</v>
      </c>
      <c r="BK2" s="674" t="s">
        <v>100</v>
      </c>
      <c r="BL2" s="675"/>
      <c r="BM2" s="674" t="s">
        <v>99</v>
      </c>
      <c r="BN2" s="675"/>
      <c r="BO2" s="676" t="s">
        <v>16</v>
      </c>
      <c r="BP2" s="677"/>
    </row>
    <row r="3" spans="2:68" ht="13.5" thickBot="1">
      <c r="B3" s="278">
        <v>42492</v>
      </c>
      <c r="G3" s="150">
        <f>C3+D3</f>
        <v>0</v>
      </c>
      <c r="H3" s="150">
        <f>E3+F3</f>
        <v>0</v>
      </c>
      <c r="K3" s="356"/>
      <c r="L3" s="355"/>
      <c r="M3" s="356"/>
      <c r="N3" s="357"/>
      <c r="O3" s="367"/>
      <c r="P3" s="368"/>
      <c r="Q3" s="369"/>
      <c r="R3" s="368"/>
      <c r="S3" s="156"/>
      <c r="T3" s="300"/>
      <c r="U3" s="356"/>
      <c r="V3" s="355"/>
      <c r="W3" s="356"/>
      <c r="X3" s="357"/>
      <c r="Y3" s="367"/>
      <c r="Z3" s="368"/>
      <c r="AA3" s="369"/>
      <c r="AB3" s="368"/>
      <c r="AD3" s="300"/>
      <c r="AE3" s="356"/>
      <c r="AF3" s="355"/>
      <c r="AG3" s="356"/>
      <c r="AH3" s="357"/>
      <c r="AI3" s="367"/>
      <c r="AJ3" s="368"/>
      <c r="AK3" s="369"/>
      <c r="AL3" s="368"/>
      <c r="AN3" s="300"/>
      <c r="AO3" s="356"/>
      <c r="AP3" s="355"/>
      <c r="AQ3" s="356"/>
      <c r="AR3" s="357"/>
      <c r="AS3" s="367"/>
      <c r="AT3" s="368"/>
      <c r="AU3" s="369"/>
      <c r="AV3" s="368"/>
      <c r="AX3" s="300"/>
      <c r="AY3" s="356"/>
      <c r="AZ3" s="355"/>
      <c r="BA3" s="356"/>
      <c r="BB3" s="357"/>
      <c r="BC3" s="367"/>
      <c r="BD3" s="368"/>
      <c r="BE3" s="369"/>
      <c r="BF3" s="368"/>
      <c r="BH3" s="300"/>
      <c r="BI3" s="356"/>
      <c r="BJ3" s="355"/>
      <c r="BK3" s="356"/>
      <c r="BL3" s="357"/>
      <c r="BM3" s="367"/>
      <c r="BN3" s="368"/>
      <c r="BO3" s="369"/>
      <c r="BP3" s="368"/>
    </row>
    <row r="4" spans="2:68" ht="16.5" thickBot="1">
      <c r="B4" s="278">
        <v>42493</v>
      </c>
      <c r="G4" s="150">
        <f t="shared" ref="G4:G32" si="0">C4+D4</f>
        <v>0</v>
      </c>
      <c r="H4" s="150">
        <f t="shared" ref="H4:H32" si="1">E4+F4</f>
        <v>0</v>
      </c>
      <c r="K4" s="356"/>
      <c r="L4" s="433" t="s">
        <v>155</v>
      </c>
      <c r="M4" s="358" t="s">
        <v>103</v>
      </c>
      <c r="N4" s="279"/>
      <c r="O4" s="358" t="s">
        <v>103</v>
      </c>
      <c r="P4" s="279"/>
      <c r="Q4" s="359" t="s">
        <v>103</v>
      </c>
      <c r="R4" s="370">
        <f>SUM(N4,P4)</f>
        <v>0</v>
      </c>
      <c r="S4" s="294"/>
      <c r="T4" s="300"/>
      <c r="U4" s="356"/>
      <c r="V4" s="433" t="s">
        <v>155</v>
      </c>
      <c r="W4" s="358" t="s">
        <v>103</v>
      </c>
      <c r="X4" s="279"/>
      <c r="Y4" s="358" t="s">
        <v>103</v>
      </c>
      <c r="Z4" s="279"/>
      <c r="AA4" s="359" t="s">
        <v>103</v>
      </c>
      <c r="AB4" s="370">
        <f>SUM(X4,Z4)</f>
        <v>0</v>
      </c>
      <c r="AD4" s="300"/>
      <c r="AE4" s="356"/>
      <c r="AF4" s="433" t="s">
        <v>155</v>
      </c>
      <c r="AG4" s="358" t="s">
        <v>103</v>
      </c>
      <c r="AH4" s="279"/>
      <c r="AI4" s="358" t="s">
        <v>103</v>
      </c>
      <c r="AJ4" s="279"/>
      <c r="AK4" s="359" t="s">
        <v>103</v>
      </c>
      <c r="AL4" s="370">
        <f>SUM(AH4,AJ4)</f>
        <v>0</v>
      </c>
      <c r="AN4" s="300"/>
      <c r="AO4" s="356"/>
      <c r="AP4" s="433" t="s">
        <v>155</v>
      </c>
      <c r="AQ4" s="358" t="s">
        <v>103</v>
      </c>
      <c r="AR4" s="279"/>
      <c r="AS4" s="358" t="s">
        <v>103</v>
      </c>
      <c r="AT4" s="279"/>
      <c r="AU4" s="359" t="s">
        <v>103</v>
      </c>
      <c r="AV4" s="370">
        <f>SUM(AR4,AT4)</f>
        <v>0</v>
      </c>
      <c r="AX4" s="300"/>
      <c r="AY4" s="356"/>
      <c r="AZ4" s="433" t="s">
        <v>155</v>
      </c>
      <c r="BA4" s="358" t="s">
        <v>103</v>
      </c>
      <c r="BB4" s="279"/>
      <c r="BC4" s="358" t="s">
        <v>103</v>
      </c>
      <c r="BD4" s="279"/>
      <c r="BE4" s="359" t="s">
        <v>103</v>
      </c>
      <c r="BF4" s="370">
        <f>SUM(BB4,BD4)</f>
        <v>0</v>
      </c>
      <c r="BH4" s="300"/>
      <c r="BI4" s="356"/>
      <c r="BJ4" s="433" t="s">
        <v>155</v>
      </c>
      <c r="BK4" s="358" t="s">
        <v>103</v>
      </c>
      <c r="BL4" s="279"/>
      <c r="BM4" s="358" t="s">
        <v>103</v>
      </c>
      <c r="BN4" s="279"/>
      <c r="BO4" s="359" t="s">
        <v>103</v>
      </c>
      <c r="BP4" s="370">
        <f>SUM(BL4,BN4)</f>
        <v>0</v>
      </c>
    </row>
    <row r="5" spans="2:68" ht="18.75" thickBot="1">
      <c r="B5" s="278">
        <v>42494</v>
      </c>
      <c r="G5" s="150">
        <f t="shared" si="0"/>
        <v>0</v>
      </c>
      <c r="H5" s="150">
        <f t="shared" si="1"/>
        <v>0</v>
      </c>
      <c r="K5" s="356"/>
      <c r="L5" s="289">
        <v>8</v>
      </c>
      <c r="M5" s="360" t="s">
        <v>5</v>
      </c>
      <c r="N5" s="361">
        <f>VLOOKUP(L2, $B$3:$E$109, 4, FALSE)</f>
        <v>0</v>
      </c>
      <c r="O5" s="358" t="s">
        <v>5</v>
      </c>
      <c r="P5" s="361">
        <f>VLOOKUP(L2, $B$3:$F$109, 5, FALSE)</f>
        <v>0</v>
      </c>
      <c r="Q5" s="359" t="s">
        <v>5</v>
      </c>
      <c r="R5" s="370">
        <f>SUM(N5,P5)</f>
        <v>0</v>
      </c>
      <c r="S5" s="294"/>
      <c r="T5" s="300"/>
      <c r="U5" s="356"/>
      <c r="V5" s="289">
        <v>8</v>
      </c>
      <c r="W5" s="360" t="s">
        <v>5</v>
      </c>
      <c r="X5" s="361">
        <f>VLOOKUP(V2, $B$3:$E$109, 4, FALSE)</f>
        <v>0</v>
      </c>
      <c r="Y5" s="358" t="s">
        <v>5</v>
      </c>
      <c r="Z5" s="361">
        <f>VLOOKUP(V2, $B$3:$F$109, 5, FALSE)</f>
        <v>0</v>
      </c>
      <c r="AA5" s="359" t="s">
        <v>5</v>
      </c>
      <c r="AB5" s="370">
        <f>SUM(X5,Z5)</f>
        <v>0</v>
      </c>
      <c r="AD5" s="300"/>
      <c r="AE5" s="356"/>
      <c r="AF5" s="289">
        <v>8</v>
      </c>
      <c r="AG5" s="360" t="s">
        <v>5</v>
      </c>
      <c r="AH5" s="361">
        <f>VLOOKUP(AF2, $B$3:$E$109, 4, FALSE)</f>
        <v>0</v>
      </c>
      <c r="AI5" s="358" t="s">
        <v>5</v>
      </c>
      <c r="AJ5" s="361">
        <f>VLOOKUP(AF2, $B$3:$F$109, 5, FALSE)</f>
        <v>0</v>
      </c>
      <c r="AK5" s="359" t="s">
        <v>5</v>
      </c>
      <c r="AL5" s="370">
        <f>SUM(AH5,AJ5)</f>
        <v>0</v>
      </c>
      <c r="AN5" s="300"/>
      <c r="AO5" s="356"/>
      <c r="AP5" s="289">
        <v>8</v>
      </c>
      <c r="AQ5" s="360" t="s">
        <v>5</v>
      </c>
      <c r="AR5" s="361">
        <f>VLOOKUP(AP2, $B$3:$E$109, 4, FALSE)</f>
        <v>0</v>
      </c>
      <c r="AS5" s="358" t="s">
        <v>5</v>
      </c>
      <c r="AT5" s="361">
        <f>VLOOKUP(AP2, $B$3:$F$109, 5, FALSE)</f>
        <v>0</v>
      </c>
      <c r="AU5" s="359" t="s">
        <v>5</v>
      </c>
      <c r="AV5" s="370">
        <f>SUM(AR5,AT5)</f>
        <v>0</v>
      </c>
      <c r="AX5" s="300"/>
      <c r="AY5" s="356"/>
      <c r="AZ5" s="289">
        <v>8</v>
      </c>
      <c r="BA5" s="360" t="s">
        <v>5</v>
      </c>
      <c r="BB5" s="361">
        <f>VLOOKUP(AZ2, $B$3:$E$109, 4, FALSE)</f>
        <v>0</v>
      </c>
      <c r="BC5" s="358" t="s">
        <v>5</v>
      </c>
      <c r="BD5" s="361">
        <f>VLOOKUP(AZ2, $B$3:$F$109, 5, FALSE)</f>
        <v>0</v>
      </c>
      <c r="BE5" s="359" t="s">
        <v>5</v>
      </c>
      <c r="BF5" s="370">
        <f>SUM(BB5,BD5)</f>
        <v>0</v>
      </c>
      <c r="BH5" s="300"/>
      <c r="BI5" s="356"/>
      <c r="BJ5" s="289">
        <v>8</v>
      </c>
      <c r="BK5" s="360" t="s">
        <v>5</v>
      </c>
      <c r="BL5" s="361">
        <f>VLOOKUP(BJ2, $B$3:$E$109, 4, FALSE)</f>
        <v>0</v>
      </c>
      <c r="BM5" s="358" t="s">
        <v>5</v>
      </c>
      <c r="BN5" s="361">
        <f>VLOOKUP(BJ2, $B$3:$F$109, 5, FALSE)</f>
        <v>0</v>
      </c>
      <c r="BO5" s="359" t="s">
        <v>5</v>
      </c>
      <c r="BP5" s="370">
        <f>SUM(BL5,BN5)</f>
        <v>0</v>
      </c>
    </row>
    <row r="6" spans="2:68" ht="15.75" customHeight="1">
      <c r="B6" s="278">
        <v>42495</v>
      </c>
      <c r="C6" s="2"/>
      <c r="D6" s="2"/>
      <c r="E6" s="2"/>
      <c r="F6" s="2"/>
      <c r="G6" s="2">
        <f t="shared" si="0"/>
        <v>0</v>
      </c>
      <c r="H6" s="2">
        <f t="shared" si="1"/>
        <v>0</v>
      </c>
      <c r="K6" s="356"/>
      <c r="L6" s="355"/>
      <c r="M6" s="672" t="s">
        <v>105</v>
      </c>
      <c r="N6" s="361">
        <f>VLOOKUP(L2, $B$3:$E$109, 2, FALSE)</f>
        <v>0</v>
      </c>
      <c r="O6" s="672" t="s">
        <v>105</v>
      </c>
      <c r="P6" s="361">
        <f>VLOOKUP(L2, $B$3:$E$109, 3, FALSE)</f>
        <v>0</v>
      </c>
      <c r="Q6" s="673" t="s">
        <v>105</v>
      </c>
      <c r="R6" s="370">
        <f>SUM(N6,P6)</f>
        <v>0</v>
      </c>
      <c r="S6" s="294"/>
      <c r="T6" s="300"/>
      <c r="U6" s="356"/>
      <c r="V6" s="355"/>
      <c r="W6" s="672" t="s">
        <v>105</v>
      </c>
      <c r="X6" s="361">
        <f>VLOOKUP(V2, $B$3:$E$109, 2, FALSE)</f>
        <v>0</v>
      </c>
      <c r="Y6" s="672" t="s">
        <v>105</v>
      </c>
      <c r="Z6" s="361">
        <f>VLOOKUP(V2, $B$3:$E$109, 3, FALSE)</f>
        <v>0</v>
      </c>
      <c r="AA6" s="673" t="s">
        <v>105</v>
      </c>
      <c r="AB6" s="370">
        <f>SUM(X6,Z6)</f>
        <v>0</v>
      </c>
      <c r="AD6" s="300"/>
      <c r="AE6" s="356"/>
      <c r="AF6" s="355"/>
      <c r="AG6" s="672" t="s">
        <v>105</v>
      </c>
      <c r="AH6" s="361">
        <f>VLOOKUP(AF2, $B$3:$E$109, 2, FALSE)</f>
        <v>0</v>
      </c>
      <c r="AI6" s="672" t="s">
        <v>105</v>
      </c>
      <c r="AJ6" s="361">
        <f>VLOOKUP(AF2, $B$3:$E$109, 3, FALSE)</f>
        <v>0</v>
      </c>
      <c r="AK6" s="673" t="s">
        <v>105</v>
      </c>
      <c r="AL6" s="370">
        <f>SUM(AH6,AJ6)</f>
        <v>0</v>
      </c>
      <c r="AN6" s="300"/>
      <c r="AO6" s="356"/>
      <c r="AP6" s="355"/>
      <c r="AQ6" s="672" t="s">
        <v>105</v>
      </c>
      <c r="AR6" s="361">
        <f>VLOOKUP(AP2, $B$3:$E$109, 2, FALSE)</f>
        <v>0</v>
      </c>
      <c r="AS6" s="672" t="s">
        <v>105</v>
      </c>
      <c r="AT6" s="361">
        <f>VLOOKUP(AP2, $B$3:$E$109, 3, FALSE)</f>
        <v>0</v>
      </c>
      <c r="AU6" s="673" t="s">
        <v>105</v>
      </c>
      <c r="AV6" s="370">
        <f>SUM(AR6,AT6)</f>
        <v>0</v>
      </c>
      <c r="AX6" s="300"/>
      <c r="AY6" s="356"/>
      <c r="AZ6" s="355"/>
      <c r="BA6" s="672" t="s">
        <v>105</v>
      </c>
      <c r="BB6" s="361">
        <f>VLOOKUP(AZ2, $B$3:$E$109, 2, FALSE)</f>
        <v>0</v>
      </c>
      <c r="BC6" s="672" t="s">
        <v>105</v>
      </c>
      <c r="BD6" s="361">
        <f>VLOOKUP(AZ2, $B$3:$E$109, 3, FALSE)</f>
        <v>0</v>
      </c>
      <c r="BE6" s="673" t="s">
        <v>105</v>
      </c>
      <c r="BF6" s="370">
        <f>SUM(BB6,BD6)</f>
        <v>0</v>
      </c>
      <c r="BH6" s="300"/>
      <c r="BI6" s="356"/>
      <c r="BJ6" s="355"/>
      <c r="BK6" s="672" t="s">
        <v>105</v>
      </c>
      <c r="BL6" s="361">
        <f>VLOOKUP(BJ2, $B$3:$E$109, 2, FALSE)</f>
        <v>0</v>
      </c>
      <c r="BM6" s="672" t="s">
        <v>105</v>
      </c>
      <c r="BN6" s="361">
        <f>VLOOKUP(BJ2, $B$3:$E$109, 3, FALSE)</f>
        <v>0</v>
      </c>
      <c r="BO6" s="673" t="s">
        <v>105</v>
      </c>
      <c r="BP6" s="370">
        <f>SUM(BL6,BN6)</f>
        <v>0</v>
      </c>
    </row>
    <row r="7" spans="2:68" ht="17.25" customHeight="1">
      <c r="B7" s="278">
        <v>42496</v>
      </c>
      <c r="C7" s="2"/>
      <c r="D7" s="337"/>
      <c r="E7" s="2"/>
      <c r="F7" s="2"/>
      <c r="G7" s="337">
        <f t="shared" si="0"/>
        <v>0</v>
      </c>
      <c r="H7" s="2">
        <f t="shared" si="1"/>
        <v>0</v>
      </c>
      <c r="K7" s="704" t="s">
        <v>157</v>
      </c>
      <c r="L7" s="705"/>
      <c r="M7" s="673"/>
      <c r="N7" s="357"/>
      <c r="O7" s="672"/>
      <c r="P7" s="368"/>
      <c r="Q7" s="673"/>
      <c r="R7" s="368"/>
      <c r="S7" s="156"/>
      <c r="T7" s="300"/>
      <c r="U7" s="704" t="s">
        <v>157</v>
      </c>
      <c r="V7" s="705"/>
      <c r="W7" s="673"/>
      <c r="X7" s="357"/>
      <c r="Y7" s="672"/>
      <c r="Z7" s="368"/>
      <c r="AA7" s="673"/>
      <c r="AB7" s="368"/>
      <c r="AD7" s="300"/>
      <c r="AE7" s="704" t="s">
        <v>157</v>
      </c>
      <c r="AF7" s="705"/>
      <c r="AG7" s="673"/>
      <c r="AH7" s="357"/>
      <c r="AI7" s="672"/>
      <c r="AJ7" s="368"/>
      <c r="AK7" s="673"/>
      <c r="AL7" s="368"/>
      <c r="AN7" s="300"/>
      <c r="AO7" s="704" t="s">
        <v>157</v>
      </c>
      <c r="AP7" s="705"/>
      <c r="AQ7" s="673"/>
      <c r="AR7" s="357"/>
      <c r="AS7" s="672"/>
      <c r="AT7" s="368"/>
      <c r="AU7" s="673"/>
      <c r="AV7" s="368"/>
      <c r="AX7" s="300"/>
      <c r="AY7" s="704" t="s">
        <v>157</v>
      </c>
      <c r="AZ7" s="705"/>
      <c r="BA7" s="673"/>
      <c r="BB7" s="357"/>
      <c r="BC7" s="672"/>
      <c r="BD7" s="368"/>
      <c r="BE7" s="673"/>
      <c r="BF7" s="368"/>
      <c r="BH7" s="300"/>
      <c r="BI7" s="704" t="s">
        <v>157</v>
      </c>
      <c r="BJ7" s="705"/>
      <c r="BK7" s="673"/>
      <c r="BL7" s="357"/>
      <c r="BM7" s="672"/>
      <c r="BN7" s="368"/>
      <c r="BO7" s="673"/>
      <c r="BP7" s="368"/>
    </row>
    <row r="8" spans="2:68" ht="15.75">
      <c r="B8" s="278">
        <v>42497</v>
      </c>
      <c r="G8" s="150">
        <f t="shared" si="0"/>
        <v>0</v>
      </c>
      <c r="H8" s="150">
        <f t="shared" si="1"/>
        <v>0</v>
      </c>
      <c r="K8" s="374"/>
      <c r="L8" s="372">
        <f>R4*13</f>
        <v>0</v>
      </c>
      <c r="M8" s="434"/>
      <c r="N8" s="357"/>
      <c r="O8" s="363"/>
      <c r="P8" s="357"/>
      <c r="Q8" s="435"/>
      <c r="R8" s="357"/>
      <c r="S8" s="156"/>
      <c r="T8" s="300"/>
      <c r="U8" s="374"/>
      <c r="V8" s="372">
        <f>AB4*13</f>
        <v>0</v>
      </c>
      <c r="W8" s="434"/>
      <c r="X8" s="357"/>
      <c r="Y8" s="363"/>
      <c r="Z8" s="357"/>
      <c r="AA8" s="435"/>
      <c r="AB8" s="357"/>
      <c r="AD8" s="300"/>
      <c r="AE8" s="374"/>
      <c r="AF8" s="372">
        <f>AL4*13</f>
        <v>0</v>
      </c>
      <c r="AG8" s="434"/>
      <c r="AH8" s="357"/>
      <c r="AI8" s="363"/>
      <c r="AJ8" s="357"/>
      <c r="AK8" s="435"/>
      <c r="AL8" s="357"/>
      <c r="AN8" s="300"/>
      <c r="AO8" s="374"/>
      <c r="AP8" s="372">
        <f>AV4*13</f>
        <v>0</v>
      </c>
      <c r="AQ8" s="434"/>
      <c r="AR8" s="357"/>
      <c r="AS8" s="363"/>
      <c r="AT8" s="357"/>
      <c r="AU8" s="435"/>
      <c r="AV8" s="357"/>
      <c r="AX8" s="300"/>
      <c r="AY8" s="374"/>
      <c r="AZ8" s="372">
        <f>BF4*13</f>
        <v>0</v>
      </c>
      <c r="BA8" s="434"/>
      <c r="BB8" s="357"/>
      <c r="BC8" s="363"/>
      <c r="BD8" s="357"/>
      <c r="BE8" s="435"/>
      <c r="BF8" s="357"/>
      <c r="BH8" s="300"/>
      <c r="BI8" s="374"/>
      <c r="BJ8" s="372">
        <f>BP4*13</f>
        <v>0</v>
      </c>
      <c r="BK8" s="434"/>
      <c r="BL8" s="357"/>
      <c r="BM8" s="363"/>
      <c r="BN8" s="357"/>
      <c r="BO8" s="435"/>
      <c r="BP8" s="357"/>
    </row>
    <row r="9" spans="2:68" ht="18.75">
      <c r="B9" s="278">
        <v>42498</v>
      </c>
      <c r="G9" s="150">
        <f t="shared" si="0"/>
        <v>0</v>
      </c>
      <c r="H9" s="150">
        <f t="shared" si="1"/>
        <v>0</v>
      </c>
      <c r="K9" s="356"/>
      <c r="L9" s="375"/>
      <c r="M9" s="286" t="s">
        <v>97</v>
      </c>
      <c r="N9" s="287" t="e">
        <f>N6/((N4*EFFICIENCY!$H$28))</f>
        <v>#DIV/0!</v>
      </c>
      <c r="O9" s="286" t="s">
        <v>97</v>
      </c>
      <c r="P9" s="287" t="e">
        <f>P6/(P4*EFFICIENCY!$H$28)</f>
        <v>#DIV/0!</v>
      </c>
      <c r="Q9" s="286" t="s">
        <v>97</v>
      </c>
      <c r="R9" s="287" t="e">
        <f>R6/(R4*EFFICIENCY!$H$28)</f>
        <v>#DIV/0!</v>
      </c>
      <c r="S9" s="295"/>
      <c r="T9" s="300"/>
      <c r="U9" s="356"/>
      <c r="V9" s="375"/>
      <c r="W9" s="286" t="s">
        <v>97</v>
      </c>
      <c r="X9" s="287" t="e">
        <f>X6/((X4*EFFICIENCY!$H$28))</f>
        <v>#DIV/0!</v>
      </c>
      <c r="Y9" s="286" t="s">
        <v>97</v>
      </c>
      <c r="Z9" s="287" t="e">
        <f>Z6/(Z4*EFFICIENCY!$H$28)</f>
        <v>#DIV/0!</v>
      </c>
      <c r="AA9" s="286" t="s">
        <v>97</v>
      </c>
      <c r="AB9" s="287" t="e">
        <f>AB6/(AB4*EFFICIENCY!$H$28)</f>
        <v>#DIV/0!</v>
      </c>
      <c r="AD9" s="300"/>
      <c r="AE9" s="356"/>
      <c r="AF9" s="375"/>
      <c r="AG9" s="286" t="s">
        <v>97</v>
      </c>
      <c r="AH9" s="287" t="e">
        <f>AH6/((AH4*EFFICIENCY!$H$28))</f>
        <v>#DIV/0!</v>
      </c>
      <c r="AI9" s="286" t="s">
        <v>97</v>
      </c>
      <c r="AJ9" s="287" t="e">
        <f>AJ6/(AJ4*EFFICIENCY!$H$28)</f>
        <v>#DIV/0!</v>
      </c>
      <c r="AK9" s="286" t="s">
        <v>97</v>
      </c>
      <c r="AL9" s="287" t="e">
        <f>AL6/(AL4*EFFICIENCY!$H$28)</f>
        <v>#DIV/0!</v>
      </c>
      <c r="AN9" s="300"/>
      <c r="AO9" s="356"/>
      <c r="AP9" s="375"/>
      <c r="AQ9" s="286" t="s">
        <v>97</v>
      </c>
      <c r="AR9" s="287" t="e">
        <f>AR6/((AR4*EFFICIENCY!$H$28))</f>
        <v>#DIV/0!</v>
      </c>
      <c r="AS9" s="286" t="s">
        <v>97</v>
      </c>
      <c r="AT9" s="287" t="e">
        <f>AT6/(AT4*EFFICIENCY!$H$28)</f>
        <v>#DIV/0!</v>
      </c>
      <c r="AU9" s="286" t="s">
        <v>97</v>
      </c>
      <c r="AV9" s="287" t="e">
        <f>AV6/(AV4*EFFICIENCY!$H$28)</f>
        <v>#DIV/0!</v>
      </c>
      <c r="AX9" s="300"/>
      <c r="AY9" s="356"/>
      <c r="AZ9" s="375"/>
      <c r="BA9" s="286" t="s">
        <v>97</v>
      </c>
      <c r="BB9" s="287" t="e">
        <f>BB6/((BB4*EFFICIENCY!$H$28))</f>
        <v>#DIV/0!</v>
      </c>
      <c r="BC9" s="286" t="s">
        <v>97</v>
      </c>
      <c r="BD9" s="287" t="e">
        <f>BD6/(BD4*EFFICIENCY!$H$28)</f>
        <v>#DIV/0!</v>
      </c>
      <c r="BE9" s="286" t="s">
        <v>97</v>
      </c>
      <c r="BF9" s="287" t="e">
        <f>BF6/(BF4*EFFICIENCY!$H$28)</f>
        <v>#DIV/0!</v>
      </c>
      <c r="BH9" s="300"/>
      <c r="BI9" s="356"/>
      <c r="BJ9" s="375"/>
      <c r="BK9" s="286" t="s">
        <v>97</v>
      </c>
      <c r="BL9" s="287" t="e">
        <f>BL6/((BL4*EFFICIENCY!$H$28))</f>
        <v>#DIV/0!</v>
      </c>
      <c r="BM9" s="286" t="s">
        <v>97</v>
      </c>
      <c r="BN9" s="287" t="e">
        <f>BN6/(BN4*EFFICIENCY!$H$28)</f>
        <v>#DIV/0!</v>
      </c>
      <c r="BO9" s="286" t="s">
        <v>97</v>
      </c>
      <c r="BP9" s="287" t="e">
        <f>BP6/(BP4*EFFICIENCY!$H$28)</f>
        <v>#DIV/0!</v>
      </c>
    </row>
    <row r="10" spans="2:68" ht="18.75" customHeight="1">
      <c r="B10" s="278">
        <v>42499</v>
      </c>
      <c r="G10" s="150">
        <f t="shared" si="0"/>
        <v>0</v>
      </c>
      <c r="H10" s="150">
        <f t="shared" si="1"/>
        <v>0</v>
      </c>
      <c r="K10" s="356"/>
      <c r="L10" s="355"/>
      <c r="M10" s="280" t="s">
        <v>96</v>
      </c>
      <c r="N10" s="281" t="e">
        <f>N6/(N4*EFFICIENCY!$I$28)</f>
        <v>#DIV/0!</v>
      </c>
      <c r="O10" s="280" t="s">
        <v>96</v>
      </c>
      <c r="P10" s="281" t="e">
        <f>P6/(P4*EFFICIENCY!$I$28)</f>
        <v>#DIV/0!</v>
      </c>
      <c r="Q10" s="280" t="s">
        <v>96</v>
      </c>
      <c r="R10" s="281" t="e">
        <f>R6/(R4*EFFICIENCY!$I$28)</f>
        <v>#DIV/0!</v>
      </c>
      <c r="S10" s="296"/>
      <c r="T10" s="300"/>
      <c r="U10" s="356"/>
      <c r="V10" s="355"/>
      <c r="W10" s="280" t="s">
        <v>96</v>
      </c>
      <c r="X10" s="281" t="e">
        <f>X6/(X4*EFFICIENCY!$I$28)</f>
        <v>#DIV/0!</v>
      </c>
      <c r="Y10" s="280" t="s">
        <v>96</v>
      </c>
      <c r="Z10" s="281" t="e">
        <f>Z6/(Z4*EFFICIENCY!$I$28)</f>
        <v>#DIV/0!</v>
      </c>
      <c r="AA10" s="280" t="s">
        <v>96</v>
      </c>
      <c r="AB10" s="281" t="e">
        <f>AB6/(AB4*EFFICIENCY!$I$28)</f>
        <v>#DIV/0!</v>
      </c>
      <c r="AD10" s="300"/>
      <c r="AE10" s="356"/>
      <c r="AF10" s="355"/>
      <c r="AG10" s="280" t="s">
        <v>96</v>
      </c>
      <c r="AH10" s="281" t="e">
        <f>AH6/(AH4*EFFICIENCY!$I$28)</f>
        <v>#DIV/0!</v>
      </c>
      <c r="AI10" s="280" t="s">
        <v>96</v>
      </c>
      <c r="AJ10" s="281" t="e">
        <f>AJ6/(AJ4*EFFICIENCY!$I$28)</f>
        <v>#DIV/0!</v>
      </c>
      <c r="AK10" s="280" t="s">
        <v>96</v>
      </c>
      <c r="AL10" s="281" t="e">
        <f>AL6/(AL4*EFFICIENCY!$I$28)</f>
        <v>#DIV/0!</v>
      </c>
      <c r="AN10" s="300"/>
      <c r="AO10" s="356"/>
      <c r="AP10" s="355"/>
      <c r="AQ10" s="280" t="s">
        <v>96</v>
      </c>
      <c r="AR10" s="281" t="e">
        <f>AR6/(AR4*EFFICIENCY!$I$28)</f>
        <v>#DIV/0!</v>
      </c>
      <c r="AS10" s="280" t="s">
        <v>96</v>
      </c>
      <c r="AT10" s="281" t="e">
        <f>AT6/(AT4*EFFICIENCY!$I$28)</f>
        <v>#DIV/0!</v>
      </c>
      <c r="AU10" s="280" t="s">
        <v>96</v>
      </c>
      <c r="AV10" s="281" t="e">
        <f>AV6/(AV4*EFFICIENCY!$I$28)</f>
        <v>#DIV/0!</v>
      </c>
      <c r="AX10" s="300"/>
      <c r="AY10" s="356"/>
      <c r="AZ10" s="355"/>
      <c r="BA10" s="280" t="s">
        <v>96</v>
      </c>
      <c r="BB10" s="281" t="e">
        <f>BB6/(BB4*EFFICIENCY!$I$28)</f>
        <v>#DIV/0!</v>
      </c>
      <c r="BC10" s="280" t="s">
        <v>96</v>
      </c>
      <c r="BD10" s="281" t="e">
        <f>BD6/(BD4*EFFICIENCY!$I$28)</f>
        <v>#DIV/0!</v>
      </c>
      <c r="BE10" s="280" t="s">
        <v>96</v>
      </c>
      <c r="BF10" s="281" t="e">
        <f>BF6/(BF4*EFFICIENCY!$I$28)</f>
        <v>#DIV/0!</v>
      </c>
      <c r="BH10" s="300"/>
      <c r="BI10" s="356"/>
      <c r="BJ10" s="355"/>
      <c r="BK10" s="280" t="s">
        <v>96</v>
      </c>
      <c r="BL10" s="281" t="e">
        <f>BL6/(BL4*EFFICIENCY!$I$28)</f>
        <v>#DIV/0!</v>
      </c>
      <c r="BM10" s="280" t="s">
        <v>96</v>
      </c>
      <c r="BN10" s="281" t="e">
        <f>BN6/(BN4*EFFICIENCY!$I$28)</f>
        <v>#DIV/0!</v>
      </c>
      <c r="BO10" s="280" t="s">
        <v>96</v>
      </c>
      <c r="BP10" s="281" t="e">
        <f>BP6/(BP4*EFFICIENCY!$I$28)</f>
        <v>#DIV/0!</v>
      </c>
    </row>
    <row r="11" spans="2:68" ht="17.25" customHeight="1" thickBot="1">
      <c r="B11" s="278">
        <v>42500</v>
      </c>
      <c r="G11" s="150">
        <f t="shared" si="0"/>
        <v>0</v>
      </c>
      <c r="H11" s="150">
        <f t="shared" si="1"/>
        <v>0</v>
      </c>
      <c r="K11" s="692" t="s">
        <v>156</v>
      </c>
      <c r="L11" s="693"/>
      <c r="M11" s="284" t="s">
        <v>94</v>
      </c>
      <c r="N11" s="285" t="e">
        <f>N6/((N4*EFFICIENCY!$K$28))</f>
        <v>#DIV/0!</v>
      </c>
      <c r="O11" s="288" t="s">
        <v>94</v>
      </c>
      <c r="P11" s="285" t="e">
        <f>P6/((P4*EFFICIENCY!$K$28))</f>
        <v>#DIV/0!</v>
      </c>
      <c r="Q11" s="284" t="s">
        <v>94</v>
      </c>
      <c r="R11" s="285" t="e">
        <f>R6/((R4*EFFICIENCY!$K$28))</f>
        <v>#DIV/0!</v>
      </c>
      <c r="S11" s="297"/>
      <c r="T11" s="300"/>
      <c r="U11" s="692" t="s">
        <v>156</v>
      </c>
      <c r="V11" s="693"/>
      <c r="W11" s="284" t="s">
        <v>94</v>
      </c>
      <c r="X11" s="285" t="e">
        <f>X6/((X4*EFFICIENCY!$K$28))</f>
        <v>#DIV/0!</v>
      </c>
      <c r="Y11" s="288" t="s">
        <v>94</v>
      </c>
      <c r="Z11" s="285" t="e">
        <f>Z6/((Z4*EFFICIENCY!$K$28))</f>
        <v>#DIV/0!</v>
      </c>
      <c r="AA11" s="284" t="s">
        <v>94</v>
      </c>
      <c r="AB11" s="285" t="e">
        <f>AB6/((AB4*EFFICIENCY!$K$28))</f>
        <v>#DIV/0!</v>
      </c>
      <c r="AD11" s="300"/>
      <c r="AE11" s="692" t="s">
        <v>156</v>
      </c>
      <c r="AF11" s="693"/>
      <c r="AG11" s="284" t="s">
        <v>94</v>
      </c>
      <c r="AH11" s="285" t="e">
        <f>AH6/((AH4*EFFICIENCY!$K$28))</f>
        <v>#DIV/0!</v>
      </c>
      <c r="AI11" s="288" t="s">
        <v>94</v>
      </c>
      <c r="AJ11" s="285" t="e">
        <f>AJ6/((AJ4*EFFICIENCY!$K$28))</f>
        <v>#DIV/0!</v>
      </c>
      <c r="AK11" s="284" t="s">
        <v>94</v>
      </c>
      <c r="AL11" s="285" t="e">
        <f>AL6/((AL4*EFFICIENCY!$K$28))</f>
        <v>#DIV/0!</v>
      </c>
      <c r="AN11" s="300"/>
      <c r="AO11" s="692" t="s">
        <v>156</v>
      </c>
      <c r="AP11" s="693"/>
      <c r="AQ11" s="284" t="s">
        <v>94</v>
      </c>
      <c r="AR11" s="285" t="e">
        <f>AR6/((AR4*EFFICIENCY!$K$28))</f>
        <v>#DIV/0!</v>
      </c>
      <c r="AS11" s="288" t="s">
        <v>94</v>
      </c>
      <c r="AT11" s="285" t="e">
        <f>AT6/((AT4*EFFICIENCY!$K$28))</f>
        <v>#DIV/0!</v>
      </c>
      <c r="AU11" s="284" t="s">
        <v>94</v>
      </c>
      <c r="AV11" s="285" t="e">
        <f>AV6/((AV4*EFFICIENCY!$K$28))</f>
        <v>#DIV/0!</v>
      </c>
      <c r="AX11" s="300"/>
      <c r="AY11" s="692" t="s">
        <v>156</v>
      </c>
      <c r="AZ11" s="693"/>
      <c r="BA11" s="284" t="s">
        <v>94</v>
      </c>
      <c r="BB11" s="285" t="e">
        <f>BB6/((BB4*EFFICIENCY!$K$28))</f>
        <v>#DIV/0!</v>
      </c>
      <c r="BC11" s="288" t="s">
        <v>94</v>
      </c>
      <c r="BD11" s="285" t="e">
        <f>BD6/((BD4*EFFICIENCY!$K$28))</f>
        <v>#DIV/0!</v>
      </c>
      <c r="BE11" s="284" t="s">
        <v>94</v>
      </c>
      <c r="BF11" s="285" t="e">
        <f>BF6/((BF4*EFFICIENCY!$K$28))</f>
        <v>#DIV/0!</v>
      </c>
      <c r="BH11" s="300"/>
      <c r="BI11" s="692" t="s">
        <v>156</v>
      </c>
      <c r="BJ11" s="693"/>
      <c r="BK11" s="284" t="s">
        <v>94</v>
      </c>
      <c r="BL11" s="285" t="e">
        <f>BL6/((BL4*EFFICIENCY!$K$28))</f>
        <v>#DIV/0!</v>
      </c>
      <c r="BM11" s="288" t="s">
        <v>94</v>
      </c>
      <c r="BN11" s="285" t="e">
        <f>BN6/((BN4*EFFICIENCY!$K$28))</f>
        <v>#DIV/0!</v>
      </c>
      <c r="BO11" s="284" t="s">
        <v>94</v>
      </c>
      <c r="BP11" s="285" t="e">
        <f>BP6/((BP4*EFFICIENCY!$K$28))</f>
        <v>#DIV/0!</v>
      </c>
    </row>
    <row r="12" spans="2:68" ht="16.5" thickBot="1">
      <c r="B12" s="278">
        <v>42501</v>
      </c>
      <c r="G12" s="150">
        <f t="shared" si="0"/>
        <v>0</v>
      </c>
      <c r="H12" s="150">
        <f t="shared" si="1"/>
        <v>0</v>
      </c>
      <c r="K12" s="376"/>
      <c r="L12" s="377" t="e">
        <f>R6/R4</f>
        <v>#DIV/0!</v>
      </c>
      <c r="M12" s="678" t="s">
        <v>153</v>
      </c>
      <c r="N12" s="679"/>
      <c r="O12" s="290"/>
      <c r="P12" s="431"/>
      <c r="Q12" s="431" t="s">
        <v>154</v>
      </c>
      <c r="R12" s="366"/>
      <c r="S12" s="298"/>
      <c r="T12" s="300"/>
      <c r="U12" s="376"/>
      <c r="V12" s="377" t="e">
        <f>AB6/AB4</f>
        <v>#DIV/0!</v>
      </c>
      <c r="W12" s="678" t="s">
        <v>153</v>
      </c>
      <c r="X12" s="679"/>
      <c r="Y12" s="290"/>
      <c r="Z12" s="431"/>
      <c r="AA12" s="431" t="s">
        <v>154</v>
      </c>
      <c r="AB12" s="366">
        <f>Y12-AB6</f>
        <v>0</v>
      </c>
      <c r="AD12" s="300"/>
      <c r="AE12" s="376"/>
      <c r="AF12" s="377" t="e">
        <f>AL6/AL4</f>
        <v>#DIV/0!</v>
      </c>
      <c r="AG12" s="678" t="s">
        <v>153</v>
      </c>
      <c r="AH12" s="679"/>
      <c r="AI12" s="290"/>
      <c r="AJ12" s="431"/>
      <c r="AK12" s="431" t="s">
        <v>154</v>
      </c>
      <c r="AL12" s="366">
        <f>AI12-AL6</f>
        <v>0</v>
      </c>
      <c r="AN12" s="300"/>
      <c r="AO12" s="376"/>
      <c r="AP12" s="377" t="e">
        <f>AV6/AV4</f>
        <v>#DIV/0!</v>
      </c>
      <c r="AQ12" s="678" t="s">
        <v>153</v>
      </c>
      <c r="AR12" s="679"/>
      <c r="AS12" s="290"/>
      <c r="AT12" s="431"/>
      <c r="AU12" s="431" t="s">
        <v>154</v>
      </c>
      <c r="AV12" s="366">
        <f>AS12-AV6</f>
        <v>0</v>
      </c>
      <c r="AX12" s="300"/>
      <c r="AY12" s="376"/>
      <c r="AZ12" s="377" t="e">
        <f>BF6/BF4</f>
        <v>#DIV/0!</v>
      </c>
      <c r="BA12" s="678" t="s">
        <v>153</v>
      </c>
      <c r="BB12" s="679"/>
      <c r="BC12" s="290"/>
      <c r="BD12" s="431"/>
      <c r="BE12" s="431" t="s">
        <v>154</v>
      </c>
      <c r="BF12" s="366">
        <f>BC12-BF6</f>
        <v>0</v>
      </c>
      <c r="BH12" s="300"/>
      <c r="BI12" s="376"/>
      <c r="BJ12" s="377" t="e">
        <f>BP6/BP4</f>
        <v>#DIV/0!</v>
      </c>
      <c r="BK12" s="678" t="s">
        <v>153</v>
      </c>
      <c r="BL12" s="679"/>
      <c r="BM12" s="290"/>
      <c r="BN12" s="431"/>
      <c r="BO12" s="431" t="s">
        <v>154</v>
      </c>
      <c r="BP12" s="366">
        <f>BM12-BP6</f>
        <v>0</v>
      </c>
    </row>
    <row r="13" spans="2:68" ht="15.75" customHeight="1">
      <c r="B13" s="278">
        <v>42502</v>
      </c>
      <c r="G13" s="150">
        <f t="shared" si="0"/>
        <v>0</v>
      </c>
      <c r="H13" s="150">
        <f t="shared" si="1"/>
        <v>0</v>
      </c>
      <c r="L13" s="154"/>
      <c r="T13" s="300"/>
      <c r="V13" s="154"/>
      <c r="AD13" s="300"/>
      <c r="AF13" s="154"/>
      <c r="AN13" s="300"/>
      <c r="AP13" s="154"/>
      <c r="AX13" s="300"/>
      <c r="AZ13" s="154"/>
      <c r="BH13" s="300"/>
      <c r="BJ13" s="154"/>
    </row>
    <row r="14" spans="2:68" ht="15" customHeight="1" thickBot="1">
      <c r="B14" s="278">
        <v>42503</v>
      </c>
      <c r="G14" s="150">
        <f t="shared" si="0"/>
        <v>0</v>
      </c>
      <c r="H14" s="150">
        <f t="shared" si="1"/>
        <v>0</v>
      </c>
      <c r="K14" s="291"/>
      <c r="L14" s="291"/>
      <c r="M14" s="291"/>
      <c r="N14" s="291"/>
      <c r="O14" s="291"/>
      <c r="P14" s="291"/>
      <c r="Q14" s="291"/>
      <c r="R14" s="291"/>
      <c r="S14" s="299"/>
      <c r="T14" s="301"/>
      <c r="U14" s="291"/>
      <c r="V14" s="291"/>
      <c r="W14" s="291"/>
      <c r="X14" s="291"/>
      <c r="Y14" s="291"/>
      <c r="Z14" s="291"/>
      <c r="AA14" s="291"/>
      <c r="AB14" s="291"/>
      <c r="AC14" s="291"/>
      <c r="AD14" s="301"/>
      <c r="AE14" s="291"/>
      <c r="AF14" s="291"/>
      <c r="AG14" s="291"/>
      <c r="AH14" s="291"/>
      <c r="AI14" s="291"/>
      <c r="AJ14" s="291"/>
      <c r="AK14" s="291"/>
      <c r="AL14" s="291"/>
      <c r="AM14" s="291"/>
      <c r="AN14" s="301"/>
      <c r="AO14" s="291"/>
      <c r="AP14" s="291"/>
      <c r="AQ14" s="291"/>
      <c r="AR14" s="291"/>
      <c r="AS14" s="291"/>
      <c r="AT14" s="291"/>
      <c r="AU14" s="291"/>
      <c r="AV14" s="291"/>
      <c r="AW14" s="291"/>
      <c r="AX14" s="301"/>
      <c r="AY14" s="291"/>
      <c r="AZ14" s="291"/>
      <c r="BA14" s="291"/>
      <c r="BB14" s="291"/>
      <c r="BC14" s="291"/>
      <c r="BD14" s="291"/>
      <c r="BE14" s="291"/>
      <c r="BF14" s="291"/>
      <c r="BG14" s="291"/>
      <c r="BH14" s="300"/>
      <c r="BI14" s="291"/>
      <c r="BJ14" s="291"/>
      <c r="BK14" s="291"/>
      <c r="BL14" s="291"/>
      <c r="BM14" s="291"/>
      <c r="BN14" s="291"/>
      <c r="BO14" s="291"/>
      <c r="BP14" s="291"/>
    </row>
    <row r="15" spans="2:68" ht="15.75" thickBot="1">
      <c r="B15" s="278">
        <v>42504</v>
      </c>
      <c r="G15" s="150">
        <f t="shared" si="0"/>
        <v>0</v>
      </c>
      <c r="H15" s="150">
        <f t="shared" si="1"/>
        <v>0</v>
      </c>
      <c r="K15" s="378" t="s">
        <v>7</v>
      </c>
      <c r="L15" s="533">
        <f>B10</f>
        <v>42499</v>
      </c>
      <c r="M15" s="663" t="s">
        <v>100</v>
      </c>
      <c r="N15" s="664"/>
      <c r="O15" s="665" t="s">
        <v>99</v>
      </c>
      <c r="P15" s="666"/>
      <c r="Q15" s="667" t="s">
        <v>16</v>
      </c>
      <c r="R15" s="668"/>
      <c r="S15" s="293"/>
      <c r="T15" s="302"/>
      <c r="U15" s="378" t="s">
        <v>7</v>
      </c>
      <c r="V15" s="533">
        <f>B11</f>
        <v>42500</v>
      </c>
      <c r="W15" s="663" t="s">
        <v>100</v>
      </c>
      <c r="X15" s="664"/>
      <c r="Y15" s="665" t="s">
        <v>99</v>
      </c>
      <c r="Z15" s="666"/>
      <c r="AA15" s="667" t="s">
        <v>16</v>
      </c>
      <c r="AB15" s="668"/>
      <c r="AD15" s="300"/>
      <c r="AE15" s="378" t="s">
        <v>7</v>
      </c>
      <c r="AF15" s="533">
        <f>B12</f>
        <v>42501</v>
      </c>
      <c r="AG15" s="663" t="s">
        <v>100</v>
      </c>
      <c r="AH15" s="664"/>
      <c r="AI15" s="665" t="s">
        <v>99</v>
      </c>
      <c r="AJ15" s="666"/>
      <c r="AK15" s="667" t="s">
        <v>16</v>
      </c>
      <c r="AL15" s="668"/>
      <c r="AN15" s="300"/>
      <c r="AO15" s="378" t="s">
        <v>7</v>
      </c>
      <c r="AP15" s="533">
        <f>B13</f>
        <v>42502</v>
      </c>
      <c r="AQ15" s="663" t="s">
        <v>100</v>
      </c>
      <c r="AR15" s="664"/>
      <c r="AS15" s="665" t="s">
        <v>99</v>
      </c>
      <c r="AT15" s="666"/>
      <c r="AU15" s="667" t="s">
        <v>16</v>
      </c>
      <c r="AV15" s="668"/>
      <c r="AX15" s="300"/>
      <c r="AY15" s="378" t="s">
        <v>7</v>
      </c>
      <c r="AZ15" s="533">
        <f>B14</f>
        <v>42503</v>
      </c>
      <c r="BA15" s="663" t="s">
        <v>100</v>
      </c>
      <c r="BB15" s="664"/>
      <c r="BC15" s="665" t="s">
        <v>99</v>
      </c>
      <c r="BD15" s="666"/>
      <c r="BE15" s="667" t="s">
        <v>16</v>
      </c>
      <c r="BF15" s="668"/>
      <c r="BH15" s="300"/>
      <c r="BI15" s="378" t="s">
        <v>7</v>
      </c>
      <c r="BJ15" s="533">
        <f>B15</f>
        <v>42504</v>
      </c>
      <c r="BK15" s="663" t="s">
        <v>100</v>
      </c>
      <c r="BL15" s="664"/>
      <c r="BM15" s="665" t="s">
        <v>99</v>
      </c>
      <c r="BN15" s="666"/>
      <c r="BO15" s="667" t="s">
        <v>16</v>
      </c>
      <c r="BP15" s="668"/>
    </row>
    <row r="16" spans="2:68" ht="13.5" thickBot="1">
      <c r="B16" s="278">
        <v>42505</v>
      </c>
      <c r="G16" s="150">
        <f t="shared" si="0"/>
        <v>0</v>
      </c>
      <c r="H16" s="150">
        <f t="shared" si="1"/>
        <v>0</v>
      </c>
      <c r="K16" s="339"/>
      <c r="L16" s="338"/>
      <c r="M16" s="339"/>
      <c r="N16" s="340"/>
      <c r="O16" s="339"/>
      <c r="P16" s="340"/>
      <c r="Q16" s="338"/>
      <c r="R16" s="340"/>
      <c r="S16" s="156"/>
      <c r="T16" s="302"/>
      <c r="U16" s="339"/>
      <c r="V16" s="338"/>
      <c r="W16" s="339"/>
      <c r="X16" s="340"/>
      <c r="Y16" s="339"/>
      <c r="Z16" s="340"/>
      <c r="AA16" s="338"/>
      <c r="AB16" s="340"/>
      <c r="AD16" s="300"/>
      <c r="AE16" s="339"/>
      <c r="AF16" s="338"/>
      <c r="AG16" s="339"/>
      <c r="AH16" s="340"/>
      <c r="AI16" s="339"/>
      <c r="AJ16" s="340"/>
      <c r="AK16" s="338"/>
      <c r="AL16" s="340"/>
      <c r="AN16" s="300"/>
      <c r="AO16" s="339"/>
      <c r="AP16" s="338"/>
      <c r="AQ16" s="339"/>
      <c r="AR16" s="340"/>
      <c r="AS16" s="339"/>
      <c r="AT16" s="340"/>
      <c r="AU16" s="338"/>
      <c r="AV16" s="340"/>
      <c r="AX16" s="300"/>
      <c r="AY16" s="339"/>
      <c r="AZ16" s="338"/>
      <c r="BA16" s="339"/>
      <c r="BB16" s="340"/>
      <c r="BC16" s="339"/>
      <c r="BD16" s="340"/>
      <c r="BE16" s="338"/>
      <c r="BF16" s="340"/>
      <c r="BH16" s="300"/>
      <c r="BI16" s="339"/>
      <c r="BJ16" s="338"/>
      <c r="BK16" s="339"/>
      <c r="BL16" s="340"/>
      <c r="BM16" s="339"/>
      <c r="BN16" s="340"/>
      <c r="BO16" s="338"/>
      <c r="BP16" s="340"/>
    </row>
    <row r="17" spans="2:68" ht="16.5" thickBot="1">
      <c r="B17" s="278">
        <v>42506</v>
      </c>
      <c r="G17" s="150">
        <f t="shared" si="0"/>
        <v>0</v>
      </c>
      <c r="H17" s="150">
        <f t="shared" si="1"/>
        <v>0</v>
      </c>
      <c r="K17" s="339"/>
      <c r="L17" s="432" t="s">
        <v>155</v>
      </c>
      <c r="M17" s="342" t="s">
        <v>103</v>
      </c>
      <c r="N17" s="279"/>
      <c r="O17" s="342" t="s">
        <v>103</v>
      </c>
      <c r="P17" s="279"/>
      <c r="Q17" s="343" t="s">
        <v>103</v>
      </c>
      <c r="R17" s="344">
        <f>SUM(N17,P17)</f>
        <v>0</v>
      </c>
      <c r="S17" s="294"/>
      <c r="T17" s="302"/>
      <c r="U17" s="339"/>
      <c r="V17" s="432" t="s">
        <v>155</v>
      </c>
      <c r="W17" s="342" t="s">
        <v>103</v>
      </c>
      <c r="X17" s="279"/>
      <c r="Y17" s="342" t="s">
        <v>103</v>
      </c>
      <c r="Z17" s="279"/>
      <c r="AA17" s="343" t="s">
        <v>103</v>
      </c>
      <c r="AB17" s="344">
        <f>SUM(X17,Z17)</f>
        <v>0</v>
      </c>
      <c r="AD17" s="300"/>
      <c r="AE17" s="339"/>
      <c r="AF17" s="432" t="s">
        <v>155</v>
      </c>
      <c r="AG17" s="342" t="s">
        <v>103</v>
      </c>
      <c r="AH17" s="279"/>
      <c r="AI17" s="342" t="s">
        <v>103</v>
      </c>
      <c r="AJ17" s="279"/>
      <c r="AK17" s="343" t="s">
        <v>103</v>
      </c>
      <c r="AL17" s="344">
        <f>SUM(AH17,AJ17)</f>
        <v>0</v>
      </c>
      <c r="AN17" s="300"/>
      <c r="AO17" s="339"/>
      <c r="AP17" s="432" t="s">
        <v>155</v>
      </c>
      <c r="AQ17" s="342" t="s">
        <v>103</v>
      </c>
      <c r="AR17" s="279"/>
      <c r="AS17" s="342" t="s">
        <v>103</v>
      </c>
      <c r="AT17" s="279"/>
      <c r="AU17" s="343" t="s">
        <v>103</v>
      </c>
      <c r="AV17" s="344">
        <f>SUM(AR17,AT17)</f>
        <v>0</v>
      </c>
      <c r="AX17" s="300"/>
      <c r="AY17" s="339"/>
      <c r="AZ17" s="432" t="s">
        <v>155</v>
      </c>
      <c r="BA17" s="342" t="s">
        <v>103</v>
      </c>
      <c r="BB17" s="279"/>
      <c r="BC17" s="342" t="s">
        <v>103</v>
      </c>
      <c r="BD17" s="279"/>
      <c r="BE17" s="343" t="s">
        <v>103</v>
      </c>
      <c r="BF17" s="344">
        <f>SUM(BB17,BD17)</f>
        <v>0</v>
      </c>
      <c r="BH17" s="300"/>
      <c r="BI17" s="339"/>
      <c r="BJ17" s="432" t="s">
        <v>155</v>
      </c>
      <c r="BK17" s="342" t="s">
        <v>103</v>
      </c>
      <c r="BL17" s="279"/>
      <c r="BM17" s="342" t="s">
        <v>103</v>
      </c>
      <c r="BN17" s="279"/>
      <c r="BO17" s="343" t="s">
        <v>103</v>
      </c>
      <c r="BP17" s="344">
        <f>SUM(BL17,BN17)</f>
        <v>0</v>
      </c>
    </row>
    <row r="18" spans="2:68" ht="18.75" thickBot="1">
      <c r="B18" s="278">
        <v>42507</v>
      </c>
      <c r="G18" s="150">
        <f t="shared" si="0"/>
        <v>0</v>
      </c>
      <c r="H18" s="150">
        <f t="shared" si="1"/>
        <v>0</v>
      </c>
      <c r="K18" s="339"/>
      <c r="L18" s="289">
        <v>8</v>
      </c>
      <c r="M18" s="345" t="s">
        <v>5</v>
      </c>
      <c r="N18" s="346">
        <f>VLOOKUP(L15, $B$3:$E$109, 4, FALSE)</f>
        <v>0</v>
      </c>
      <c r="O18" s="345" t="s">
        <v>5</v>
      </c>
      <c r="P18" s="347">
        <f>VLOOKUP(L15, $B$3:$F$109, 5, FALSE)</f>
        <v>0</v>
      </c>
      <c r="Q18" s="348" t="s">
        <v>5</v>
      </c>
      <c r="R18" s="344">
        <f>SUM(N18,P18)</f>
        <v>0</v>
      </c>
      <c r="S18" s="294"/>
      <c r="T18" s="302"/>
      <c r="U18" s="339"/>
      <c r="V18" s="289">
        <v>8</v>
      </c>
      <c r="W18" s="345" t="s">
        <v>5</v>
      </c>
      <c r="X18" s="346">
        <f>VLOOKUP(V15, $B$3:$E$109, 4, FALSE)</f>
        <v>0</v>
      </c>
      <c r="Y18" s="345" t="s">
        <v>5</v>
      </c>
      <c r="Z18" s="347">
        <f>VLOOKUP(V15, $B$3:$F$109, 5, FALSE)</f>
        <v>0</v>
      </c>
      <c r="AA18" s="348" t="s">
        <v>5</v>
      </c>
      <c r="AB18" s="344">
        <f>SUM(X18,Z18)</f>
        <v>0</v>
      </c>
      <c r="AD18" s="300"/>
      <c r="AE18" s="339"/>
      <c r="AF18" s="289">
        <v>8</v>
      </c>
      <c r="AG18" s="345" t="s">
        <v>5</v>
      </c>
      <c r="AH18" s="346">
        <f>VLOOKUP(AF15, $B$3:$E$109, 4, FALSE)</f>
        <v>0</v>
      </c>
      <c r="AI18" s="345" t="s">
        <v>5</v>
      </c>
      <c r="AJ18" s="347">
        <f>VLOOKUP(AF15, $B$3:$F$109, 5, FALSE)</f>
        <v>0</v>
      </c>
      <c r="AK18" s="348" t="s">
        <v>5</v>
      </c>
      <c r="AL18" s="344">
        <f>SUM(AH18,AJ18)</f>
        <v>0</v>
      </c>
      <c r="AN18" s="300"/>
      <c r="AO18" s="339"/>
      <c r="AP18" s="289">
        <v>8</v>
      </c>
      <c r="AQ18" s="345" t="s">
        <v>5</v>
      </c>
      <c r="AR18" s="346">
        <f>VLOOKUP(AP15, $B$3:$E$109, 4, FALSE)</f>
        <v>0</v>
      </c>
      <c r="AS18" s="345" t="s">
        <v>5</v>
      </c>
      <c r="AT18" s="347">
        <f>VLOOKUP(AP15, $B$3:$F$109, 5, FALSE)</f>
        <v>0</v>
      </c>
      <c r="AU18" s="348" t="s">
        <v>5</v>
      </c>
      <c r="AV18" s="344">
        <f>SUM(AR18,AT18)</f>
        <v>0</v>
      </c>
      <c r="AX18" s="300"/>
      <c r="AY18" s="339"/>
      <c r="AZ18" s="289">
        <v>8</v>
      </c>
      <c r="BA18" s="345" t="s">
        <v>5</v>
      </c>
      <c r="BB18" s="346">
        <f>VLOOKUP(AZ15, $B$3:$E$109, 4, FALSE)</f>
        <v>0</v>
      </c>
      <c r="BC18" s="345" t="s">
        <v>5</v>
      </c>
      <c r="BD18" s="347">
        <f>VLOOKUP(AZ15, $B$3:$F$109, 5, FALSE)</f>
        <v>0</v>
      </c>
      <c r="BE18" s="348" t="s">
        <v>5</v>
      </c>
      <c r="BF18" s="344">
        <f>SUM(BB18,BD18)</f>
        <v>0</v>
      </c>
      <c r="BH18" s="300"/>
      <c r="BI18" s="339"/>
      <c r="BJ18" s="289">
        <v>8</v>
      </c>
      <c r="BK18" s="345" t="s">
        <v>5</v>
      </c>
      <c r="BL18" s="346">
        <f>VLOOKUP(BJ15, $B$3:$E$109, 4, FALSE)</f>
        <v>0</v>
      </c>
      <c r="BM18" s="345" t="s">
        <v>5</v>
      </c>
      <c r="BN18" s="347">
        <f>VLOOKUP(BJ15, $B$3:$F$109, 5, FALSE)</f>
        <v>0</v>
      </c>
      <c r="BO18" s="348" t="s">
        <v>5</v>
      </c>
      <c r="BP18" s="344">
        <f>SUM(BL18,BN18)</f>
        <v>0</v>
      </c>
    </row>
    <row r="19" spans="2:68" ht="15.75" customHeight="1">
      <c r="B19" s="278">
        <v>42508</v>
      </c>
      <c r="G19" s="150">
        <f t="shared" si="0"/>
        <v>0</v>
      </c>
      <c r="H19" s="150">
        <f t="shared" si="1"/>
        <v>0</v>
      </c>
      <c r="K19" s="339"/>
      <c r="L19" s="338"/>
      <c r="M19" s="669" t="s">
        <v>105</v>
      </c>
      <c r="N19" s="346">
        <f>VLOOKUP(L15, $B$3:$E$109, 2, FALSE)</f>
        <v>0</v>
      </c>
      <c r="O19" s="669" t="s">
        <v>105</v>
      </c>
      <c r="P19" s="347">
        <f>VLOOKUP(L15, $B$3:$E$109, 3, FALSE)</f>
        <v>0</v>
      </c>
      <c r="Q19" s="670" t="s">
        <v>105</v>
      </c>
      <c r="R19" s="344">
        <f>SUM(N19,P19)</f>
        <v>0</v>
      </c>
      <c r="S19" s="294"/>
      <c r="T19" s="302"/>
      <c r="U19" s="339"/>
      <c r="V19" s="338"/>
      <c r="W19" s="669" t="s">
        <v>105</v>
      </c>
      <c r="X19" s="346">
        <f>VLOOKUP(V15, $B$3:$E$109, 2, FALSE)</f>
        <v>0</v>
      </c>
      <c r="Y19" s="669" t="s">
        <v>105</v>
      </c>
      <c r="Z19" s="347">
        <f>VLOOKUP(V15, $B$3:$E$109, 3, FALSE)</f>
        <v>0</v>
      </c>
      <c r="AA19" s="670" t="s">
        <v>105</v>
      </c>
      <c r="AB19" s="344">
        <f>SUM(X19,Z19)</f>
        <v>0</v>
      </c>
      <c r="AD19" s="300"/>
      <c r="AE19" s="339"/>
      <c r="AF19" s="338"/>
      <c r="AG19" s="669" t="s">
        <v>105</v>
      </c>
      <c r="AH19" s="346">
        <f>VLOOKUP(AF15, $B$3:$E$109, 2, FALSE)</f>
        <v>0</v>
      </c>
      <c r="AI19" s="669" t="s">
        <v>105</v>
      </c>
      <c r="AJ19" s="347">
        <f>VLOOKUP(AF15, $B$3:$E$109, 3, FALSE)</f>
        <v>0</v>
      </c>
      <c r="AK19" s="670" t="s">
        <v>105</v>
      </c>
      <c r="AL19" s="344">
        <f>SUM(AH19,AJ19)</f>
        <v>0</v>
      </c>
      <c r="AN19" s="300"/>
      <c r="AO19" s="339"/>
      <c r="AP19" s="338"/>
      <c r="AQ19" s="669" t="s">
        <v>105</v>
      </c>
      <c r="AR19" s="346">
        <f>VLOOKUP(AP15, $B$3:$E$109, 2, FALSE)</f>
        <v>0</v>
      </c>
      <c r="AS19" s="669" t="s">
        <v>105</v>
      </c>
      <c r="AT19" s="347">
        <f>VLOOKUP(AP15, $B$3:$E$109, 3, FALSE)</f>
        <v>0</v>
      </c>
      <c r="AU19" s="670" t="s">
        <v>105</v>
      </c>
      <c r="AV19" s="344">
        <f>SUM(AR19,AT19)</f>
        <v>0</v>
      </c>
      <c r="AX19" s="300"/>
      <c r="AY19" s="339"/>
      <c r="AZ19" s="338"/>
      <c r="BA19" s="669" t="s">
        <v>105</v>
      </c>
      <c r="BB19" s="346">
        <f>VLOOKUP(AZ15, $B$3:$E$109, 2, FALSE)</f>
        <v>0</v>
      </c>
      <c r="BC19" s="669" t="s">
        <v>105</v>
      </c>
      <c r="BD19" s="347">
        <f>VLOOKUP(AZ15, $B$3:$E$109, 3, FALSE)</f>
        <v>0</v>
      </c>
      <c r="BE19" s="670" t="s">
        <v>105</v>
      </c>
      <c r="BF19" s="344">
        <f>SUM(BB19,BD19)</f>
        <v>0</v>
      </c>
      <c r="BH19" s="300"/>
      <c r="BI19" s="339"/>
      <c r="BJ19" s="338"/>
      <c r="BK19" s="669" t="s">
        <v>105</v>
      </c>
      <c r="BL19" s="346">
        <f>VLOOKUP(BJ15, $B$3:$E$109, 2, FALSE)</f>
        <v>0</v>
      </c>
      <c r="BM19" s="669" t="s">
        <v>105</v>
      </c>
      <c r="BN19" s="347">
        <f>VLOOKUP(BJ15, $B$3:$E$109, 3, FALSE)</f>
        <v>0</v>
      </c>
      <c r="BO19" s="670" t="s">
        <v>105</v>
      </c>
      <c r="BP19" s="344">
        <f>SUM(BL19,BN19)</f>
        <v>0</v>
      </c>
    </row>
    <row r="20" spans="2:68" ht="12.75" customHeight="1">
      <c r="B20" s="278">
        <v>42509</v>
      </c>
      <c r="G20" s="150">
        <f t="shared" si="0"/>
        <v>0</v>
      </c>
      <c r="H20" s="150">
        <f t="shared" si="1"/>
        <v>0</v>
      </c>
      <c r="K20" s="698" t="s">
        <v>157</v>
      </c>
      <c r="L20" s="699"/>
      <c r="M20" s="670"/>
      <c r="N20" s="340"/>
      <c r="O20" s="669"/>
      <c r="P20" s="340"/>
      <c r="Q20" s="670"/>
      <c r="R20" s="340"/>
      <c r="S20" s="156"/>
      <c r="T20" s="302"/>
      <c r="U20" s="698" t="s">
        <v>157</v>
      </c>
      <c r="V20" s="699"/>
      <c r="W20" s="670"/>
      <c r="X20" s="340"/>
      <c r="Y20" s="669"/>
      <c r="Z20" s="340"/>
      <c r="AA20" s="670"/>
      <c r="AB20" s="340"/>
      <c r="AD20" s="300"/>
      <c r="AE20" s="698" t="s">
        <v>157</v>
      </c>
      <c r="AF20" s="699"/>
      <c r="AG20" s="670"/>
      <c r="AH20" s="340"/>
      <c r="AI20" s="669"/>
      <c r="AJ20" s="340"/>
      <c r="AK20" s="670"/>
      <c r="AL20" s="340"/>
      <c r="AN20" s="300"/>
      <c r="AO20" s="698" t="s">
        <v>157</v>
      </c>
      <c r="AP20" s="699"/>
      <c r="AQ20" s="670"/>
      <c r="AR20" s="340"/>
      <c r="AS20" s="669"/>
      <c r="AT20" s="340"/>
      <c r="AU20" s="670"/>
      <c r="AV20" s="340"/>
      <c r="AX20" s="300"/>
      <c r="AY20" s="698" t="s">
        <v>157</v>
      </c>
      <c r="AZ20" s="699"/>
      <c r="BA20" s="670"/>
      <c r="BB20" s="340"/>
      <c r="BC20" s="669"/>
      <c r="BD20" s="340"/>
      <c r="BE20" s="670"/>
      <c r="BF20" s="340"/>
      <c r="BH20" s="300"/>
      <c r="BI20" s="698" t="s">
        <v>157</v>
      </c>
      <c r="BJ20" s="699"/>
      <c r="BK20" s="670"/>
      <c r="BL20" s="340"/>
      <c r="BM20" s="669"/>
      <c r="BN20" s="340"/>
      <c r="BO20" s="670"/>
      <c r="BP20" s="340"/>
    </row>
    <row r="21" spans="2:68" ht="15.75">
      <c r="B21" s="278">
        <v>42510</v>
      </c>
      <c r="G21" s="150">
        <f t="shared" si="0"/>
        <v>0</v>
      </c>
      <c r="H21" s="150">
        <f t="shared" si="1"/>
        <v>0</v>
      </c>
      <c r="K21" s="379"/>
      <c r="L21" s="349">
        <f>R17*13</f>
        <v>0</v>
      </c>
      <c r="M21" s="429"/>
      <c r="N21" s="340"/>
      <c r="O21" s="351"/>
      <c r="P21" s="340"/>
      <c r="Q21" s="430"/>
      <c r="R21" s="340"/>
      <c r="S21" s="156"/>
      <c r="T21" s="302"/>
      <c r="U21" s="379"/>
      <c r="V21" s="349">
        <f>AB17*13</f>
        <v>0</v>
      </c>
      <c r="W21" s="429"/>
      <c r="X21" s="340"/>
      <c r="Y21" s="351"/>
      <c r="Z21" s="340"/>
      <c r="AA21" s="430"/>
      <c r="AB21" s="340"/>
      <c r="AD21" s="300"/>
      <c r="AE21" s="379"/>
      <c r="AF21" s="349">
        <f>AL17*13</f>
        <v>0</v>
      </c>
      <c r="AG21" s="429"/>
      <c r="AH21" s="340"/>
      <c r="AI21" s="351"/>
      <c r="AJ21" s="340"/>
      <c r="AK21" s="430"/>
      <c r="AL21" s="340"/>
      <c r="AN21" s="300"/>
      <c r="AO21" s="379"/>
      <c r="AP21" s="349">
        <f>AV17*13</f>
        <v>0</v>
      </c>
      <c r="AQ21" s="429"/>
      <c r="AR21" s="340"/>
      <c r="AS21" s="351"/>
      <c r="AT21" s="340"/>
      <c r="AU21" s="430"/>
      <c r="AV21" s="340"/>
      <c r="AX21" s="300"/>
      <c r="AY21" s="379"/>
      <c r="AZ21" s="349">
        <f>BF17*13</f>
        <v>0</v>
      </c>
      <c r="BA21" s="429"/>
      <c r="BB21" s="340"/>
      <c r="BC21" s="351"/>
      <c r="BD21" s="340"/>
      <c r="BE21" s="430"/>
      <c r="BF21" s="340"/>
      <c r="BH21" s="300"/>
      <c r="BI21" s="379"/>
      <c r="BJ21" s="349">
        <f>BP17*13</f>
        <v>0</v>
      </c>
      <c r="BK21" s="429"/>
      <c r="BL21" s="340"/>
      <c r="BM21" s="351"/>
      <c r="BN21" s="340"/>
      <c r="BO21" s="430"/>
      <c r="BP21" s="340"/>
    </row>
    <row r="22" spans="2:68" ht="18.75">
      <c r="B22" s="278">
        <v>42511</v>
      </c>
      <c r="G22" s="150">
        <f t="shared" si="0"/>
        <v>0</v>
      </c>
      <c r="H22" s="150">
        <f t="shared" si="1"/>
        <v>0</v>
      </c>
      <c r="K22" s="339"/>
      <c r="L22" s="380"/>
      <c r="M22" s="286" t="s">
        <v>97</v>
      </c>
      <c r="N22" s="287" t="e">
        <f>N19/((N17*EFFICIENCY!$H$28))</f>
        <v>#DIV/0!</v>
      </c>
      <c r="O22" s="286" t="s">
        <v>97</v>
      </c>
      <c r="P22" s="287" t="e">
        <f>P19/(P17*EFFICIENCY!$H$28)</f>
        <v>#DIV/0!</v>
      </c>
      <c r="Q22" s="286" t="s">
        <v>97</v>
      </c>
      <c r="R22" s="287" t="e">
        <f>R19/(R17*EFFICIENCY!$H$28)</f>
        <v>#DIV/0!</v>
      </c>
      <c r="S22" s="295"/>
      <c r="T22" s="302"/>
      <c r="U22" s="339"/>
      <c r="V22" s="380"/>
      <c r="W22" s="286" t="s">
        <v>97</v>
      </c>
      <c r="X22" s="287" t="e">
        <f>X19/((X17*EFFICIENCY!$H$28))</f>
        <v>#DIV/0!</v>
      </c>
      <c r="Y22" s="286" t="s">
        <v>97</v>
      </c>
      <c r="Z22" s="287" t="e">
        <f>Z19/(Z17*EFFICIENCY!$H$28)</f>
        <v>#DIV/0!</v>
      </c>
      <c r="AA22" s="286" t="s">
        <v>97</v>
      </c>
      <c r="AB22" s="287" t="e">
        <f>AB19/(AB17*EFFICIENCY!$H$28)</f>
        <v>#DIV/0!</v>
      </c>
      <c r="AD22" s="300"/>
      <c r="AE22" s="339"/>
      <c r="AF22" s="380"/>
      <c r="AG22" s="286" t="s">
        <v>97</v>
      </c>
      <c r="AH22" s="287" t="e">
        <f>AH19/((AH17*EFFICIENCY!$H$28))</f>
        <v>#DIV/0!</v>
      </c>
      <c r="AI22" s="286" t="s">
        <v>97</v>
      </c>
      <c r="AJ22" s="287" t="e">
        <f>AJ19/(AJ17*EFFICIENCY!$H$28)</f>
        <v>#DIV/0!</v>
      </c>
      <c r="AK22" s="286" t="s">
        <v>97</v>
      </c>
      <c r="AL22" s="287" t="e">
        <f>AL19/(AL17*EFFICIENCY!$H$28)</f>
        <v>#DIV/0!</v>
      </c>
      <c r="AN22" s="300"/>
      <c r="AO22" s="339"/>
      <c r="AP22" s="380"/>
      <c r="AQ22" s="286" t="s">
        <v>97</v>
      </c>
      <c r="AR22" s="287" t="e">
        <f>AR19/((AR17*EFFICIENCY!$H$28))</f>
        <v>#DIV/0!</v>
      </c>
      <c r="AS22" s="286" t="s">
        <v>97</v>
      </c>
      <c r="AT22" s="287" t="e">
        <f>AT19/(AT17*EFFICIENCY!$H$28)</f>
        <v>#DIV/0!</v>
      </c>
      <c r="AU22" s="286" t="s">
        <v>97</v>
      </c>
      <c r="AV22" s="287" t="e">
        <f>AV19/(AV17*EFFICIENCY!$H$28)</f>
        <v>#DIV/0!</v>
      </c>
      <c r="AX22" s="300"/>
      <c r="AY22" s="339"/>
      <c r="AZ22" s="380"/>
      <c r="BA22" s="286" t="s">
        <v>97</v>
      </c>
      <c r="BB22" s="287" t="e">
        <f>BB19/((BB17*EFFICIENCY!$H$28))</f>
        <v>#DIV/0!</v>
      </c>
      <c r="BC22" s="286" t="s">
        <v>97</v>
      </c>
      <c r="BD22" s="287" t="e">
        <f>BD19/(BD17*EFFICIENCY!$H$28)</f>
        <v>#DIV/0!</v>
      </c>
      <c r="BE22" s="286" t="s">
        <v>97</v>
      </c>
      <c r="BF22" s="287" t="e">
        <f>BF19/(BF17*EFFICIENCY!$H$28)</f>
        <v>#DIV/0!</v>
      </c>
      <c r="BH22" s="300"/>
      <c r="BI22" s="339"/>
      <c r="BJ22" s="380"/>
      <c r="BK22" s="286" t="s">
        <v>97</v>
      </c>
      <c r="BL22" s="287" t="e">
        <f>BL19/((BL17*EFFICIENCY!$H$28))</f>
        <v>#DIV/0!</v>
      </c>
      <c r="BM22" s="286" t="s">
        <v>97</v>
      </c>
      <c r="BN22" s="287" t="e">
        <f>BN19/(BN17*EFFICIENCY!$H$28)</f>
        <v>#DIV/0!</v>
      </c>
      <c r="BO22" s="286" t="s">
        <v>97</v>
      </c>
      <c r="BP22" s="287" t="e">
        <f>BP19/(BP17*EFFICIENCY!$H$28)</f>
        <v>#DIV/0!</v>
      </c>
    </row>
    <row r="23" spans="2:68" ht="18.75">
      <c r="B23" s="278">
        <v>42512</v>
      </c>
      <c r="G23" s="150">
        <f t="shared" si="0"/>
        <v>0</v>
      </c>
      <c r="H23" s="150">
        <f t="shared" si="1"/>
        <v>0</v>
      </c>
      <c r="K23" s="339"/>
      <c r="L23" s="338"/>
      <c r="M23" s="280" t="s">
        <v>96</v>
      </c>
      <c r="N23" s="281" t="e">
        <f>N19/(N17*EFFICIENCY!$I$28)</f>
        <v>#DIV/0!</v>
      </c>
      <c r="O23" s="280" t="s">
        <v>96</v>
      </c>
      <c r="P23" s="281" t="e">
        <f>P19/(P17*EFFICIENCY!$I$28)</f>
        <v>#DIV/0!</v>
      </c>
      <c r="Q23" s="280" t="s">
        <v>96</v>
      </c>
      <c r="R23" s="281" t="e">
        <f>R19/(R17*EFFICIENCY!$I$28)</f>
        <v>#DIV/0!</v>
      </c>
      <c r="S23" s="296"/>
      <c r="T23" s="302"/>
      <c r="U23" s="339"/>
      <c r="V23" s="338"/>
      <c r="W23" s="280" t="s">
        <v>96</v>
      </c>
      <c r="X23" s="281" t="e">
        <f>X19/(X17*EFFICIENCY!$I$28)</f>
        <v>#DIV/0!</v>
      </c>
      <c r="Y23" s="280" t="s">
        <v>96</v>
      </c>
      <c r="Z23" s="281" t="e">
        <f>Z19/(Z17*EFFICIENCY!$I$28)</f>
        <v>#DIV/0!</v>
      </c>
      <c r="AA23" s="280" t="s">
        <v>96</v>
      </c>
      <c r="AB23" s="281" t="e">
        <f>AB19/(AB17*EFFICIENCY!$I$28)</f>
        <v>#DIV/0!</v>
      </c>
      <c r="AD23" s="300"/>
      <c r="AE23" s="339"/>
      <c r="AF23" s="338"/>
      <c r="AG23" s="280" t="s">
        <v>96</v>
      </c>
      <c r="AH23" s="281" t="e">
        <f>AH19/(AH17*EFFICIENCY!$I$28)</f>
        <v>#DIV/0!</v>
      </c>
      <c r="AI23" s="280" t="s">
        <v>96</v>
      </c>
      <c r="AJ23" s="281" t="e">
        <f>AJ19/(AJ17*EFFICIENCY!$I$28)</f>
        <v>#DIV/0!</v>
      </c>
      <c r="AK23" s="280" t="s">
        <v>96</v>
      </c>
      <c r="AL23" s="281" t="e">
        <f>AL19/(AL17*EFFICIENCY!$I$28)</f>
        <v>#DIV/0!</v>
      </c>
      <c r="AN23" s="300"/>
      <c r="AO23" s="339"/>
      <c r="AP23" s="338"/>
      <c r="AQ23" s="280" t="s">
        <v>96</v>
      </c>
      <c r="AR23" s="281" t="e">
        <f>AR19/(AR17*EFFICIENCY!$I$28)</f>
        <v>#DIV/0!</v>
      </c>
      <c r="AS23" s="280" t="s">
        <v>96</v>
      </c>
      <c r="AT23" s="281" t="e">
        <f>AT19/(AT17*EFFICIENCY!$I$28)</f>
        <v>#DIV/0!</v>
      </c>
      <c r="AU23" s="280" t="s">
        <v>96</v>
      </c>
      <c r="AV23" s="281" t="e">
        <f>AV19/(AV17*EFFICIENCY!$I$28)</f>
        <v>#DIV/0!</v>
      </c>
      <c r="AX23" s="300"/>
      <c r="AY23" s="339"/>
      <c r="AZ23" s="338"/>
      <c r="BA23" s="280" t="s">
        <v>96</v>
      </c>
      <c r="BB23" s="281" t="e">
        <f>BB19/(BB17*EFFICIENCY!$I$28)</f>
        <v>#DIV/0!</v>
      </c>
      <c r="BC23" s="280" t="s">
        <v>96</v>
      </c>
      <c r="BD23" s="281" t="e">
        <f>BD19/(BD17*EFFICIENCY!$I$28)</f>
        <v>#DIV/0!</v>
      </c>
      <c r="BE23" s="280" t="s">
        <v>96</v>
      </c>
      <c r="BF23" s="281" t="e">
        <f>BF19/(BF17*EFFICIENCY!$I$28)</f>
        <v>#DIV/0!</v>
      </c>
      <c r="BH23" s="300"/>
      <c r="BI23" s="339"/>
      <c r="BJ23" s="338"/>
      <c r="BK23" s="280" t="s">
        <v>96</v>
      </c>
      <c r="BL23" s="281" t="e">
        <f>BL19/(BL17*EFFICIENCY!$I$28)</f>
        <v>#DIV/0!</v>
      </c>
      <c r="BM23" s="280" t="s">
        <v>96</v>
      </c>
      <c r="BN23" s="281" t="e">
        <f>BN19/(BN17*EFFICIENCY!$I$28)</f>
        <v>#DIV/0!</v>
      </c>
      <c r="BO23" s="280" t="s">
        <v>96</v>
      </c>
      <c r="BP23" s="281" t="e">
        <f>BP19/(BP17*EFFICIENCY!$I$28)</f>
        <v>#DIV/0!</v>
      </c>
    </row>
    <row r="24" spans="2:68" ht="19.5" customHeight="1" thickBot="1">
      <c r="B24" s="278">
        <v>42513</v>
      </c>
      <c r="G24" s="150">
        <f t="shared" si="0"/>
        <v>0</v>
      </c>
      <c r="H24" s="150">
        <f t="shared" si="1"/>
        <v>0</v>
      </c>
      <c r="K24" s="694" t="s">
        <v>156</v>
      </c>
      <c r="L24" s="695"/>
      <c r="M24" s="284" t="s">
        <v>94</v>
      </c>
      <c r="N24" s="285" t="e">
        <f>N19/((N17*EFFICIENCY!$K$28))</f>
        <v>#DIV/0!</v>
      </c>
      <c r="O24" s="288" t="s">
        <v>94</v>
      </c>
      <c r="P24" s="285" t="e">
        <f>P19/((P17*EFFICIENCY!$K$28))</f>
        <v>#DIV/0!</v>
      </c>
      <c r="Q24" s="284" t="s">
        <v>94</v>
      </c>
      <c r="R24" s="285" t="e">
        <f>R19/((R17*EFFICIENCY!$K$28))</f>
        <v>#DIV/0!</v>
      </c>
      <c r="S24" s="297"/>
      <c r="T24" s="302"/>
      <c r="U24" s="694" t="s">
        <v>156</v>
      </c>
      <c r="V24" s="695"/>
      <c r="W24" s="284" t="s">
        <v>94</v>
      </c>
      <c r="X24" s="285" t="e">
        <f>X19/((X17*EFFICIENCY!$K$28))</f>
        <v>#DIV/0!</v>
      </c>
      <c r="Y24" s="288" t="s">
        <v>94</v>
      </c>
      <c r="Z24" s="285" t="e">
        <f>Z19/((Z17*EFFICIENCY!$K$28))</f>
        <v>#DIV/0!</v>
      </c>
      <c r="AA24" s="284" t="s">
        <v>94</v>
      </c>
      <c r="AB24" s="285" t="e">
        <f>AB19/((AB17*EFFICIENCY!$K$28))</f>
        <v>#DIV/0!</v>
      </c>
      <c r="AD24" s="300"/>
      <c r="AE24" s="694" t="s">
        <v>156</v>
      </c>
      <c r="AF24" s="695"/>
      <c r="AG24" s="284" t="s">
        <v>94</v>
      </c>
      <c r="AH24" s="285" t="e">
        <f>AH19/((AH17*EFFICIENCY!$K$28))</f>
        <v>#DIV/0!</v>
      </c>
      <c r="AI24" s="288" t="s">
        <v>94</v>
      </c>
      <c r="AJ24" s="285" t="e">
        <f>AJ19/((AJ17*EFFICIENCY!$K$28))</f>
        <v>#DIV/0!</v>
      </c>
      <c r="AK24" s="284" t="s">
        <v>94</v>
      </c>
      <c r="AL24" s="285" t="e">
        <f>AL19/((AL17*EFFICIENCY!$K$28))</f>
        <v>#DIV/0!</v>
      </c>
      <c r="AN24" s="300"/>
      <c r="AO24" s="694" t="s">
        <v>156</v>
      </c>
      <c r="AP24" s="695"/>
      <c r="AQ24" s="284" t="s">
        <v>94</v>
      </c>
      <c r="AR24" s="285" t="e">
        <f>AR19/((AR17*EFFICIENCY!$K$28))</f>
        <v>#DIV/0!</v>
      </c>
      <c r="AS24" s="288" t="s">
        <v>94</v>
      </c>
      <c r="AT24" s="285" t="e">
        <f>AT19/((AT17*EFFICIENCY!$K$28))</f>
        <v>#DIV/0!</v>
      </c>
      <c r="AU24" s="284" t="s">
        <v>94</v>
      </c>
      <c r="AV24" s="285" t="e">
        <f>AV19/((AV17*EFFICIENCY!$K$28))</f>
        <v>#DIV/0!</v>
      </c>
      <c r="AX24" s="300"/>
      <c r="AY24" s="694" t="s">
        <v>156</v>
      </c>
      <c r="AZ24" s="695"/>
      <c r="BA24" s="284" t="s">
        <v>94</v>
      </c>
      <c r="BB24" s="285" t="e">
        <f>BB19/((BB17*EFFICIENCY!$K$28))</f>
        <v>#DIV/0!</v>
      </c>
      <c r="BC24" s="288" t="s">
        <v>94</v>
      </c>
      <c r="BD24" s="285" t="e">
        <f>BD19/((BD17*EFFICIENCY!$K$28))</f>
        <v>#DIV/0!</v>
      </c>
      <c r="BE24" s="284" t="s">
        <v>94</v>
      </c>
      <c r="BF24" s="285" t="e">
        <f>BF19/((BF17*EFFICIENCY!$K$28))</f>
        <v>#DIV/0!</v>
      </c>
      <c r="BH24" s="300"/>
      <c r="BI24" s="694" t="s">
        <v>156</v>
      </c>
      <c r="BJ24" s="695"/>
      <c r="BK24" s="284" t="s">
        <v>94</v>
      </c>
      <c r="BL24" s="285" t="e">
        <f>BL19/((BL17*EFFICIENCY!$K$28))</f>
        <v>#DIV/0!</v>
      </c>
      <c r="BM24" s="288" t="s">
        <v>94</v>
      </c>
      <c r="BN24" s="285" t="e">
        <f>BN19/((BN17*EFFICIENCY!$K$28))</f>
        <v>#DIV/0!</v>
      </c>
      <c r="BO24" s="284" t="s">
        <v>94</v>
      </c>
      <c r="BP24" s="285" t="e">
        <f>BP19/((BP17*EFFICIENCY!$K$28))</f>
        <v>#DIV/0!</v>
      </c>
    </row>
    <row r="25" spans="2:68" ht="16.5" thickBot="1">
      <c r="B25" s="278">
        <v>42514</v>
      </c>
      <c r="G25" s="150">
        <f t="shared" si="0"/>
        <v>0</v>
      </c>
      <c r="H25" s="150">
        <f t="shared" si="1"/>
        <v>0</v>
      </c>
      <c r="K25" s="381"/>
      <c r="L25" s="382" t="e">
        <f>R19/R17</f>
        <v>#DIV/0!</v>
      </c>
      <c r="M25" s="661" t="s">
        <v>153</v>
      </c>
      <c r="N25" s="662"/>
      <c r="O25" s="290"/>
      <c r="P25" s="427"/>
      <c r="Q25" s="427" t="s">
        <v>154</v>
      </c>
      <c r="R25" s="354">
        <f>O25-R19</f>
        <v>0</v>
      </c>
      <c r="S25" s="298"/>
      <c r="T25" s="300"/>
      <c r="U25" s="381"/>
      <c r="V25" s="382" t="e">
        <f>AB19/AB17</f>
        <v>#DIV/0!</v>
      </c>
      <c r="W25" s="661" t="s">
        <v>153</v>
      </c>
      <c r="X25" s="662"/>
      <c r="Y25" s="290"/>
      <c r="Z25" s="427"/>
      <c r="AA25" s="427" t="s">
        <v>154</v>
      </c>
      <c r="AB25" s="354">
        <f>Y25-AB19</f>
        <v>0</v>
      </c>
      <c r="AD25" s="300"/>
      <c r="AE25" s="381"/>
      <c r="AF25" s="382" t="e">
        <f>AL19/AL17</f>
        <v>#DIV/0!</v>
      </c>
      <c r="AG25" s="661" t="s">
        <v>153</v>
      </c>
      <c r="AH25" s="662"/>
      <c r="AI25" s="290"/>
      <c r="AJ25" s="427"/>
      <c r="AK25" s="427" t="s">
        <v>154</v>
      </c>
      <c r="AL25" s="354">
        <f>AI25-AL19</f>
        <v>0</v>
      </c>
      <c r="AN25" s="300"/>
      <c r="AO25" s="381"/>
      <c r="AP25" s="382" t="e">
        <f>AV19/AV17</f>
        <v>#DIV/0!</v>
      </c>
      <c r="AQ25" s="661" t="s">
        <v>153</v>
      </c>
      <c r="AR25" s="662"/>
      <c r="AS25" s="290"/>
      <c r="AT25" s="427"/>
      <c r="AU25" s="427" t="s">
        <v>154</v>
      </c>
      <c r="AV25" s="354">
        <f>AS25-AV19</f>
        <v>0</v>
      </c>
      <c r="AX25" s="300"/>
      <c r="AY25" s="381"/>
      <c r="AZ25" s="382" t="e">
        <f>BF19/BF17</f>
        <v>#DIV/0!</v>
      </c>
      <c r="BA25" s="661" t="s">
        <v>153</v>
      </c>
      <c r="BB25" s="662"/>
      <c r="BC25" s="290"/>
      <c r="BD25" s="427"/>
      <c r="BE25" s="427" t="s">
        <v>154</v>
      </c>
      <c r="BF25" s="354">
        <f>BC25-BF19</f>
        <v>0</v>
      </c>
      <c r="BH25" s="300"/>
      <c r="BI25" s="381"/>
      <c r="BJ25" s="382" t="e">
        <f>BP19/BP17</f>
        <v>#DIV/0!</v>
      </c>
      <c r="BK25" s="661" t="s">
        <v>153</v>
      </c>
      <c r="BL25" s="662"/>
      <c r="BM25" s="290"/>
      <c r="BN25" s="427"/>
      <c r="BO25" s="427" t="s">
        <v>154</v>
      </c>
      <c r="BP25" s="354">
        <f>BM25-BP19</f>
        <v>0</v>
      </c>
    </row>
    <row r="26" spans="2:68">
      <c r="B26" s="278">
        <v>42515</v>
      </c>
      <c r="G26" s="150">
        <f t="shared" si="0"/>
        <v>0</v>
      </c>
      <c r="H26" s="150">
        <f t="shared" si="1"/>
        <v>0</v>
      </c>
      <c r="T26" s="300"/>
      <c r="AD26" s="300"/>
      <c r="AN26" s="300"/>
      <c r="AX26" s="300"/>
      <c r="BH26" s="300"/>
    </row>
    <row r="27" spans="2:68" ht="13.5" thickBot="1">
      <c r="B27" s="278">
        <v>42516</v>
      </c>
      <c r="G27" s="150">
        <f t="shared" si="0"/>
        <v>0</v>
      </c>
      <c r="H27" s="150">
        <f t="shared" si="1"/>
        <v>0</v>
      </c>
      <c r="J27" s="291"/>
      <c r="K27" s="291"/>
      <c r="L27" s="291"/>
      <c r="M27" s="291"/>
      <c r="N27" s="291"/>
      <c r="O27" s="291"/>
      <c r="P27" s="291"/>
      <c r="Q27" s="291"/>
      <c r="R27" s="291"/>
      <c r="S27" s="299"/>
      <c r="T27" s="301"/>
      <c r="U27" s="291"/>
      <c r="V27" s="291"/>
      <c r="W27" s="291"/>
      <c r="X27" s="291"/>
      <c r="Y27" s="291"/>
      <c r="Z27" s="291"/>
      <c r="AA27" s="291"/>
      <c r="AB27" s="291"/>
      <c r="AC27" s="291"/>
      <c r="AD27" s="301"/>
      <c r="AE27" s="291"/>
      <c r="AF27" s="291"/>
      <c r="AG27" s="291"/>
      <c r="AH27" s="291"/>
      <c r="AI27" s="291"/>
      <c r="AJ27" s="291"/>
      <c r="AK27" s="291"/>
      <c r="AL27" s="291"/>
      <c r="AM27" s="291"/>
      <c r="AN27" s="301"/>
      <c r="AO27" s="291"/>
      <c r="AP27" s="291"/>
      <c r="AQ27" s="291"/>
      <c r="AR27" s="291"/>
      <c r="AS27" s="291"/>
      <c r="AT27" s="291"/>
      <c r="AU27" s="291"/>
      <c r="AV27" s="291"/>
      <c r="AW27" s="291"/>
      <c r="AX27" s="301"/>
      <c r="AY27" s="291"/>
      <c r="AZ27" s="291"/>
      <c r="BA27" s="291"/>
      <c r="BB27" s="291"/>
      <c r="BC27" s="291"/>
      <c r="BD27" s="291"/>
      <c r="BE27" s="291"/>
      <c r="BF27" s="291"/>
      <c r="BG27" s="291"/>
      <c r="BH27" s="301"/>
      <c r="BI27" s="291"/>
      <c r="BJ27" s="291"/>
      <c r="BK27" s="291"/>
      <c r="BL27" s="291"/>
      <c r="BM27" s="291"/>
      <c r="BN27" s="291"/>
      <c r="BO27" s="291"/>
      <c r="BP27" s="291"/>
    </row>
    <row r="28" spans="2:68" ht="15.75" thickBot="1">
      <c r="B28" s="278">
        <v>42517</v>
      </c>
      <c r="G28" s="150">
        <f t="shared" si="0"/>
        <v>0</v>
      </c>
      <c r="H28" s="150">
        <f t="shared" si="1"/>
        <v>0</v>
      </c>
      <c r="J28" s="154"/>
      <c r="K28" s="383" t="s">
        <v>7</v>
      </c>
      <c r="L28" s="534">
        <f>B17</f>
        <v>42506</v>
      </c>
      <c r="M28" s="680" t="s">
        <v>100</v>
      </c>
      <c r="N28" s="681"/>
      <c r="O28" s="682" t="s">
        <v>99</v>
      </c>
      <c r="P28" s="683"/>
      <c r="Q28" s="684" t="s">
        <v>16</v>
      </c>
      <c r="R28" s="685"/>
      <c r="S28" s="293"/>
      <c r="T28" s="300"/>
      <c r="U28" s="383" t="s">
        <v>7</v>
      </c>
      <c r="V28" s="534">
        <f>B18</f>
        <v>42507</v>
      </c>
      <c r="W28" s="680" t="s">
        <v>100</v>
      </c>
      <c r="X28" s="681"/>
      <c r="Y28" s="682" t="s">
        <v>99</v>
      </c>
      <c r="Z28" s="683"/>
      <c r="AA28" s="684" t="s">
        <v>16</v>
      </c>
      <c r="AB28" s="685"/>
      <c r="AC28" s="154"/>
      <c r="AD28" s="300"/>
      <c r="AE28" s="383" t="s">
        <v>7</v>
      </c>
      <c r="AF28" s="534">
        <f>B19</f>
        <v>42508</v>
      </c>
      <c r="AG28" s="680" t="s">
        <v>100</v>
      </c>
      <c r="AH28" s="681"/>
      <c r="AI28" s="682" t="s">
        <v>99</v>
      </c>
      <c r="AJ28" s="683"/>
      <c r="AK28" s="684" t="s">
        <v>16</v>
      </c>
      <c r="AL28" s="685"/>
      <c r="AM28" s="154"/>
      <c r="AN28" s="300"/>
      <c r="AO28" s="383" t="s">
        <v>7</v>
      </c>
      <c r="AP28" s="534">
        <f>B20</f>
        <v>42509</v>
      </c>
      <c r="AQ28" s="680" t="s">
        <v>100</v>
      </c>
      <c r="AR28" s="681"/>
      <c r="AS28" s="682" t="s">
        <v>99</v>
      </c>
      <c r="AT28" s="683"/>
      <c r="AU28" s="684" t="s">
        <v>16</v>
      </c>
      <c r="AV28" s="685"/>
      <c r="AW28" s="154"/>
      <c r="AX28" s="300"/>
      <c r="AY28" s="383" t="s">
        <v>7</v>
      </c>
      <c r="AZ28" s="534">
        <f>B21</f>
        <v>42510</v>
      </c>
      <c r="BA28" s="680" t="s">
        <v>100</v>
      </c>
      <c r="BB28" s="681"/>
      <c r="BC28" s="682" t="s">
        <v>99</v>
      </c>
      <c r="BD28" s="683"/>
      <c r="BE28" s="684" t="s">
        <v>16</v>
      </c>
      <c r="BF28" s="685"/>
      <c r="BG28" s="154"/>
      <c r="BH28" s="300"/>
      <c r="BI28" s="383" t="s">
        <v>7</v>
      </c>
      <c r="BJ28" s="534">
        <f>B22</f>
        <v>42511</v>
      </c>
      <c r="BK28" s="680" t="s">
        <v>100</v>
      </c>
      <c r="BL28" s="681"/>
      <c r="BM28" s="682" t="s">
        <v>99</v>
      </c>
      <c r="BN28" s="683"/>
      <c r="BO28" s="684" t="s">
        <v>16</v>
      </c>
      <c r="BP28" s="685"/>
    </row>
    <row r="29" spans="2:68" ht="13.5" thickBot="1">
      <c r="B29" s="278">
        <v>42518</v>
      </c>
      <c r="G29" s="150">
        <f t="shared" si="0"/>
        <v>0</v>
      </c>
      <c r="H29" s="150">
        <f t="shared" si="1"/>
        <v>0</v>
      </c>
      <c r="K29" s="304"/>
      <c r="L29" s="303"/>
      <c r="M29" s="304"/>
      <c r="N29" s="305"/>
      <c r="O29" s="304"/>
      <c r="P29" s="305"/>
      <c r="Q29" s="303"/>
      <c r="R29" s="305"/>
      <c r="S29" s="156"/>
      <c r="T29" s="300"/>
      <c r="U29" s="304"/>
      <c r="V29" s="303"/>
      <c r="W29" s="304"/>
      <c r="X29" s="305"/>
      <c r="Y29" s="304"/>
      <c r="Z29" s="305"/>
      <c r="AA29" s="303"/>
      <c r="AB29" s="305"/>
      <c r="AD29" s="300"/>
      <c r="AE29" s="304"/>
      <c r="AF29" s="303"/>
      <c r="AG29" s="304"/>
      <c r="AH29" s="305"/>
      <c r="AI29" s="304"/>
      <c r="AJ29" s="305"/>
      <c r="AK29" s="303"/>
      <c r="AL29" s="305"/>
      <c r="AN29" s="300"/>
      <c r="AO29" s="304"/>
      <c r="AP29" s="303"/>
      <c r="AQ29" s="304"/>
      <c r="AR29" s="305"/>
      <c r="AS29" s="304"/>
      <c r="AT29" s="305"/>
      <c r="AU29" s="303"/>
      <c r="AV29" s="305"/>
      <c r="AX29" s="300"/>
      <c r="AY29" s="304"/>
      <c r="AZ29" s="303"/>
      <c r="BA29" s="304"/>
      <c r="BB29" s="305"/>
      <c r="BC29" s="304"/>
      <c r="BD29" s="305"/>
      <c r="BE29" s="303"/>
      <c r="BF29" s="305"/>
      <c r="BH29" s="300"/>
      <c r="BI29" s="304"/>
      <c r="BJ29" s="303"/>
      <c r="BK29" s="304"/>
      <c r="BL29" s="305"/>
      <c r="BM29" s="304"/>
      <c r="BN29" s="305"/>
      <c r="BO29" s="303"/>
      <c r="BP29" s="305"/>
    </row>
    <row r="30" spans="2:68" ht="16.5" thickBot="1">
      <c r="B30" s="278">
        <v>42519</v>
      </c>
      <c r="G30" s="150">
        <f t="shared" si="0"/>
        <v>0</v>
      </c>
      <c r="H30" s="150">
        <f t="shared" si="1"/>
        <v>0</v>
      </c>
      <c r="K30" s="304"/>
      <c r="L30" s="428" t="s">
        <v>155</v>
      </c>
      <c r="M30" s="307" t="s">
        <v>103</v>
      </c>
      <c r="N30" s="279"/>
      <c r="O30" s="307" t="s">
        <v>103</v>
      </c>
      <c r="P30" s="279"/>
      <c r="Q30" s="308" t="s">
        <v>103</v>
      </c>
      <c r="R30" s="309">
        <f>SUM(N30,P30)</f>
        <v>0</v>
      </c>
      <c r="S30" s="294"/>
      <c r="T30" s="300"/>
      <c r="U30" s="304"/>
      <c r="V30" s="428" t="s">
        <v>155</v>
      </c>
      <c r="W30" s="307" t="s">
        <v>103</v>
      </c>
      <c r="X30" s="279"/>
      <c r="Y30" s="307" t="s">
        <v>103</v>
      </c>
      <c r="Z30" s="279"/>
      <c r="AA30" s="308" t="s">
        <v>103</v>
      </c>
      <c r="AB30" s="309">
        <f>SUM(X30,Z30)</f>
        <v>0</v>
      </c>
      <c r="AD30" s="300"/>
      <c r="AE30" s="304"/>
      <c r="AF30" s="428" t="s">
        <v>155</v>
      </c>
      <c r="AG30" s="307" t="s">
        <v>103</v>
      </c>
      <c r="AH30" s="279"/>
      <c r="AI30" s="307" t="s">
        <v>103</v>
      </c>
      <c r="AJ30" s="279"/>
      <c r="AK30" s="308" t="s">
        <v>103</v>
      </c>
      <c r="AL30" s="309">
        <f>SUM(AH30,AJ30)</f>
        <v>0</v>
      </c>
      <c r="AN30" s="300"/>
      <c r="AO30" s="304"/>
      <c r="AP30" s="428" t="s">
        <v>155</v>
      </c>
      <c r="AQ30" s="307" t="s">
        <v>103</v>
      </c>
      <c r="AR30" s="279"/>
      <c r="AS30" s="307" t="s">
        <v>103</v>
      </c>
      <c r="AT30" s="279"/>
      <c r="AU30" s="308" t="s">
        <v>103</v>
      </c>
      <c r="AV30" s="309">
        <f>SUM(AR30,AT30)</f>
        <v>0</v>
      </c>
      <c r="AX30" s="300"/>
      <c r="AY30" s="304"/>
      <c r="AZ30" s="428" t="s">
        <v>155</v>
      </c>
      <c r="BA30" s="307" t="s">
        <v>103</v>
      </c>
      <c r="BB30" s="279"/>
      <c r="BC30" s="307" t="s">
        <v>103</v>
      </c>
      <c r="BD30" s="279"/>
      <c r="BE30" s="308" t="s">
        <v>103</v>
      </c>
      <c r="BF30" s="309">
        <f>SUM(BB30,BD30)</f>
        <v>0</v>
      </c>
      <c r="BH30" s="300"/>
      <c r="BI30" s="304"/>
      <c r="BJ30" s="428" t="s">
        <v>155</v>
      </c>
      <c r="BK30" s="307" t="s">
        <v>103</v>
      </c>
      <c r="BL30" s="279"/>
      <c r="BM30" s="307" t="s">
        <v>103</v>
      </c>
      <c r="BN30" s="279"/>
      <c r="BO30" s="308" t="s">
        <v>103</v>
      </c>
      <c r="BP30" s="309">
        <f>SUM(BL30,BN30)</f>
        <v>0</v>
      </c>
    </row>
    <row r="31" spans="2:68" ht="18.75" thickBot="1">
      <c r="B31" s="278">
        <v>42520</v>
      </c>
      <c r="G31" s="150">
        <f t="shared" si="0"/>
        <v>0</v>
      </c>
      <c r="H31" s="150">
        <f t="shared" si="1"/>
        <v>0</v>
      </c>
      <c r="K31" s="304"/>
      <c r="L31" s="289">
        <v>8</v>
      </c>
      <c r="M31" s="310" t="s">
        <v>5</v>
      </c>
      <c r="N31" s="311">
        <f>VLOOKUP(L28, $B$3:$E$109, 4, FALSE)</f>
        <v>0</v>
      </c>
      <c r="O31" s="310" t="s">
        <v>5</v>
      </c>
      <c r="P31" s="312">
        <f>VLOOKUP(L28, $B$3:$F$109, 5, FALSE)</f>
        <v>0</v>
      </c>
      <c r="Q31" s="313" t="s">
        <v>5</v>
      </c>
      <c r="R31" s="309">
        <f>SUM(N31,P31)</f>
        <v>0</v>
      </c>
      <c r="S31" s="294"/>
      <c r="T31" s="300"/>
      <c r="U31" s="304"/>
      <c r="V31" s="289">
        <v>8</v>
      </c>
      <c r="W31" s="310" t="s">
        <v>5</v>
      </c>
      <c r="X31" s="311">
        <f>VLOOKUP(V28, $B$3:$E$109, 4, FALSE)</f>
        <v>0</v>
      </c>
      <c r="Y31" s="310" t="s">
        <v>5</v>
      </c>
      <c r="Z31" s="312">
        <f>VLOOKUP(V28, $B$3:$F$109, 5, FALSE)</f>
        <v>0</v>
      </c>
      <c r="AA31" s="313" t="s">
        <v>5</v>
      </c>
      <c r="AB31" s="309">
        <f>SUM(X31,Z31)</f>
        <v>0</v>
      </c>
      <c r="AD31" s="300"/>
      <c r="AE31" s="304"/>
      <c r="AF31" s="289">
        <v>8</v>
      </c>
      <c r="AG31" s="310" t="s">
        <v>5</v>
      </c>
      <c r="AH31" s="311">
        <f>VLOOKUP(AF28, $B$3:$E$109, 4, FALSE)</f>
        <v>0</v>
      </c>
      <c r="AI31" s="310" t="s">
        <v>5</v>
      </c>
      <c r="AJ31" s="312">
        <f>VLOOKUP(AF28, $B$3:$F$109, 5, FALSE)</f>
        <v>0</v>
      </c>
      <c r="AK31" s="313" t="s">
        <v>5</v>
      </c>
      <c r="AL31" s="309">
        <f>SUM(AH31,AJ31)</f>
        <v>0</v>
      </c>
      <c r="AN31" s="300"/>
      <c r="AO31" s="304"/>
      <c r="AP31" s="289">
        <v>8</v>
      </c>
      <c r="AQ31" s="310" t="s">
        <v>5</v>
      </c>
      <c r="AR31" s="311">
        <f>VLOOKUP(AP28, $B$3:$E$109, 4, FALSE)</f>
        <v>0</v>
      </c>
      <c r="AS31" s="310" t="s">
        <v>5</v>
      </c>
      <c r="AT31" s="312">
        <f>VLOOKUP(AP28, $B$3:$F$109, 5, FALSE)</f>
        <v>0</v>
      </c>
      <c r="AU31" s="313" t="s">
        <v>5</v>
      </c>
      <c r="AV31" s="309">
        <f>SUM(AR31,AT31)</f>
        <v>0</v>
      </c>
      <c r="AX31" s="300"/>
      <c r="AY31" s="304"/>
      <c r="AZ31" s="289">
        <v>8</v>
      </c>
      <c r="BA31" s="310" t="s">
        <v>5</v>
      </c>
      <c r="BB31" s="311">
        <f>VLOOKUP(AZ28, $B$3:$E$109, 4, FALSE)</f>
        <v>0</v>
      </c>
      <c r="BC31" s="310" t="s">
        <v>5</v>
      </c>
      <c r="BD31" s="312">
        <f>VLOOKUP(AZ28, $B$3:$F$109, 5, FALSE)</f>
        <v>0</v>
      </c>
      <c r="BE31" s="313" t="s">
        <v>5</v>
      </c>
      <c r="BF31" s="309">
        <f>SUM(BB31,BD31)</f>
        <v>0</v>
      </c>
      <c r="BH31" s="300"/>
      <c r="BI31" s="304"/>
      <c r="BJ31" s="289">
        <v>8</v>
      </c>
      <c r="BK31" s="310" t="s">
        <v>5</v>
      </c>
      <c r="BL31" s="311">
        <f>VLOOKUP(BJ28, $B$3:$E$109, 4, FALSE)</f>
        <v>0</v>
      </c>
      <c r="BM31" s="310" t="s">
        <v>5</v>
      </c>
      <c r="BN31" s="312">
        <f>VLOOKUP(BJ28, $B$3:$F$109, 5, FALSE)</f>
        <v>0</v>
      </c>
      <c r="BO31" s="313" t="s">
        <v>5</v>
      </c>
      <c r="BP31" s="309">
        <f>SUM(BL31,BN31)</f>
        <v>0</v>
      </c>
    </row>
    <row r="32" spans="2:68" ht="15.75" customHeight="1">
      <c r="B32" s="278">
        <v>42521</v>
      </c>
      <c r="G32" s="150">
        <f t="shared" si="0"/>
        <v>0</v>
      </c>
      <c r="H32" s="150">
        <f t="shared" si="1"/>
        <v>0</v>
      </c>
      <c r="K32" s="304"/>
      <c r="L32" s="303"/>
      <c r="M32" s="659" t="s">
        <v>105</v>
      </c>
      <c r="N32" s="311">
        <f>VLOOKUP(L28, $B$3:$E$109, 2, FALSE)</f>
        <v>0</v>
      </c>
      <c r="O32" s="659" t="s">
        <v>105</v>
      </c>
      <c r="P32" s="312">
        <f>VLOOKUP(L28, $B$3:$E$109, 3, FALSE)</f>
        <v>0</v>
      </c>
      <c r="Q32" s="660" t="s">
        <v>105</v>
      </c>
      <c r="R32" s="309">
        <f>SUM(N32,P32)</f>
        <v>0</v>
      </c>
      <c r="S32" s="294"/>
      <c r="T32" s="300"/>
      <c r="U32" s="304"/>
      <c r="V32" s="303"/>
      <c r="W32" s="659" t="s">
        <v>105</v>
      </c>
      <c r="X32" s="311">
        <f>VLOOKUP(V28, $B$3:$E$109, 2, FALSE)</f>
        <v>0</v>
      </c>
      <c r="Y32" s="659" t="s">
        <v>105</v>
      </c>
      <c r="Z32" s="312">
        <f>VLOOKUP(V28, $B$3:$E$109, 3, FALSE)</f>
        <v>0</v>
      </c>
      <c r="AA32" s="660" t="s">
        <v>105</v>
      </c>
      <c r="AB32" s="309">
        <f>SUM(X32,Z32)</f>
        <v>0</v>
      </c>
      <c r="AD32" s="300"/>
      <c r="AE32" s="304"/>
      <c r="AF32" s="303"/>
      <c r="AG32" s="659" t="s">
        <v>105</v>
      </c>
      <c r="AH32" s="311">
        <f>VLOOKUP(AF28, $B$3:$E$109, 2, FALSE)</f>
        <v>0</v>
      </c>
      <c r="AI32" s="659" t="s">
        <v>105</v>
      </c>
      <c r="AJ32" s="312">
        <f>VLOOKUP(AF28, $B$3:$E$109, 3, FALSE)</f>
        <v>0</v>
      </c>
      <c r="AK32" s="660" t="s">
        <v>105</v>
      </c>
      <c r="AL32" s="309">
        <f>SUM(AH32,AJ32)</f>
        <v>0</v>
      </c>
      <c r="AN32" s="300"/>
      <c r="AO32" s="304"/>
      <c r="AP32" s="303"/>
      <c r="AQ32" s="659" t="s">
        <v>105</v>
      </c>
      <c r="AR32" s="311">
        <f>VLOOKUP(AP28, $B$3:$E$109, 2, FALSE)</f>
        <v>0</v>
      </c>
      <c r="AS32" s="659" t="s">
        <v>105</v>
      </c>
      <c r="AT32" s="312">
        <f>VLOOKUP(AP28, $B$3:$E$109, 3, FALSE)</f>
        <v>0</v>
      </c>
      <c r="AU32" s="660" t="s">
        <v>105</v>
      </c>
      <c r="AV32" s="309">
        <f>SUM(AR32,AT32)</f>
        <v>0</v>
      </c>
      <c r="AX32" s="300"/>
      <c r="AY32" s="304"/>
      <c r="AZ32" s="303"/>
      <c r="BA32" s="659" t="s">
        <v>105</v>
      </c>
      <c r="BB32" s="311">
        <f>VLOOKUP(AZ28, $B$3:$E$109, 2, FALSE)</f>
        <v>0</v>
      </c>
      <c r="BC32" s="659" t="s">
        <v>105</v>
      </c>
      <c r="BD32" s="312">
        <f>VLOOKUP(AZ28, $B$3:$E$109, 3, FALSE)</f>
        <v>0</v>
      </c>
      <c r="BE32" s="660" t="s">
        <v>105</v>
      </c>
      <c r="BF32" s="309">
        <f>SUM(BB32,BD32)</f>
        <v>0</v>
      </c>
      <c r="BH32" s="300"/>
      <c r="BI32" s="304"/>
      <c r="BJ32" s="303"/>
      <c r="BK32" s="659" t="s">
        <v>105</v>
      </c>
      <c r="BL32" s="311">
        <f>VLOOKUP(BJ28, $B$3:$E$109, 2, FALSE)</f>
        <v>0</v>
      </c>
      <c r="BM32" s="659" t="s">
        <v>105</v>
      </c>
      <c r="BN32" s="312">
        <f>VLOOKUP(BJ28, $B$3:$E$109, 3, FALSE)</f>
        <v>0</v>
      </c>
      <c r="BO32" s="660" t="s">
        <v>105</v>
      </c>
      <c r="BP32" s="309">
        <f>SUM(BL32,BN32)</f>
        <v>0</v>
      </c>
    </row>
    <row r="33" spans="2:68" ht="12.75" customHeight="1">
      <c r="B33" s="278">
        <v>42522</v>
      </c>
      <c r="G33" s="150">
        <f>C33+D33</f>
        <v>0</v>
      </c>
      <c r="H33" s="150">
        <f>E33+F33</f>
        <v>0</v>
      </c>
      <c r="K33" s="700" t="s">
        <v>157</v>
      </c>
      <c r="L33" s="701"/>
      <c r="M33" s="660"/>
      <c r="N33" s="305"/>
      <c r="O33" s="659"/>
      <c r="P33" s="305"/>
      <c r="Q33" s="660"/>
      <c r="R33" s="305"/>
      <c r="S33" s="156"/>
      <c r="T33" s="300"/>
      <c r="U33" s="700" t="s">
        <v>157</v>
      </c>
      <c r="V33" s="701"/>
      <c r="W33" s="660"/>
      <c r="X33" s="305"/>
      <c r="Y33" s="659"/>
      <c r="Z33" s="305"/>
      <c r="AA33" s="660"/>
      <c r="AB33" s="305"/>
      <c r="AD33" s="300"/>
      <c r="AE33" s="700" t="s">
        <v>157</v>
      </c>
      <c r="AF33" s="701"/>
      <c r="AG33" s="660"/>
      <c r="AH33" s="305"/>
      <c r="AI33" s="659"/>
      <c r="AJ33" s="305"/>
      <c r="AK33" s="660"/>
      <c r="AL33" s="305"/>
      <c r="AN33" s="300"/>
      <c r="AO33" s="700" t="s">
        <v>157</v>
      </c>
      <c r="AP33" s="701"/>
      <c r="AQ33" s="660"/>
      <c r="AR33" s="305"/>
      <c r="AS33" s="659"/>
      <c r="AT33" s="305"/>
      <c r="AU33" s="660"/>
      <c r="AV33" s="305"/>
      <c r="AX33" s="300"/>
      <c r="AY33" s="700" t="s">
        <v>157</v>
      </c>
      <c r="AZ33" s="701"/>
      <c r="BA33" s="660"/>
      <c r="BB33" s="305"/>
      <c r="BC33" s="659"/>
      <c r="BD33" s="305"/>
      <c r="BE33" s="660"/>
      <c r="BF33" s="305"/>
      <c r="BH33" s="300"/>
      <c r="BI33" s="700" t="s">
        <v>157</v>
      </c>
      <c r="BJ33" s="701"/>
      <c r="BK33" s="660"/>
      <c r="BL33" s="305"/>
      <c r="BM33" s="659"/>
      <c r="BN33" s="305"/>
      <c r="BO33" s="660"/>
      <c r="BP33" s="305"/>
    </row>
    <row r="34" spans="2:68" ht="15.75">
      <c r="B34" s="278">
        <v>42523</v>
      </c>
      <c r="G34" s="150">
        <f>C34+D34</f>
        <v>0</v>
      </c>
      <c r="H34" s="150">
        <f>E34+F34</f>
        <v>0</v>
      </c>
      <c r="K34" s="384"/>
      <c r="L34" s="314">
        <f>R30*13</f>
        <v>0</v>
      </c>
      <c r="M34" s="425"/>
      <c r="N34" s="305"/>
      <c r="O34" s="316"/>
      <c r="P34" s="305"/>
      <c r="Q34" s="426"/>
      <c r="R34" s="305"/>
      <c r="S34" s="156"/>
      <c r="T34" s="300"/>
      <c r="U34" s="384"/>
      <c r="V34" s="314">
        <f>AB30*13</f>
        <v>0</v>
      </c>
      <c r="W34" s="425"/>
      <c r="X34" s="305"/>
      <c r="Y34" s="316"/>
      <c r="Z34" s="305"/>
      <c r="AA34" s="426"/>
      <c r="AB34" s="305"/>
      <c r="AD34" s="300"/>
      <c r="AE34" s="384"/>
      <c r="AF34" s="314">
        <f>AL30*13</f>
        <v>0</v>
      </c>
      <c r="AG34" s="425"/>
      <c r="AH34" s="305"/>
      <c r="AI34" s="316"/>
      <c r="AJ34" s="305"/>
      <c r="AK34" s="426"/>
      <c r="AL34" s="305"/>
      <c r="AN34" s="300"/>
      <c r="AO34" s="384"/>
      <c r="AP34" s="314">
        <f>AV30*13</f>
        <v>0</v>
      </c>
      <c r="AQ34" s="425"/>
      <c r="AR34" s="305"/>
      <c r="AS34" s="316"/>
      <c r="AT34" s="305"/>
      <c r="AU34" s="426"/>
      <c r="AV34" s="305"/>
      <c r="AX34" s="300"/>
      <c r="AY34" s="384"/>
      <c r="AZ34" s="314">
        <f>BF30*13</f>
        <v>0</v>
      </c>
      <c r="BA34" s="425"/>
      <c r="BB34" s="305"/>
      <c r="BC34" s="316"/>
      <c r="BD34" s="305"/>
      <c r="BE34" s="426"/>
      <c r="BF34" s="305"/>
      <c r="BH34" s="300"/>
      <c r="BI34" s="384"/>
      <c r="BJ34" s="314">
        <f>BP30*13</f>
        <v>0</v>
      </c>
      <c r="BK34" s="425"/>
      <c r="BL34" s="305"/>
      <c r="BM34" s="316"/>
      <c r="BN34" s="305"/>
      <c r="BO34" s="426"/>
      <c r="BP34" s="305"/>
    </row>
    <row r="35" spans="2:68" ht="18.75">
      <c r="B35" s="278">
        <v>42524</v>
      </c>
      <c r="G35" s="150">
        <f>C35+D35</f>
        <v>0</v>
      </c>
      <c r="H35" s="150">
        <f>E35+F35</f>
        <v>0</v>
      </c>
      <c r="K35" s="304"/>
      <c r="L35" s="385"/>
      <c r="M35" s="286" t="s">
        <v>97</v>
      </c>
      <c r="N35" s="287" t="e">
        <f>N32/((N30*EFFICIENCY!$H$28))</f>
        <v>#DIV/0!</v>
      </c>
      <c r="O35" s="286" t="s">
        <v>97</v>
      </c>
      <c r="P35" s="287" t="e">
        <f>P32/(P30*EFFICIENCY!$H$28)</f>
        <v>#DIV/0!</v>
      </c>
      <c r="Q35" s="286" t="s">
        <v>97</v>
      </c>
      <c r="R35" s="287" t="e">
        <f>R32/(R30*EFFICIENCY!$H$28)</f>
        <v>#DIV/0!</v>
      </c>
      <c r="S35" s="295"/>
      <c r="T35" s="300"/>
      <c r="U35" s="304"/>
      <c r="V35" s="385"/>
      <c r="W35" s="286" t="s">
        <v>97</v>
      </c>
      <c r="X35" s="287" t="e">
        <f>X32/((X30*EFFICIENCY!$H$28))</f>
        <v>#DIV/0!</v>
      </c>
      <c r="Y35" s="286" t="s">
        <v>97</v>
      </c>
      <c r="Z35" s="287" t="e">
        <f>Z32/(Z30*EFFICIENCY!$H$28)</f>
        <v>#DIV/0!</v>
      </c>
      <c r="AA35" s="286" t="s">
        <v>97</v>
      </c>
      <c r="AB35" s="287" t="e">
        <f>AB32/(AB30*EFFICIENCY!$H$28)</f>
        <v>#DIV/0!</v>
      </c>
      <c r="AD35" s="300"/>
      <c r="AE35" s="304"/>
      <c r="AF35" s="385"/>
      <c r="AG35" s="286" t="s">
        <v>97</v>
      </c>
      <c r="AH35" s="287" t="e">
        <f>AH32/((AH30*EFFICIENCY!$H$28))</f>
        <v>#DIV/0!</v>
      </c>
      <c r="AI35" s="286" t="s">
        <v>97</v>
      </c>
      <c r="AJ35" s="287" t="e">
        <f>AJ32/(AJ30*EFFICIENCY!$H$28)</f>
        <v>#DIV/0!</v>
      </c>
      <c r="AK35" s="286" t="s">
        <v>97</v>
      </c>
      <c r="AL35" s="287" t="e">
        <f>AL32/(AL30*EFFICIENCY!$H$28)</f>
        <v>#DIV/0!</v>
      </c>
      <c r="AN35" s="300"/>
      <c r="AO35" s="304"/>
      <c r="AP35" s="385"/>
      <c r="AQ35" s="286" t="s">
        <v>97</v>
      </c>
      <c r="AR35" s="287" t="e">
        <f>AR32/((AR30*EFFICIENCY!$H$28))</f>
        <v>#DIV/0!</v>
      </c>
      <c r="AS35" s="286" t="s">
        <v>97</v>
      </c>
      <c r="AT35" s="287" t="e">
        <f>AT32/(AT30*EFFICIENCY!$H$28)</f>
        <v>#DIV/0!</v>
      </c>
      <c r="AU35" s="286" t="s">
        <v>97</v>
      </c>
      <c r="AV35" s="287" t="e">
        <f>AV32/(AV30*EFFICIENCY!$H$28)</f>
        <v>#DIV/0!</v>
      </c>
      <c r="AX35" s="300"/>
      <c r="AY35" s="304"/>
      <c r="AZ35" s="385"/>
      <c r="BA35" s="286" t="s">
        <v>97</v>
      </c>
      <c r="BB35" s="287" t="e">
        <f>BB32/((BB30*EFFICIENCY!$H$28))</f>
        <v>#DIV/0!</v>
      </c>
      <c r="BC35" s="286" t="s">
        <v>97</v>
      </c>
      <c r="BD35" s="287" t="e">
        <f>BD32/(BD30*EFFICIENCY!$H$28)</f>
        <v>#DIV/0!</v>
      </c>
      <c r="BE35" s="286" t="s">
        <v>97</v>
      </c>
      <c r="BF35" s="287" t="e">
        <f>BF32/(BF30*EFFICIENCY!$H$28)</f>
        <v>#DIV/0!</v>
      </c>
      <c r="BH35" s="300"/>
      <c r="BI35" s="304"/>
      <c r="BJ35" s="385"/>
      <c r="BK35" s="286" t="s">
        <v>97</v>
      </c>
      <c r="BL35" s="287" t="e">
        <f>BL32/((BL30*EFFICIENCY!$H$28))</f>
        <v>#DIV/0!</v>
      </c>
      <c r="BM35" s="286" t="s">
        <v>97</v>
      </c>
      <c r="BN35" s="287" t="e">
        <f>BN32/(BN30*EFFICIENCY!$H$28)</f>
        <v>#DIV/0!</v>
      </c>
      <c r="BO35" s="286" t="s">
        <v>97</v>
      </c>
      <c r="BP35" s="287" t="e">
        <f>BP32/(BP30*EFFICIENCY!$H$28)</f>
        <v>#DIV/0!</v>
      </c>
    </row>
    <row r="36" spans="2:68" ht="18.75">
      <c r="B36" s="278">
        <v>42525</v>
      </c>
      <c r="G36" s="150">
        <f>C36+D36</f>
        <v>0</v>
      </c>
      <c r="H36" s="150">
        <f>E36+F36</f>
        <v>0</v>
      </c>
      <c r="K36" s="304"/>
      <c r="L36" s="303"/>
      <c r="M36" s="280" t="s">
        <v>96</v>
      </c>
      <c r="N36" s="281" t="e">
        <f>N32/(N30*EFFICIENCY!$I$28)</f>
        <v>#DIV/0!</v>
      </c>
      <c r="O36" s="280" t="s">
        <v>96</v>
      </c>
      <c r="P36" s="281" t="e">
        <f>P32/(P30*EFFICIENCY!$I$28)</f>
        <v>#DIV/0!</v>
      </c>
      <c r="Q36" s="280" t="s">
        <v>96</v>
      </c>
      <c r="R36" s="281" t="e">
        <f>R32/(R30*EFFICIENCY!$I$28)</f>
        <v>#DIV/0!</v>
      </c>
      <c r="S36" s="296"/>
      <c r="T36" s="300"/>
      <c r="U36" s="304"/>
      <c r="V36" s="303"/>
      <c r="W36" s="280" t="s">
        <v>96</v>
      </c>
      <c r="X36" s="281" t="e">
        <f>X32/(X30*EFFICIENCY!$I$28)</f>
        <v>#DIV/0!</v>
      </c>
      <c r="Y36" s="280" t="s">
        <v>96</v>
      </c>
      <c r="Z36" s="281" t="e">
        <f>Z32/(Z30*EFFICIENCY!$I$28)</f>
        <v>#DIV/0!</v>
      </c>
      <c r="AA36" s="280" t="s">
        <v>96</v>
      </c>
      <c r="AB36" s="281" t="e">
        <f>AB32/(AB30*EFFICIENCY!$I$28)</f>
        <v>#DIV/0!</v>
      </c>
      <c r="AD36" s="300"/>
      <c r="AE36" s="304"/>
      <c r="AF36" s="303"/>
      <c r="AG36" s="280" t="s">
        <v>96</v>
      </c>
      <c r="AH36" s="281" t="e">
        <f>AH32/(AH30*EFFICIENCY!$I$28)</f>
        <v>#DIV/0!</v>
      </c>
      <c r="AI36" s="280" t="s">
        <v>96</v>
      </c>
      <c r="AJ36" s="281" t="e">
        <f>AJ32/(AJ30*EFFICIENCY!$I$28)</f>
        <v>#DIV/0!</v>
      </c>
      <c r="AK36" s="280" t="s">
        <v>96</v>
      </c>
      <c r="AL36" s="281" t="e">
        <f>AL32/(AL30*EFFICIENCY!$I$28)</f>
        <v>#DIV/0!</v>
      </c>
      <c r="AN36" s="300"/>
      <c r="AO36" s="304"/>
      <c r="AP36" s="303"/>
      <c r="AQ36" s="280" t="s">
        <v>96</v>
      </c>
      <c r="AR36" s="281" t="e">
        <f>AR32/(AR30*EFFICIENCY!$I$28)</f>
        <v>#DIV/0!</v>
      </c>
      <c r="AS36" s="280" t="s">
        <v>96</v>
      </c>
      <c r="AT36" s="281" t="e">
        <f>AT32/(AT30*EFFICIENCY!$I$28)</f>
        <v>#DIV/0!</v>
      </c>
      <c r="AU36" s="280" t="s">
        <v>96</v>
      </c>
      <c r="AV36" s="281" t="e">
        <f>AV32/(AV30*EFFICIENCY!$I$28)</f>
        <v>#DIV/0!</v>
      </c>
      <c r="AX36" s="300"/>
      <c r="AY36" s="304"/>
      <c r="AZ36" s="303"/>
      <c r="BA36" s="280" t="s">
        <v>96</v>
      </c>
      <c r="BB36" s="281" t="e">
        <f>BB32/(BB30*EFFICIENCY!$I$28)</f>
        <v>#DIV/0!</v>
      </c>
      <c r="BC36" s="280" t="s">
        <v>96</v>
      </c>
      <c r="BD36" s="281" t="e">
        <f>BD32/(BD30*EFFICIENCY!$I$28)</f>
        <v>#DIV/0!</v>
      </c>
      <c r="BE36" s="280" t="s">
        <v>96</v>
      </c>
      <c r="BF36" s="281" t="e">
        <f>BF32/(BF30*EFFICIENCY!$I$28)</f>
        <v>#DIV/0!</v>
      </c>
      <c r="BH36" s="300"/>
      <c r="BI36" s="304"/>
      <c r="BJ36" s="303"/>
      <c r="BK36" s="280" t="s">
        <v>96</v>
      </c>
      <c r="BL36" s="281" t="e">
        <f>BL32/(BL30*EFFICIENCY!$I$28)</f>
        <v>#DIV/0!</v>
      </c>
      <c r="BM36" s="280" t="s">
        <v>96</v>
      </c>
      <c r="BN36" s="281" t="e">
        <f>BN32/(BN30*EFFICIENCY!$I$28)</f>
        <v>#DIV/0!</v>
      </c>
      <c r="BO36" s="280" t="s">
        <v>96</v>
      </c>
      <c r="BP36" s="281" t="e">
        <f>BP32/(BP30*EFFICIENCY!$I$28)</f>
        <v>#DIV/0!</v>
      </c>
    </row>
    <row r="37" spans="2:68" ht="19.5" customHeight="1" thickBot="1">
      <c r="B37" s="278"/>
      <c r="K37" s="696" t="s">
        <v>156</v>
      </c>
      <c r="L37" s="697"/>
      <c r="M37" s="284" t="s">
        <v>94</v>
      </c>
      <c r="N37" s="285" t="e">
        <f>N32/((N30*EFFICIENCY!$K$28))</f>
        <v>#DIV/0!</v>
      </c>
      <c r="O37" s="288" t="s">
        <v>94</v>
      </c>
      <c r="P37" s="285" t="e">
        <f>P32/((P30*EFFICIENCY!$K$28))</f>
        <v>#DIV/0!</v>
      </c>
      <c r="Q37" s="284" t="s">
        <v>94</v>
      </c>
      <c r="R37" s="285" t="e">
        <f>R32/((R30*EFFICIENCY!$K$28))</f>
        <v>#DIV/0!</v>
      </c>
      <c r="S37" s="297"/>
      <c r="T37" s="300"/>
      <c r="U37" s="696" t="s">
        <v>156</v>
      </c>
      <c r="V37" s="697"/>
      <c r="W37" s="284" t="s">
        <v>94</v>
      </c>
      <c r="X37" s="285" t="e">
        <f>X32/((X30*EFFICIENCY!$K$28))</f>
        <v>#DIV/0!</v>
      </c>
      <c r="Y37" s="288" t="s">
        <v>94</v>
      </c>
      <c r="Z37" s="285" t="e">
        <f>Z32/((Z30*EFFICIENCY!$K$28))</f>
        <v>#DIV/0!</v>
      </c>
      <c r="AA37" s="284" t="s">
        <v>94</v>
      </c>
      <c r="AB37" s="285" t="e">
        <f>AB32/((AB30*EFFICIENCY!$K$28))</f>
        <v>#DIV/0!</v>
      </c>
      <c r="AD37" s="300"/>
      <c r="AE37" s="696" t="s">
        <v>156</v>
      </c>
      <c r="AF37" s="697"/>
      <c r="AG37" s="284" t="s">
        <v>94</v>
      </c>
      <c r="AH37" s="285" t="e">
        <f>AH32/((AH30*EFFICIENCY!$K$28))</f>
        <v>#DIV/0!</v>
      </c>
      <c r="AI37" s="288" t="s">
        <v>94</v>
      </c>
      <c r="AJ37" s="285" t="e">
        <f>AJ32/((AJ30*EFFICIENCY!$K$28))</f>
        <v>#DIV/0!</v>
      </c>
      <c r="AK37" s="284" t="s">
        <v>94</v>
      </c>
      <c r="AL37" s="285" t="e">
        <f>AL32/((AL30*EFFICIENCY!$K$28))</f>
        <v>#DIV/0!</v>
      </c>
      <c r="AN37" s="300"/>
      <c r="AO37" s="696" t="s">
        <v>156</v>
      </c>
      <c r="AP37" s="697"/>
      <c r="AQ37" s="284" t="s">
        <v>94</v>
      </c>
      <c r="AR37" s="285" t="e">
        <f>AR32/((AR30*EFFICIENCY!$K$28))</f>
        <v>#DIV/0!</v>
      </c>
      <c r="AS37" s="288" t="s">
        <v>94</v>
      </c>
      <c r="AT37" s="285" t="e">
        <f>AT32/((AT30*EFFICIENCY!$K$28))</f>
        <v>#DIV/0!</v>
      </c>
      <c r="AU37" s="284" t="s">
        <v>94</v>
      </c>
      <c r="AV37" s="285" t="e">
        <f>AV32/((AV30*EFFICIENCY!$K$28))</f>
        <v>#DIV/0!</v>
      </c>
      <c r="AX37" s="300"/>
      <c r="AY37" s="696" t="s">
        <v>156</v>
      </c>
      <c r="AZ37" s="697"/>
      <c r="BA37" s="284" t="s">
        <v>94</v>
      </c>
      <c r="BB37" s="285" t="e">
        <f>BB32/((BB30*EFFICIENCY!$K$28))</f>
        <v>#DIV/0!</v>
      </c>
      <c r="BC37" s="288" t="s">
        <v>94</v>
      </c>
      <c r="BD37" s="285" t="e">
        <f>BD32/((BD30*EFFICIENCY!$K$28))</f>
        <v>#DIV/0!</v>
      </c>
      <c r="BE37" s="284" t="s">
        <v>94</v>
      </c>
      <c r="BF37" s="285" t="e">
        <f>BF32/((BF30*EFFICIENCY!$K$28))</f>
        <v>#DIV/0!</v>
      </c>
      <c r="BH37" s="300"/>
      <c r="BI37" s="696" t="s">
        <v>156</v>
      </c>
      <c r="BJ37" s="697"/>
      <c r="BK37" s="284" t="s">
        <v>94</v>
      </c>
      <c r="BL37" s="285" t="e">
        <f>BL32/((BL30*EFFICIENCY!$K$28))</f>
        <v>#DIV/0!</v>
      </c>
      <c r="BM37" s="288" t="s">
        <v>94</v>
      </c>
      <c r="BN37" s="285" t="e">
        <f>BN32/((BN30*EFFICIENCY!$K$28))</f>
        <v>#DIV/0!</v>
      </c>
      <c r="BO37" s="284" t="s">
        <v>94</v>
      </c>
      <c r="BP37" s="285" t="e">
        <f>BP32/((BP30*EFFICIENCY!$K$28))</f>
        <v>#DIV/0!</v>
      </c>
    </row>
    <row r="38" spans="2:68" ht="16.5" thickBot="1">
      <c r="K38" s="386"/>
      <c r="L38" s="387" t="e">
        <f>R32/R30</f>
        <v>#DIV/0!</v>
      </c>
      <c r="M38" s="637" t="s">
        <v>153</v>
      </c>
      <c r="N38" s="638"/>
      <c r="O38" s="290"/>
      <c r="P38" s="421"/>
      <c r="Q38" s="421" t="s">
        <v>154</v>
      </c>
      <c r="R38" s="319">
        <f>O38-R32</f>
        <v>0</v>
      </c>
      <c r="S38" s="298"/>
      <c r="T38" s="300"/>
      <c r="U38" s="386"/>
      <c r="V38" s="387" t="e">
        <f>AB32/AB30</f>
        <v>#DIV/0!</v>
      </c>
      <c r="W38" s="637" t="s">
        <v>153</v>
      </c>
      <c r="X38" s="638"/>
      <c r="Y38" s="290"/>
      <c r="Z38" s="421"/>
      <c r="AA38" s="421" t="s">
        <v>154</v>
      </c>
      <c r="AB38" s="319">
        <f>Y38-AB32</f>
        <v>0</v>
      </c>
      <c r="AD38" s="300"/>
      <c r="AE38" s="386"/>
      <c r="AF38" s="387" t="e">
        <f>AL32/AL30</f>
        <v>#DIV/0!</v>
      </c>
      <c r="AG38" s="637" t="s">
        <v>153</v>
      </c>
      <c r="AH38" s="638"/>
      <c r="AI38" s="290"/>
      <c r="AJ38" s="421"/>
      <c r="AK38" s="421" t="s">
        <v>154</v>
      </c>
      <c r="AL38" s="319">
        <f>AI38-AL32</f>
        <v>0</v>
      </c>
      <c r="AN38" s="300"/>
      <c r="AO38" s="386"/>
      <c r="AP38" s="387" t="e">
        <f>AV32/AV30</f>
        <v>#DIV/0!</v>
      </c>
      <c r="AQ38" s="637" t="s">
        <v>153</v>
      </c>
      <c r="AR38" s="638"/>
      <c r="AS38" s="290"/>
      <c r="AT38" s="421"/>
      <c r="AU38" s="421" t="s">
        <v>154</v>
      </c>
      <c r="AV38" s="319">
        <f>AS38-AV32</f>
        <v>0</v>
      </c>
      <c r="AX38" s="300"/>
      <c r="AY38" s="386"/>
      <c r="AZ38" s="387" t="e">
        <f>BF32/BF30</f>
        <v>#DIV/0!</v>
      </c>
      <c r="BA38" s="637" t="s">
        <v>153</v>
      </c>
      <c r="BB38" s="638"/>
      <c r="BC38" s="290"/>
      <c r="BD38" s="421"/>
      <c r="BE38" s="421" t="s">
        <v>154</v>
      </c>
      <c r="BF38" s="319">
        <f>BC38-BF32</f>
        <v>0</v>
      </c>
      <c r="BH38" s="300"/>
      <c r="BI38" s="386"/>
      <c r="BJ38" s="387" t="e">
        <f>BP32/BP30</f>
        <v>#DIV/0!</v>
      </c>
      <c r="BK38" s="637" t="s">
        <v>153</v>
      </c>
      <c r="BL38" s="638"/>
      <c r="BM38" s="290"/>
      <c r="BN38" s="421"/>
      <c r="BO38" s="421" t="s">
        <v>154</v>
      </c>
      <c r="BP38" s="319">
        <f>BM38-BP32</f>
        <v>0</v>
      </c>
    </row>
    <row r="39" spans="2:68">
      <c r="T39" s="300"/>
      <c r="AD39" s="300"/>
      <c r="AN39" s="300"/>
      <c r="AX39" s="300"/>
      <c r="BH39" s="300"/>
    </row>
    <row r="40" spans="2:68" ht="13.5" thickBot="1">
      <c r="K40" s="291"/>
      <c r="L40" s="291"/>
      <c r="M40" s="291"/>
      <c r="N40" s="291"/>
      <c r="O40" s="291"/>
      <c r="P40" s="291"/>
      <c r="Q40" s="291"/>
      <c r="R40" s="291"/>
      <c r="S40" s="299"/>
      <c r="T40" s="301"/>
      <c r="U40" s="291"/>
      <c r="V40" s="291"/>
      <c r="W40" s="291"/>
      <c r="X40" s="291"/>
      <c r="Y40" s="291"/>
      <c r="Z40" s="291"/>
      <c r="AA40" s="291"/>
      <c r="AB40" s="291"/>
      <c r="AC40" s="291"/>
      <c r="AD40" s="301"/>
      <c r="AE40" s="291"/>
      <c r="AF40" s="291"/>
      <c r="AG40" s="291"/>
      <c r="AH40" s="291"/>
      <c r="AI40" s="291"/>
      <c r="AJ40" s="291"/>
      <c r="AK40" s="291"/>
      <c r="AL40" s="291"/>
      <c r="AM40" s="291"/>
      <c r="AN40" s="301"/>
      <c r="AO40" s="291"/>
      <c r="AP40" s="291"/>
      <c r="AQ40" s="291"/>
      <c r="AR40" s="291"/>
      <c r="AS40" s="291"/>
      <c r="AT40" s="291"/>
      <c r="AU40" s="291"/>
      <c r="AV40" s="291"/>
      <c r="AW40" s="291"/>
      <c r="AX40" s="301"/>
      <c r="AY40" s="291"/>
      <c r="AZ40" s="291"/>
      <c r="BA40" s="291"/>
      <c r="BB40" s="291"/>
      <c r="BC40" s="291"/>
      <c r="BD40" s="291"/>
      <c r="BE40" s="291"/>
      <c r="BF40" s="291"/>
      <c r="BG40" s="291"/>
      <c r="BH40" s="301"/>
      <c r="BI40" s="291"/>
      <c r="BJ40" s="291"/>
      <c r="BK40" s="291"/>
      <c r="BL40" s="291"/>
      <c r="BM40" s="291"/>
      <c r="BN40" s="291"/>
      <c r="BO40" s="291"/>
      <c r="BP40" s="291"/>
    </row>
    <row r="41" spans="2:68" ht="15.75" thickBot="1">
      <c r="K41" s="388" t="s">
        <v>7</v>
      </c>
      <c r="L41" s="535">
        <f>B24</f>
        <v>42513</v>
      </c>
      <c r="M41" s="639" t="s">
        <v>100</v>
      </c>
      <c r="N41" s="640"/>
      <c r="O41" s="641" t="s">
        <v>99</v>
      </c>
      <c r="P41" s="642"/>
      <c r="Q41" s="643" t="s">
        <v>16</v>
      </c>
      <c r="R41" s="644"/>
      <c r="S41" s="293"/>
      <c r="T41" s="300"/>
      <c r="U41" s="388" t="s">
        <v>7</v>
      </c>
      <c r="V41" s="535">
        <f>B25</f>
        <v>42514</v>
      </c>
      <c r="W41" s="639" t="s">
        <v>100</v>
      </c>
      <c r="X41" s="640"/>
      <c r="Y41" s="641" t="s">
        <v>99</v>
      </c>
      <c r="Z41" s="642"/>
      <c r="AA41" s="643" t="s">
        <v>16</v>
      </c>
      <c r="AB41" s="644"/>
      <c r="AC41" s="154"/>
      <c r="AD41" s="300"/>
      <c r="AE41" s="388" t="s">
        <v>7</v>
      </c>
      <c r="AF41" s="535">
        <f>B26</f>
        <v>42515</v>
      </c>
      <c r="AG41" s="639" t="s">
        <v>100</v>
      </c>
      <c r="AH41" s="640"/>
      <c r="AI41" s="641" t="s">
        <v>99</v>
      </c>
      <c r="AJ41" s="642"/>
      <c r="AK41" s="643" t="s">
        <v>16</v>
      </c>
      <c r="AL41" s="644"/>
      <c r="AM41" s="154"/>
      <c r="AN41" s="300"/>
      <c r="AO41" s="388" t="s">
        <v>7</v>
      </c>
      <c r="AP41" s="535">
        <f>B27</f>
        <v>42516</v>
      </c>
      <c r="AQ41" s="639" t="s">
        <v>100</v>
      </c>
      <c r="AR41" s="640"/>
      <c r="AS41" s="641" t="s">
        <v>99</v>
      </c>
      <c r="AT41" s="642"/>
      <c r="AU41" s="643" t="s">
        <v>16</v>
      </c>
      <c r="AV41" s="644"/>
      <c r="AW41" s="154"/>
      <c r="AX41" s="300"/>
      <c r="AY41" s="388" t="s">
        <v>7</v>
      </c>
      <c r="AZ41" s="535">
        <f>B28</f>
        <v>42517</v>
      </c>
      <c r="BA41" s="639" t="s">
        <v>100</v>
      </c>
      <c r="BB41" s="640"/>
      <c r="BC41" s="641" t="s">
        <v>99</v>
      </c>
      <c r="BD41" s="642"/>
      <c r="BE41" s="643" t="s">
        <v>16</v>
      </c>
      <c r="BF41" s="644"/>
      <c r="BG41" s="154"/>
      <c r="BH41" s="300"/>
      <c r="BI41" s="388" t="s">
        <v>7</v>
      </c>
      <c r="BJ41" s="535">
        <f>B29</f>
        <v>42518</v>
      </c>
      <c r="BK41" s="639" t="s">
        <v>100</v>
      </c>
      <c r="BL41" s="640"/>
      <c r="BM41" s="641" t="s">
        <v>99</v>
      </c>
      <c r="BN41" s="642"/>
      <c r="BO41" s="643" t="s">
        <v>16</v>
      </c>
      <c r="BP41" s="644"/>
    </row>
    <row r="42" spans="2:68" ht="13.5" thickBot="1">
      <c r="K42" s="321"/>
      <c r="L42" s="320"/>
      <c r="M42" s="321"/>
      <c r="N42" s="322"/>
      <c r="O42" s="321"/>
      <c r="P42" s="322"/>
      <c r="Q42" s="320"/>
      <c r="R42" s="322"/>
      <c r="S42" s="156"/>
      <c r="T42" s="300"/>
      <c r="U42" s="321"/>
      <c r="V42" s="320"/>
      <c r="W42" s="321"/>
      <c r="X42" s="322"/>
      <c r="Y42" s="321"/>
      <c r="Z42" s="322"/>
      <c r="AA42" s="320"/>
      <c r="AB42" s="322"/>
      <c r="AC42" s="154"/>
      <c r="AD42" s="300"/>
      <c r="AE42" s="321"/>
      <c r="AF42" s="320"/>
      <c r="AG42" s="321"/>
      <c r="AH42" s="322"/>
      <c r="AI42" s="321"/>
      <c r="AJ42" s="322"/>
      <c r="AK42" s="320"/>
      <c r="AL42" s="322"/>
      <c r="AM42" s="154"/>
      <c r="AN42" s="300"/>
      <c r="AO42" s="321"/>
      <c r="AP42" s="320"/>
      <c r="AQ42" s="321"/>
      <c r="AR42" s="322"/>
      <c r="AS42" s="321"/>
      <c r="AT42" s="322"/>
      <c r="AU42" s="320"/>
      <c r="AV42" s="322"/>
      <c r="AW42" s="154"/>
      <c r="AX42" s="300"/>
      <c r="AY42" s="321"/>
      <c r="AZ42" s="320"/>
      <c r="BA42" s="321"/>
      <c r="BB42" s="322"/>
      <c r="BC42" s="321"/>
      <c r="BD42" s="322"/>
      <c r="BE42" s="320"/>
      <c r="BF42" s="322"/>
      <c r="BG42" s="154"/>
      <c r="BH42" s="300"/>
      <c r="BI42" s="321"/>
      <c r="BJ42" s="320"/>
      <c r="BK42" s="321"/>
      <c r="BL42" s="322"/>
      <c r="BM42" s="321"/>
      <c r="BN42" s="322"/>
      <c r="BO42" s="320"/>
      <c r="BP42" s="322"/>
    </row>
    <row r="43" spans="2:68" ht="16.5" thickBot="1">
      <c r="K43" s="321"/>
      <c r="L43" s="422" t="s">
        <v>155</v>
      </c>
      <c r="M43" s="324" t="s">
        <v>103</v>
      </c>
      <c r="N43" s="279"/>
      <c r="O43" s="324" t="s">
        <v>103</v>
      </c>
      <c r="P43" s="279"/>
      <c r="Q43" s="325" t="s">
        <v>103</v>
      </c>
      <c r="R43" s="326">
        <f>SUM(N43,P43)</f>
        <v>0</v>
      </c>
      <c r="S43" s="294"/>
      <c r="T43" s="300"/>
      <c r="U43" s="321"/>
      <c r="V43" s="422" t="s">
        <v>155</v>
      </c>
      <c r="W43" s="324" t="s">
        <v>103</v>
      </c>
      <c r="X43" s="279"/>
      <c r="Y43" s="324" t="s">
        <v>103</v>
      </c>
      <c r="Z43" s="279"/>
      <c r="AA43" s="325" t="s">
        <v>103</v>
      </c>
      <c r="AB43" s="326">
        <f>SUM(X43,Z43)</f>
        <v>0</v>
      </c>
      <c r="AD43" s="300"/>
      <c r="AE43" s="321"/>
      <c r="AF43" s="422" t="s">
        <v>155</v>
      </c>
      <c r="AG43" s="324" t="s">
        <v>103</v>
      </c>
      <c r="AH43" s="279"/>
      <c r="AI43" s="324" t="s">
        <v>103</v>
      </c>
      <c r="AJ43" s="279"/>
      <c r="AK43" s="325" t="s">
        <v>103</v>
      </c>
      <c r="AL43" s="326">
        <f>SUM(AH43,AJ43)</f>
        <v>0</v>
      </c>
      <c r="AN43" s="300"/>
      <c r="AO43" s="321"/>
      <c r="AP43" s="422" t="s">
        <v>155</v>
      </c>
      <c r="AQ43" s="324" t="s">
        <v>103</v>
      </c>
      <c r="AR43" s="279"/>
      <c r="AS43" s="324" t="s">
        <v>103</v>
      </c>
      <c r="AT43" s="279"/>
      <c r="AU43" s="325" t="s">
        <v>103</v>
      </c>
      <c r="AV43" s="326">
        <f>SUM(AR43,AT43)</f>
        <v>0</v>
      </c>
      <c r="AX43" s="300"/>
      <c r="AY43" s="321"/>
      <c r="AZ43" s="422" t="s">
        <v>155</v>
      </c>
      <c r="BA43" s="324" t="s">
        <v>103</v>
      </c>
      <c r="BB43" s="279"/>
      <c r="BC43" s="324" t="s">
        <v>103</v>
      </c>
      <c r="BD43" s="279"/>
      <c r="BE43" s="325" t="s">
        <v>103</v>
      </c>
      <c r="BF43" s="326">
        <f>SUM(BB43,BD43)</f>
        <v>0</v>
      </c>
      <c r="BH43" s="300"/>
      <c r="BI43" s="321"/>
      <c r="BJ43" s="422" t="s">
        <v>155</v>
      </c>
      <c r="BK43" s="324" t="s">
        <v>103</v>
      </c>
      <c r="BL43" s="279"/>
      <c r="BM43" s="324" t="s">
        <v>103</v>
      </c>
      <c r="BN43" s="279"/>
      <c r="BO43" s="325" t="s">
        <v>103</v>
      </c>
      <c r="BP43" s="326">
        <f>SUM(BL43,BN43)</f>
        <v>0</v>
      </c>
    </row>
    <row r="44" spans="2:68" ht="18.75" thickBot="1">
      <c r="K44" s="321"/>
      <c r="L44" s="289">
        <v>8</v>
      </c>
      <c r="M44" s="327" t="s">
        <v>5</v>
      </c>
      <c r="N44" s="328">
        <f>VLOOKUP(L41, $B$3:$E$109, 4, FALSE)</f>
        <v>0</v>
      </c>
      <c r="O44" s="327" t="s">
        <v>5</v>
      </c>
      <c r="P44" s="329">
        <f>VLOOKUP(L41, $B$3:$F$109, 5, FALSE)</f>
        <v>0</v>
      </c>
      <c r="Q44" s="330" t="s">
        <v>5</v>
      </c>
      <c r="R44" s="326">
        <f>SUM(N44,P44)</f>
        <v>0</v>
      </c>
      <c r="S44" s="294"/>
      <c r="T44" s="300"/>
      <c r="U44" s="321"/>
      <c r="V44" s="289">
        <v>8</v>
      </c>
      <c r="W44" s="327" t="s">
        <v>5</v>
      </c>
      <c r="X44" s="328">
        <f>VLOOKUP(V41, $B$3:$E$109, 4, FALSE)</f>
        <v>0</v>
      </c>
      <c r="Y44" s="327" t="s">
        <v>5</v>
      </c>
      <c r="Z44" s="329">
        <f>VLOOKUP(V41, $B$3:$F$109, 5, FALSE)</f>
        <v>0</v>
      </c>
      <c r="AA44" s="330" t="s">
        <v>5</v>
      </c>
      <c r="AB44" s="326">
        <f>SUM(X44,Z44)</f>
        <v>0</v>
      </c>
      <c r="AD44" s="300"/>
      <c r="AE44" s="321"/>
      <c r="AF44" s="289">
        <v>8</v>
      </c>
      <c r="AG44" s="327" t="s">
        <v>5</v>
      </c>
      <c r="AH44" s="328">
        <f>VLOOKUP(AF41, $B$3:$E$109, 4, FALSE)</f>
        <v>0</v>
      </c>
      <c r="AI44" s="327" t="s">
        <v>5</v>
      </c>
      <c r="AJ44" s="329">
        <f>VLOOKUP(AF41, $B$3:$F$109, 5, FALSE)</f>
        <v>0</v>
      </c>
      <c r="AK44" s="330" t="s">
        <v>5</v>
      </c>
      <c r="AL44" s="326">
        <f>SUM(AH44,AJ44)</f>
        <v>0</v>
      </c>
      <c r="AN44" s="300"/>
      <c r="AO44" s="321"/>
      <c r="AP44" s="289">
        <v>8</v>
      </c>
      <c r="AQ44" s="327" t="s">
        <v>5</v>
      </c>
      <c r="AR44" s="328">
        <f>VLOOKUP(AP41, $B$3:$E$109, 4, FALSE)</f>
        <v>0</v>
      </c>
      <c r="AS44" s="327" t="s">
        <v>5</v>
      </c>
      <c r="AT44" s="329">
        <f>VLOOKUP(AP41, $B$3:$F$109, 5, FALSE)</f>
        <v>0</v>
      </c>
      <c r="AU44" s="330" t="s">
        <v>5</v>
      </c>
      <c r="AV44" s="326">
        <f>SUM(AR44,AT44)</f>
        <v>0</v>
      </c>
      <c r="AX44" s="300"/>
      <c r="AY44" s="321"/>
      <c r="AZ44" s="289">
        <v>8</v>
      </c>
      <c r="BA44" s="327" t="s">
        <v>5</v>
      </c>
      <c r="BB44" s="328">
        <f>VLOOKUP(AZ41, $B$3:$E$109, 4, FALSE)</f>
        <v>0</v>
      </c>
      <c r="BC44" s="327" t="s">
        <v>5</v>
      </c>
      <c r="BD44" s="329">
        <f>VLOOKUP(AZ41, $B$3:$F$109, 5, FALSE)</f>
        <v>0</v>
      </c>
      <c r="BE44" s="330" t="s">
        <v>5</v>
      </c>
      <c r="BF44" s="326">
        <f>SUM(BB44,BD44)</f>
        <v>0</v>
      </c>
      <c r="BH44" s="300"/>
      <c r="BI44" s="321"/>
      <c r="BJ44" s="289">
        <v>8</v>
      </c>
      <c r="BK44" s="327" t="s">
        <v>5</v>
      </c>
      <c r="BL44" s="328">
        <f>VLOOKUP(BJ41, $B$3:$E$109, 4, FALSE)</f>
        <v>0</v>
      </c>
      <c r="BM44" s="327" t="s">
        <v>5</v>
      </c>
      <c r="BN44" s="329">
        <f>VLOOKUP(BJ41, $B$3:$F$109, 5, FALSE)</f>
        <v>0</v>
      </c>
      <c r="BO44" s="330" t="s">
        <v>5</v>
      </c>
      <c r="BP44" s="326">
        <f>SUM(BL44,BN44)</f>
        <v>0</v>
      </c>
    </row>
    <row r="45" spans="2:68" ht="15.75" customHeight="1">
      <c r="K45" s="321"/>
      <c r="L45" s="320"/>
      <c r="M45" s="645" t="s">
        <v>105</v>
      </c>
      <c r="N45" s="328">
        <f>VLOOKUP(L41, $B$3:$E$109, 2, FALSE)</f>
        <v>0</v>
      </c>
      <c r="O45" s="645" t="s">
        <v>105</v>
      </c>
      <c r="P45" s="329">
        <f>VLOOKUP(L41, $B$3:$E$109, 3, FALSE)</f>
        <v>0</v>
      </c>
      <c r="Q45" s="646" t="s">
        <v>105</v>
      </c>
      <c r="R45" s="326">
        <f>SUM(N45,P45)</f>
        <v>0</v>
      </c>
      <c r="S45" s="294"/>
      <c r="T45" s="300"/>
      <c r="U45" s="321"/>
      <c r="V45" s="320"/>
      <c r="W45" s="645" t="s">
        <v>105</v>
      </c>
      <c r="X45" s="328">
        <f>VLOOKUP(V41, $B$3:$E$109, 2, FALSE)</f>
        <v>0</v>
      </c>
      <c r="Y45" s="645" t="s">
        <v>105</v>
      </c>
      <c r="Z45" s="329">
        <f>VLOOKUP(V41, $B$3:$E$109, 3, FALSE)</f>
        <v>0</v>
      </c>
      <c r="AA45" s="646" t="s">
        <v>105</v>
      </c>
      <c r="AB45" s="326">
        <f>SUM(X45,Z45)</f>
        <v>0</v>
      </c>
      <c r="AD45" s="300"/>
      <c r="AE45" s="321"/>
      <c r="AF45" s="320"/>
      <c r="AG45" s="645" t="s">
        <v>105</v>
      </c>
      <c r="AH45" s="328">
        <f>VLOOKUP(AF41, $B$3:$E$109, 2, FALSE)</f>
        <v>0</v>
      </c>
      <c r="AI45" s="645" t="s">
        <v>105</v>
      </c>
      <c r="AJ45" s="329">
        <f>VLOOKUP(AF41, $B$3:$E$109, 3, FALSE)</f>
        <v>0</v>
      </c>
      <c r="AK45" s="646" t="s">
        <v>105</v>
      </c>
      <c r="AL45" s="326">
        <f>SUM(AH45,AJ45)</f>
        <v>0</v>
      </c>
      <c r="AN45" s="300"/>
      <c r="AO45" s="321"/>
      <c r="AP45" s="320"/>
      <c r="AQ45" s="645" t="s">
        <v>105</v>
      </c>
      <c r="AR45" s="328">
        <f>VLOOKUP(AP41, $B$3:$E$109, 2, FALSE)</f>
        <v>0</v>
      </c>
      <c r="AS45" s="645" t="s">
        <v>105</v>
      </c>
      <c r="AT45" s="329">
        <f>VLOOKUP(AP41, $B$3:$E$109, 3, FALSE)</f>
        <v>0</v>
      </c>
      <c r="AU45" s="646" t="s">
        <v>105</v>
      </c>
      <c r="AV45" s="326">
        <f>SUM(AR45,AT45)</f>
        <v>0</v>
      </c>
      <c r="AX45" s="300"/>
      <c r="AY45" s="321"/>
      <c r="AZ45" s="320"/>
      <c r="BA45" s="645" t="s">
        <v>105</v>
      </c>
      <c r="BB45" s="328">
        <f>VLOOKUP(AZ41, $B$3:$E$109, 2, FALSE)</f>
        <v>0</v>
      </c>
      <c r="BC45" s="645" t="s">
        <v>105</v>
      </c>
      <c r="BD45" s="329">
        <f>VLOOKUP(AZ41, $B$3:$E$109, 3, FALSE)</f>
        <v>0</v>
      </c>
      <c r="BE45" s="646" t="s">
        <v>105</v>
      </c>
      <c r="BF45" s="326">
        <f>SUM(BB45,BD45)</f>
        <v>0</v>
      </c>
      <c r="BH45" s="300"/>
      <c r="BI45" s="321"/>
      <c r="BJ45" s="320"/>
      <c r="BK45" s="645" t="s">
        <v>105</v>
      </c>
      <c r="BL45" s="328">
        <f>VLOOKUP(BJ41, $B$3:$E$109, 2, FALSE)</f>
        <v>0</v>
      </c>
      <c r="BM45" s="645" t="s">
        <v>105</v>
      </c>
      <c r="BN45" s="329">
        <f>VLOOKUP(BJ41, $B$3:$E$109, 3, FALSE)</f>
        <v>0</v>
      </c>
      <c r="BO45" s="646" t="s">
        <v>105</v>
      </c>
      <c r="BP45" s="326">
        <f>SUM(BL45,BN45)</f>
        <v>0</v>
      </c>
    </row>
    <row r="46" spans="2:68" ht="12.75" customHeight="1">
      <c r="K46" s="702" t="s">
        <v>157</v>
      </c>
      <c r="L46" s="703"/>
      <c r="M46" s="646"/>
      <c r="N46" s="322"/>
      <c r="O46" s="645"/>
      <c r="P46" s="322"/>
      <c r="Q46" s="646"/>
      <c r="R46" s="322"/>
      <c r="S46" s="156"/>
      <c r="T46" s="300"/>
      <c r="U46" s="702" t="s">
        <v>157</v>
      </c>
      <c r="V46" s="703"/>
      <c r="W46" s="646"/>
      <c r="X46" s="322"/>
      <c r="Y46" s="645"/>
      <c r="Z46" s="322"/>
      <c r="AA46" s="646"/>
      <c r="AB46" s="322"/>
      <c r="AD46" s="300"/>
      <c r="AE46" s="702" t="s">
        <v>157</v>
      </c>
      <c r="AF46" s="703"/>
      <c r="AG46" s="646"/>
      <c r="AH46" s="322"/>
      <c r="AI46" s="645"/>
      <c r="AJ46" s="322"/>
      <c r="AK46" s="646"/>
      <c r="AL46" s="322"/>
      <c r="AN46" s="300"/>
      <c r="AO46" s="702" t="s">
        <v>157</v>
      </c>
      <c r="AP46" s="703"/>
      <c r="AQ46" s="646"/>
      <c r="AR46" s="322"/>
      <c r="AS46" s="645"/>
      <c r="AT46" s="322"/>
      <c r="AU46" s="646"/>
      <c r="AV46" s="322"/>
      <c r="AX46" s="300"/>
      <c r="AY46" s="702" t="s">
        <v>157</v>
      </c>
      <c r="AZ46" s="703"/>
      <c r="BA46" s="646"/>
      <c r="BB46" s="322"/>
      <c r="BC46" s="645"/>
      <c r="BD46" s="322"/>
      <c r="BE46" s="646"/>
      <c r="BF46" s="322"/>
      <c r="BH46" s="300"/>
      <c r="BI46" s="702" t="s">
        <v>157</v>
      </c>
      <c r="BJ46" s="703"/>
      <c r="BK46" s="646"/>
      <c r="BL46" s="322"/>
      <c r="BM46" s="645"/>
      <c r="BN46" s="322"/>
      <c r="BO46" s="646"/>
      <c r="BP46" s="322"/>
    </row>
    <row r="47" spans="2:68" ht="15.75">
      <c r="K47" s="389"/>
      <c r="L47" s="331">
        <f>R43*13</f>
        <v>0</v>
      </c>
      <c r="M47" s="423"/>
      <c r="N47" s="322"/>
      <c r="O47" s="333"/>
      <c r="P47" s="322"/>
      <c r="Q47" s="424"/>
      <c r="R47" s="322"/>
      <c r="S47" s="156"/>
      <c r="T47" s="300"/>
      <c r="U47" s="389"/>
      <c r="V47" s="331">
        <f>AB43*13</f>
        <v>0</v>
      </c>
      <c r="W47" s="423"/>
      <c r="X47" s="322"/>
      <c r="Y47" s="333"/>
      <c r="Z47" s="322"/>
      <c r="AA47" s="424"/>
      <c r="AB47" s="322"/>
      <c r="AD47" s="300"/>
      <c r="AE47" s="389"/>
      <c r="AF47" s="331">
        <f>AL43*13</f>
        <v>0</v>
      </c>
      <c r="AG47" s="423"/>
      <c r="AH47" s="322"/>
      <c r="AI47" s="333"/>
      <c r="AJ47" s="322"/>
      <c r="AK47" s="424"/>
      <c r="AL47" s="322"/>
      <c r="AN47" s="300"/>
      <c r="AO47" s="389"/>
      <c r="AP47" s="331">
        <f>AV43*13</f>
        <v>0</v>
      </c>
      <c r="AQ47" s="423"/>
      <c r="AR47" s="322"/>
      <c r="AS47" s="333"/>
      <c r="AT47" s="322"/>
      <c r="AU47" s="424"/>
      <c r="AV47" s="322"/>
      <c r="AX47" s="300"/>
      <c r="AY47" s="389"/>
      <c r="AZ47" s="331">
        <f>BF43*13</f>
        <v>0</v>
      </c>
      <c r="BA47" s="423"/>
      <c r="BB47" s="322"/>
      <c r="BC47" s="333"/>
      <c r="BD47" s="322"/>
      <c r="BE47" s="424"/>
      <c r="BF47" s="322"/>
      <c r="BH47" s="300"/>
      <c r="BI47" s="389"/>
      <c r="BJ47" s="331">
        <f>BP43*13</f>
        <v>0</v>
      </c>
      <c r="BK47" s="423"/>
      <c r="BL47" s="322"/>
      <c r="BM47" s="333"/>
      <c r="BN47" s="322"/>
      <c r="BO47" s="424"/>
      <c r="BP47" s="322"/>
    </row>
    <row r="48" spans="2:68" ht="18.75">
      <c r="K48" s="321"/>
      <c r="L48" s="390"/>
      <c r="M48" s="286" t="s">
        <v>97</v>
      </c>
      <c r="N48" s="287" t="e">
        <f>N45/((N43*EFFICIENCY!$H$28))</f>
        <v>#DIV/0!</v>
      </c>
      <c r="O48" s="286" t="s">
        <v>97</v>
      </c>
      <c r="P48" s="287" t="e">
        <f>P45/(P43*EFFICIENCY!$H$28)</f>
        <v>#DIV/0!</v>
      </c>
      <c r="Q48" s="286" t="s">
        <v>97</v>
      </c>
      <c r="R48" s="287" t="e">
        <f>R45/(R43*EFFICIENCY!$H$28)</f>
        <v>#DIV/0!</v>
      </c>
      <c r="S48" s="295"/>
      <c r="T48" s="300"/>
      <c r="U48" s="321"/>
      <c r="V48" s="390"/>
      <c r="W48" s="286" t="s">
        <v>97</v>
      </c>
      <c r="X48" s="287" t="e">
        <f>X45/((X43*EFFICIENCY!$H$28))</f>
        <v>#DIV/0!</v>
      </c>
      <c r="Y48" s="286" t="s">
        <v>97</v>
      </c>
      <c r="Z48" s="287" t="e">
        <f>Z45/(Z43*EFFICIENCY!$H$28)</f>
        <v>#DIV/0!</v>
      </c>
      <c r="AA48" s="286" t="s">
        <v>97</v>
      </c>
      <c r="AB48" s="287" t="e">
        <f>AB45/(AB43*EFFICIENCY!$H$28)</f>
        <v>#DIV/0!</v>
      </c>
      <c r="AD48" s="300"/>
      <c r="AE48" s="321"/>
      <c r="AF48" s="390"/>
      <c r="AG48" s="286" t="s">
        <v>97</v>
      </c>
      <c r="AH48" s="287" t="e">
        <f>AH45/((AH43*EFFICIENCY!$H$28))</f>
        <v>#DIV/0!</v>
      </c>
      <c r="AI48" s="286" t="s">
        <v>97</v>
      </c>
      <c r="AJ48" s="287" t="e">
        <f>AJ45/(AJ43*EFFICIENCY!$H$28)</f>
        <v>#DIV/0!</v>
      </c>
      <c r="AK48" s="286" t="s">
        <v>97</v>
      </c>
      <c r="AL48" s="287" t="e">
        <f>AL45/(AL43*EFFICIENCY!$H$28)</f>
        <v>#DIV/0!</v>
      </c>
      <c r="AN48" s="300"/>
      <c r="AO48" s="321"/>
      <c r="AP48" s="390"/>
      <c r="AQ48" s="286" t="s">
        <v>97</v>
      </c>
      <c r="AR48" s="287" t="e">
        <f>AR45/((AR43*EFFICIENCY!$H$28))</f>
        <v>#DIV/0!</v>
      </c>
      <c r="AS48" s="286" t="s">
        <v>97</v>
      </c>
      <c r="AT48" s="287" t="e">
        <f>AT45/(AT43*EFFICIENCY!$H$28)</f>
        <v>#DIV/0!</v>
      </c>
      <c r="AU48" s="286" t="s">
        <v>97</v>
      </c>
      <c r="AV48" s="287" t="e">
        <f>AV45/(AV43*EFFICIENCY!$H$28)</f>
        <v>#DIV/0!</v>
      </c>
      <c r="AX48" s="300"/>
      <c r="AY48" s="321"/>
      <c r="AZ48" s="390"/>
      <c r="BA48" s="286" t="s">
        <v>97</v>
      </c>
      <c r="BB48" s="287" t="e">
        <f>BB45/((BB43*EFFICIENCY!$H$28))</f>
        <v>#DIV/0!</v>
      </c>
      <c r="BC48" s="286" t="s">
        <v>97</v>
      </c>
      <c r="BD48" s="287" t="e">
        <f>BD45/(BD43*EFFICIENCY!$H$28)</f>
        <v>#DIV/0!</v>
      </c>
      <c r="BE48" s="286" t="s">
        <v>97</v>
      </c>
      <c r="BF48" s="287" t="e">
        <f>BF45/(BF43*EFFICIENCY!$H$28)</f>
        <v>#DIV/0!</v>
      </c>
      <c r="BH48" s="300"/>
      <c r="BI48" s="321"/>
      <c r="BJ48" s="390"/>
      <c r="BK48" s="286" t="s">
        <v>97</v>
      </c>
      <c r="BL48" s="287" t="e">
        <f>BL45/((BL43*EFFICIENCY!$H$28))</f>
        <v>#DIV/0!</v>
      </c>
      <c r="BM48" s="286" t="s">
        <v>97</v>
      </c>
      <c r="BN48" s="287" t="e">
        <f>BN45/(BN43*EFFICIENCY!$H$28)</f>
        <v>#DIV/0!</v>
      </c>
      <c r="BO48" s="286" t="s">
        <v>97</v>
      </c>
      <c r="BP48" s="287" t="e">
        <f>BP45/(BP43*EFFICIENCY!$H$28)</f>
        <v>#DIV/0!</v>
      </c>
    </row>
    <row r="49" spans="10:68" ht="18.75">
      <c r="K49" s="321"/>
      <c r="L49" s="320"/>
      <c r="M49" s="280" t="s">
        <v>96</v>
      </c>
      <c r="N49" s="281" t="e">
        <f>N45/(N43*EFFICIENCY!$I$28)</f>
        <v>#DIV/0!</v>
      </c>
      <c r="O49" s="280" t="s">
        <v>96</v>
      </c>
      <c r="P49" s="281" t="e">
        <f>P45/(P43*EFFICIENCY!$I$28)</f>
        <v>#DIV/0!</v>
      </c>
      <c r="Q49" s="280" t="s">
        <v>96</v>
      </c>
      <c r="R49" s="281" t="e">
        <f>R45/(R43*EFFICIENCY!$I$28)</f>
        <v>#DIV/0!</v>
      </c>
      <c r="S49" s="296"/>
      <c r="T49" s="300"/>
      <c r="U49" s="321"/>
      <c r="V49" s="320"/>
      <c r="W49" s="280" t="s">
        <v>96</v>
      </c>
      <c r="X49" s="281" t="e">
        <f>X45/(X43*EFFICIENCY!$I$28)</f>
        <v>#DIV/0!</v>
      </c>
      <c r="Y49" s="280" t="s">
        <v>96</v>
      </c>
      <c r="Z49" s="281" t="e">
        <f>Z45/(Z43*EFFICIENCY!$I$28)</f>
        <v>#DIV/0!</v>
      </c>
      <c r="AA49" s="280" t="s">
        <v>96</v>
      </c>
      <c r="AB49" s="281" t="e">
        <f>AB45/(AB43*EFFICIENCY!$I$28)</f>
        <v>#DIV/0!</v>
      </c>
      <c r="AD49" s="300"/>
      <c r="AE49" s="321"/>
      <c r="AF49" s="320"/>
      <c r="AG49" s="280" t="s">
        <v>96</v>
      </c>
      <c r="AH49" s="281" t="e">
        <f>AH45/(AH43*EFFICIENCY!$I$28)</f>
        <v>#DIV/0!</v>
      </c>
      <c r="AI49" s="280" t="s">
        <v>96</v>
      </c>
      <c r="AJ49" s="281" t="e">
        <f>AJ45/(AJ43*EFFICIENCY!$I$28)</f>
        <v>#DIV/0!</v>
      </c>
      <c r="AK49" s="280" t="s">
        <v>96</v>
      </c>
      <c r="AL49" s="281" t="e">
        <f>AL45/(AL43*EFFICIENCY!$I$28)</f>
        <v>#DIV/0!</v>
      </c>
      <c r="AN49" s="300"/>
      <c r="AO49" s="321"/>
      <c r="AP49" s="320"/>
      <c r="AQ49" s="280" t="s">
        <v>96</v>
      </c>
      <c r="AR49" s="281" t="e">
        <f>AR45/(AR43*EFFICIENCY!$I$28)</f>
        <v>#DIV/0!</v>
      </c>
      <c r="AS49" s="280" t="s">
        <v>96</v>
      </c>
      <c r="AT49" s="281" t="e">
        <f>AT45/(AT43*EFFICIENCY!$I$28)</f>
        <v>#DIV/0!</v>
      </c>
      <c r="AU49" s="280" t="s">
        <v>96</v>
      </c>
      <c r="AV49" s="281" t="e">
        <f>AV45/(AV43*EFFICIENCY!$I$28)</f>
        <v>#DIV/0!</v>
      </c>
      <c r="AX49" s="300"/>
      <c r="AY49" s="321"/>
      <c r="AZ49" s="320"/>
      <c r="BA49" s="280" t="s">
        <v>96</v>
      </c>
      <c r="BB49" s="281" t="e">
        <f>BB45/(BB43*EFFICIENCY!$I$28)</f>
        <v>#DIV/0!</v>
      </c>
      <c r="BC49" s="280" t="s">
        <v>96</v>
      </c>
      <c r="BD49" s="281" t="e">
        <f>BD45/(BD43*EFFICIENCY!$I$28)</f>
        <v>#DIV/0!</v>
      </c>
      <c r="BE49" s="280" t="s">
        <v>96</v>
      </c>
      <c r="BF49" s="281" t="e">
        <f>BF45/(BF43*EFFICIENCY!$I$28)</f>
        <v>#DIV/0!</v>
      </c>
      <c r="BH49" s="300"/>
      <c r="BI49" s="321"/>
      <c r="BJ49" s="320"/>
      <c r="BK49" s="280" t="s">
        <v>96</v>
      </c>
      <c r="BL49" s="281" t="e">
        <f>BL45/(BL43*EFFICIENCY!$I$28)</f>
        <v>#DIV/0!</v>
      </c>
      <c r="BM49" s="280" t="s">
        <v>96</v>
      </c>
      <c r="BN49" s="281" t="e">
        <f>BN45/(BN43*EFFICIENCY!$I$28)</f>
        <v>#DIV/0!</v>
      </c>
      <c r="BO49" s="280" t="s">
        <v>96</v>
      </c>
      <c r="BP49" s="281" t="e">
        <f>BP45/(BP43*EFFICIENCY!$I$28)</f>
        <v>#DIV/0!</v>
      </c>
    </row>
    <row r="50" spans="10:68" ht="19.5" customHeight="1" thickBot="1">
      <c r="K50" s="686" t="s">
        <v>156</v>
      </c>
      <c r="L50" s="687"/>
      <c r="M50" s="284" t="s">
        <v>94</v>
      </c>
      <c r="N50" s="285" t="e">
        <f>N45/((N43*EFFICIENCY!$K$28))</f>
        <v>#DIV/0!</v>
      </c>
      <c r="O50" s="288" t="s">
        <v>94</v>
      </c>
      <c r="P50" s="285" t="e">
        <f>P45/((P43*EFFICIENCY!$K$28))</f>
        <v>#DIV/0!</v>
      </c>
      <c r="Q50" s="284" t="s">
        <v>94</v>
      </c>
      <c r="R50" s="285" t="e">
        <f>R45/((R43*EFFICIENCY!$K$28))</f>
        <v>#DIV/0!</v>
      </c>
      <c r="S50" s="297"/>
      <c r="T50" s="300"/>
      <c r="U50" s="686" t="s">
        <v>156</v>
      </c>
      <c r="V50" s="687"/>
      <c r="W50" s="284" t="s">
        <v>94</v>
      </c>
      <c r="X50" s="285" t="e">
        <f>X45/((X43*EFFICIENCY!$K$28))</f>
        <v>#DIV/0!</v>
      </c>
      <c r="Y50" s="288" t="s">
        <v>94</v>
      </c>
      <c r="Z50" s="285" t="e">
        <f>Z45/((Z43*EFFICIENCY!$K$28))</f>
        <v>#DIV/0!</v>
      </c>
      <c r="AA50" s="284" t="s">
        <v>94</v>
      </c>
      <c r="AB50" s="285" t="e">
        <f>AB45/((AB43*EFFICIENCY!$K$28))</f>
        <v>#DIV/0!</v>
      </c>
      <c r="AD50" s="300"/>
      <c r="AE50" s="686" t="s">
        <v>156</v>
      </c>
      <c r="AF50" s="687"/>
      <c r="AG50" s="284" t="s">
        <v>94</v>
      </c>
      <c r="AH50" s="285" t="e">
        <f>AH45/((AH43*EFFICIENCY!$K$28))</f>
        <v>#DIV/0!</v>
      </c>
      <c r="AI50" s="288" t="s">
        <v>94</v>
      </c>
      <c r="AJ50" s="285" t="e">
        <f>AJ45/((AJ43*EFFICIENCY!$K$28))</f>
        <v>#DIV/0!</v>
      </c>
      <c r="AK50" s="284" t="s">
        <v>94</v>
      </c>
      <c r="AL50" s="285" t="e">
        <f>AL45/((AL43*EFFICIENCY!$K$28))</f>
        <v>#DIV/0!</v>
      </c>
      <c r="AN50" s="300"/>
      <c r="AO50" s="686" t="s">
        <v>156</v>
      </c>
      <c r="AP50" s="687"/>
      <c r="AQ50" s="284" t="s">
        <v>94</v>
      </c>
      <c r="AR50" s="285" t="e">
        <f>AR45/((AR43*EFFICIENCY!$K$28))</f>
        <v>#DIV/0!</v>
      </c>
      <c r="AS50" s="288" t="s">
        <v>94</v>
      </c>
      <c r="AT50" s="285" t="e">
        <f>AT45/((AT43*EFFICIENCY!$K$28))</f>
        <v>#DIV/0!</v>
      </c>
      <c r="AU50" s="284" t="s">
        <v>94</v>
      </c>
      <c r="AV50" s="285" t="e">
        <f>AV45/((AV43*EFFICIENCY!$K$28))</f>
        <v>#DIV/0!</v>
      </c>
      <c r="AX50" s="300"/>
      <c r="AY50" s="686" t="s">
        <v>156</v>
      </c>
      <c r="AZ50" s="687"/>
      <c r="BA50" s="284" t="s">
        <v>94</v>
      </c>
      <c r="BB50" s="285" t="e">
        <f>BB45/((BB43*EFFICIENCY!$K$28))</f>
        <v>#DIV/0!</v>
      </c>
      <c r="BC50" s="288" t="s">
        <v>94</v>
      </c>
      <c r="BD50" s="285" t="e">
        <f>BD45/((BD43*EFFICIENCY!$K$28))</f>
        <v>#DIV/0!</v>
      </c>
      <c r="BE50" s="284" t="s">
        <v>94</v>
      </c>
      <c r="BF50" s="285" t="e">
        <f>BF45/((BF43*EFFICIENCY!$K$28))</f>
        <v>#DIV/0!</v>
      </c>
      <c r="BH50" s="300"/>
      <c r="BI50" s="686" t="s">
        <v>156</v>
      </c>
      <c r="BJ50" s="687"/>
      <c r="BK50" s="284" t="s">
        <v>94</v>
      </c>
      <c r="BL50" s="285" t="e">
        <f>BL45/((BL43*EFFICIENCY!$K$28))</f>
        <v>#DIV/0!</v>
      </c>
      <c r="BM50" s="288" t="s">
        <v>94</v>
      </c>
      <c r="BN50" s="285" t="e">
        <f>BN45/((BN43*EFFICIENCY!$K$28))</f>
        <v>#DIV/0!</v>
      </c>
      <c r="BO50" s="284" t="s">
        <v>94</v>
      </c>
      <c r="BP50" s="285" t="e">
        <f>BP45/((BP43*EFFICIENCY!$K$28))</f>
        <v>#DIV/0!</v>
      </c>
    </row>
    <row r="51" spans="10:68" ht="16.5" thickBot="1">
      <c r="K51" s="391"/>
      <c r="L51" s="392" t="e">
        <f>R45/R43</f>
        <v>#DIV/0!</v>
      </c>
      <c r="M51" s="649" t="s">
        <v>153</v>
      </c>
      <c r="N51" s="650"/>
      <c r="O51" s="290"/>
      <c r="P51" s="420"/>
      <c r="Q51" s="420" t="s">
        <v>154</v>
      </c>
      <c r="R51" s="336">
        <f>O51-R45</f>
        <v>0</v>
      </c>
      <c r="S51" s="298"/>
      <c r="T51" s="300"/>
      <c r="U51" s="391"/>
      <c r="V51" s="392" t="e">
        <f>AB45/AB43</f>
        <v>#DIV/0!</v>
      </c>
      <c r="W51" s="649" t="s">
        <v>153</v>
      </c>
      <c r="X51" s="650"/>
      <c r="Y51" s="290"/>
      <c r="Z51" s="420"/>
      <c r="AA51" s="420" t="s">
        <v>154</v>
      </c>
      <c r="AB51" s="336">
        <f>Y51-AB45</f>
        <v>0</v>
      </c>
      <c r="AD51" s="300"/>
      <c r="AE51" s="391"/>
      <c r="AF51" s="392" t="e">
        <f>AL45/AL43</f>
        <v>#DIV/0!</v>
      </c>
      <c r="AG51" s="649" t="s">
        <v>153</v>
      </c>
      <c r="AH51" s="650"/>
      <c r="AI51" s="290"/>
      <c r="AJ51" s="420"/>
      <c r="AK51" s="420" t="s">
        <v>154</v>
      </c>
      <c r="AL51" s="336">
        <f>AI51-AL45</f>
        <v>0</v>
      </c>
      <c r="AN51" s="300"/>
      <c r="AO51" s="391"/>
      <c r="AP51" s="392" t="e">
        <f>AV45/AV43</f>
        <v>#DIV/0!</v>
      </c>
      <c r="AQ51" s="649" t="s">
        <v>153</v>
      </c>
      <c r="AR51" s="650"/>
      <c r="AS51" s="290"/>
      <c r="AT51" s="420"/>
      <c r="AU51" s="420" t="s">
        <v>154</v>
      </c>
      <c r="AV51" s="336">
        <f>AS51-AV45</f>
        <v>0</v>
      </c>
      <c r="AX51" s="300"/>
      <c r="AY51" s="391"/>
      <c r="AZ51" s="392" t="e">
        <f>BF45/BF43</f>
        <v>#DIV/0!</v>
      </c>
      <c r="BA51" s="649" t="s">
        <v>153</v>
      </c>
      <c r="BB51" s="650"/>
      <c r="BC51" s="290"/>
      <c r="BD51" s="420"/>
      <c r="BE51" s="420" t="s">
        <v>154</v>
      </c>
      <c r="BF51" s="336">
        <f>BC51-BF45</f>
        <v>0</v>
      </c>
      <c r="BH51" s="300"/>
      <c r="BI51" s="391"/>
      <c r="BJ51" s="392" t="e">
        <f>BP45/BP43</f>
        <v>#DIV/0!</v>
      </c>
      <c r="BK51" s="649" t="s">
        <v>153</v>
      </c>
      <c r="BL51" s="650"/>
      <c r="BM51" s="290"/>
      <c r="BN51" s="420"/>
      <c r="BO51" s="420" t="s">
        <v>154</v>
      </c>
      <c r="BP51" s="336">
        <f>BM51-BP45</f>
        <v>0</v>
      </c>
    </row>
    <row r="52" spans="10:68">
      <c r="T52" s="300"/>
      <c r="AD52" s="300"/>
      <c r="AN52" s="300"/>
      <c r="AX52" s="300"/>
      <c r="BH52" s="300"/>
    </row>
    <row r="53" spans="10:68" ht="13.5" thickBot="1">
      <c r="J53" s="291"/>
      <c r="K53" s="291"/>
      <c r="L53" s="291"/>
      <c r="M53" s="291"/>
      <c r="N53" s="291"/>
      <c r="O53" s="291"/>
      <c r="P53" s="291"/>
      <c r="Q53" s="291"/>
      <c r="R53" s="291"/>
      <c r="S53" s="299"/>
      <c r="T53" s="301"/>
      <c r="U53" s="291"/>
      <c r="V53" s="291"/>
      <c r="W53" s="291"/>
      <c r="X53" s="291"/>
      <c r="Y53" s="291"/>
      <c r="Z53" s="291"/>
      <c r="AA53" s="291"/>
      <c r="AB53" s="291"/>
      <c r="AC53" s="291"/>
      <c r="AD53" s="301"/>
      <c r="AE53" s="291"/>
      <c r="AF53" s="291"/>
      <c r="AG53" s="291"/>
      <c r="AH53" s="291"/>
      <c r="AI53" s="291"/>
      <c r="AJ53" s="291"/>
      <c r="AK53" s="291"/>
      <c r="AL53" s="291"/>
      <c r="AM53" s="291"/>
      <c r="AN53" s="301"/>
      <c r="AO53" s="291"/>
      <c r="AP53" s="291"/>
      <c r="AQ53" s="291"/>
      <c r="AR53" s="291"/>
      <c r="AS53" s="291"/>
      <c r="AT53" s="291"/>
      <c r="AU53" s="291"/>
      <c r="AV53" s="291"/>
      <c r="AW53" s="291"/>
      <c r="AX53" s="301"/>
      <c r="AY53" s="291"/>
      <c r="AZ53" s="291"/>
      <c r="BA53" s="291"/>
      <c r="BB53" s="291"/>
      <c r="BC53" s="291"/>
      <c r="BD53" s="291"/>
      <c r="BE53" s="291"/>
      <c r="BF53" s="291"/>
      <c r="BG53" s="291"/>
      <c r="BH53" s="301"/>
      <c r="BI53" s="291"/>
      <c r="BJ53" s="291"/>
      <c r="BK53" s="291"/>
      <c r="BL53" s="291"/>
      <c r="BM53" s="291"/>
      <c r="BN53" s="291"/>
      <c r="BO53" s="291"/>
      <c r="BP53" s="291"/>
    </row>
    <row r="54" spans="10:68" ht="15.75" thickBot="1">
      <c r="J54" s="154"/>
      <c r="K54" s="409" t="s">
        <v>7</v>
      </c>
      <c r="L54" s="536">
        <f>B31</f>
        <v>42520</v>
      </c>
      <c r="M54" s="651" t="s">
        <v>100</v>
      </c>
      <c r="N54" s="652"/>
      <c r="O54" s="653" t="s">
        <v>99</v>
      </c>
      <c r="P54" s="654"/>
      <c r="Q54" s="655" t="s">
        <v>16</v>
      </c>
      <c r="R54" s="656"/>
      <c r="S54" s="293"/>
      <c r="T54" s="300"/>
      <c r="U54" s="409" t="s">
        <v>7</v>
      </c>
      <c r="V54" s="536">
        <f>B32</f>
        <v>42521</v>
      </c>
      <c r="W54" s="651" t="s">
        <v>100</v>
      </c>
      <c r="X54" s="652"/>
      <c r="Y54" s="653" t="s">
        <v>99</v>
      </c>
      <c r="Z54" s="654"/>
      <c r="AA54" s="655" t="s">
        <v>16</v>
      </c>
      <c r="AB54" s="656"/>
      <c r="AC54" s="154"/>
      <c r="AD54" s="300"/>
      <c r="AE54" s="409" t="s">
        <v>7</v>
      </c>
      <c r="AF54" s="536">
        <f>B33</f>
        <v>42522</v>
      </c>
      <c r="AG54" s="651" t="s">
        <v>100</v>
      </c>
      <c r="AH54" s="652"/>
      <c r="AI54" s="653" t="s">
        <v>99</v>
      </c>
      <c r="AJ54" s="654"/>
      <c r="AK54" s="655" t="s">
        <v>16</v>
      </c>
      <c r="AL54" s="656"/>
      <c r="AM54" s="154"/>
      <c r="AN54" s="300"/>
      <c r="AO54" s="409" t="s">
        <v>7</v>
      </c>
      <c r="AP54" s="536">
        <f>B34</f>
        <v>42523</v>
      </c>
      <c r="AQ54" s="651" t="s">
        <v>100</v>
      </c>
      <c r="AR54" s="652"/>
      <c r="AS54" s="653" t="s">
        <v>99</v>
      </c>
      <c r="AT54" s="654"/>
      <c r="AU54" s="655" t="s">
        <v>16</v>
      </c>
      <c r="AV54" s="656"/>
      <c r="AW54" s="154"/>
      <c r="AX54" s="300"/>
      <c r="AY54" s="409" t="s">
        <v>7</v>
      </c>
      <c r="AZ54" s="536">
        <f>B35</f>
        <v>42524</v>
      </c>
      <c r="BA54" s="651" t="s">
        <v>100</v>
      </c>
      <c r="BB54" s="652"/>
      <c r="BC54" s="653" t="s">
        <v>99</v>
      </c>
      <c r="BD54" s="654"/>
      <c r="BE54" s="655" t="s">
        <v>16</v>
      </c>
      <c r="BF54" s="656"/>
      <c r="BG54" s="154"/>
      <c r="BH54" s="300"/>
      <c r="BI54" s="409" t="s">
        <v>7</v>
      </c>
      <c r="BJ54" s="536">
        <f>B36</f>
        <v>42525</v>
      </c>
      <c r="BK54" s="651" t="s">
        <v>100</v>
      </c>
      <c r="BL54" s="652"/>
      <c r="BM54" s="653" t="s">
        <v>99</v>
      </c>
      <c r="BN54" s="654"/>
      <c r="BO54" s="655" t="s">
        <v>16</v>
      </c>
      <c r="BP54" s="656"/>
    </row>
    <row r="55" spans="10:68" ht="13.5" thickBot="1">
      <c r="J55" s="154"/>
      <c r="K55" s="394"/>
      <c r="L55" s="393"/>
      <c r="M55" s="394"/>
      <c r="N55" s="395"/>
      <c r="O55" s="394"/>
      <c r="P55" s="395"/>
      <c r="Q55" s="393"/>
      <c r="R55" s="395"/>
      <c r="S55" s="156"/>
      <c r="T55" s="300"/>
      <c r="U55" s="394"/>
      <c r="V55" s="393"/>
      <c r="W55" s="394"/>
      <c r="X55" s="395"/>
      <c r="Y55" s="394"/>
      <c r="Z55" s="395"/>
      <c r="AA55" s="393"/>
      <c r="AB55" s="395"/>
      <c r="AC55" s="154"/>
      <c r="AD55" s="300"/>
      <c r="AE55" s="394"/>
      <c r="AF55" s="393"/>
      <c r="AG55" s="394"/>
      <c r="AH55" s="395"/>
      <c r="AI55" s="394"/>
      <c r="AJ55" s="395"/>
      <c r="AK55" s="393"/>
      <c r="AL55" s="395"/>
      <c r="AM55" s="154"/>
      <c r="AN55" s="300"/>
      <c r="AO55" s="394"/>
      <c r="AP55" s="393"/>
      <c r="AQ55" s="394"/>
      <c r="AR55" s="395"/>
      <c r="AS55" s="394"/>
      <c r="AT55" s="395"/>
      <c r="AU55" s="393"/>
      <c r="AV55" s="395"/>
      <c r="AW55" s="154"/>
      <c r="AX55" s="300"/>
      <c r="AY55" s="394"/>
      <c r="AZ55" s="393"/>
      <c r="BA55" s="394"/>
      <c r="BB55" s="395"/>
      <c r="BC55" s="394"/>
      <c r="BD55" s="395"/>
      <c r="BE55" s="393"/>
      <c r="BF55" s="395"/>
      <c r="BG55" s="154"/>
      <c r="BH55" s="300"/>
      <c r="BI55" s="394"/>
      <c r="BJ55" s="393"/>
      <c r="BK55" s="394"/>
      <c r="BL55" s="395"/>
      <c r="BM55" s="394"/>
      <c r="BN55" s="395"/>
      <c r="BO55" s="393"/>
      <c r="BP55" s="395"/>
    </row>
    <row r="56" spans="10:68" ht="16.5" thickBot="1">
      <c r="J56" s="154"/>
      <c r="K56" s="394"/>
      <c r="L56" s="417" t="s">
        <v>155</v>
      </c>
      <c r="M56" s="397" t="s">
        <v>103</v>
      </c>
      <c r="N56" s="279"/>
      <c r="O56" s="397" t="s">
        <v>103</v>
      </c>
      <c r="P56" s="279"/>
      <c r="Q56" s="398" t="s">
        <v>103</v>
      </c>
      <c r="R56" s="399">
        <f>SUM(N56,P56)</f>
        <v>0</v>
      </c>
      <c r="S56" s="294"/>
      <c r="T56" s="300"/>
      <c r="U56" s="394"/>
      <c r="V56" s="417" t="s">
        <v>155</v>
      </c>
      <c r="W56" s="397" t="s">
        <v>103</v>
      </c>
      <c r="X56" s="279"/>
      <c r="Y56" s="397" t="s">
        <v>103</v>
      </c>
      <c r="Z56" s="279"/>
      <c r="AA56" s="398" t="s">
        <v>103</v>
      </c>
      <c r="AB56" s="399">
        <f>SUM(X56,Z56)</f>
        <v>0</v>
      </c>
      <c r="AC56" s="154"/>
      <c r="AD56" s="300"/>
      <c r="AE56" s="394"/>
      <c r="AF56" s="417" t="s">
        <v>155</v>
      </c>
      <c r="AG56" s="397" t="s">
        <v>103</v>
      </c>
      <c r="AH56" s="279"/>
      <c r="AI56" s="397" t="s">
        <v>103</v>
      </c>
      <c r="AJ56" s="279"/>
      <c r="AK56" s="398" t="s">
        <v>103</v>
      </c>
      <c r="AL56" s="399">
        <f>SUM(AH56,AJ56)</f>
        <v>0</v>
      </c>
      <c r="AM56" s="154"/>
      <c r="AN56" s="300"/>
      <c r="AO56" s="394"/>
      <c r="AP56" s="417" t="s">
        <v>155</v>
      </c>
      <c r="AQ56" s="397" t="s">
        <v>103</v>
      </c>
      <c r="AR56" s="279"/>
      <c r="AS56" s="397" t="s">
        <v>103</v>
      </c>
      <c r="AT56" s="279"/>
      <c r="AU56" s="398" t="s">
        <v>103</v>
      </c>
      <c r="AV56" s="399">
        <f>SUM(AR56,AT56)</f>
        <v>0</v>
      </c>
      <c r="AW56" s="154"/>
      <c r="AX56" s="300"/>
      <c r="AY56" s="394"/>
      <c r="AZ56" s="417" t="s">
        <v>155</v>
      </c>
      <c r="BA56" s="397" t="s">
        <v>103</v>
      </c>
      <c r="BB56" s="279"/>
      <c r="BC56" s="397" t="s">
        <v>103</v>
      </c>
      <c r="BD56" s="279"/>
      <c r="BE56" s="398" t="s">
        <v>103</v>
      </c>
      <c r="BF56" s="399">
        <f>SUM(BB56,BD56)</f>
        <v>0</v>
      </c>
      <c r="BG56" s="154"/>
      <c r="BH56" s="300"/>
      <c r="BI56" s="394"/>
      <c r="BJ56" s="417" t="s">
        <v>155</v>
      </c>
      <c r="BK56" s="397" t="s">
        <v>103</v>
      </c>
      <c r="BL56" s="279"/>
      <c r="BM56" s="397" t="s">
        <v>103</v>
      </c>
      <c r="BN56" s="279"/>
      <c r="BO56" s="398" t="s">
        <v>103</v>
      </c>
      <c r="BP56" s="399">
        <f>SUM(BL56,BN56)</f>
        <v>0</v>
      </c>
    </row>
    <row r="57" spans="10:68" ht="18.75" thickBot="1">
      <c r="K57" s="394"/>
      <c r="L57" s="289">
        <v>8</v>
      </c>
      <c r="M57" s="400" t="s">
        <v>5</v>
      </c>
      <c r="N57" s="401">
        <f>VLOOKUP(L54, $B$3:$E$109, 4, FALSE)</f>
        <v>0</v>
      </c>
      <c r="O57" s="400" t="s">
        <v>5</v>
      </c>
      <c r="P57" s="402">
        <f>VLOOKUP(L54, $B$3:$F$109, 5, FALSE)</f>
        <v>0</v>
      </c>
      <c r="Q57" s="403" t="s">
        <v>5</v>
      </c>
      <c r="R57" s="399">
        <f>SUM(N57,P57)</f>
        <v>0</v>
      </c>
      <c r="S57" s="294"/>
      <c r="T57" s="300"/>
      <c r="U57" s="394"/>
      <c r="V57" s="289">
        <v>8</v>
      </c>
      <c r="W57" s="400" t="s">
        <v>5</v>
      </c>
      <c r="X57" s="401">
        <f>VLOOKUP(V54, $B$3:$E$109, 4, FALSE)</f>
        <v>0</v>
      </c>
      <c r="Y57" s="400" t="s">
        <v>5</v>
      </c>
      <c r="Z57" s="402">
        <f>VLOOKUP(V54, $B$3:$F$109, 5, FALSE)</f>
        <v>0</v>
      </c>
      <c r="AA57" s="403" t="s">
        <v>5</v>
      </c>
      <c r="AB57" s="399">
        <f>SUM(X57,Z57)</f>
        <v>0</v>
      </c>
      <c r="AD57" s="300"/>
      <c r="AE57" s="394"/>
      <c r="AF57" s="289">
        <v>8</v>
      </c>
      <c r="AG57" s="400" t="s">
        <v>5</v>
      </c>
      <c r="AH57" s="401">
        <f>VLOOKUP(AF54, $B$3:$E$109, 4, FALSE)</f>
        <v>0</v>
      </c>
      <c r="AI57" s="400" t="s">
        <v>5</v>
      </c>
      <c r="AJ57" s="402">
        <f>VLOOKUP(AF54, $B$3:$F$109, 5, FALSE)</f>
        <v>0</v>
      </c>
      <c r="AK57" s="403" t="s">
        <v>5</v>
      </c>
      <c r="AL57" s="399">
        <f>SUM(AH57,AJ57)</f>
        <v>0</v>
      </c>
      <c r="AN57" s="300"/>
      <c r="AO57" s="394"/>
      <c r="AP57" s="289">
        <v>8</v>
      </c>
      <c r="AQ57" s="400" t="s">
        <v>5</v>
      </c>
      <c r="AR57" s="401">
        <f>VLOOKUP(AP54, $B$3:$E$109, 4, FALSE)</f>
        <v>0</v>
      </c>
      <c r="AS57" s="400" t="s">
        <v>5</v>
      </c>
      <c r="AT57" s="402">
        <f>VLOOKUP(AP54, $B$3:$F$109, 5, FALSE)</f>
        <v>0</v>
      </c>
      <c r="AU57" s="403" t="s">
        <v>5</v>
      </c>
      <c r="AV57" s="399">
        <f>SUM(AR57,AT57)</f>
        <v>0</v>
      </c>
      <c r="AX57" s="300"/>
      <c r="AY57" s="394"/>
      <c r="AZ57" s="289">
        <v>8</v>
      </c>
      <c r="BA57" s="400" t="s">
        <v>5</v>
      </c>
      <c r="BB57" s="401">
        <f>VLOOKUP(AZ54, $B$3:$E$109, 4, FALSE)</f>
        <v>0</v>
      </c>
      <c r="BC57" s="400" t="s">
        <v>5</v>
      </c>
      <c r="BD57" s="402">
        <f>VLOOKUP(AZ54, $B$3:$F$109, 5, FALSE)</f>
        <v>0</v>
      </c>
      <c r="BE57" s="403" t="s">
        <v>5</v>
      </c>
      <c r="BF57" s="399">
        <f>SUM(BB57,BD57)</f>
        <v>0</v>
      </c>
      <c r="BH57" s="300"/>
      <c r="BI57" s="394"/>
      <c r="BJ57" s="289">
        <v>8</v>
      </c>
      <c r="BK57" s="400" t="s">
        <v>5</v>
      </c>
      <c r="BL57" s="401">
        <f>VLOOKUP(BJ54, $B$3:$E$109, 4, FALSE)</f>
        <v>0</v>
      </c>
      <c r="BM57" s="400" t="s">
        <v>5</v>
      </c>
      <c r="BN57" s="402">
        <f>VLOOKUP(BJ54, $B$3:$F$109, 5, FALSE)</f>
        <v>0</v>
      </c>
      <c r="BO57" s="403" t="s">
        <v>5</v>
      </c>
      <c r="BP57" s="399">
        <f>SUM(BL57,BN57)</f>
        <v>0</v>
      </c>
    </row>
    <row r="58" spans="10:68" ht="15.75" customHeight="1">
      <c r="K58" s="394"/>
      <c r="L58" s="393"/>
      <c r="M58" s="657" t="s">
        <v>105</v>
      </c>
      <c r="N58" s="401">
        <f>VLOOKUP(L54, $B$3:$E$109, 2, FALSE)</f>
        <v>0</v>
      </c>
      <c r="O58" s="657" t="s">
        <v>105</v>
      </c>
      <c r="P58" s="402">
        <f>VLOOKUP(L54, $B$3:$E$109, 3, FALSE)</f>
        <v>0</v>
      </c>
      <c r="Q58" s="658" t="s">
        <v>105</v>
      </c>
      <c r="R58" s="399">
        <f>SUM(N58,P58)</f>
        <v>0</v>
      </c>
      <c r="S58" s="294"/>
      <c r="T58" s="300"/>
      <c r="U58" s="394"/>
      <c r="V58" s="393"/>
      <c r="W58" s="657" t="s">
        <v>105</v>
      </c>
      <c r="X58" s="401">
        <f>VLOOKUP(V54, $B$3:$E$109, 2, FALSE)</f>
        <v>0</v>
      </c>
      <c r="Y58" s="657" t="s">
        <v>105</v>
      </c>
      <c r="Z58" s="402">
        <f>VLOOKUP(V54, $B$3:$E$109, 3, FALSE)</f>
        <v>0</v>
      </c>
      <c r="AA58" s="658" t="s">
        <v>105</v>
      </c>
      <c r="AB58" s="399">
        <f>SUM(X58,Z58)</f>
        <v>0</v>
      </c>
      <c r="AD58" s="300"/>
      <c r="AE58" s="394"/>
      <c r="AF58" s="393"/>
      <c r="AG58" s="657" t="s">
        <v>105</v>
      </c>
      <c r="AH58" s="401">
        <f>VLOOKUP(AF54, $B$3:$E$109, 2, FALSE)</f>
        <v>0</v>
      </c>
      <c r="AI58" s="657" t="s">
        <v>105</v>
      </c>
      <c r="AJ58" s="402">
        <f>VLOOKUP(AF54, $B$3:$E$109, 3, FALSE)</f>
        <v>0</v>
      </c>
      <c r="AK58" s="658" t="s">
        <v>105</v>
      </c>
      <c r="AL58" s="399">
        <f>SUM(AH58,AJ58)</f>
        <v>0</v>
      </c>
      <c r="AN58" s="300"/>
      <c r="AO58" s="394"/>
      <c r="AP58" s="393"/>
      <c r="AQ58" s="657" t="s">
        <v>105</v>
      </c>
      <c r="AR58" s="401">
        <f>VLOOKUP(AP54, $B$3:$E$109, 2, FALSE)</f>
        <v>0</v>
      </c>
      <c r="AS58" s="657" t="s">
        <v>105</v>
      </c>
      <c r="AT58" s="402">
        <f>VLOOKUP(AP54, $B$3:$E$109, 3, FALSE)</f>
        <v>0</v>
      </c>
      <c r="AU58" s="658" t="s">
        <v>105</v>
      </c>
      <c r="AV58" s="399">
        <f>SUM(AR58,AT58)</f>
        <v>0</v>
      </c>
      <c r="AX58" s="300"/>
      <c r="AY58" s="394"/>
      <c r="AZ58" s="393"/>
      <c r="BA58" s="657" t="s">
        <v>105</v>
      </c>
      <c r="BB58" s="401">
        <f>VLOOKUP(AZ54, $B$3:$E$109, 2, FALSE)</f>
        <v>0</v>
      </c>
      <c r="BC58" s="657" t="s">
        <v>105</v>
      </c>
      <c r="BD58" s="402">
        <f>VLOOKUP(AZ54, $B$3:$E$109, 3, FALSE)</f>
        <v>0</v>
      </c>
      <c r="BE58" s="658" t="s">
        <v>105</v>
      </c>
      <c r="BF58" s="399">
        <f>SUM(BB58,BD58)</f>
        <v>0</v>
      </c>
      <c r="BH58" s="300"/>
      <c r="BI58" s="394"/>
      <c r="BJ58" s="393"/>
      <c r="BK58" s="657" t="s">
        <v>105</v>
      </c>
      <c r="BL58" s="401">
        <f>VLOOKUP(BJ54, $B$3:$E$109, 2, FALSE)</f>
        <v>0</v>
      </c>
      <c r="BM58" s="657" t="s">
        <v>105</v>
      </c>
      <c r="BN58" s="402">
        <f>VLOOKUP(BJ54, $B$3:$E$109, 3, FALSE)</f>
        <v>0</v>
      </c>
      <c r="BO58" s="658" t="s">
        <v>105</v>
      </c>
      <c r="BP58" s="399">
        <f>SUM(BL58,BN58)</f>
        <v>0</v>
      </c>
    </row>
    <row r="59" spans="10:68" ht="12.75" customHeight="1">
      <c r="K59" s="688" t="s">
        <v>157</v>
      </c>
      <c r="L59" s="689"/>
      <c r="M59" s="658"/>
      <c r="N59" s="395"/>
      <c r="O59" s="657"/>
      <c r="P59" s="395"/>
      <c r="Q59" s="658"/>
      <c r="R59" s="395"/>
      <c r="S59" s="156"/>
      <c r="T59" s="300"/>
      <c r="U59" s="688" t="s">
        <v>157</v>
      </c>
      <c r="V59" s="689"/>
      <c r="W59" s="658"/>
      <c r="X59" s="395"/>
      <c r="Y59" s="657"/>
      <c r="Z59" s="395"/>
      <c r="AA59" s="658"/>
      <c r="AB59" s="395"/>
      <c r="AD59" s="300"/>
      <c r="AE59" s="688" t="s">
        <v>157</v>
      </c>
      <c r="AF59" s="689"/>
      <c r="AG59" s="658"/>
      <c r="AH59" s="395"/>
      <c r="AI59" s="657"/>
      <c r="AJ59" s="395"/>
      <c r="AK59" s="658"/>
      <c r="AL59" s="395"/>
      <c r="AN59" s="300"/>
      <c r="AO59" s="688" t="s">
        <v>157</v>
      </c>
      <c r="AP59" s="689"/>
      <c r="AQ59" s="658"/>
      <c r="AR59" s="395"/>
      <c r="AS59" s="657"/>
      <c r="AT59" s="395"/>
      <c r="AU59" s="658"/>
      <c r="AV59" s="395"/>
      <c r="AX59" s="300"/>
      <c r="AY59" s="688" t="s">
        <v>157</v>
      </c>
      <c r="AZ59" s="689"/>
      <c r="BA59" s="658"/>
      <c r="BB59" s="395"/>
      <c r="BC59" s="657"/>
      <c r="BD59" s="395"/>
      <c r="BE59" s="658"/>
      <c r="BF59" s="395"/>
      <c r="BH59" s="300"/>
      <c r="BI59" s="688" t="s">
        <v>157</v>
      </c>
      <c r="BJ59" s="689"/>
      <c r="BK59" s="658"/>
      <c r="BL59" s="395"/>
      <c r="BM59" s="657"/>
      <c r="BN59" s="395"/>
      <c r="BO59" s="658"/>
      <c r="BP59" s="395"/>
    </row>
    <row r="60" spans="10:68" ht="15.75">
      <c r="K60" s="411"/>
      <c r="L60" s="404">
        <f>R56*13</f>
        <v>0</v>
      </c>
      <c r="M60" s="418"/>
      <c r="N60" s="395"/>
      <c r="O60" s="406"/>
      <c r="P60" s="395"/>
      <c r="Q60" s="419"/>
      <c r="R60" s="395"/>
      <c r="S60" s="156"/>
      <c r="T60" s="300"/>
      <c r="U60" s="411"/>
      <c r="V60" s="404">
        <f>AB56*13</f>
        <v>0</v>
      </c>
      <c r="W60" s="418"/>
      <c r="X60" s="395"/>
      <c r="Y60" s="406"/>
      <c r="Z60" s="395"/>
      <c r="AA60" s="419"/>
      <c r="AB60" s="395"/>
      <c r="AD60" s="300"/>
      <c r="AE60" s="411"/>
      <c r="AF60" s="404">
        <f>AL56*13</f>
        <v>0</v>
      </c>
      <c r="AG60" s="418"/>
      <c r="AH60" s="395"/>
      <c r="AI60" s="406"/>
      <c r="AJ60" s="395"/>
      <c r="AK60" s="419"/>
      <c r="AL60" s="395"/>
      <c r="AN60" s="300"/>
      <c r="AO60" s="411"/>
      <c r="AP60" s="404">
        <f>AV56*13</f>
        <v>0</v>
      </c>
      <c r="AQ60" s="418"/>
      <c r="AR60" s="395"/>
      <c r="AS60" s="406"/>
      <c r="AT60" s="395"/>
      <c r="AU60" s="419"/>
      <c r="AV60" s="395"/>
      <c r="AX60" s="300"/>
      <c r="AY60" s="411"/>
      <c r="AZ60" s="404">
        <f>BF56*13</f>
        <v>0</v>
      </c>
      <c r="BA60" s="418"/>
      <c r="BB60" s="395"/>
      <c r="BC60" s="406"/>
      <c r="BD60" s="395"/>
      <c r="BE60" s="419"/>
      <c r="BF60" s="395"/>
      <c r="BH60" s="300"/>
      <c r="BI60" s="411"/>
      <c r="BJ60" s="404">
        <f>BP56*13</f>
        <v>0</v>
      </c>
      <c r="BK60" s="418"/>
      <c r="BL60" s="395"/>
      <c r="BM60" s="406"/>
      <c r="BN60" s="395"/>
      <c r="BO60" s="419"/>
      <c r="BP60" s="395"/>
    </row>
    <row r="61" spans="10:68" ht="18.75">
      <c r="K61" s="394"/>
      <c r="L61" s="412"/>
      <c r="M61" s="286" t="s">
        <v>97</v>
      </c>
      <c r="N61" s="287" t="e">
        <f>N58/((N56*EFFICIENCY!$H$28))</f>
        <v>#DIV/0!</v>
      </c>
      <c r="O61" s="286" t="s">
        <v>97</v>
      </c>
      <c r="P61" s="287" t="e">
        <f>P58/(P56*EFFICIENCY!$H$28)</f>
        <v>#DIV/0!</v>
      </c>
      <c r="Q61" s="286" t="s">
        <v>97</v>
      </c>
      <c r="R61" s="287" t="e">
        <f>R58/(R56*EFFICIENCY!$H$28)</f>
        <v>#DIV/0!</v>
      </c>
      <c r="S61" s="295"/>
      <c r="T61" s="300"/>
      <c r="U61" s="394"/>
      <c r="V61" s="412"/>
      <c r="W61" s="286" t="s">
        <v>97</v>
      </c>
      <c r="X61" s="287" t="e">
        <f>X58/((X56*EFFICIENCY!$H$28))</f>
        <v>#DIV/0!</v>
      </c>
      <c r="Y61" s="286" t="s">
        <v>97</v>
      </c>
      <c r="Z61" s="287" t="e">
        <f>Z58/(Z56*EFFICIENCY!$H$28)</f>
        <v>#DIV/0!</v>
      </c>
      <c r="AA61" s="286" t="s">
        <v>97</v>
      </c>
      <c r="AB61" s="287" t="e">
        <f>AB58/(AB56*EFFICIENCY!$H$28)</f>
        <v>#DIV/0!</v>
      </c>
      <c r="AD61" s="300"/>
      <c r="AE61" s="394"/>
      <c r="AF61" s="412"/>
      <c r="AG61" s="286" t="s">
        <v>97</v>
      </c>
      <c r="AH61" s="287" t="e">
        <f>AH58/((AH56*EFFICIENCY!$H$28))</f>
        <v>#DIV/0!</v>
      </c>
      <c r="AI61" s="286" t="s">
        <v>97</v>
      </c>
      <c r="AJ61" s="287" t="e">
        <f>AJ58/(AJ56*EFFICIENCY!$H$28)</f>
        <v>#DIV/0!</v>
      </c>
      <c r="AK61" s="286" t="s">
        <v>97</v>
      </c>
      <c r="AL61" s="287" t="e">
        <f>AL58/(AL56*EFFICIENCY!$H$28)</f>
        <v>#DIV/0!</v>
      </c>
      <c r="AN61" s="300"/>
      <c r="AO61" s="394"/>
      <c r="AP61" s="412"/>
      <c r="AQ61" s="286" t="s">
        <v>97</v>
      </c>
      <c r="AR61" s="287" t="e">
        <f>AR58/((AR56*EFFICIENCY!$H$28))</f>
        <v>#DIV/0!</v>
      </c>
      <c r="AS61" s="286" t="s">
        <v>97</v>
      </c>
      <c r="AT61" s="287" t="e">
        <f>AT58/(AT56*EFFICIENCY!$H$28)</f>
        <v>#DIV/0!</v>
      </c>
      <c r="AU61" s="286" t="s">
        <v>97</v>
      </c>
      <c r="AV61" s="287" t="e">
        <f>AV58/(AV56*EFFICIENCY!$H$28)</f>
        <v>#DIV/0!</v>
      </c>
      <c r="AX61" s="300"/>
      <c r="AY61" s="394"/>
      <c r="AZ61" s="412"/>
      <c r="BA61" s="286" t="s">
        <v>97</v>
      </c>
      <c r="BB61" s="287" t="e">
        <f>BB58/((BB56*EFFICIENCY!$H$28))</f>
        <v>#DIV/0!</v>
      </c>
      <c r="BC61" s="286" t="s">
        <v>97</v>
      </c>
      <c r="BD61" s="287" t="e">
        <f>BD58/(BD56*EFFICIENCY!$H$28)</f>
        <v>#DIV/0!</v>
      </c>
      <c r="BE61" s="286" t="s">
        <v>97</v>
      </c>
      <c r="BF61" s="287" t="e">
        <f>BF58/(BF56*EFFICIENCY!$H$28)</f>
        <v>#DIV/0!</v>
      </c>
      <c r="BH61" s="300"/>
      <c r="BI61" s="394"/>
      <c r="BJ61" s="412"/>
      <c r="BK61" s="286" t="s">
        <v>97</v>
      </c>
      <c r="BL61" s="287" t="e">
        <f>BL58/((BL56*EFFICIENCY!$H$28))</f>
        <v>#DIV/0!</v>
      </c>
      <c r="BM61" s="286" t="s">
        <v>97</v>
      </c>
      <c r="BN61" s="287" t="e">
        <f>BN58/(BN56*EFFICIENCY!$H$28)</f>
        <v>#DIV/0!</v>
      </c>
      <c r="BO61" s="286" t="s">
        <v>97</v>
      </c>
      <c r="BP61" s="287" t="e">
        <f>BP58/(BP56*EFFICIENCY!$H$28)</f>
        <v>#DIV/0!</v>
      </c>
    </row>
    <row r="62" spans="10:68" ht="18.75">
      <c r="K62" s="394"/>
      <c r="L62" s="393"/>
      <c r="M62" s="280" t="s">
        <v>96</v>
      </c>
      <c r="N62" s="281" t="e">
        <f>N58/(N56*EFFICIENCY!$I$28)</f>
        <v>#DIV/0!</v>
      </c>
      <c r="O62" s="280" t="s">
        <v>96</v>
      </c>
      <c r="P62" s="281" t="e">
        <f>P58/(P56*EFFICIENCY!$I$28)</f>
        <v>#DIV/0!</v>
      </c>
      <c r="Q62" s="280" t="s">
        <v>96</v>
      </c>
      <c r="R62" s="281" t="e">
        <f>R58/(R56*EFFICIENCY!$I$28)</f>
        <v>#DIV/0!</v>
      </c>
      <c r="S62" s="296"/>
      <c r="T62" s="300"/>
      <c r="U62" s="394"/>
      <c r="V62" s="393"/>
      <c r="W62" s="280" t="s">
        <v>96</v>
      </c>
      <c r="X62" s="281" t="e">
        <f>X58/(X56*EFFICIENCY!$I$28)</f>
        <v>#DIV/0!</v>
      </c>
      <c r="Y62" s="280" t="s">
        <v>96</v>
      </c>
      <c r="Z62" s="281" t="e">
        <f>Z58/(Z56*EFFICIENCY!$I$28)</f>
        <v>#DIV/0!</v>
      </c>
      <c r="AA62" s="280" t="s">
        <v>96</v>
      </c>
      <c r="AB62" s="281" t="e">
        <f>AB58/(AB56*EFFICIENCY!$I$28)</f>
        <v>#DIV/0!</v>
      </c>
      <c r="AD62" s="300"/>
      <c r="AE62" s="394"/>
      <c r="AF62" s="393"/>
      <c r="AG62" s="280" t="s">
        <v>96</v>
      </c>
      <c r="AH62" s="281" t="e">
        <f>AH58/(AH56*EFFICIENCY!$I$28)</f>
        <v>#DIV/0!</v>
      </c>
      <c r="AI62" s="280" t="s">
        <v>96</v>
      </c>
      <c r="AJ62" s="281" t="e">
        <f>AJ58/(AJ56*EFFICIENCY!$I$28)</f>
        <v>#DIV/0!</v>
      </c>
      <c r="AK62" s="280" t="s">
        <v>96</v>
      </c>
      <c r="AL62" s="281" t="e">
        <f>AL58/(AL56*EFFICIENCY!$I$28)</f>
        <v>#DIV/0!</v>
      </c>
      <c r="AN62" s="300"/>
      <c r="AO62" s="394"/>
      <c r="AP62" s="393"/>
      <c r="AQ62" s="280" t="s">
        <v>96</v>
      </c>
      <c r="AR62" s="281" t="e">
        <f>AR58/(AR56*EFFICIENCY!$I$28)</f>
        <v>#DIV/0!</v>
      </c>
      <c r="AS62" s="280" t="s">
        <v>96</v>
      </c>
      <c r="AT62" s="281" t="e">
        <f>AT58/(AT56*EFFICIENCY!$I$28)</f>
        <v>#DIV/0!</v>
      </c>
      <c r="AU62" s="280" t="s">
        <v>96</v>
      </c>
      <c r="AV62" s="281" t="e">
        <f>AV58/(AV56*EFFICIENCY!$I$28)</f>
        <v>#DIV/0!</v>
      </c>
      <c r="AX62" s="300"/>
      <c r="AY62" s="394"/>
      <c r="AZ62" s="393"/>
      <c r="BA62" s="280" t="s">
        <v>96</v>
      </c>
      <c r="BB62" s="281" t="e">
        <f>BB58/(BB56*EFFICIENCY!$I$28)</f>
        <v>#DIV/0!</v>
      </c>
      <c r="BC62" s="280" t="s">
        <v>96</v>
      </c>
      <c r="BD62" s="281" t="e">
        <f>BD58/(BD56*EFFICIENCY!$I$28)</f>
        <v>#DIV/0!</v>
      </c>
      <c r="BE62" s="280" t="s">
        <v>96</v>
      </c>
      <c r="BF62" s="281" t="e">
        <f>BF58/(BF56*EFFICIENCY!$I$28)</f>
        <v>#DIV/0!</v>
      </c>
      <c r="BH62" s="300"/>
      <c r="BI62" s="394"/>
      <c r="BJ62" s="393"/>
      <c r="BK62" s="280" t="s">
        <v>96</v>
      </c>
      <c r="BL62" s="281" t="e">
        <f>BL58/(BL56*EFFICIENCY!$I$28)</f>
        <v>#DIV/0!</v>
      </c>
      <c r="BM62" s="280" t="s">
        <v>96</v>
      </c>
      <c r="BN62" s="281" t="e">
        <f>BN58/(BN56*EFFICIENCY!$I$28)</f>
        <v>#DIV/0!</v>
      </c>
      <c r="BO62" s="280" t="s">
        <v>96</v>
      </c>
      <c r="BP62" s="281" t="e">
        <f>BP58/(BP56*EFFICIENCY!$I$28)</f>
        <v>#DIV/0!</v>
      </c>
    </row>
    <row r="63" spans="10:68" ht="19.5" customHeight="1" thickBot="1">
      <c r="K63" s="690" t="s">
        <v>156</v>
      </c>
      <c r="L63" s="691"/>
      <c r="M63" s="284" t="s">
        <v>94</v>
      </c>
      <c r="N63" s="285" t="e">
        <f>N58/((N56*EFFICIENCY!$K$28))</f>
        <v>#DIV/0!</v>
      </c>
      <c r="O63" s="288" t="s">
        <v>94</v>
      </c>
      <c r="P63" s="285" t="e">
        <f>P58/((P56*EFFICIENCY!$K$28))</f>
        <v>#DIV/0!</v>
      </c>
      <c r="Q63" s="284" t="s">
        <v>94</v>
      </c>
      <c r="R63" s="285" t="e">
        <f>R58/((R56*EFFICIENCY!$K$28))</f>
        <v>#DIV/0!</v>
      </c>
      <c r="S63" s="297"/>
      <c r="T63" s="300"/>
      <c r="U63" s="690" t="s">
        <v>156</v>
      </c>
      <c r="V63" s="691"/>
      <c r="W63" s="284" t="s">
        <v>94</v>
      </c>
      <c r="X63" s="285" t="e">
        <f>X58/((X56*EFFICIENCY!$K$28))</f>
        <v>#DIV/0!</v>
      </c>
      <c r="Y63" s="288" t="s">
        <v>94</v>
      </c>
      <c r="Z63" s="285" t="e">
        <f>Z58/((Z56*EFFICIENCY!$K$28))</f>
        <v>#DIV/0!</v>
      </c>
      <c r="AA63" s="284" t="s">
        <v>94</v>
      </c>
      <c r="AB63" s="285" t="e">
        <f>AB58/((AB56*EFFICIENCY!$K$28))</f>
        <v>#DIV/0!</v>
      </c>
      <c r="AD63" s="300"/>
      <c r="AE63" s="690" t="s">
        <v>156</v>
      </c>
      <c r="AF63" s="691"/>
      <c r="AG63" s="284" t="s">
        <v>94</v>
      </c>
      <c r="AH63" s="285" t="e">
        <f>AH58/((AH56*EFFICIENCY!$K$28))</f>
        <v>#DIV/0!</v>
      </c>
      <c r="AI63" s="288" t="s">
        <v>94</v>
      </c>
      <c r="AJ63" s="285" t="e">
        <f>AJ58/((AJ56*EFFICIENCY!$K$28))</f>
        <v>#DIV/0!</v>
      </c>
      <c r="AK63" s="284" t="s">
        <v>94</v>
      </c>
      <c r="AL63" s="285" t="e">
        <f>AL58/((AL56*EFFICIENCY!$K$28))</f>
        <v>#DIV/0!</v>
      </c>
      <c r="AN63" s="300"/>
      <c r="AO63" s="690" t="s">
        <v>156</v>
      </c>
      <c r="AP63" s="691"/>
      <c r="AQ63" s="284" t="s">
        <v>94</v>
      </c>
      <c r="AR63" s="285" t="e">
        <f>AR58/((AR56*EFFICIENCY!$K$28))</f>
        <v>#DIV/0!</v>
      </c>
      <c r="AS63" s="288" t="s">
        <v>94</v>
      </c>
      <c r="AT63" s="285" t="e">
        <f>AT58/((AT56*EFFICIENCY!$K$28))</f>
        <v>#DIV/0!</v>
      </c>
      <c r="AU63" s="284" t="s">
        <v>94</v>
      </c>
      <c r="AV63" s="285" t="e">
        <f>AV58/((AV56*EFFICIENCY!$K$28))</f>
        <v>#DIV/0!</v>
      </c>
      <c r="AX63" s="300"/>
      <c r="AY63" s="690" t="s">
        <v>156</v>
      </c>
      <c r="AZ63" s="691"/>
      <c r="BA63" s="284" t="s">
        <v>94</v>
      </c>
      <c r="BB63" s="285" t="e">
        <f>BB58/((BB56*EFFICIENCY!$K$28))</f>
        <v>#DIV/0!</v>
      </c>
      <c r="BC63" s="288" t="s">
        <v>94</v>
      </c>
      <c r="BD63" s="285" t="e">
        <f>BD58/((BD56*EFFICIENCY!$K$28))</f>
        <v>#DIV/0!</v>
      </c>
      <c r="BE63" s="284" t="s">
        <v>94</v>
      </c>
      <c r="BF63" s="285" t="e">
        <f>BF58/((BF56*EFFICIENCY!$K$28))</f>
        <v>#DIV/0!</v>
      </c>
      <c r="BH63" s="300"/>
      <c r="BI63" s="690" t="s">
        <v>156</v>
      </c>
      <c r="BJ63" s="691"/>
      <c r="BK63" s="284" t="s">
        <v>94</v>
      </c>
      <c r="BL63" s="285" t="e">
        <f>BL58/((BL56*EFFICIENCY!$K$28))</f>
        <v>#DIV/0!</v>
      </c>
      <c r="BM63" s="288" t="s">
        <v>94</v>
      </c>
      <c r="BN63" s="285" t="e">
        <f>BN58/((BN56*EFFICIENCY!$K$28))</f>
        <v>#DIV/0!</v>
      </c>
      <c r="BO63" s="284" t="s">
        <v>94</v>
      </c>
      <c r="BP63" s="285" t="e">
        <f>BP58/((BP56*EFFICIENCY!$K$28))</f>
        <v>#DIV/0!</v>
      </c>
    </row>
    <row r="64" spans="10:68" ht="16.5" thickBot="1">
      <c r="K64" s="413"/>
      <c r="L64" s="414" t="e">
        <f>R58/R56</f>
        <v>#DIV/0!</v>
      </c>
      <c r="M64" s="647" t="s">
        <v>153</v>
      </c>
      <c r="N64" s="648"/>
      <c r="O64" s="290"/>
      <c r="P64" s="416"/>
      <c r="Q64" s="416" t="s">
        <v>154</v>
      </c>
      <c r="R64" s="415">
        <f>O64-R58</f>
        <v>0</v>
      </c>
      <c r="S64" s="298"/>
      <c r="T64" s="300"/>
      <c r="U64" s="413"/>
      <c r="V64" s="414" t="e">
        <f>AB58/AB56</f>
        <v>#DIV/0!</v>
      </c>
      <c r="W64" s="647" t="s">
        <v>153</v>
      </c>
      <c r="X64" s="648"/>
      <c r="Y64" s="290"/>
      <c r="Z64" s="416"/>
      <c r="AA64" s="416" t="s">
        <v>154</v>
      </c>
      <c r="AB64" s="415">
        <f>Y64-AB58</f>
        <v>0</v>
      </c>
      <c r="AD64" s="300"/>
      <c r="AE64" s="413"/>
      <c r="AF64" s="414" t="e">
        <f>AL58/AL56</f>
        <v>#DIV/0!</v>
      </c>
      <c r="AG64" s="647" t="s">
        <v>153</v>
      </c>
      <c r="AH64" s="648"/>
      <c r="AI64" s="290"/>
      <c r="AJ64" s="416"/>
      <c r="AK64" s="416" t="s">
        <v>154</v>
      </c>
      <c r="AL64" s="415">
        <f>AI64-AL58</f>
        <v>0</v>
      </c>
      <c r="AN64" s="300"/>
      <c r="AO64" s="413"/>
      <c r="AP64" s="414" t="e">
        <f>AV58/AV56</f>
        <v>#DIV/0!</v>
      </c>
      <c r="AQ64" s="647" t="s">
        <v>153</v>
      </c>
      <c r="AR64" s="648"/>
      <c r="AS64" s="290"/>
      <c r="AT64" s="416"/>
      <c r="AU64" s="416" t="s">
        <v>154</v>
      </c>
      <c r="AV64" s="415">
        <f>AS64-AV58</f>
        <v>0</v>
      </c>
      <c r="AX64" s="300"/>
      <c r="AY64" s="413"/>
      <c r="AZ64" s="414" t="e">
        <f>BF58/BF56</f>
        <v>#DIV/0!</v>
      </c>
      <c r="BA64" s="647" t="s">
        <v>153</v>
      </c>
      <c r="BB64" s="648"/>
      <c r="BC64" s="290"/>
      <c r="BD64" s="416"/>
      <c r="BE64" s="416" t="s">
        <v>154</v>
      </c>
      <c r="BF64" s="415">
        <f>BC64-BF58</f>
        <v>0</v>
      </c>
      <c r="BH64" s="300"/>
      <c r="BI64" s="413"/>
      <c r="BJ64" s="414" t="e">
        <f>BP58/BP56</f>
        <v>#DIV/0!</v>
      </c>
      <c r="BK64" s="647" t="s">
        <v>153</v>
      </c>
      <c r="BL64" s="648"/>
      <c r="BM64" s="290"/>
      <c r="BN64" s="416"/>
      <c r="BO64" s="416" t="s">
        <v>154</v>
      </c>
      <c r="BP64" s="415">
        <f>BM64-BP58</f>
        <v>0</v>
      </c>
    </row>
    <row r="65" spans="20:60">
      <c r="T65" s="300"/>
      <c r="AD65" s="300"/>
      <c r="AN65" s="300"/>
      <c r="AX65" s="300"/>
      <c r="BH65" s="300"/>
    </row>
    <row r="66" spans="20:60">
      <c r="T66" s="300"/>
      <c r="BH66" s="300"/>
    </row>
    <row r="67" spans="20:60">
      <c r="T67" s="300"/>
      <c r="BH67" s="300"/>
    </row>
    <row r="68" spans="20:60">
      <c r="T68" s="300"/>
      <c r="BH68" s="300"/>
    </row>
    <row r="69" spans="20:60">
      <c r="T69" s="300"/>
      <c r="BH69" s="300"/>
    </row>
    <row r="70" spans="20:60">
      <c r="T70" s="300"/>
      <c r="BH70" s="300"/>
    </row>
  </sheetData>
  <mergeCells count="281">
    <mergeCell ref="K1:L1"/>
    <mergeCell ref="U1:V1"/>
    <mergeCell ref="AE1:AF1"/>
    <mergeCell ref="AO1:AP1"/>
    <mergeCell ref="AY1:AZ1"/>
    <mergeCell ref="BI1:BJ1"/>
    <mergeCell ref="M64:N64"/>
    <mergeCell ref="W64:X64"/>
    <mergeCell ref="AG64:AH64"/>
    <mergeCell ref="AQ64:AR64"/>
    <mergeCell ref="BA64:BB64"/>
    <mergeCell ref="M54:N54"/>
    <mergeCell ref="O54:P54"/>
    <mergeCell ref="Q54:R54"/>
    <mergeCell ref="W54:X54"/>
    <mergeCell ref="Y54:Z54"/>
    <mergeCell ref="AA54:AB54"/>
    <mergeCell ref="M51:N51"/>
    <mergeCell ref="W51:X51"/>
    <mergeCell ref="AG51:AH51"/>
    <mergeCell ref="AQ51:AR51"/>
    <mergeCell ref="BA51:BB51"/>
    <mergeCell ref="M41:N41"/>
    <mergeCell ref="O41:P41"/>
    <mergeCell ref="BK64:BL64"/>
    <mergeCell ref="K63:L63"/>
    <mergeCell ref="U63:V63"/>
    <mergeCell ref="AE63:AF63"/>
    <mergeCell ref="AO63:AP63"/>
    <mergeCell ref="AY63:AZ63"/>
    <mergeCell ref="BI63:BJ63"/>
    <mergeCell ref="K59:L59"/>
    <mergeCell ref="U59:V59"/>
    <mergeCell ref="AE59:AF59"/>
    <mergeCell ref="AO59:AP59"/>
    <mergeCell ref="AY59:AZ59"/>
    <mergeCell ref="BI59:BJ59"/>
    <mergeCell ref="BA58:BA59"/>
    <mergeCell ref="BC58:BC59"/>
    <mergeCell ref="BE58:BE59"/>
    <mergeCell ref="M58:M59"/>
    <mergeCell ref="O58:O59"/>
    <mergeCell ref="Q58:Q59"/>
    <mergeCell ref="W58:W59"/>
    <mergeCell ref="Y58:Y59"/>
    <mergeCell ref="AA58:AA59"/>
    <mergeCell ref="BK58:BK59"/>
    <mergeCell ref="BM58:BM59"/>
    <mergeCell ref="BO58:BO59"/>
    <mergeCell ref="AG58:AG59"/>
    <mergeCell ref="AI58:AI59"/>
    <mergeCell ref="AK58:AK59"/>
    <mergeCell ref="AQ58:AQ59"/>
    <mergeCell ref="AS58:AS59"/>
    <mergeCell ref="AU58:AU59"/>
    <mergeCell ref="BA54:BB54"/>
    <mergeCell ref="BC54:BD54"/>
    <mergeCell ref="BE54:BF54"/>
    <mergeCell ref="BK54:BL54"/>
    <mergeCell ref="BM54:BN54"/>
    <mergeCell ref="BO54:BP54"/>
    <mergeCell ref="AG54:AH54"/>
    <mergeCell ref="AI54:AJ54"/>
    <mergeCell ref="AK54:AL54"/>
    <mergeCell ref="AQ54:AR54"/>
    <mergeCell ref="AS54:AT54"/>
    <mergeCell ref="AU54:AV54"/>
    <mergeCell ref="BK51:BL51"/>
    <mergeCell ref="K50:L50"/>
    <mergeCell ref="U50:V50"/>
    <mergeCell ref="AE50:AF50"/>
    <mergeCell ref="AO50:AP50"/>
    <mergeCell ref="AY50:AZ50"/>
    <mergeCell ref="BI50:BJ50"/>
    <mergeCell ref="K46:L46"/>
    <mergeCell ref="U46:V46"/>
    <mergeCell ref="AE46:AF46"/>
    <mergeCell ref="AO46:AP46"/>
    <mergeCell ref="AY46:AZ46"/>
    <mergeCell ref="BI46:BJ46"/>
    <mergeCell ref="BA45:BA46"/>
    <mergeCell ref="BC45:BC46"/>
    <mergeCell ref="BE45:BE46"/>
    <mergeCell ref="M45:M46"/>
    <mergeCell ref="O45:O46"/>
    <mergeCell ref="Q45:Q46"/>
    <mergeCell ref="W45:W46"/>
    <mergeCell ref="Y45:Y46"/>
    <mergeCell ref="AA45:AA46"/>
    <mergeCell ref="BK45:BK46"/>
    <mergeCell ref="BM45:BM46"/>
    <mergeCell ref="BO45:BO46"/>
    <mergeCell ref="AG45:AG46"/>
    <mergeCell ref="AI45:AI46"/>
    <mergeCell ref="AK45:AK46"/>
    <mergeCell ref="AQ45:AQ46"/>
    <mergeCell ref="AS45:AS46"/>
    <mergeCell ref="AU45:AU46"/>
    <mergeCell ref="BA41:BB41"/>
    <mergeCell ref="BC41:BD41"/>
    <mergeCell ref="BE41:BF41"/>
    <mergeCell ref="BK41:BL41"/>
    <mergeCell ref="BM41:BN41"/>
    <mergeCell ref="BO41:BP41"/>
    <mergeCell ref="AG41:AH41"/>
    <mergeCell ref="AI41:AJ41"/>
    <mergeCell ref="AK41:AL41"/>
    <mergeCell ref="AQ41:AR41"/>
    <mergeCell ref="AS41:AT41"/>
    <mergeCell ref="AU41:AV41"/>
    <mergeCell ref="Q41:R41"/>
    <mergeCell ref="W41:X41"/>
    <mergeCell ref="Y41:Z41"/>
    <mergeCell ref="AA41:AB41"/>
    <mergeCell ref="M38:N38"/>
    <mergeCell ref="W38:X38"/>
    <mergeCell ref="AG38:AH38"/>
    <mergeCell ref="AQ38:AR38"/>
    <mergeCell ref="BA38:BB38"/>
    <mergeCell ref="BK38:BL38"/>
    <mergeCell ref="K37:L37"/>
    <mergeCell ref="U37:V37"/>
    <mergeCell ref="AE37:AF37"/>
    <mergeCell ref="AO37:AP37"/>
    <mergeCell ref="AY37:AZ37"/>
    <mergeCell ref="BI37:BJ37"/>
    <mergeCell ref="K33:L33"/>
    <mergeCell ref="U33:V33"/>
    <mergeCell ref="AE33:AF33"/>
    <mergeCell ref="AO33:AP33"/>
    <mergeCell ref="AY33:AZ33"/>
    <mergeCell ref="BI33:BJ33"/>
    <mergeCell ref="BA32:BA33"/>
    <mergeCell ref="BC32:BC33"/>
    <mergeCell ref="BE32:BE33"/>
    <mergeCell ref="M32:M33"/>
    <mergeCell ref="O32:O33"/>
    <mergeCell ref="Q32:Q33"/>
    <mergeCell ref="W32:W33"/>
    <mergeCell ref="Y32:Y33"/>
    <mergeCell ref="AA32:AA33"/>
    <mergeCell ref="BK32:BK33"/>
    <mergeCell ref="BM32:BM33"/>
    <mergeCell ref="BO32:BO33"/>
    <mergeCell ref="AG32:AG33"/>
    <mergeCell ref="AI32:AI33"/>
    <mergeCell ref="AK32:AK33"/>
    <mergeCell ref="AQ32:AQ33"/>
    <mergeCell ref="AS32:AS33"/>
    <mergeCell ref="AU32:AU33"/>
    <mergeCell ref="BA28:BB28"/>
    <mergeCell ref="BC28:BD28"/>
    <mergeCell ref="BE28:BF28"/>
    <mergeCell ref="BK28:BL28"/>
    <mergeCell ref="BM28:BN28"/>
    <mergeCell ref="BO28:BP28"/>
    <mergeCell ref="AG28:AH28"/>
    <mergeCell ref="AI28:AJ28"/>
    <mergeCell ref="AK28:AL28"/>
    <mergeCell ref="AQ28:AR28"/>
    <mergeCell ref="AS28:AT28"/>
    <mergeCell ref="AU28:AV28"/>
    <mergeCell ref="M28:N28"/>
    <mergeCell ref="O28:P28"/>
    <mergeCell ref="Q28:R28"/>
    <mergeCell ref="W28:X28"/>
    <mergeCell ref="Y28:Z28"/>
    <mergeCell ref="AA28:AB28"/>
    <mergeCell ref="M25:N25"/>
    <mergeCell ref="W25:X25"/>
    <mergeCell ref="AG25:AH25"/>
    <mergeCell ref="AQ25:AR25"/>
    <mergeCell ref="BA25:BB25"/>
    <mergeCell ref="BK25:BL25"/>
    <mergeCell ref="K24:L24"/>
    <mergeCell ref="U24:V24"/>
    <mergeCell ref="AE24:AF24"/>
    <mergeCell ref="AO24:AP24"/>
    <mergeCell ref="AY24:AZ24"/>
    <mergeCell ref="BI24:BJ24"/>
    <mergeCell ref="K20:L20"/>
    <mergeCell ref="U20:V20"/>
    <mergeCell ref="AE20:AF20"/>
    <mergeCell ref="AO20:AP20"/>
    <mergeCell ref="AY20:AZ20"/>
    <mergeCell ref="BI20:BJ20"/>
    <mergeCell ref="BA19:BA20"/>
    <mergeCell ref="BC19:BC20"/>
    <mergeCell ref="BE19:BE20"/>
    <mergeCell ref="M19:M20"/>
    <mergeCell ref="O19:O20"/>
    <mergeCell ref="Q19:Q20"/>
    <mergeCell ref="W19:W20"/>
    <mergeCell ref="Y19:Y20"/>
    <mergeCell ref="AA19:AA20"/>
    <mergeCell ref="BK19:BK20"/>
    <mergeCell ref="BM19:BM20"/>
    <mergeCell ref="BO19:BO20"/>
    <mergeCell ref="AG19:AG20"/>
    <mergeCell ref="AI19:AI20"/>
    <mergeCell ref="AK19:AK20"/>
    <mergeCell ref="AQ19:AQ20"/>
    <mergeCell ref="AS19:AS20"/>
    <mergeCell ref="AU19:AU20"/>
    <mergeCell ref="BA15:BB15"/>
    <mergeCell ref="BC15:BD15"/>
    <mergeCell ref="BE15:BF15"/>
    <mergeCell ref="BK15:BL15"/>
    <mergeCell ref="BM15:BN15"/>
    <mergeCell ref="BO15:BP15"/>
    <mergeCell ref="AG15:AH15"/>
    <mergeCell ref="AI15:AJ15"/>
    <mergeCell ref="AK15:AL15"/>
    <mergeCell ref="AQ15:AR15"/>
    <mergeCell ref="AS15:AT15"/>
    <mergeCell ref="AU15:AV15"/>
    <mergeCell ref="M15:N15"/>
    <mergeCell ref="O15:P15"/>
    <mergeCell ref="Q15:R15"/>
    <mergeCell ref="W15:X15"/>
    <mergeCell ref="Y15:Z15"/>
    <mergeCell ref="AA15:AB15"/>
    <mergeCell ref="M12:N12"/>
    <mergeCell ref="W12:X12"/>
    <mergeCell ref="AG12:AH12"/>
    <mergeCell ref="AQ12:AR12"/>
    <mergeCell ref="BA12:BB12"/>
    <mergeCell ref="BK12:BL12"/>
    <mergeCell ref="K11:L11"/>
    <mergeCell ref="U11:V11"/>
    <mergeCell ref="AE11:AF11"/>
    <mergeCell ref="AO11:AP11"/>
    <mergeCell ref="AY11:AZ11"/>
    <mergeCell ref="BI11:BJ11"/>
    <mergeCell ref="K7:L7"/>
    <mergeCell ref="U7:V7"/>
    <mergeCell ref="AE7:AF7"/>
    <mergeCell ref="AO7:AP7"/>
    <mergeCell ref="AY7:AZ7"/>
    <mergeCell ref="BI7:BJ7"/>
    <mergeCell ref="BA6:BA7"/>
    <mergeCell ref="BC6:BC7"/>
    <mergeCell ref="BE6:BE7"/>
    <mergeCell ref="M6:M7"/>
    <mergeCell ref="O6:O7"/>
    <mergeCell ref="Q6:Q7"/>
    <mergeCell ref="W6:W7"/>
    <mergeCell ref="Y6:Y7"/>
    <mergeCell ref="AA6:AA7"/>
    <mergeCell ref="BM2:BN2"/>
    <mergeCell ref="BO2:BP2"/>
    <mergeCell ref="AG2:AH2"/>
    <mergeCell ref="AI2:AJ2"/>
    <mergeCell ref="AK2:AL2"/>
    <mergeCell ref="AQ2:AR2"/>
    <mergeCell ref="AS2:AT2"/>
    <mergeCell ref="AU2:AV2"/>
    <mergeCell ref="BK6:BK7"/>
    <mergeCell ref="BM6:BM7"/>
    <mergeCell ref="BO6:BO7"/>
    <mergeCell ref="AG6:AG7"/>
    <mergeCell ref="AI6:AI7"/>
    <mergeCell ref="AK6:AK7"/>
    <mergeCell ref="AQ6:AQ7"/>
    <mergeCell ref="AS6:AS7"/>
    <mergeCell ref="AU6:AU7"/>
    <mergeCell ref="AQ1:AR1"/>
    <mergeCell ref="BA1:BB1"/>
    <mergeCell ref="BK1:BL1"/>
    <mergeCell ref="M2:N2"/>
    <mergeCell ref="O2:P2"/>
    <mergeCell ref="Q2:R2"/>
    <mergeCell ref="W2:X2"/>
    <mergeCell ref="Y2:Z2"/>
    <mergeCell ref="AA2:AB2"/>
    <mergeCell ref="W1:X1"/>
    <mergeCell ref="AG1:AH1"/>
    <mergeCell ref="BA2:BB2"/>
    <mergeCell ref="BC2:BD2"/>
    <mergeCell ref="BE2:BF2"/>
    <mergeCell ref="BK2:BL2"/>
  </mergeCells>
  <dataValidations count="1">
    <dataValidation type="list" allowBlank="1" showInputMessage="1" showErrorMessage="1" sqref="L5 L18 L31 L44 L57 V5 V18 V31 V44 V57 AF5 AF18 AF31 AF44 AF57 AP5 AP18 AP31 AP44 AP57 AZ5 AZ18 AZ31 AZ44 AZ57 BJ5 BJ18 BJ31 BJ44 BJ57" xr:uid="{00000000-0002-0000-0A00-000000000000}">
      <formula1>"8, 10, 12"</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dimension ref="B1:BP70"/>
  <sheetViews>
    <sheetView zoomScale="85" zoomScaleNormal="85" workbookViewId="0">
      <selection activeCell="C5" sqref="C5"/>
    </sheetView>
  </sheetViews>
  <sheetFormatPr defaultRowHeight="12.75"/>
  <cols>
    <col min="1" max="11" width="9.140625" style="150"/>
    <col min="12" max="12" width="11.140625" style="150" customWidth="1"/>
    <col min="13" max="13" width="10.5703125" style="150" customWidth="1"/>
    <col min="14" max="14" width="11.28515625" style="150" customWidth="1"/>
    <col min="15" max="15" width="10.5703125" style="150" customWidth="1"/>
    <col min="16" max="16" width="10.28515625" style="150" customWidth="1"/>
    <col min="17" max="17" width="10.140625" style="150" customWidth="1"/>
    <col min="18" max="18" width="10" style="150" bestFit="1" customWidth="1"/>
    <col min="19" max="19" width="7.42578125" style="151" customWidth="1"/>
    <col min="20" max="20" width="7" style="150" customWidth="1"/>
    <col min="21" max="21" width="9.140625" style="150"/>
    <col min="22" max="22" width="11.140625" style="150" customWidth="1"/>
    <col min="23" max="23" width="10.5703125" style="150" customWidth="1"/>
    <col min="24" max="24" width="11.28515625" style="150" customWidth="1"/>
    <col min="25" max="25" width="10.5703125" style="150" customWidth="1"/>
    <col min="26" max="26" width="10.28515625" style="150" customWidth="1"/>
    <col min="27" max="27" width="10.140625" style="150" customWidth="1"/>
    <col min="28" max="28" width="10" style="150" bestFit="1" customWidth="1"/>
    <col min="29" max="31" width="9.140625" style="150"/>
    <col min="32" max="32" width="11.140625" style="150" customWidth="1"/>
    <col min="33" max="33" width="10.5703125" style="150" customWidth="1"/>
    <col min="34" max="34" width="11.28515625" style="150" customWidth="1"/>
    <col min="35" max="35" width="10.5703125" style="150" customWidth="1"/>
    <col min="36" max="36" width="10.28515625" style="150" customWidth="1"/>
    <col min="37" max="37" width="10.140625" style="150" customWidth="1"/>
    <col min="38" max="38" width="10" style="150" bestFit="1" customWidth="1"/>
    <col min="39" max="41" width="9.140625" style="150"/>
    <col min="42" max="42" width="11.140625" style="150" customWidth="1"/>
    <col min="43" max="43" width="10.5703125" style="150" customWidth="1"/>
    <col min="44" max="44" width="11.28515625" style="150" customWidth="1"/>
    <col min="45" max="45" width="10.5703125" style="150" customWidth="1"/>
    <col min="46" max="46" width="10.28515625" style="150" customWidth="1"/>
    <col min="47" max="47" width="10.140625" style="150" customWidth="1"/>
    <col min="48" max="48" width="10" style="150" bestFit="1" customWidth="1"/>
    <col min="49" max="51" width="9.140625" style="150"/>
    <col min="52" max="52" width="11.140625" style="150" customWidth="1"/>
    <col min="53" max="53" width="10.5703125" style="150" customWidth="1"/>
    <col min="54" max="54" width="11.28515625" style="150" customWidth="1"/>
    <col min="55" max="55" width="10.5703125" style="150" customWidth="1"/>
    <col min="56" max="56" width="10.28515625" style="150" customWidth="1"/>
    <col min="57" max="57" width="10.140625" style="150" customWidth="1"/>
    <col min="58" max="58" width="10" style="150" bestFit="1" customWidth="1"/>
    <col min="59" max="61" width="9.140625" style="150"/>
    <col min="62" max="62" width="11.140625" style="150" customWidth="1"/>
    <col min="63" max="63" width="10.5703125" style="150" customWidth="1"/>
    <col min="64" max="64" width="11.28515625" style="150" customWidth="1"/>
    <col min="65" max="65" width="10.5703125" style="150" customWidth="1"/>
    <col min="66" max="66" width="10.28515625" style="150" customWidth="1"/>
    <col min="67" max="67" width="10.140625" style="150" customWidth="1"/>
    <col min="68" max="68" width="10" style="150" bestFit="1" customWidth="1"/>
    <col min="69" max="16384" width="9.140625" style="150"/>
  </cols>
  <sheetData>
    <row r="1" spans="2:68" ht="13.5" thickBot="1">
      <c r="L1" s="154"/>
      <c r="M1" s="671"/>
      <c r="N1" s="671"/>
      <c r="O1" s="154"/>
      <c r="P1" s="154"/>
      <c r="Q1" s="228">
        <v>13</v>
      </c>
      <c r="R1" s="228">
        <v>15</v>
      </c>
      <c r="S1" s="292"/>
      <c r="T1" s="228">
        <v>18</v>
      </c>
      <c r="V1" s="154"/>
      <c r="W1" s="671"/>
      <c r="X1" s="671"/>
      <c r="Y1" s="154"/>
      <c r="Z1" s="154"/>
      <c r="AA1" s="228"/>
      <c r="AB1" s="228"/>
      <c r="AD1" s="300"/>
      <c r="AF1" s="154"/>
      <c r="AG1" s="671"/>
      <c r="AH1" s="671"/>
      <c r="AI1" s="154"/>
      <c r="AJ1" s="154"/>
      <c r="AK1" s="228"/>
      <c r="AL1" s="228"/>
      <c r="AN1" s="300"/>
      <c r="AP1" s="154"/>
      <c r="AQ1" s="671"/>
      <c r="AR1" s="671"/>
      <c r="AS1" s="154"/>
      <c r="AT1" s="154"/>
      <c r="AU1" s="228"/>
      <c r="AV1" s="228"/>
      <c r="AX1" s="300"/>
      <c r="AZ1" s="154"/>
      <c r="BA1" s="671"/>
      <c r="BB1" s="671"/>
      <c r="BC1" s="154"/>
      <c r="BD1" s="154"/>
      <c r="BE1" s="228"/>
      <c r="BF1" s="228"/>
      <c r="BH1" s="300"/>
      <c r="BJ1" s="154"/>
      <c r="BK1" s="671"/>
      <c r="BL1" s="671"/>
      <c r="BM1" s="154"/>
      <c r="BN1" s="154"/>
      <c r="BO1" s="228"/>
      <c r="BP1" s="228"/>
    </row>
    <row r="2" spans="2:68" ht="15.75" thickBot="1">
      <c r="K2" s="203"/>
      <c r="L2" s="443"/>
      <c r="M2" s="444"/>
      <c r="N2" s="444"/>
      <c r="O2" s="444"/>
      <c r="P2" s="444"/>
      <c r="Q2" s="444"/>
      <c r="R2" s="444"/>
      <c r="S2" s="293"/>
      <c r="T2" s="156"/>
      <c r="U2" s="203"/>
      <c r="V2" s="443"/>
      <c r="W2" s="444"/>
      <c r="X2" s="444"/>
      <c r="Y2" s="444"/>
      <c r="Z2" s="444"/>
      <c r="AA2" s="444"/>
      <c r="AB2" s="444"/>
      <c r="AD2" s="300"/>
      <c r="AE2" s="373" t="s">
        <v>7</v>
      </c>
      <c r="AF2" s="532">
        <f>B5</f>
        <v>42522</v>
      </c>
      <c r="AG2" s="674" t="s">
        <v>100</v>
      </c>
      <c r="AH2" s="675"/>
      <c r="AI2" s="674" t="s">
        <v>99</v>
      </c>
      <c r="AJ2" s="675"/>
      <c r="AK2" s="676" t="s">
        <v>16</v>
      </c>
      <c r="AL2" s="677"/>
      <c r="AN2" s="300"/>
      <c r="AO2" s="373" t="s">
        <v>7</v>
      </c>
      <c r="AP2" s="532">
        <f>B6</f>
        <v>42523</v>
      </c>
      <c r="AQ2" s="674" t="s">
        <v>100</v>
      </c>
      <c r="AR2" s="675"/>
      <c r="AS2" s="674" t="s">
        <v>99</v>
      </c>
      <c r="AT2" s="675"/>
      <c r="AU2" s="676" t="s">
        <v>16</v>
      </c>
      <c r="AV2" s="677"/>
      <c r="AX2" s="300"/>
      <c r="AY2" s="373" t="s">
        <v>7</v>
      </c>
      <c r="AZ2" s="532">
        <f>B7</f>
        <v>42524</v>
      </c>
      <c r="BA2" s="674" t="s">
        <v>100</v>
      </c>
      <c r="BB2" s="675"/>
      <c r="BC2" s="674" t="s">
        <v>99</v>
      </c>
      <c r="BD2" s="675"/>
      <c r="BE2" s="676" t="s">
        <v>16</v>
      </c>
      <c r="BF2" s="677"/>
      <c r="BH2" s="300"/>
      <c r="BI2" s="373" t="s">
        <v>7</v>
      </c>
      <c r="BJ2" s="532">
        <f>B8</f>
        <v>42525</v>
      </c>
      <c r="BK2" s="674" t="s">
        <v>100</v>
      </c>
      <c r="BL2" s="675"/>
      <c r="BM2" s="674" t="s">
        <v>99</v>
      </c>
      <c r="BN2" s="675"/>
      <c r="BO2" s="676" t="s">
        <v>16</v>
      </c>
      <c r="BP2" s="677"/>
    </row>
    <row r="3" spans="2:68" ht="13.5" thickBot="1">
      <c r="C3" s="277" t="s">
        <v>149</v>
      </c>
      <c r="D3" s="277" t="s">
        <v>149</v>
      </c>
      <c r="E3" s="150" t="s">
        <v>5</v>
      </c>
      <c r="F3" s="150" t="s">
        <v>5</v>
      </c>
      <c r="G3" s="277" t="s">
        <v>149</v>
      </c>
      <c r="H3" s="150" t="s">
        <v>5</v>
      </c>
      <c r="K3" s="156"/>
      <c r="L3" s="156"/>
      <c r="M3" s="156"/>
      <c r="N3" s="156"/>
      <c r="O3" s="224"/>
      <c r="P3" s="224"/>
      <c r="Q3" s="224"/>
      <c r="R3" s="224"/>
      <c r="S3" s="156"/>
      <c r="T3" s="156"/>
      <c r="U3" s="156"/>
      <c r="V3" s="156"/>
      <c r="W3" s="156"/>
      <c r="X3" s="156"/>
      <c r="Y3" s="224"/>
      <c r="Z3" s="224"/>
      <c r="AA3" s="224"/>
      <c r="AB3" s="224"/>
      <c r="AD3" s="300"/>
      <c r="AE3" s="356"/>
      <c r="AF3" s="355"/>
      <c r="AG3" s="356"/>
      <c r="AH3" s="357"/>
      <c r="AI3" s="367"/>
      <c r="AJ3" s="368"/>
      <c r="AK3" s="369"/>
      <c r="AL3" s="368"/>
      <c r="AN3" s="300"/>
      <c r="AO3" s="356"/>
      <c r="AP3" s="355"/>
      <c r="AQ3" s="356"/>
      <c r="AR3" s="357"/>
      <c r="AS3" s="367"/>
      <c r="AT3" s="368"/>
      <c r="AU3" s="369"/>
      <c r="AV3" s="368"/>
      <c r="AX3" s="300"/>
      <c r="AY3" s="356"/>
      <c r="AZ3" s="355"/>
      <c r="BA3" s="356"/>
      <c r="BB3" s="357"/>
      <c r="BC3" s="367"/>
      <c r="BD3" s="368"/>
      <c r="BE3" s="369"/>
      <c r="BF3" s="368"/>
      <c r="BH3" s="300"/>
      <c r="BI3" s="356"/>
      <c r="BJ3" s="355"/>
      <c r="BK3" s="356"/>
      <c r="BL3" s="357"/>
      <c r="BM3" s="367"/>
      <c r="BN3" s="368"/>
      <c r="BO3" s="369"/>
      <c r="BP3" s="368"/>
    </row>
    <row r="4" spans="2:68" ht="16.5" thickBot="1">
      <c r="B4" s="277" t="s">
        <v>150</v>
      </c>
      <c r="C4" s="277" t="s">
        <v>151</v>
      </c>
      <c r="D4" s="277" t="s">
        <v>137</v>
      </c>
      <c r="E4" s="277" t="s">
        <v>151</v>
      </c>
      <c r="F4" s="277" t="s">
        <v>137</v>
      </c>
      <c r="G4" s="277" t="s">
        <v>152</v>
      </c>
      <c r="H4" s="277" t="s">
        <v>152</v>
      </c>
      <c r="K4" s="156"/>
      <c r="L4" s="445"/>
      <c r="M4" s="439"/>
      <c r="N4" s="446"/>
      <c r="O4" s="439"/>
      <c r="P4" s="446"/>
      <c r="Q4" s="439"/>
      <c r="R4" s="447"/>
      <c r="S4" s="294"/>
      <c r="T4" s="156"/>
      <c r="U4" s="156"/>
      <c r="V4" s="445"/>
      <c r="W4" s="439"/>
      <c r="X4" s="446"/>
      <c r="Y4" s="439"/>
      <c r="Z4" s="446"/>
      <c r="AA4" s="439"/>
      <c r="AB4" s="447"/>
      <c r="AD4" s="300"/>
      <c r="AE4" s="356"/>
      <c r="AF4" s="433" t="s">
        <v>155</v>
      </c>
      <c r="AG4" s="358" t="s">
        <v>103</v>
      </c>
      <c r="AH4" s="279"/>
      <c r="AI4" s="358" t="s">
        <v>103</v>
      </c>
      <c r="AJ4" s="279"/>
      <c r="AK4" s="359" t="s">
        <v>103</v>
      </c>
      <c r="AL4" s="370">
        <f>SUM(AH4,AJ4)</f>
        <v>0</v>
      </c>
      <c r="AN4" s="300"/>
      <c r="AO4" s="356"/>
      <c r="AP4" s="433" t="s">
        <v>155</v>
      </c>
      <c r="AQ4" s="358" t="s">
        <v>103</v>
      </c>
      <c r="AR4" s="279"/>
      <c r="AS4" s="358" t="s">
        <v>103</v>
      </c>
      <c r="AT4" s="279"/>
      <c r="AU4" s="359" t="s">
        <v>103</v>
      </c>
      <c r="AV4" s="370">
        <f>SUM(AR4,AT4)</f>
        <v>0</v>
      </c>
      <c r="AX4" s="300"/>
      <c r="AY4" s="356"/>
      <c r="AZ4" s="433" t="s">
        <v>155</v>
      </c>
      <c r="BA4" s="358" t="s">
        <v>103</v>
      </c>
      <c r="BB4" s="279"/>
      <c r="BC4" s="358" t="s">
        <v>103</v>
      </c>
      <c r="BD4" s="279"/>
      <c r="BE4" s="359" t="s">
        <v>103</v>
      </c>
      <c r="BF4" s="370">
        <f>SUM(BB4,BD4)</f>
        <v>0</v>
      </c>
      <c r="BH4" s="300"/>
      <c r="BI4" s="356"/>
      <c r="BJ4" s="433" t="s">
        <v>155</v>
      </c>
      <c r="BK4" s="358" t="s">
        <v>103</v>
      </c>
      <c r="BL4" s="279"/>
      <c r="BM4" s="358" t="s">
        <v>103</v>
      </c>
      <c r="BN4" s="279"/>
      <c r="BO4" s="359" t="s">
        <v>103</v>
      </c>
      <c r="BP4" s="370">
        <f>SUM(BL4,BN4)</f>
        <v>0</v>
      </c>
    </row>
    <row r="5" spans="2:68" ht="18.75" thickBot="1">
      <c r="B5" s="278">
        <v>42522</v>
      </c>
      <c r="G5" s="150">
        <f t="shared" ref="G5:G32" si="0">C5+D5</f>
        <v>0</v>
      </c>
      <c r="H5" s="150">
        <f t="shared" ref="H5:H32" si="1">E5+F5</f>
        <v>0</v>
      </c>
      <c r="K5" s="156"/>
      <c r="L5" s="448"/>
      <c r="M5" s="449"/>
      <c r="N5" s="450"/>
      <c r="O5" s="439"/>
      <c r="P5" s="450"/>
      <c r="Q5" s="439"/>
      <c r="R5" s="447"/>
      <c r="S5" s="294"/>
      <c r="T5" s="156"/>
      <c r="U5" s="156"/>
      <c r="V5" s="448"/>
      <c r="W5" s="449"/>
      <c r="X5" s="450"/>
      <c r="Y5" s="439"/>
      <c r="Z5" s="450"/>
      <c r="AA5" s="439"/>
      <c r="AB5" s="447"/>
      <c r="AD5" s="300"/>
      <c r="AE5" s="356"/>
      <c r="AF5" s="289">
        <v>8</v>
      </c>
      <c r="AG5" s="360" t="s">
        <v>5</v>
      </c>
      <c r="AH5" s="361">
        <f>VLOOKUP(AF2, $B$3:$E$109, 4, FALSE)</f>
        <v>0</v>
      </c>
      <c r="AI5" s="358" t="s">
        <v>5</v>
      </c>
      <c r="AJ5" s="361">
        <f>VLOOKUP(AF2, $B$3:$F$109, 5, FALSE)</f>
        <v>0</v>
      </c>
      <c r="AK5" s="359" t="s">
        <v>5</v>
      </c>
      <c r="AL5" s="370">
        <f>SUM(AH5,AJ5)</f>
        <v>0</v>
      </c>
      <c r="AN5" s="300"/>
      <c r="AO5" s="356"/>
      <c r="AP5" s="289">
        <v>8</v>
      </c>
      <c r="AQ5" s="360" t="s">
        <v>5</v>
      </c>
      <c r="AR5" s="361">
        <f>VLOOKUP(AP2, $B$3:$E$109, 4, FALSE)</f>
        <v>0</v>
      </c>
      <c r="AS5" s="358" t="s">
        <v>5</v>
      </c>
      <c r="AT5" s="361">
        <f>VLOOKUP(AP2, $B$3:$F$109, 5, FALSE)</f>
        <v>0</v>
      </c>
      <c r="AU5" s="359" t="s">
        <v>5</v>
      </c>
      <c r="AV5" s="370">
        <f>SUM(AR5,AT5)</f>
        <v>0</v>
      </c>
      <c r="AX5" s="300"/>
      <c r="AY5" s="356"/>
      <c r="AZ5" s="289">
        <v>8</v>
      </c>
      <c r="BA5" s="360" t="s">
        <v>5</v>
      </c>
      <c r="BB5" s="361">
        <f>VLOOKUP(AZ2, $B$3:$E$109, 4, FALSE)</f>
        <v>0</v>
      </c>
      <c r="BC5" s="358" t="s">
        <v>5</v>
      </c>
      <c r="BD5" s="361">
        <f>VLOOKUP(AZ2, $B$3:$F$109, 5, FALSE)</f>
        <v>0</v>
      </c>
      <c r="BE5" s="359" t="s">
        <v>5</v>
      </c>
      <c r="BF5" s="370">
        <f>SUM(BB5,BD5)</f>
        <v>0</v>
      </c>
      <c r="BH5" s="300"/>
      <c r="BI5" s="356"/>
      <c r="BJ5" s="289">
        <v>8</v>
      </c>
      <c r="BK5" s="360" t="s">
        <v>5</v>
      </c>
      <c r="BL5" s="361">
        <f>VLOOKUP(BJ2, $B$3:$E$109, 4, FALSE)</f>
        <v>0</v>
      </c>
      <c r="BM5" s="358" t="s">
        <v>5</v>
      </c>
      <c r="BN5" s="361">
        <f>VLOOKUP(BJ2, $B$3:$F$109, 5, FALSE)</f>
        <v>0</v>
      </c>
      <c r="BO5" s="359" t="s">
        <v>5</v>
      </c>
      <c r="BP5" s="370">
        <f>SUM(BL5,BN5)</f>
        <v>0</v>
      </c>
    </row>
    <row r="6" spans="2:68" ht="15.75" customHeight="1">
      <c r="B6" s="278">
        <v>42523</v>
      </c>
      <c r="C6" s="2"/>
      <c r="D6" s="2"/>
      <c r="E6" s="2"/>
      <c r="F6" s="2"/>
      <c r="G6" s="2">
        <f t="shared" si="0"/>
        <v>0</v>
      </c>
      <c r="H6" s="2">
        <f t="shared" si="1"/>
        <v>0</v>
      </c>
      <c r="K6" s="156"/>
      <c r="L6" s="156"/>
      <c r="M6" s="440"/>
      <c r="N6" s="450"/>
      <c r="O6" s="440"/>
      <c r="P6" s="450"/>
      <c r="Q6" s="440"/>
      <c r="R6" s="447"/>
      <c r="S6" s="294"/>
      <c r="T6" s="156"/>
      <c r="U6" s="156"/>
      <c r="V6" s="156"/>
      <c r="W6" s="440"/>
      <c r="X6" s="450"/>
      <c r="Y6" s="440"/>
      <c r="Z6" s="450"/>
      <c r="AA6" s="440"/>
      <c r="AB6" s="447"/>
      <c r="AD6" s="300"/>
      <c r="AE6" s="356"/>
      <c r="AF6" s="355"/>
      <c r="AG6" s="672" t="s">
        <v>105</v>
      </c>
      <c r="AH6" s="361">
        <f>VLOOKUP(AF2, $B$3:$E$109, 2, FALSE)</f>
        <v>0</v>
      </c>
      <c r="AI6" s="672" t="s">
        <v>105</v>
      </c>
      <c r="AJ6" s="361">
        <f>VLOOKUP(AF2, $B$3:$E$109, 3, FALSE)</f>
        <v>0</v>
      </c>
      <c r="AK6" s="673" t="s">
        <v>105</v>
      </c>
      <c r="AL6" s="370">
        <f>SUM(AH6,AJ6)</f>
        <v>0</v>
      </c>
      <c r="AN6" s="300"/>
      <c r="AO6" s="356"/>
      <c r="AP6" s="355"/>
      <c r="AQ6" s="672" t="s">
        <v>105</v>
      </c>
      <c r="AR6" s="361">
        <f>VLOOKUP(AP2, $B$3:$E$109, 2, FALSE)</f>
        <v>0</v>
      </c>
      <c r="AS6" s="672" t="s">
        <v>105</v>
      </c>
      <c r="AT6" s="361">
        <f>VLOOKUP(AP2, $B$3:$E$109, 3, FALSE)</f>
        <v>0</v>
      </c>
      <c r="AU6" s="673" t="s">
        <v>105</v>
      </c>
      <c r="AV6" s="370">
        <f>SUM(AR6,AT6)</f>
        <v>0</v>
      </c>
      <c r="AX6" s="300"/>
      <c r="AY6" s="356"/>
      <c r="AZ6" s="355"/>
      <c r="BA6" s="672" t="s">
        <v>105</v>
      </c>
      <c r="BB6" s="361">
        <f>VLOOKUP(AZ2, $B$3:$E$109, 2, FALSE)</f>
        <v>0</v>
      </c>
      <c r="BC6" s="672" t="s">
        <v>105</v>
      </c>
      <c r="BD6" s="361">
        <f>VLOOKUP(AZ2, $B$3:$E$109, 3, FALSE)</f>
        <v>0</v>
      </c>
      <c r="BE6" s="673" t="s">
        <v>105</v>
      </c>
      <c r="BF6" s="370">
        <f>SUM(BB6,BD6)</f>
        <v>0</v>
      </c>
      <c r="BH6" s="300"/>
      <c r="BI6" s="356"/>
      <c r="BJ6" s="355"/>
      <c r="BK6" s="672" t="s">
        <v>105</v>
      </c>
      <c r="BL6" s="361">
        <f>VLOOKUP(BJ2, $B$3:$E$109, 2, FALSE)</f>
        <v>0</v>
      </c>
      <c r="BM6" s="672" t="s">
        <v>105</v>
      </c>
      <c r="BN6" s="361">
        <f>VLOOKUP(BJ2, $B$3:$E$109, 3, FALSE)</f>
        <v>0</v>
      </c>
      <c r="BO6" s="673" t="s">
        <v>105</v>
      </c>
      <c r="BP6" s="370">
        <f>SUM(BL6,BN6)</f>
        <v>0</v>
      </c>
    </row>
    <row r="7" spans="2:68" ht="17.25" customHeight="1">
      <c r="B7" s="278">
        <v>42524</v>
      </c>
      <c r="C7" s="2"/>
      <c r="D7" s="337"/>
      <c r="E7" s="2"/>
      <c r="F7" s="2"/>
      <c r="G7" s="337">
        <f t="shared" si="0"/>
        <v>0</v>
      </c>
      <c r="H7" s="2">
        <f t="shared" si="1"/>
        <v>0</v>
      </c>
      <c r="K7" s="451"/>
      <c r="L7" s="451"/>
      <c r="M7" s="440"/>
      <c r="N7" s="156"/>
      <c r="O7" s="440"/>
      <c r="P7" s="224"/>
      <c r="Q7" s="440"/>
      <c r="R7" s="224"/>
      <c r="S7" s="156"/>
      <c r="T7" s="156"/>
      <c r="U7" s="451"/>
      <c r="V7" s="451"/>
      <c r="W7" s="440"/>
      <c r="X7" s="156"/>
      <c r="Y7" s="440"/>
      <c r="Z7" s="224"/>
      <c r="AA7" s="440"/>
      <c r="AB7" s="224"/>
      <c r="AD7" s="300"/>
      <c r="AE7" s="704" t="s">
        <v>157</v>
      </c>
      <c r="AF7" s="705"/>
      <c r="AG7" s="673"/>
      <c r="AH7" s="357"/>
      <c r="AI7" s="672"/>
      <c r="AJ7" s="368"/>
      <c r="AK7" s="673"/>
      <c r="AL7" s="368"/>
      <c r="AN7" s="300"/>
      <c r="AO7" s="704" t="s">
        <v>157</v>
      </c>
      <c r="AP7" s="705"/>
      <c r="AQ7" s="673"/>
      <c r="AR7" s="357"/>
      <c r="AS7" s="672"/>
      <c r="AT7" s="368"/>
      <c r="AU7" s="673"/>
      <c r="AV7" s="368"/>
      <c r="AX7" s="300"/>
      <c r="AY7" s="704" t="s">
        <v>157</v>
      </c>
      <c r="AZ7" s="705"/>
      <c r="BA7" s="673"/>
      <c r="BB7" s="357"/>
      <c r="BC7" s="672"/>
      <c r="BD7" s="368"/>
      <c r="BE7" s="673"/>
      <c r="BF7" s="368"/>
      <c r="BH7" s="300"/>
      <c r="BI7" s="704" t="s">
        <v>157</v>
      </c>
      <c r="BJ7" s="705"/>
      <c r="BK7" s="673"/>
      <c r="BL7" s="357"/>
      <c r="BM7" s="672"/>
      <c r="BN7" s="368"/>
      <c r="BO7" s="673"/>
      <c r="BP7" s="368"/>
    </row>
    <row r="8" spans="2:68" ht="15.75">
      <c r="B8" s="278">
        <v>42525</v>
      </c>
      <c r="G8" s="150">
        <f t="shared" si="0"/>
        <v>0</v>
      </c>
      <c r="H8" s="150">
        <f t="shared" si="1"/>
        <v>0</v>
      </c>
      <c r="K8" s="451"/>
      <c r="L8" s="441"/>
      <c r="M8" s="442"/>
      <c r="N8" s="156"/>
      <c r="O8" s="440"/>
      <c r="P8" s="156"/>
      <c r="Q8" s="442"/>
      <c r="R8" s="156"/>
      <c r="S8" s="156"/>
      <c r="T8" s="156"/>
      <c r="U8" s="451"/>
      <c r="V8" s="441"/>
      <c r="W8" s="442"/>
      <c r="X8" s="156"/>
      <c r="Y8" s="440"/>
      <c r="Z8" s="156"/>
      <c r="AA8" s="442"/>
      <c r="AB8" s="156"/>
      <c r="AD8" s="300"/>
      <c r="AE8" s="374"/>
      <c r="AF8" s="372">
        <f>AL4*13</f>
        <v>0</v>
      </c>
      <c r="AG8" s="434"/>
      <c r="AH8" s="357"/>
      <c r="AI8" s="363"/>
      <c r="AJ8" s="357"/>
      <c r="AK8" s="435"/>
      <c r="AL8" s="357"/>
      <c r="AN8" s="300"/>
      <c r="AO8" s="374"/>
      <c r="AP8" s="372">
        <f>AV4*13</f>
        <v>0</v>
      </c>
      <c r="AQ8" s="434"/>
      <c r="AR8" s="357"/>
      <c r="AS8" s="363"/>
      <c r="AT8" s="357"/>
      <c r="AU8" s="435"/>
      <c r="AV8" s="357"/>
      <c r="AX8" s="300"/>
      <c r="AY8" s="374"/>
      <c r="AZ8" s="372">
        <f>BF4*13</f>
        <v>0</v>
      </c>
      <c r="BA8" s="434"/>
      <c r="BB8" s="357"/>
      <c r="BC8" s="363"/>
      <c r="BD8" s="357"/>
      <c r="BE8" s="435"/>
      <c r="BF8" s="357"/>
      <c r="BH8" s="300"/>
      <c r="BI8" s="374"/>
      <c r="BJ8" s="372">
        <f>BP4*13</f>
        <v>0</v>
      </c>
      <c r="BK8" s="434"/>
      <c r="BL8" s="357"/>
      <c r="BM8" s="363"/>
      <c r="BN8" s="357"/>
      <c r="BO8" s="435"/>
      <c r="BP8" s="357"/>
    </row>
    <row r="9" spans="2:68" ht="18.75">
      <c r="B9" s="278">
        <v>42526</v>
      </c>
      <c r="G9" s="150">
        <f t="shared" si="0"/>
        <v>0</v>
      </c>
      <c r="H9" s="150">
        <f t="shared" si="1"/>
        <v>0</v>
      </c>
      <c r="K9" s="156"/>
      <c r="L9" s="98"/>
      <c r="M9" s="452"/>
      <c r="N9" s="295"/>
      <c r="O9" s="452"/>
      <c r="P9" s="295"/>
      <c r="Q9" s="452"/>
      <c r="R9" s="295"/>
      <c r="S9" s="295"/>
      <c r="T9" s="156"/>
      <c r="U9" s="156"/>
      <c r="V9" s="98"/>
      <c r="W9" s="452"/>
      <c r="X9" s="295"/>
      <c r="Y9" s="452"/>
      <c r="Z9" s="295"/>
      <c r="AA9" s="452"/>
      <c r="AB9" s="295"/>
      <c r="AD9" s="300"/>
      <c r="AE9" s="356"/>
      <c r="AF9" s="375"/>
      <c r="AG9" s="286" t="s">
        <v>97</v>
      </c>
      <c r="AH9" s="287" t="e">
        <f>AH6/((AH4*EFFICIENCY!$H$28))</f>
        <v>#DIV/0!</v>
      </c>
      <c r="AI9" s="286" t="s">
        <v>97</v>
      </c>
      <c r="AJ9" s="287" t="e">
        <f>AJ6/(AJ4*EFFICIENCY!$H$28)</f>
        <v>#DIV/0!</v>
      </c>
      <c r="AK9" s="286" t="s">
        <v>97</v>
      </c>
      <c r="AL9" s="287" t="e">
        <f>AL6/(AL4*EFFICIENCY!$H$28)</f>
        <v>#DIV/0!</v>
      </c>
      <c r="AN9" s="300"/>
      <c r="AO9" s="356"/>
      <c r="AP9" s="375"/>
      <c r="AQ9" s="286" t="s">
        <v>97</v>
      </c>
      <c r="AR9" s="287" t="e">
        <f>AR6/((AR4*EFFICIENCY!$H$28))</f>
        <v>#DIV/0!</v>
      </c>
      <c r="AS9" s="286" t="s">
        <v>97</v>
      </c>
      <c r="AT9" s="287" t="e">
        <f>AT6/(AT4*EFFICIENCY!$H$28)</f>
        <v>#DIV/0!</v>
      </c>
      <c r="AU9" s="286" t="s">
        <v>97</v>
      </c>
      <c r="AV9" s="287" t="e">
        <f>AV6/(AV4*EFFICIENCY!$H$28)</f>
        <v>#DIV/0!</v>
      </c>
      <c r="AX9" s="300"/>
      <c r="AY9" s="356"/>
      <c r="AZ9" s="375"/>
      <c r="BA9" s="286" t="s">
        <v>97</v>
      </c>
      <c r="BB9" s="287" t="e">
        <f>BB6/((BB4*EFFICIENCY!$H$28))</f>
        <v>#DIV/0!</v>
      </c>
      <c r="BC9" s="286" t="s">
        <v>97</v>
      </c>
      <c r="BD9" s="287" t="e">
        <f>BD6/(BD4*EFFICIENCY!$H$28)</f>
        <v>#DIV/0!</v>
      </c>
      <c r="BE9" s="286" t="s">
        <v>97</v>
      </c>
      <c r="BF9" s="287" t="e">
        <f>BF6/(BF4*EFFICIENCY!$H$28)</f>
        <v>#DIV/0!</v>
      </c>
      <c r="BH9" s="300"/>
      <c r="BI9" s="356"/>
      <c r="BJ9" s="375"/>
      <c r="BK9" s="286" t="s">
        <v>97</v>
      </c>
      <c r="BL9" s="287" t="e">
        <f>BL6/((BL4*EFFICIENCY!$H$28))</f>
        <v>#DIV/0!</v>
      </c>
      <c r="BM9" s="286" t="s">
        <v>97</v>
      </c>
      <c r="BN9" s="287" t="e">
        <f>BN6/(BN4*EFFICIENCY!$H$28)</f>
        <v>#DIV/0!</v>
      </c>
      <c r="BO9" s="286" t="s">
        <v>97</v>
      </c>
      <c r="BP9" s="287" t="e">
        <f>BP6/(BP4*EFFICIENCY!$H$28)</f>
        <v>#DIV/0!</v>
      </c>
    </row>
    <row r="10" spans="2:68" ht="18.75" customHeight="1">
      <c r="B10" s="278">
        <v>42527</v>
      </c>
      <c r="G10" s="150">
        <f t="shared" si="0"/>
        <v>0</v>
      </c>
      <c r="H10" s="150">
        <f t="shared" si="1"/>
        <v>0</v>
      </c>
      <c r="K10" s="156"/>
      <c r="L10" s="156"/>
      <c r="M10" s="453"/>
      <c r="N10" s="296"/>
      <c r="O10" s="453"/>
      <c r="P10" s="296"/>
      <c r="Q10" s="453"/>
      <c r="R10" s="296"/>
      <c r="S10" s="296"/>
      <c r="T10" s="156"/>
      <c r="U10" s="156"/>
      <c r="V10" s="156"/>
      <c r="W10" s="453"/>
      <c r="X10" s="296"/>
      <c r="Y10" s="453"/>
      <c r="Z10" s="296"/>
      <c r="AA10" s="453"/>
      <c r="AB10" s="296"/>
      <c r="AD10" s="300"/>
      <c r="AE10" s="356"/>
      <c r="AF10" s="355"/>
      <c r="AG10" s="280" t="s">
        <v>96</v>
      </c>
      <c r="AH10" s="281" t="e">
        <f>AH6/(AH4*EFFICIENCY!$I$28)</f>
        <v>#DIV/0!</v>
      </c>
      <c r="AI10" s="280" t="s">
        <v>96</v>
      </c>
      <c r="AJ10" s="281" t="e">
        <f>AJ6/(AJ4*EFFICIENCY!$I$28)</f>
        <v>#DIV/0!</v>
      </c>
      <c r="AK10" s="280" t="s">
        <v>96</v>
      </c>
      <c r="AL10" s="281" t="e">
        <f>AL6/(AL4*EFFICIENCY!$I$28)</f>
        <v>#DIV/0!</v>
      </c>
      <c r="AN10" s="300"/>
      <c r="AO10" s="356"/>
      <c r="AP10" s="355"/>
      <c r="AQ10" s="280" t="s">
        <v>96</v>
      </c>
      <c r="AR10" s="281" t="e">
        <f>AR6/(AR4*EFFICIENCY!$I$28)</f>
        <v>#DIV/0!</v>
      </c>
      <c r="AS10" s="280" t="s">
        <v>96</v>
      </c>
      <c r="AT10" s="281" t="e">
        <f>AT6/(AT4*EFFICIENCY!$I$28)</f>
        <v>#DIV/0!</v>
      </c>
      <c r="AU10" s="280" t="s">
        <v>96</v>
      </c>
      <c r="AV10" s="281" t="e">
        <f>AV6/(AV4*EFFICIENCY!$I$28)</f>
        <v>#DIV/0!</v>
      </c>
      <c r="AX10" s="300"/>
      <c r="AY10" s="356"/>
      <c r="AZ10" s="355"/>
      <c r="BA10" s="280" t="s">
        <v>96</v>
      </c>
      <c r="BB10" s="281" t="e">
        <f>BB6/(BB4*EFFICIENCY!$I$28)</f>
        <v>#DIV/0!</v>
      </c>
      <c r="BC10" s="280" t="s">
        <v>96</v>
      </c>
      <c r="BD10" s="281" t="e">
        <f>BD6/(BD4*EFFICIENCY!$I$28)</f>
        <v>#DIV/0!</v>
      </c>
      <c r="BE10" s="280" t="s">
        <v>96</v>
      </c>
      <c r="BF10" s="281" t="e">
        <f>BF6/(BF4*EFFICIENCY!$I$28)</f>
        <v>#DIV/0!</v>
      </c>
      <c r="BH10" s="300"/>
      <c r="BI10" s="356"/>
      <c r="BJ10" s="355"/>
      <c r="BK10" s="280" t="s">
        <v>96</v>
      </c>
      <c r="BL10" s="281" t="e">
        <f>BL6/(BL4*EFFICIENCY!$I$28)</f>
        <v>#DIV/0!</v>
      </c>
      <c r="BM10" s="280" t="s">
        <v>96</v>
      </c>
      <c r="BN10" s="281" t="e">
        <f>BN6/(BN4*EFFICIENCY!$I$28)</f>
        <v>#DIV/0!</v>
      </c>
      <c r="BO10" s="280" t="s">
        <v>96</v>
      </c>
      <c r="BP10" s="281" t="e">
        <f>BP6/(BP4*EFFICIENCY!$I$28)</f>
        <v>#DIV/0!</v>
      </c>
    </row>
    <row r="11" spans="2:68" ht="17.25" customHeight="1" thickBot="1">
      <c r="B11" s="278">
        <v>42528</v>
      </c>
      <c r="G11" s="150">
        <f t="shared" si="0"/>
        <v>0</v>
      </c>
      <c r="H11" s="150">
        <f t="shared" si="1"/>
        <v>0</v>
      </c>
      <c r="K11" s="454"/>
      <c r="L11" s="454"/>
      <c r="M11" s="455"/>
      <c r="N11" s="297"/>
      <c r="O11" s="455"/>
      <c r="P11" s="297"/>
      <c r="Q11" s="455"/>
      <c r="R11" s="297"/>
      <c r="S11" s="297"/>
      <c r="T11" s="156"/>
      <c r="U11" s="454"/>
      <c r="V11" s="454"/>
      <c r="W11" s="455"/>
      <c r="X11" s="297"/>
      <c r="Y11" s="455"/>
      <c r="Z11" s="297"/>
      <c r="AA11" s="455"/>
      <c r="AB11" s="297"/>
      <c r="AD11" s="300"/>
      <c r="AE11" s="692" t="s">
        <v>156</v>
      </c>
      <c r="AF11" s="693"/>
      <c r="AG11" s="284" t="s">
        <v>94</v>
      </c>
      <c r="AH11" s="285" t="e">
        <f>AH6/((AH4*EFFICIENCY!$K$28))</f>
        <v>#DIV/0!</v>
      </c>
      <c r="AI11" s="288" t="s">
        <v>94</v>
      </c>
      <c r="AJ11" s="285" t="e">
        <f>AJ6/((AJ4*EFFICIENCY!$K$28))</f>
        <v>#DIV/0!</v>
      </c>
      <c r="AK11" s="284" t="s">
        <v>94</v>
      </c>
      <c r="AL11" s="285" t="e">
        <f>AL6/((AL4*EFFICIENCY!$K$28))</f>
        <v>#DIV/0!</v>
      </c>
      <c r="AN11" s="300"/>
      <c r="AO11" s="692" t="s">
        <v>156</v>
      </c>
      <c r="AP11" s="693"/>
      <c r="AQ11" s="284" t="s">
        <v>94</v>
      </c>
      <c r="AR11" s="285" t="e">
        <f>AR6/((AR4*EFFICIENCY!$K$28))</f>
        <v>#DIV/0!</v>
      </c>
      <c r="AS11" s="288" t="s">
        <v>94</v>
      </c>
      <c r="AT11" s="285" t="e">
        <f>AT6/((AT4*EFFICIENCY!$K$28))</f>
        <v>#DIV/0!</v>
      </c>
      <c r="AU11" s="284" t="s">
        <v>94</v>
      </c>
      <c r="AV11" s="285" t="e">
        <f>AV6/((AV4*EFFICIENCY!$K$28))</f>
        <v>#DIV/0!</v>
      </c>
      <c r="AX11" s="300"/>
      <c r="AY11" s="692" t="s">
        <v>156</v>
      </c>
      <c r="AZ11" s="693"/>
      <c r="BA11" s="284" t="s">
        <v>94</v>
      </c>
      <c r="BB11" s="285" t="e">
        <f>BB6/((BB4*EFFICIENCY!$K$28))</f>
        <v>#DIV/0!</v>
      </c>
      <c r="BC11" s="288" t="s">
        <v>94</v>
      </c>
      <c r="BD11" s="285" t="e">
        <f>BD6/((BD4*EFFICIENCY!$K$28))</f>
        <v>#DIV/0!</v>
      </c>
      <c r="BE11" s="284" t="s">
        <v>94</v>
      </c>
      <c r="BF11" s="285" t="e">
        <f>BF6/((BF4*EFFICIENCY!$K$28))</f>
        <v>#DIV/0!</v>
      </c>
      <c r="BH11" s="300"/>
      <c r="BI11" s="692" t="s">
        <v>156</v>
      </c>
      <c r="BJ11" s="693"/>
      <c r="BK11" s="284" t="s">
        <v>94</v>
      </c>
      <c r="BL11" s="285" t="e">
        <f>BL6/((BL4*EFFICIENCY!$K$28))</f>
        <v>#DIV/0!</v>
      </c>
      <c r="BM11" s="288" t="s">
        <v>94</v>
      </c>
      <c r="BN11" s="285" t="e">
        <f>BN6/((BN4*EFFICIENCY!$K$28))</f>
        <v>#DIV/0!</v>
      </c>
      <c r="BO11" s="284" t="s">
        <v>94</v>
      </c>
      <c r="BP11" s="285" t="e">
        <f>BP6/((BP4*EFFICIENCY!$K$28))</f>
        <v>#DIV/0!</v>
      </c>
    </row>
    <row r="12" spans="2:68" ht="16.5" thickBot="1">
      <c r="B12" s="278">
        <v>42529</v>
      </c>
      <c r="G12" s="150">
        <f t="shared" si="0"/>
        <v>0</v>
      </c>
      <c r="H12" s="150">
        <f t="shared" si="1"/>
        <v>0</v>
      </c>
      <c r="K12" s="156"/>
      <c r="L12" s="441"/>
      <c r="M12" s="456"/>
      <c r="N12" s="456"/>
      <c r="O12" s="457"/>
      <c r="P12" s="458"/>
      <c r="Q12" s="458"/>
      <c r="R12" s="298"/>
      <c r="S12" s="298"/>
      <c r="T12" s="156"/>
      <c r="U12" s="156"/>
      <c r="V12" s="441"/>
      <c r="W12" s="456"/>
      <c r="X12" s="456"/>
      <c r="Y12" s="457"/>
      <c r="Z12" s="458"/>
      <c r="AA12" s="458"/>
      <c r="AB12" s="298"/>
      <c r="AD12" s="300"/>
      <c r="AE12" s="376"/>
      <c r="AF12" s="377" t="e">
        <f>AL6/AL4</f>
        <v>#DIV/0!</v>
      </c>
      <c r="AG12" s="678" t="s">
        <v>153</v>
      </c>
      <c r="AH12" s="679"/>
      <c r="AI12" s="290"/>
      <c r="AJ12" s="431"/>
      <c r="AK12" s="431" t="s">
        <v>154</v>
      </c>
      <c r="AL12" s="366">
        <f>AI12-AL6</f>
        <v>0</v>
      </c>
      <c r="AN12" s="300"/>
      <c r="AO12" s="376"/>
      <c r="AP12" s="377" t="e">
        <f>AV6/AV4</f>
        <v>#DIV/0!</v>
      </c>
      <c r="AQ12" s="678" t="s">
        <v>153</v>
      </c>
      <c r="AR12" s="679"/>
      <c r="AS12" s="290"/>
      <c r="AT12" s="431"/>
      <c r="AU12" s="431" t="s">
        <v>154</v>
      </c>
      <c r="AV12" s="366">
        <f>AS12-AV6</f>
        <v>0</v>
      </c>
      <c r="AX12" s="300"/>
      <c r="AY12" s="376"/>
      <c r="AZ12" s="377" t="e">
        <f>BF6/BF4</f>
        <v>#DIV/0!</v>
      </c>
      <c r="BA12" s="678" t="s">
        <v>153</v>
      </c>
      <c r="BB12" s="679"/>
      <c r="BC12" s="290"/>
      <c r="BD12" s="431"/>
      <c r="BE12" s="431" t="s">
        <v>154</v>
      </c>
      <c r="BF12" s="366">
        <f>BC12-BF6</f>
        <v>0</v>
      </c>
      <c r="BH12" s="300"/>
      <c r="BI12" s="376"/>
      <c r="BJ12" s="377" t="e">
        <f>BP6/BP4</f>
        <v>#DIV/0!</v>
      </c>
      <c r="BK12" s="678" t="s">
        <v>153</v>
      </c>
      <c r="BL12" s="679"/>
      <c r="BM12" s="290"/>
      <c r="BN12" s="431"/>
      <c r="BO12" s="431" t="s">
        <v>154</v>
      </c>
      <c r="BP12" s="366">
        <f>BM12-BP6</f>
        <v>0</v>
      </c>
    </row>
    <row r="13" spans="2:68" ht="15.75" customHeight="1">
      <c r="B13" s="278">
        <v>42530</v>
      </c>
      <c r="G13" s="150">
        <f t="shared" si="0"/>
        <v>0</v>
      </c>
      <c r="H13" s="150">
        <f t="shared" si="1"/>
        <v>0</v>
      </c>
      <c r="L13" s="154"/>
      <c r="T13" s="300"/>
      <c r="V13" s="154"/>
      <c r="AD13" s="300"/>
      <c r="AF13" s="154"/>
      <c r="AN13" s="300"/>
      <c r="AP13" s="154"/>
      <c r="AX13" s="300"/>
      <c r="AZ13" s="154"/>
      <c r="BH13" s="300"/>
      <c r="BJ13" s="154"/>
    </row>
    <row r="14" spans="2:68" ht="15" customHeight="1" thickBot="1">
      <c r="B14" s="278">
        <v>42531</v>
      </c>
      <c r="G14" s="150">
        <f t="shared" si="0"/>
        <v>0</v>
      </c>
      <c r="H14" s="150">
        <f t="shared" si="1"/>
        <v>0</v>
      </c>
      <c r="K14" s="291"/>
      <c r="L14" s="291"/>
      <c r="M14" s="291"/>
      <c r="N14" s="291"/>
      <c r="O14" s="291"/>
      <c r="P14" s="291"/>
      <c r="Q14" s="291"/>
      <c r="R14" s="291"/>
      <c r="S14" s="299"/>
      <c r="T14" s="301"/>
      <c r="U14" s="291"/>
      <c r="V14" s="291"/>
      <c r="W14" s="291"/>
      <c r="X14" s="291"/>
      <c r="Y14" s="291"/>
      <c r="Z14" s="291"/>
      <c r="AA14" s="291"/>
      <c r="AB14" s="291"/>
      <c r="AC14" s="291"/>
      <c r="AD14" s="301"/>
      <c r="AE14" s="291"/>
      <c r="AF14" s="291"/>
      <c r="AG14" s="291"/>
      <c r="AH14" s="291"/>
      <c r="AI14" s="291"/>
      <c r="AJ14" s="291"/>
      <c r="AK14" s="291"/>
      <c r="AL14" s="291"/>
      <c r="AM14" s="291"/>
      <c r="AN14" s="301"/>
      <c r="AO14" s="291"/>
      <c r="AP14" s="291"/>
      <c r="AQ14" s="291"/>
      <c r="AR14" s="291"/>
      <c r="AS14" s="291"/>
      <c r="AT14" s="291"/>
      <c r="AU14" s="291"/>
      <c r="AV14" s="291"/>
      <c r="AW14" s="291"/>
      <c r="AX14" s="301"/>
      <c r="AY14" s="291"/>
      <c r="AZ14" s="291"/>
      <c r="BA14" s="291"/>
      <c r="BB14" s="291"/>
      <c r="BC14" s="291"/>
      <c r="BD14" s="291"/>
      <c r="BE14" s="291"/>
      <c r="BF14" s="291"/>
      <c r="BG14" s="291"/>
      <c r="BH14" s="300"/>
      <c r="BI14" s="291"/>
      <c r="BJ14" s="291"/>
      <c r="BK14" s="291"/>
      <c r="BL14" s="291"/>
      <c r="BM14" s="291"/>
      <c r="BN14" s="291"/>
      <c r="BO14" s="291"/>
      <c r="BP14" s="291"/>
    </row>
    <row r="15" spans="2:68" ht="15.75" thickBot="1">
      <c r="B15" s="278">
        <v>42532</v>
      </c>
      <c r="G15" s="150">
        <f t="shared" si="0"/>
        <v>0</v>
      </c>
      <c r="H15" s="150">
        <f t="shared" si="1"/>
        <v>0</v>
      </c>
      <c r="K15" s="378" t="s">
        <v>7</v>
      </c>
      <c r="L15" s="533">
        <f>B10</f>
        <v>42527</v>
      </c>
      <c r="M15" s="663" t="s">
        <v>100</v>
      </c>
      <c r="N15" s="664"/>
      <c r="O15" s="665" t="s">
        <v>99</v>
      </c>
      <c r="P15" s="666"/>
      <c r="Q15" s="667" t="s">
        <v>16</v>
      </c>
      <c r="R15" s="668"/>
      <c r="S15" s="293"/>
      <c r="T15" s="302"/>
      <c r="U15" s="378" t="s">
        <v>7</v>
      </c>
      <c r="V15" s="533">
        <f>B11</f>
        <v>42528</v>
      </c>
      <c r="W15" s="663" t="s">
        <v>100</v>
      </c>
      <c r="X15" s="664"/>
      <c r="Y15" s="665" t="s">
        <v>99</v>
      </c>
      <c r="Z15" s="666"/>
      <c r="AA15" s="667" t="s">
        <v>16</v>
      </c>
      <c r="AB15" s="668"/>
      <c r="AD15" s="300"/>
      <c r="AE15" s="378" t="s">
        <v>7</v>
      </c>
      <c r="AF15" s="533">
        <f>B12</f>
        <v>42529</v>
      </c>
      <c r="AG15" s="663" t="s">
        <v>100</v>
      </c>
      <c r="AH15" s="664"/>
      <c r="AI15" s="665" t="s">
        <v>99</v>
      </c>
      <c r="AJ15" s="666"/>
      <c r="AK15" s="667" t="s">
        <v>16</v>
      </c>
      <c r="AL15" s="668"/>
      <c r="AN15" s="300"/>
      <c r="AO15" s="378" t="s">
        <v>7</v>
      </c>
      <c r="AP15" s="533">
        <f>B13</f>
        <v>42530</v>
      </c>
      <c r="AQ15" s="663" t="s">
        <v>100</v>
      </c>
      <c r="AR15" s="664"/>
      <c r="AS15" s="665" t="s">
        <v>99</v>
      </c>
      <c r="AT15" s="666"/>
      <c r="AU15" s="667" t="s">
        <v>16</v>
      </c>
      <c r="AV15" s="668"/>
      <c r="AX15" s="300"/>
      <c r="AY15" s="378" t="s">
        <v>7</v>
      </c>
      <c r="AZ15" s="533">
        <f>B14</f>
        <v>42531</v>
      </c>
      <c r="BA15" s="663" t="s">
        <v>100</v>
      </c>
      <c r="BB15" s="664"/>
      <c r="BC15" s="665" t="s">
        <v>99</v>
      </c>
      <c r="BD15" s="666"/>
      <c r="BE15" s="667" t="s">
        <v>16</v>
      </c>
      <c r="BF15" s="668"/>
      <c r="BH15" s="300"/>
      <c r="BI15" s="378" t="s">
        <v>7</v>
      </c>
      <c r="BJ15" s="533">
        <f>B15</f>
        <v>42532</v>
      </c>
      <c r="BK15" s="663" t="s">
        <v>100</v>
      </c>
      <c r="BL15" s="664"/>
      <c r="BM15" s="665" t="s">
        <v>99</v>
      </c>
      <c r="BN15" s="666"/>
      <c r="BO15" s="667" t="s">
        <v>16</v>
      </c>
      <c r="BP15" s="668"/>
    </row>
    <row r="16" spans="2:68" ht="13.5" thickBot="1">
      <c r="B16" s="278">
        <v>42533</v>
      </c>
      <c r="G16" s="150">
        <f t="shared" si="0"/>
        <v>0</v>
      </c>
      <c r="H16" s="150">
        <f t="shared" si="1"/>
        <v>0</v>
      </c>
      <c r="K16" s="339"/>
      <c r="L16" s="338"/>
      <c r="M16" s="339"/>
      <c r="N16" s="340"/>
      <c r="O16" s="339"/>
      <c r="P16" s="340"/>
      <c r="Q16" s="338"/>
      <c r="R16" s="340"/>
      <c r="S16" s="156"/>
      <c r="T16" s="302"/>
      <c r="U16" s="339"/>
      <c r="V16" s="338"/>
      <c r="W16" s="339"/>
      <c r="X16" s="340"/>
      <c r="Y16" s="339"/>
      <c r="Z16" s="340"/>
      <c r="AA16" s="338"/>
      <c r="AB16" s="340"/>
      <c r="AD16" s="300"/>
      <c r="AE16" s="339"/>
      <c r="AF16" s="338"/>
      <c r="AG16" s="339"/>
      <c r="AH16" s="340"/>
      <c r="AI16" s="339"/>
      <c r="AJ16" s="340"/>
      <c r="AK16" s="338"/>
      <c r="AL16" s="340"/>
      <c r="AN16" s="300"/>
      <c r="AO16" s="339"/>
      <c r="AP16" s="338"/>
      <c r="AQ16" s="339"/>
      <c r="AR16" s="340"/>
      <c r="AS16" s="339"/>
      <c r="AT16" s="340"/>
      <c r="AU16" s="338"/>
      <c r="AV16" s="340"/>
      <c r="AX16" s="300"/>
      <c r="AY16" s="339"/>
      <c r="AZ16" s="338"/>
      <c r="BA16" s="339"/>
      <c r="BB16" s="340"/>
      <c r="BC16" s="339"/>
      <c r="BD16" s="340"/>
      <c r="BE16" s="338"/>
      <c r="BF16" s="340"/>
      <c r="BH16" s="300"/>
      <c r="BI16" s="339"/>
      <c r="BJ16" s="338"/>
      <c r="BK16" s="339"/>
      <c r="BL16" s="340"/>
      <c r="BM16" s="339"/>
      <c r="BN16" s="340"/>
      <c r="BO16" s="338"/>
      <c r="BP16" s="340"/>
    </row>
    <row r="17" spans="2:68" ht="16.5" thickBot="1">
      <c r="B17" s="278">
        <v>42534</v>
      </c>
      <c r="G17" s="150">
        <f t="shared" si="0"/>
        <v>0</v>
      </c>
      <c r="H17" s="150">
        <f t="shared" si="1"/>
        <v>0</v>
      </c>
      <c r="K17" s="339"/>
      <c r="L17" s="432" t="s">
        <v>155</v>
      </c>
      <c r="M17" s="342" t="s">
        <v>103</v>
      </c>
      <c r="N17" s="279"/>
      <c r="O17" s="342" t="s">
        <v>103</v>
      </c>
      <c r="P17" s="279"/>
      <c r="Q17" s="343" t="s">
        <v>103</v>
      </c>
      <c r="R17" s="344">
        <f>SUM(N17,P17)</f>
        <v>0</v>
      </c>
      <c r="S17" s="294"/>
      <c r="T17" s="302"/>
      <c r="U17" s="339"/>
      <c r="V17" s="432" t="s">
        <v>155</v>
      </c>
      <c r="W17" s="342" t="s">
        <v>103</v>
      </c>
      <c r="X17" s="279"/>
      <c r="Y17" s="342" t="s">
        <v>103</v>
      </c>
      <c r="Z17" s="279"/>
      <c r="AA17" s="343" t="s">
        <v>103</v>
      </c>
      <c r="AB17" s="344">
        <f>SUM(X17,Z17)</f>
        <v>0</v>
      </c>
      <c r="AD17" s="300"/>
      <c r="AE17" s="339"/>
      <c r="AF17" s="432" t="s">
        <v>155</v>
      </c>
      <c r="AG17" s="342" t="s">
        <v>103</v>
      </c>
      <c r="AH17" s="279"/>
      <c r="AI17" s="342" t="s">
        <v>103</v>
      </c>
      <c r="AJ17" s="279"/>
      <c r="AK17" s="343" t="s">
        <v>103</v>
      </c>
      <c r="AL17" s="344">
        <f>SUM(AH17,AJ17)</f>
        <v>0</v>
      </c>
      <c r="AN17" s="300"/>
      <c r="AO17" s="339"/>
      <c r="AP17" s="432" t="s">
        <v>155</v>
      </c>
      <c r="AQ17" s="342" t="s">
        <v>103</v>
      </c>
      <c r="AR17" s="279"/>
      <c r="AS17" s="342" t="s">
        <v>103</v>
      </c>
      <c r="AT17" s="279"/>
      <c r="AU17" s="343" t="s">
        <v>103</v>
      </c>
      <c r="AV17" s="344">
        <f>SUM(AR17,AT17)</f>
        <v>0</v>
      </c>
      <c r="AX17" s="300"/>
      <c r="AY17" s="339"/>
      <c r="AZ17" s="432" t="s">
        <v>155</v>
      </c>
      <c r="BA17" s="342" t="s">
        <v>103</v>
      </c>
      <c r="BB17" s="279"/>
      <c r="BC17" s="342" t="s">
        <v>103</v>
      </c>
      <c r="BD17" s="279"/>
      <c r="BE17" s="343" t="s">
        <v>103</v>
      </c>
      <c r="BF17" s="344">
        <f>SUM(BB17,BD17)</f>
        <v>0</v>
      </c>
      <c r="BH17" s="300"/>
      <c r="BI17" s="339"/>
      <c r="BJ17" s="432" t="s">
        <v>155</v>
      </c>
      <c r="BK17" s="342" t="s">
        <v>103</v>
      </c>
      <c r="BL17" s="279"/>
      <c r="BM17" s="342" t="s">
        <v>103</v>
      </c>
      <c r="BN17" s="279"/>
      <c r="BO17" s="343" t="s">
        <v>103</v>
      </c>
      <c r="BP17" s="344">
        <f>SUM(BL17,BN17)</f>
        <v>0</v>
      </c>
    </row>
    <row r="18" spans="2:68" ht="18.75" thickBot="1">
      <c r="B18" s="278">
        <v>42535</v>
      </c>
      <c r="G18" s="150">
        <f t="shared" si="0"/>
        <v>0</v>
      </c>
      <c r="H18" s="150">
        <f t="shared" si="1"/>
        <v>0</v>
      </c>
      <c r="K18" s="339"/>
      <c r="L18" s="289">
        <v>8</v>
      </c>
      <c r="M18" s="345" t="s">
        <v>5</v>
      </c>
      <c r="N18" s="346">
        <f>VLOOKUP(L15, $B$3:$E$109, 4, FALSE)</f>
        <v>0</v>
      </c>
      <c r="O18" s="345" t="s">
        <v>5</v>
      </c>
      <c r="P18" s="347">
        <f>VLOOKUP(L15, $B$3:$F$109, 5, FALSE)</f>
        <v>0</v>
      </c>
      <c r="Q18" s="348" t="s">
        <v>5</v>
      </c>
      <c r="R18" s="344">
        <f>SUM(N18,P18)</f>
        <v>0</v>
      </c>
      <c r="S18" s="294"/>
      <c r="T18" s="302"/>
      <c r="U18" s="339"/>
      <c r="V18" s="289">
        <v>8</v>
      </c>
      <c r="W18" s="345" t="s">
        <v>5</v>
      </c>
      <c r="X18" s="346">
        <f>VLOOKUP(V15, $B$3:$E$109, 4, FALSE)</f>
        <v>0</v>
      </c>
      <c r="Y18" s="345" t="s">
        <v>5</v>
      </c>
      <c r="Z18" s="347">
        <f>VLOOKUP(V15, $B$3:$F$109, 5, FALSE)</f>
        <v>0</v>
      </c>
      <c r="AA18" s="348" t="s">
        <v>5</v>
      </c>
      <c r="AB18" s="344">
        <f>SUM(X18,Z18)</f>
        <v>0</v>
      </c>
      <c r="AD18" s="300"/>
      <c r="AE18" s="339"/>
      <c r="AF18" s="289">
        <v>8</v>
      </c>
      <c r="AG18" s="345" t="s">
        <v>5</v>
      </c>
      <c r="AH18" s="346">
        <f>VLOOKUP(AF15, $B$3:$E$109, 4, FALSE)</f>
        <v>0</v>
      </c>
      <c r="AI18" s="345" t="s">
        <v>5</v>
      </c>
      <c r="AJ18" s="347">
        <f>VLOOKUP(AF15, $B$3:$F$109, 5, FALSE)</f>
        <v>0</v>
      </c>
      <c r="AK18" s="348" t="s">
        <v>5</v>
      </c>
      <c r="AL18" s="344">
        <f>SUM(AH18,AJ18)</f>
        <v>0</v>
      </c>
      <c r="AN18" s="300"/>
      <c r="AO18" s="339"/>
      <c r="AP18" s="289">
        <v>8</v>
      </c>
      <c r="AQ18" s="345" t="s">
        <v>5</v>
      </c>
      <c r="AR18" s="346">
        <f>VLOOKUP(AP15, $B$3:$E$109, 4, FALSE)</f>
        <v>0</v>
      </c>
      <c r="AS18" s="345" t="s">
        <v>5</v>
      </c>
      <c r="AT18" s="347">
        <f>VLOOKUP(AP15, $B$3:$F$109, 5, FALSE)</f>
        <v>0</v>
      </c>
      <c r="AU18" s="348" t="s">
        <v>5</v>
      </c>
      <c r="AV18" s="344">
        <f>SUM(AR18,AT18)</f>
        <v>0</v>
      </c>
      <c r="AX18" s="300"/>
      <c r="AY18" s="339"/>
      <c r="AZ18" s="289">
        <v>8</v>
      </c>
      <c r="BA18" s="345" t="s">
        <v>5</v>
      </c>
      <c r="BB18" s="346">
        <f>VLOOKUP(AZ15, $B$3:$E$109, 4, FALSE)</f>
        <v>0</v>
      </c>
      <c r="BC18" s="345" t="s">
        <v>5</v>
      </c>
      <c r="BD18" s="347">
        <f>VLOOKUP(AZ15, $B$3:$F$109, 5, FALSE)</f>
        <v>0</v>
      </c>
      <c r="BE18" s="348" t="s">
        <v>5</v>
      </c>
      <c r="BF18" s="344">
        <f>SUM(BB18,BD18)</f>
        <v>0</v>
      </c>
      <c r="BH18" s="300"/>
      <c r="BI18" s="339"/>
      <c r="BJ18" s="289">
        <v>8</v>
      </c>
      <c r="BK18" s="345" t="s">
        <v>5</v>
      </c>
      <c r="BL18" s="346">
        <f>VLOOKUP(BJ15, $B$3:$E$109, 4, FALSE)</f>
        <v>0</v>
      </c>
      <c r="BM18" s="345" t="s">
        <v>5</v>
      </c>
      <c r="BN18" s="347">
        <f>VLOOKUP(BJ15, $B$3:$F$109, 5, FALSE)</f>
        <v>0</v>
      </c>
      <c r="BO18" s="348" t="s">
        <v>5</v>
      </c>
      <c r="BP18" s="344">
        <f>SUM(BL18,BN18)</f>
        <v>0</v>
      </c>
    </row>
    <row r="19" spans="2:68" ht="15.75" customHeight="1">
      <c r="B19" s="278">
        <v>42536</v>
      </c>
      <c r="G19" s="150">
        <f t="shared" si="0"/>
        <v>0</v>
      </c>
      <c r="H19" s="150">
        <f t="shared" si="1"/>
        <v>0</v>
      </c>
      <c r="K19" s="339"/>
      <c r="L19" s="338"/>
      <c r="M19" s="669" t="s">
        <v>105</v>
      </c>
      <c r="N19" s="346">
        <f>VLOOKUP(L15, $B$3:$E$109, 2, FALSE)</f>
        <v>0</v>
      </c>
      <c r="O19" s="669" t="s">
        <v>105</v>
      </c>
      <c r="P19" s="347">
        <f>VLOOKUP(L15, $B$3:$E$109, 3, FALSE)</f>
        <v>0</v>
      </c>
      <c r="Q19" s="670" t="s">
        <v>105</v>
      </c>
      <c r="R19" s="344">
        <f>SUM(N19,P19)</f>
        <v>0</v>
      </c>
      <c r="S19" s="294"/>
      <c r="T19" s="302"/>
      <c r="U19" s="339"/>
      <c r="V19" s="338"/>
      <c r="W19" s="669" t="s">
        <v>105</v>
      </c>
      <c r="X19" s="346">
        <f>VLOOKUP(V15, $B$3:$E$109, 2, FALSE)</f>
        <v>0</v>
      </c>
      <c r="Y19" s="669" t="s">
        <v>105</v>
      </c>
      <c r="Z19" s="347">
        <f>VLOOKUP(V15, $B$3:$E$109, 3, FALSE)</f>
        <v>0</v>
      </c>
      <c r="AA19" s="670" t="s">
        <v>105</v>
      </c>
      <c r="AB19" s="344">
        <f>SUM(X19,Z19)</f>
        <v>0</v>
      </c>
      <c r="AD19" s="300"/>
      <c r="AE19" s="339"/>
      <c r="AF19" s="338"/>
      <c r="AG19" s="669" t="s">
        <v>105</v>
      </c>
      <c r="AH19" s="346">
        <f>VLOOKUP(AF15, $B$3:$E$109, 2, FALSE)</f>
        <v>0</v>
      </c>
      <c r="AI19" s="669" t="s">
        <v>105</v>
      </c>
      <c r="AJ19" s="347">
        <f>VLOOKUP(AF15, $B$3:$E$109, 3, FALSE)</f>
        <v>0</v>
      </c>
      <c r="AK19" s="670" t="s">
        <v>105</v>
      </c>
      <c r="AL19" s="344">
        <f>SUM(AH19,AJ19)</f>
        <v>0</v>
      </c>
      <c r="AN19" s="300"/>
      <c r="AO19" s="339"/>
      <c r="AP19" s="338"/>
      <c r="AQ19" s="669" t="s">
        <v>105</v>
      </c>
      <c r="AR19" s="346">
        <f>VLOOKUP(AP15, $B$3:$E$109, 2, FALSE)</f>
        <v>0</v>
      </c>
      <c r="AS19" s="669" t="s">
        <v>105</v>
      </c>
      <c r="AT19" s="347">
        <f>VLOOKUP(AP15, $B$3:$E$109, 3, FALSE)</f>
        <v>0</v>
      </c>
      <c r="AU19" s="670" t="s">
        <v>105</v>
      </c>
      <c r="AV19" s="344">
        <f>SUM(AR19,AT19)</f>
        <v>0</v>
      </c>
      <c r="AX19" s="300"/>
      <c r="AY19" s="339"/>
      <c r="AZ19" s="338"/>
      <c r="BA19" s="669" t="s">
        <v>105</v>
      </c>
      <c r="BB19" s="346">
        <f>VLOOKUP(AZ15, $B$3:$E$109, 2, FALSE)</f>
        <v>0</v>
      </c>
      <c r="BC19" s="669" t="s">
        <v>105</v>
      </c>
      <c r="BD19" s="347">
        <f>VLOOKUP(AZ15, $B$3:$E$109, 3, FALSE)</f>
        <v>0</v>
      </c>
      <c r="BE19" s="670" t="s">
        <v>105</v>
      </c>
      <c r="BF19" s="344">
        <f>SUM(BB19,BD19)</f>
        <v>0</v>
      </c>
      <c r="BH19" s="300"/>
      <c r="BI19" s="339"/>
      <c r="BJ19" s="338"/>
      <c r="BK19" s="669" t="s">
        <v>105</v>
      </c>
      <c r="BL19" s="346">
        <f>VLOOKUP(BJ15, $B$3:$E$109, 2, FALSE)</f>
        <v>0</v>
      </c>
      <c r="BM19" s="669" t="s">
        <v>105</v>
      </c>
      <c r="BN19" s="347">
        <f>VLOOKUP(BJ15, $B$3:$E$109, 3, FALSE)</f>
        <v>0</v>
      </c>
      <c r="BO19" s="670" t="s">
        <v>105</v>
      </c>
      <c r="BP19" s="344">
        <f>SUM(BL19,BN19)</f>
        <v>0</v>
      </c>
    </row>
    <row r="20" spans="2:68" ht="12.75" customHeight="1">
      <c r="B20" s="278">
        <v>42537</v>
      </c>
      <c r="G20" s="150">
        <f t="shared" si="0"/>
        <v>0</v>
      </c>
      <c r="H20" s="150">
        <f t="shared" si="1"/>
        <v>0</v>
      </c>
      <c r="K20" s="698" t="s">
        <v>157</v>
      </c>
      <c r="L20" s="699"/>
      <c r="M20" s="670"/>
      <c r="N20" s="340"/>
      <c r="O20" s="669"/>
      <c r="P20" s="340"/>
      <c r="Q20" s="670"/>
      <c r="R20" s="340"/>
      <c r="S20" s="156"/>
      <c r="T20" s="302"/>
      <c r="U20" s="698" t="s">
        <v>157</v>
      </c>
      <c r="V20" s="699"/>
      <c r="W20" s="670"/>
      <c r="X20" s="340"/>
      <c r="Y20" s="669"/>
      <c r="Z20" s="340"/>
      <c r="AA20" s="670"/>
      <c r="AB20" s="340"/>
      <c r="AD20" s="300"/>
      <c r="AE20" s="698" t="s">
        <v>157</v>
      </c>
      <c r="AF20" s="699"/>
      <c r="AG20" s="670"/>
      <c r="AH20" s="340"/>
      <c r="AI20" s="669"/>
      <c r="AJ20" s="340"/>
      <c r="AK20" s="670"/>
      <c r="AL20" s="340"/>
      <c r="AN20" s="300"/>
      <c r="AO20" s="698" t="s">
        <v>157</v>
      </c>
      <c r="AP20" s="699"/>
      <c r="AQ20" s="670"/>
      <c r="AR20" s="340"/>
      <c r="AS20" s="669"/>
      <c r="AT20" s="340"/>
      <c r="AU20" s="670"/>
      <c r="AV20" s="340"/>
      <c r="AX20" s="300"/>
      <c r="AY20" s="698" t="s">
        <v>157</v>
      </c>
      <c r="AZ20" s="699"/>
      <c r="BA20" s="670"/>
      <c r="BB20" s="340"/>
      <c r="BC20" s="669"/>
      <c r="BD20" s="340"/>
      <c r="BE20" s="670"/>
      <c r="BF20" s="340"/>
      <c r="BH20" s="300"/>
      <c r="BI20" s="698" t="s">
        <v>157</v>
      </c>
      <c r="BJ20" s="699"/>
      <c r="BK20" s="670"/>
      <c r="BL20" s="340"/>
      <c r="BM20" s="669"/>
      <c r="BN20" s="340"/>
      <c r="BO20" s="670"/>
      <c r="BP20" s="340"/>
    </row>
    <row r="21" spans="2:68" ht="15.75">
      <c r="B21" s="278">
        <v>42538</v>
      </c>
      <c r="G21" s="150">
        <f t="shared" si="0"/>
        <v>0</v>
      </c>
      <c r="H21" s="150">
        <f t="shared" si="1"/>
        <v>0</v>
      </c>
      <c r="K21" s="379"/>
      <c r="L21" s="349">
        <f>R17*13</f>
        <v>0</v>
      </c>
      <c r="M21" s="429"/>
      <c r="N21" s="340"/>
      <c r="O21" s="351"/>
      <c r="P21" s="340"/>
      <c r="Q21" s="430"/>
      <c r="R21" s="340"/>
      <c r="S21" s="156"/>
      <c r="T21" s="302"/>
      <c r="U21" s="379"/>
      <c r="V21" s="349">
        <f>AB17*13</f>
        <v>0</v>
      </c>
      <c r="W21" s="429"/>
      <c r="X21" s="340"/>
      <c r="Y21" s="351"/>
      <c r="Z21" s="340"/>
      <c r="AA21" s="430"/>
      <c r="AB21" s="340"/>
      <c r="AD21" s="300"/>
      <c r="AE21" s="379"/>
      <c r="AF21" s="349">
        <f>AL17*13</f>
        <v>0</v>
      </c>
      <c r="AG21" s="429"/>
      <c r="AH21" s="340"/>
      <c r="AI21" s="351"/>
      <c r="AJ21" s="340"/>
      <c r="AK21" s="430"/>
      <c r="AL21" s="340"/>
      <c r="AN21" s="300"/>
      <c r="AO21" s="379"/>
      <c r="AP21" s="349">
        <f>AV17*13</f>
        <v>0</v>
      </c>
      <c r="AQ21" s="429"/>
      <c r="AR21" s="340"/>
      <c r="AS21" s="351"/>
      <c r="AT21" s="340"/>
      <c r="AU21" s="430"/>
      <c r="AV21" s="340"/>
      <c r="AX21" s="300"/>
      <c r="AY21" s="379"/>
      <c r="AZ21" s="349">
        <f>BF17*13</f>
        <v>0</v>
      </c>
      <c r="BA21" s="429"/>
      <c r="BB21" s="340"/>
      <c r="BC21" s="351"/>
      <c r="BD21" s="340"/>
      <c r="BE21" s="430"/>
      <c r="BF21" s="340"/>
      <c r="BH21" s="300"/>
      <c r="BI21" s="379"/>
      <c r="BJ21" s="349">
        <f>BP17*13</f>
        <v>0</v>
      </c>
      <c r="BK21" s="429"/>
      <c r="BL21" s="340"/>
      <c r="BM21" s="351"/>
      <c r="BN21" s="340"/>
      <c r="BO21" s="430"/>
      <c r="BP21" s="340"/>
    </row>
    <row r="22" spans="2:68" ht="18.75">
      <c r="B22" s="278">
        <v>42539</v>
      </c>
      <c r="G22" s="150">
        <f t="shared" si="0"/>
        <v>0</v>
      </c>
      <c r="H22" s="150">
        <f t="shared" si="1"/>
        <v>0</v>
      </c>
      <c r="K22" s="339"/>
      <c r="L22" s="380"/>
      <c r="M22" s="286" t="s">
        <v>97</v>
      </c>
      <c r="N22" s="287" t="e">
        <f>N19/((N17*EFFICIENCY!$H$28))</f>
        <v>#DIV/0!</v>
      </c>
      <c r="O22" s="286" t="s">
        <v>97</v>
      </c>
      <c r="P22" s="287" t="e">
        <f>P19/(P17*EFFICIENCY!$H$28)</f>
        <v>#DIV/0!</v>
      </c>
      <c r="Q22" s="286" t="s">
        <v>97</v>
      </c>
      <c r="R22" s="287" t="e">
        <f>R19/(R17*EFFICIENCY!$H$28)</f>
        <v>#DIV/0!</v>
      </c>
      <c r="S22" s="295"/>
      <c r="T22" s="302"/>
      <c r="U22" s="339"/>
      <c r="V22" s="380"/>
      <c r="W22" s="286" t="s">
        <v>97</v>
      </c>
      <c r="X22" s="287" t="e">
        <f>X19/((X17*EFFICIENCY!$H$28))</f>
        <v>#DIV/0!</v>
      </c>
      <c r="Y22" s="286" t="s">
        <v>97</v>
      </c>
      <c r="Z22" s="287" t="e">
        <f>Z19/(Z17*EFFICIENCY!$H$28)</f>
        <v>#DIV/0!</v>
      </c>
      <c r="AA22" s="286" t="s">
        <v>97</v>
      </c>
      <c r="AB22" s="287" t="e">
        <f>AB19/(AB17*EFFICIENCY!$H$28)</f>
        <v>#DIV/0!</v>
      </c>
      <c r="AD22" s="300"/>
      <c r="AE22" s="339"/>
      <c r="AF22" s="380"/>
      <c r="AG22" s="286" t="s">
        <v>97</v>
      </c>
      <c r="AH22" s="287" t="e">
        <f>AH19/((AH17*EFFICIENCY!$H$28))</f>
        <v>#DIV/0!</v>
      </c>
      <c r="AI22" s="286" t="s">
        <v>97</v>
      </c>
      <c r="AJ22" s="287" t="e">
        <f>AJ19/(AJ17*EFFICIENCY!$H$28)</f>
        <v>#DIV/0!</v>
      </c>
      <c r="AK22" s="286" t="s">
        <v>97</v>
      </c>
      <c r="AL22" s="287" t="e">
        <f>AL19/(AL17*EFFICIENCY!$H$28)</f>
        <v>#DIV/0!</v>
      </c>
      <c r="AN22" s="300"/>
      <c r="AO22" s="339"/>
      <c r="AP22" s="380"/>
      <c r="AQ22" s="286" t="s">
        <v>97</v>
      </c>
      <c r="AR22" s="287" t="e">
        <f>AR19/((AR17*EFFICIENCY!$H$28))</f>
        <v>#DIV/0!</v>
      </c>
      <c r="AS22" s="286" t="s">
        <v>97</v>
      </c>
      <c r="AT22" s="287" t="e">
        <f>AT19/(AT17*EFFICIENCY!$H$28)</f>
        <v>#DIV/0!</v>
      </c>
      <c r="AU22" s="286" t="s">
        <v>97</v>
      </c>
      <c r="AV22" s="287" t="e">
        <f>AV19/(AV17*EFFICIENCY!$H$28)</f>
        <v>#DIV/0!</v>
      </c>
      <c r="AX22" s="300"/>
      <c r="AY22" s="339"/>
      <c r="AZ22" s="380"/>
      <c r="BA22" s="286" t="s">
        <v>97</v>
      </c>
      <c r="BB22" s="287" t="e">
        <f>BB19/((BB17*EFFICIENCY!$H$28))</f>
        <v>#DIV/0!</v>
      </c>
      <c r="BC22" s="286" t="s">
        <v>97</v>
      </c>
      <c r="BD22" s="287" t="e">
        <f>BD19/(BD17*EFFICIENCY!$H$28)</f>
        <v>#DIV/0!</v>
      </c>
      <c r="BE22" s="286" t="s">
        <v>97</v>
      </c>
      <c r="BF22" s="287" t="e">
        <f>BF19/(BF17*EFFICIENCY!$H$28)</f>
        <v>#DIV/0!</v>
      </c>
      <c r="BH22" s="300"/>
      <c r="BI22" s="339"/>
      <c r="BJ22" s="380"/>
      <c r="BK22" s="286" t="s">
        <v>97</v>
      </c>
      <c r="BL22" s="287" t="e">
        <f>BL19/((BL17*EFFICIENCY!$H$28))</f>
        <v>#DIV/0!</v>
      </c>
      <c r="BM22" s="286" t="s">
        <v>97</v>
      </c>
      <c r="BN22" s="287" t="e">
        <f>BN19/(BN17*EFFICIENCY!$H$28)</f>
        <v>#DIV/0!</v>
      </c>
      <c r="BO22" s="286" t="s">
        <v>97</v>
      </c>
      <c r="BP22" s="287" t="e">
        <f>BP19/(BP17*EFFICIENCY!$H$28)</f>
        <v>#DIV/0!</v>
      </c>
    </row>
    <row r="23" spans="2:68" ht="18.75">
      <c r="B23" s="278">
        <v>42540</v>
      </c>
      <c r="G23" s="150">
        <f t="shared" si="0"/>
        <v>0</v>
      </c>
      <c r="H23" s="150">
        <f t="shared" si="1"/>
        <v>0</v>
      </c>
      <c r="K23" s="339"/>
      <c r="L23" s="338"/>
      <c r="M23" s="280" t="s">
        <v>96</v>
      </c>
      <c r="N23" s="281" t="e">
        <f>N19/(N17*EFFICIENCY!$I$28)</f>
        <v>#DIV/0!</v>
      </c>
      <c r="O23" s="280" t="s">
        <v>96</v>
      </c>
      <c r="P23" s="281" t="e">
        <f>P19/(P17*EFFICIENCY!$I$28)</f>
        <v>#DIV/0!</v>
      </c>
      <c r="Q23" s="280" t="s">
        <v>96</v>
      </c>
      <c r="R23" s="281" t="e">
        <f>R19/(R17*EFFICIENCY!$I$28)</f>
        <v>#DIV/0!</v>
      </c>
      <c r="S23" s="296"/>
      <c r="T23" s="302"/>
      <c r="U23" s="339"/>
      <c r="V23" s="338"/>
      <c r="W23" s="280" t="s">
        <v>96</v>
      </c>
      <c r="X23" s="281" t="e">
        <f>X19/(X17*EFFICIENCY!$I$28)</f>
        <v>#DIV/0!</v>
      </c>
      <c r="Y23" s="280" t="s">
        <v>96</v>
      </c>
      <c r="Z23" s="281" t="e">
        <f>Z19/(Z17*EFFICIENCY!$I$28)</f>
        <v>#DIV/0!</v>
      </c>
      <c r="AA23" s="280" t="s">
        <v>96</v>
      </c>
      <c r="AB23" s="281" t="e">
        <f>AB19/(AB17*EFFICIENCY!$I$28)</f>
        <v>#DIV/0!</v>
      </c>
      <c r="AD23" s="300"/>
      <c r="AE23" s="339"/>
      <c r="AF23" s="338"/>
      <c r="AG23" s="280" t="s">
        <v>96</v>
      </c>
      <c r="AH23" s="281" t="e">
        <f>AH19/(AH17*EFFICIENCY!$I$28)</f>
        <v>#DIV/0!</v>
      </c>
      <c r="AI23" s="280" t="s">
        <v>96</v>
      </c>
      <c r="AJ23" s="281" t="e">
        <f>AJ19/(AJ17*EFFICIENCY!$I$28)</f>
        <v>#DIV/0!</v>
      </c>
      <c r="AK23" s="280" t="s">
        <v>96</v>
      </c>
      <c r="AL23" s="281" t="e">
        <f>AL19/(AL17*EFFICIENCY!$I$28)</f>
        <v>#DIV/0!</v>
      </c>
      <c r="AN23" s="300"/>
      <c r="AO23" s="339"/>
      <c r="AP23" s="338"/>
      <c r="AQ23" s="280" t="s">
        <v>96</v>
      </c>
      <c r="AR23" s="281" t="e">
        <f>AR19/(AR17*EFFICIENCY!$I$28)</f>
        <v>#DIV/0!</v>
      </c>
      <c r="AS23" s="280" t="s">
        <v>96</v>
      </c>
      <c r="AT23" s="281" t="e">
        <f>AT19/(AT17*EFFICIENCY!$I$28)</f>
        <v>#DIV/0!</v>
      </c>
      <c r="AU23" s="280" t="s">
        <v>96</v>
      </c>
      <c r="AV23" s="281" t="e">
        <f>AV19/(AV17*EFFICIENCY!$I$28)</f>
        <v>#DIV/0!</v>
      </c>
      <c r="AX23" s="300"/>
      <c r="AY23" s="339"/>
      <c r="AZ23" s="338"/>
      <c r="BA23" s="280" t="s">
        <v>96</v>
      </c>
      <c r="BB23" s="281" t="e">
        <f>BB19/(BB17*EFFICIENCY!$I$28)</f>
        <v>#DIV/0!</v>
      </c>
      <c r="BC23" s="280" t="s">
        <v>96</v>
      </c>
      <c r="BD23" s="281" t="e">
        <f>BD19/(BD17*EFFICIENCY!$I$28)</f>
        <v>#DIV/0!</v>
      </c>
      <c r="BE23" s="280" t="s">
        <v>96</v>
      </c>
      <c r="BF23" s="281" t="e">
        <f>BF19/(BF17*EFFICIENCY!$I$28)</f>
        <v>#DIV/0!</v>
      </c>
      <c r="BH23" s="300"/>
      <c r="BI23" s="339"/>
      <c r="BJ23" s="338"/>
      <c r="BK23" s="280" t="s">
        <v>96</v>
      </c>
      <c r="BL23" s="281" t="e">
        <f>BL19/(BL17*EFFICIENCY!$I$28)</f>
        <v>#DIV/0!</v>
      </c>
      <c r="BM23" s="280" t="s">
        <v>96</v>
      </c>
      <c r="BN23" s="281" t="e">
        <f>BN19/(BN17*EFFICIENCY!$I$28)</f>
        <v>#DIV/0!</v>
      </c>
      <c r="BO23" s="280" t="s">
        <v>96</v>
      </c>
      <c r="BP23" s="281" t="e">
        <f>BP19/(BP17*EFFICIENCY!$I$28)</f>
        <v>#DIV/0!</v>
      </c>
    </row>
    <row r="24" spans="2:68" ht="19.5" customHeight="1" thickBot="1">
      <c r="B24" s="278">
        <v>42541</v>
      </c>
      <c r="G24" s="150">
        <f t="shared" si="0"/>
        <v>0</v>
      </c>
      <c r="H24" s="150">
        <f t="shared" si="1"/>
        <v>0</v>
      </c>
      <c r="K24" s="694" t="s">
        <v>156</v>
      </c>
      <c r="L24" s="695"/>
      <c r="M24" s="284" t="s">
        <v>94</v>
      </c>
      <c r="N24" s="285" t="e">
        <f>N19/((N17*EFFICIENCY!$K$28))</f>
        <v>#DIV/0!</v>
      </c>
      <c r="O24" s="288" t="s">
        <v>94</v>
      </c>
      <c r="P24" s="285" t="e">
        <f>P19/((P17*EFFICIENCY!$K$28))</f>
        <v>#DIV/0!</v>
      </c>
      <c r="Q24" s="284" t="s">
        <v>94</v>
      </c>
      <c r="R24" s="285" t="e">
        <f>R19/((R17*EFFICIENCY!$K$28))</f>
        <v>#DIV/0!</v>
      </c>
      <c r="S24" s="297"/>
      <c r="T24" s="302"/>
      <c r="U24" s="694" t="s">
        <v>156</v>
      </c>
      <c r="V24" s="695"/>
      <c r="W24" s="284" t="s">
        <v>94</v>
      </c>
      <c r="X24" s="285" t="e">
        <f>X19/((X17*EFFICIENCY!$K$28))</f>
        <v>#DIV/0!</v>
      </c>
      <c r="Y24" s="288" t="s">
        <v>94</v>
      </c>
      <c r="Z24" s="285" t="e">
        <f>Z19/((Z17*EFFICIENCY!$K$28))</f>
        <v>#DIV/0!</v>
      </c>
      <c r="AA24" s="284" t="s">
        <v>94</v>
      </c>
      <c r="AB24" s="285" t="e">
        <f>AB19/((AB17*EFFICIENCY!$K$28))</f>
        <v>#DIV/0!</v>
      </c>
      <c r="AD24" s="300"/>
      <c r="AE24" s="694" t="s">
        <v>156</v>
      </c>
      <c r="AF24" s="695"/>
      <c r="AG24" s="284" t="s">
        <v>94</v>
      </c>
      <c r="AH24" s="285" t="e">
        <f>AH19/((AH17*EFFICIENCY!$K$28))</f>
        <v>#DIV/0!</v>
      </c>
      <c r="AI24" s="288" t="s">
        <v>94</v>
      </c>
      <c r="AJ24" s="285" t="e">
        <f>AJ19/((AJ17*EFFICIENCY!$K$28))</f>
        <v>#DIV/0!</v>
      </c>
      <c r="AK24" s="284" t="s">
        <v>94</v>
      </c>
      <c r="AL24" s="285" t="e">
        <f>AL19/((AL17*EFFICIENCY!$K$28))</f>
        <v>#DIV/0!</v>
      </c>
      <c r="AN24" s="300"/>
      <c r="AO24" s="694" t="s">
        <v>156</v>
      </c>
      <c r="AP24" s="695"/>
      <c r="AQ24" s="284" t="s">
        <v>94</v>
      </c>
      <c r="AR24" s="285" t="e">
        <f>AR19/((AR17*EFFICIENCY!$K$28))</f>
        <v>#DIV/0!</v>
      </c>
      <c r="AS24" s="288" t="s">
        <v>94</v>
      </c>
      <c r="AT24" s="285" t="e">
        <f>AT19/((AT17*EFFICIENCY!$K$28))</f>
        <v>#DIV/0!</v>
      </c>
      <c r="AU24" s="284" t="s">
        <v>94</v>
      </c>
      <c r="AV24" s="285" t="e">
        <f>AV19/((AV17*EFFICIENCY!$K$28))</f>
        <v>#DIV/0!</v>
      </c>
      <c r="AX24" s="300"/>
      <c r="AY24" s="694" t="s">
        <v>156</v>
      </c>
      <c r="AZ24" s="695"/>
      <c r="BA24" s="284" t="s">
        <v>94</v>
      </c>
      <c r="BB24" s="285" t="e">
        <f>BB19/((BB17*EFFICIENCY!$K$28))</f>
        <v>#DIV/0!</v>
      </c>
      <c r="BC24" s="288" t="s">
        <v>94</v>
      </c>
      <c r="BD24" s="285" t="e">
        <f>BD19/((BD17*EFFICIENCY!$K$28))</f>
        <v>#DIV/0!</v>
      </c>
      <c r="BE24" s="284" t="s">
        <v>94</v>
      </c>
      <c r="BF24" s="285" t="e">
        <f>BF19/((BF17*EFFICIENCY!$K$28))</f>
        <v>#DIV/0!</v>
      </c>
      <c r="BH24" s="300"/>
      <c r="BI24" s="694" t="s">
        <v>156</v>
      </c>
      <c r="BJ24" s="695"/>
      <c r="BK24" s="284" t="s">
        <v>94</v>
      </c>
      <c r="BL24" s="285" t="e">
        <f>BL19/((BL17*EFFICIENCY!$K$28))</f>
        <v>#DIV/0!</v>
      </c>
      <c r="BM24" s="288" t="s">
        <v>94</v>
      </c>
      <c r="BN24" s="285" t="e">
        <f>BN19/((BN17*EFFICIENCY!$K$28))</f>
        <v>#DIV/0!</v>
      </c>
      <c r="BO24" s="284" t="s">
        <v>94</v>
      </c>
      <c r="BP24" s="285" t="e">
        <f>BP19/((BP17*EFFICIENCY!$K$28))</f>
        <v>#DIV/0!</v>
      </c>
    </row>
    <row r="25" spans="2:68" ht="16.5" thickBot="1">
      <c r="B25" s="278">
        <v>42542</v>
      </c>
      <c r="G25" s="150">
        <f t="shared" si="0"/>
        <v>0</v>
      </c>
      <c r="H25" s="150">
        <f t="shared" si="1"/>
        <v>0</v>
      </c>
      <c r="K25" s="381"/>
      <c r="L25" s="382" t="e">
        <f>R19/R17</f>
        <v>#DIV/0!</v>
      </c>
      <c r="M25" s="661" t="s">
        <v>153</v>
      </c>
      <c r="N25" s="662"/>
      <c r="O25" s="290"/>
      <c r="P25" s="427"/>
      <c r="Q25" s="427" t="s">
        <v>154</v>
      </c>
      <c r="R25" s="354">
        <f>O25-R19</f>
        <v>0</v>
      </c>
      <c r="S25" s="298"/>
      <c r="T25" s="300"/>
      <c r="U25" s="381"/>
      <c r="V25" s="382" t="e">
        <f>AB19/AB17</f>
        <v>#DIV/0!</v>
      </c>
      <c r="W25" s="661" t="s">
        <v>153</v>
      </c>
      <c r="X25" s="662"/>
      <c r="Y25" s="290"/>
      <c r="Z25" s="427"/>
      <c r="AA25" s="427" t="s">
        <v>154</v>
      </c>
      <c r="AB25" s="354">
        <f>Y25-AB19</f>
        <v>0</v>
      </c>
      <c r="AD25" s="300"/>
      <c r="AE25" s="381"/>
      <c r="AF25" s="382" t="e">
        <f>AL19/AL17</f>
        <v>#DIV/0!</v>
      </c>
      <c r="AG25" s="661" t="s">
        <v>153</v>
      </c>
      <c r="AH25" s="662"/>
      <c r="AI25" s="290"/>
      <c r="AJ25" s="427"/>
      <c r="AK25" s="427" t="s">
        <v>154</v>
      </c>
      <c r="AL25" s="354">
        <f>AI25-AL19</f>
        <v>0</v>
      </c>
      <c r="AN25" s="300"/>
      <c r="AO25" s="381"/>
      <c r="AP25" s="382" t="e">
        <f>AV19/AV17</f>
        <v>#DIV/0!</v>
      </c>
      <c r="AQ25" s="661" t="s">
        <v>153</v>
      </c>
      <c r="AR25" s="662"/>
      <c r="AS25" s="290"/>
      <c r="AT25" s="427"/>
      <c r="AU25" s="427" t="s">
        <v>154</v>
      </c>
      <c r="AV25" s="354">
        <f>AS25-AV19</f>
        <v>0</v>
      </c>
      <c r="AX25" s="300"/>
      <c r="AY25" s="381"/>
      <c r="AZ25" s="382" t="e">
        <f>BF19/BF17</f>
        <v>#DIV/0!</v>
      </c>
      <c r="BA25" s="661" t="s">
        <v>153</v>
      </c>
      <c r="BB25" s="662"/>
      <c r="BC25" s="290"/>
      <c r="BD25" s="427"/>
      <c r="BE25" s="427" t="s">
        <v>154</v>
      </c>
      <c r="BF25" s="354">
        <f>BC25-BF19</f>
        <v>0</v>
      </c>
      <c r="BH25" s="300"/>
      <c r="BI25" s="381"/>
      <c r="BJ25" s="382" t="e">
        <f>BP19/BP17</f>
        <v>#DIV/0!</v>
      </c>
      <c r="BK25" s="661" t="s">
        <v>153</v>
      </c>
      <c r="BL25" s="662"/>
      <c r="BM25" s="290"/>
      <c r="BN25" s="427"/>
      <c r="BO25" s="427" t="s">
        <v>154</v>
      </c>
      <c r="BP25" s="354">
        <f>BM25-BP19</f>
        <v>0</v>
      </c>
    </row>
    <row r="26" spans="2:68">
      <c r="B26" s="278">
        <v>42543</v>
      </c>
      <c r="G26" s="150">
        <f t="shared" si="0"/>
        <v>0</v>
      </c>
      <c r="H26" s="150">
        <f t="shared" si="1"/>
        <v>0</v>
      </c>
      <c r="T26" s="300"/>
      <c r="AD26" s="300"/>
      <c r="AN26" s="300"/>
      <c r="AX26" s="300"/>
      <c r="BH26" s="300"/>
    </row>
    <row r="27" spans="2:68" ht="13.5" thickBot="1">
      <c r="B27" s="278">
        <v>42544</v>
      </c>
      <c r="G27" s="150">
        <f t="shared" si="0"/>
        <v>0</v>
      </c>
      <c r="H27" s="150">
        <f t="shared" si="1"/>
        <v>0</v>
      </c>
      <c r="J27" s="291"/>
      <c r="K27" s="291"/>
      <c r="L27" s="291"/>
      <c r="M27" s="291"/>
      <c r="N27" s="291"/>
      <c r="O27" s="291"/>
      <c r="P27" s="291"/>
      <c r="Q27" s="291"/>
      <c r="R27" s="291"/>
      <c r="S27" s="299"/>
      <c r="T27" s="301"/>
      <c r="U27" s="291"/>
      <c r="V27" s="291"/>
      <c r="W27" s="291"/>
      <c r="X27" s="291"/>
      <c r="Y27" s="291"/>
      <c r="Z27" s="291"/>
      <c r="AA27" s="291"/>
      <c r="AB27" s="291"/>
      <c r="AC27" s="291"/>
      <c r="AD27" s="301"/>
      <c r="AE27" s="291"/>
      <c r="AF27" s="291"/>
      <c r="AG27" s="291"/>
      <c r="AH27" s="291"/>
      <c r="AI27" s="291"/>
      <c r="AJ27" s="291"/>
      <c r="AK27" s="291"/>
      <c r="AL27" s="291"/>
      <c r="AM27" s="291"/>
      <c r="AN27" s="301"/>
      <c r="AO27" s="291"/>
      <c r="AP27" s="291"/>
      <c r="AQ27" s="291"/>
      <c r="AR27" s="291"/>
      <c r="AS27" s="291"/>
      <c r="AT27" s="291"/>
      <c r="AU27" s="291"/>
      <c r="AV27" s="291"/>
      <c r="AW27" s="291"/>
      <c r="AX27" s="301"/>
      <c r="AY27" s="291"/>
      <c r="AZ27" s="291"/>
      <c r="BA27" s="291"/>
      <c r="BB27" s="291"/>
      <c r="BC27" s="291"/>
      <c r="BD27" s="291"/>
      <c r="BE27" s="291"/>
      <c r="BF27" s="291"/>
      <c r="BG27" s="291"/>
      <c r="BH27" s="301"/>
      <c r="BI27" s="291"/>
      <c r="BJ27" s="291"/>
      <c r="BK27" s="291"/>
      <c r="BL27" s="291"/>
      <c r="BM27" s="291"/>
      <c r="BN27" s="291"/>
      <c r="BO27" s="291"/>
      <c r="BP27" s="291"/>
    </row>
    <row r="28" spans="2:68" ht="15.75" thickBot="1">
      <c r="B28" s="278">
        <v>42545</v>
      </c>
      <c r="G28" s="150">
        <f t="shared" si="0"/>
        <v>0</v>
      </c>
      <c r="H28" s="150">
        <f t="shared" si="1"/>
        <v>0</v>
      </c>
      <c r="J28" s="154"/>
      <c r="K28" s="383" t="s">
        <v>7</v>
      </c>
      <c r="L28" s="534">
        <f>B17</f>
        <v>42534</v>
      </c>
      <c r="M28" s="680" t="s">
        <v>100</v>
      </c>
      <c r="N28" s="681"/>
      <c r="O28" s="682" t="s">
        <v>99</v>
      </c>
      <c r="P28" s="683"/>
      <c r="Q28" s="684" t="s">
        <v>16</v>
      </c>
      <c r="R28" s="685"/>
      <c r="S28" s="293"/>
      <c r="T28" s="300"/>
      <c r="U28" s="383" t="s">
        <v>7</v>
      </c>
      <c r="V28" s="534">
        <f>B18</f>
        <v>42535</v>
      </c>
      <c r="W28" s="680" t="s">
        <v>100</v>
      </c>
      <c r="X28" s="681"/>
      <c r="Y28" s="682" t="s">
        <v>99</v>
      </c>
      <c r="Z28" s="683"/>
      <c r="AA28" s="684" t="s">
        <v>16</v>
      </c>
      <c r="AB28" s="685"/>
      <c r="AC28" s="154"/>
      <c r="AD28" s="300"/>
      <c r="AE28" s="383" t="s">
        <v>7</v>
      </c>
      <c r="AF28" s="534">
        <f>B19</f>
        <v>42536</v>
      </c>
      <c r="AG28" s="680" t="s">
        <v>100</v>
      </c>
      <c r="AH28" s="681"/>
      <c r="AI28" s="682" t="s">
        <v>99</v>
      </c>
      <c r="AJ28" s="683"/>
      <c r="AK28" s="684" t="s">
        <v>16</v>
      </c>
      <c r="AL28" s="685"/>
      <c r="AM28" s="154"/>
      <c r="AN28" s="300"/>
      <c r="AO28" s="383" t="s">
        <v>7</v>
      </c>
      <c r="AP28" s="534">
        <f>B20</f>
        <v>42537</v>
      </c>
      <c r="AQ28" s="680" t="s">
        <v>100</v>
      </c>
      <c r="AR28" s="681"/>
      <c r="AS28" s="682" t="s">
        <v>99</v>
      </c>
      <c r="AT28" s="683"/>
      <c r="AU28" s="684" t="s">
        <v>16</v>
      </c>
      <c r="AV28" s="685"/>
      <c r="AW28" s="154"/>
      <c r="AX28" s="300"/>
      <c r="AY28" s="383" t="s">
        <v>7</v>
      </c>
      <c r="AZ28" s="534">
        <f>B21</f>
        <v>42538</v>
      </c>
      <c r="BA28" s="680" t="s">
        <v>100</v>
      </c>
      <c r="BB28" s="681"/>
      <c r="BC28" s="682" t="s">
        <v>99</v>
      </c>
      <c r="BD28" s="683"/>
      <c r="BE28" s="684" t="s">
        <v>16</v>
      </c>
      <c r="BF28" s="685"/>
      <c r="BG28" s="154"/>
      <c r="BH28" s="300"/>
      <c r="BI28" s="383" t="s">
        <v>7</v>
      </c>
      <c r="BJ28" s="534">
        <f>B22</f>
        <v>42539</v>
      </c>
      <c r="BK28" s="680" t="s">
        <v>100</v>
      </c>
      <c r="BL28" s="681"/>
      <c r="BM28" s="682" t="s">
        <v>99</v>
      </c>
      <c r="BN28" s="683"/>
      <c r="BO28" s="684" t="s">
        <v>16</v>
      </c>
      <c r="BP28" s="685"/>
    </row>
    <row r="29" spans="2:68" ht="13.5" thickBot="1">
      <c r="B29" s="278">
        <v>42546</v>
      </c>
      <c r="G29" s="150">
        <f t="shared" si="0"/>
        <v>0</v>
      </c>
      <c r="H29" s="150">
        <f t="shared" si="1"/>
        <v>0</v>
      </c>
      <c r="K29" s="304"/>
      <c r="L29" s="303"/>
      <c r="M29" s="304"/>
      <c r="N29" s="305"/>
      <c r="O29" s="304"/>
      <c r="P29" s="305"/>
      <c r="Q29" s="303"/>
      <c r="R29" s="305"/>
      <c r="S29" s="156"/>
      <c r="T29" s="300"/>
      <c r="U29" s="304"/>
      <c r="V29" s="303"/>
      <c r="W29" s="304"/>
      <c r="X29" s="305"/>
      <c r="Y29" s="304"/>
      <c r="Z29" s="305"/>
      <c r="AA29" s="303"/>
      <c r="AB29" s="305"/>
      <c r="AD29" s="300"/>
      <c r="AE29" s="304"/>
      <c r="AF29" s="303"/>
      <c r="AG29" s="304"/>
      <c r="AH29" s="305"/>
      <c r="AI29" s="304"/>
      <c r="AJ29" s="305"/>
      <c r="AK29" s="303"/>
      <c r="AL29" s="305"/>
      <c r="AN29" s="300"/>
      <c r="AO29" s="304"/>
      <c r="AP29" s="303"/>
      <c r="AQ29" s="304"/>
      <c r="AR29" s="305"/>
      <c r="AS29" s="304"/>
      <c r="AT29" s="305"/>
      <c r="AU29" s="303"/>
      <c r="AV29" s="305"/>
      <c r="AX29" s="300"/>
      <c r="AY29" s="304"/>
      <c r="AZ29" s="303"/>
      <c r="BA29" s="304"/>
      <c r="BB29" s="305"/>
      <c r="BC29" s="304"/>
      <c r="BD29" s="305"/>
      <c r="BE29" s="303"/>
      <c r="BF29" s="305"/>
      <c r="BH29" s="300"/>
      <c r="BI29" s="304"/>
      <c r="BJ29" s="303"/>
      <c r="BK29" s="304"/>
      <c r="BL29" s="305"/>
      <c r="BM29" s="304"/>
      <c r="BN29" s="305"/>
      <c r="BO29" s="303"/>
      <c r="BP29" s="305"/>
    </row>
    <row r="30" spans="2:68" ht="16.5" thickBot="1">
      <c r="B30" s="278">
        <v>42547</v>
      </c>
      <c r="G30" s="150">
        <f t="shared" si="0"/>
        <v>0</v>
      </c>
      <c r="H30" s="150">
        <f t="shared" si="1"/>
        <v>0</v>
      </c>
      <c r="K30" s="304"/>
      <c r="L30" s="428" t="s">
        <v>155</v>
      </c>
      <c r="M30" s="307" t="s">
        <v>103</v>
      </c>
      <c r="N30" s="279"/>
      <c r="O30" s="307" t="s">
        <v>103</v>
      </c>
      <c r="P30" s="279"/>
      <c r="Q30" s="308" t="s">
        <v>103</v>
      </c>
      <c r="R30" s="309">
        <f>SUM(N30,P30)</f>
        <v>0</v>
      </c>
      <c r="S30" s="294"/>
      <c r="T30" s="300"/>
      <c r="U30" s="304"/>
      <c r="V30" s="428" t="s">
        <v>155</v>
      </c>
      <c r="W30" s="307" t="s">
        <v>103</v>
      </c>
      <c r="X30" s="279"/>
      <c r="Y30" s="307" t="s">
        <v>103</v>
      </c>
      <c r="Z30" s="279"/>
      <c r="AA30" s="308" t="s">
        <v>103</v>
      </c>
      <c r="AB30" s="309">
        <f>SUM(X30,Z30)</f>
        <v>0</v>
      </c>
      <c r="AD30" s="300"/>
      <c r="AE30" s="304"/>
      <c r="AF30" s="428" t="s">
        <v>155</v>
      </c>
      <c r="AG30" s="307" t="s">
        <v>103</v>
      </c>
      <c r="AH30" s="279"/>
      <c r="AI30" s="307" t="s">
        <v>103</v>
      </c>
      <c r="AJ30" s="279"/>
      <c r="AK30" s="308" t="s">
        <v>103</v>
      </c>
      <c r="AL30" s="309">
        <f>SUM(AH30,AJ30)</f>
        <v>0</v>
      </c>
      <c r="AN30" s="300"/>
      <c r="AO30" s="304"/>
      <c r="AP30" s="428" t="s">
        <v>155</v>
      </c>
      <c r="AQ30" s="307" t="s">
        <v>103</v>
      </c>
      <c r="AR30" s="279"/>
      <c r="AS30" s="307" t="s">
        <v>103</v>
      </c>
      <c r="AT30" s="279"/>
      <c r="AU30" s="308" t="s">
        <v>103</v>
      </c>
      <c r="AV30" s="309">
        <f>SUM(AR30,AT30)</f>
        <v>0</v>
      </c>
      <c r="AX30" s="300"/>
      <c r="AY30" s="304"/>
      <c r="AZ30" s="428" t="s">
        <v>155</v>
      </c>
      <c r="BA30" s="307" t="s">
        <v>103</v>
      </c>
      <c r="BB30" s="279"/>
      <c r="BC30" s="307" t="s">
        <v>103</v>
      </c>
      <c r="BD30" s="279"/>
      <c r="BE30" s="308" t="s">
        <v>103</v>
      </c>
      <c r="BF30" s="309">
        <f>SUM(BB30,BD30)</f>
        <v>0</v>
      </c>
      <c r="BH30" s="300"/>
      <c r="BI30" s="304"/>
      <c r="BJ30" s="428" t="s">
        <v>155</v>
      </c>
      <c r="BK30" s="307" t="s">
        <v>103</v>
      </c>
      <c r="BL30" s="279"/>
      <c r="BM30" s="307" t="s">
        <v>103</v>
      </c>
      <c r="BN30" s="279"/>
      <c r="BO30" s="308" t="s">
        <v>103</v>
      </c>
      <c r="BP30" s="309">
        <f>SUM(BL30,BN30)</f>
        <v>0</v>
      </c>
    </row>
    <row r="31" spans="2:68" ht="18.75" thickBot="1">
      <c r="B31" s="278">
        <v>42548</v>
      </c>
      <c r="G31" s="150">
        <f t="shared" si="0"/>
        <v>0</v>
      </c>
      <c r="H31" s="150">
        <f t="shared" si="1"/>
        <v>0</v>
      </c>
      <c r="K31" s="304"/>
      <c r="L31" s="289">
        <v>8</v>
      </c>
      <c r="M31" s="310" t="s">
        <v>5</v>
      </c>
      <c r="N31" s="311">
        <f>VLOOKUP(L28, $B$3:$E$109, 4, FALSE)</f>
        <v>0</v>
      </c>
      <c r="O31" s="310" t="s">
        <v>5</v>
      </c>
      <c r="P31" s="312">
        <f>VLOOKUP(L28, $B$3:$F$109, 5, FALSE)</f>
        <v>0</v>
      </c>
      <c r="Q31" s="313" t="s">
        <v>5</v>
      </c>
      <c r="R31" s="309">
        <f>SUM(N31,P31)</f>
        <v>0</v>
      </c>
      <c r="S31" s="294"/>
      <c r="T31" s="300"/>
      <c r="U31" s="304"/>
      <c r="V31" s="289">
        <v>8</v>
      </c>
      <c r="W31" s="310" t="s">
        <v>5</v>
      </c>
      <c r="X31" s="311">
        <f>VLOOKUP(V28, $B$3:$E$109, 4, FALSE)</f>
        <v>0</v>
      </c>
      <c r="Y31" s="310" t="s">
        <v>5</v>
      </c>
      <c r="Z31" s="312">
        <f>VLOOKUP(V28, $B$3:$F$109, 5, FALSE)</f>
        <v>0</v>
      </c>
      <c r="AA31" s="313" t="s">
        <v>5</v>
      </c>
      <c r="AB31" s="309">
        <f>SUM(X31,Z31)</f>
        <v>0</v>
      </c>
      <c r="AD31" s="300"/>
      <c r="AE31" s="304"/>
      <c r="AF31" s="289">
        <v>8</v>
      </c>
      <c r="AG31" s="310" t="s">
        <v>5</v>
      </c>
      <c r="AH31" s="311">
        <f>VLOOKUP(AF28, $B$3:$E$109, 4, FALSE)</f>
        <v>0</v>
      </c>
      <c r="AI31" s="310" t="s">
        <v>5</v>
      </c>
      <c r="AJ31" s="312">
        <f>VLOOKUP(AF28, $B$3:$F$109, 5, FALSE)</f>
        <v>0</v>
      </c>
      <c r="AK31" s="313" t="s">
        <v>5</v>
      </c>
      <c r="AL31" s="309">
        <f>SUM(AH31,AJ31)</f>
        <v>0</v>
      </c>
      <c r="AN31" s="300"/>
      <c r="AO31" s="304"/>
      <c r="AP31" s="289">
        <v>8</v>
      </c>
      <c r="AQ31" s="310" t="s">
        <v>5</v>
      </c>
      <c r="AR31" s="311">
        <f>VLOOKUP(AP28, $B$3:$E$109, 4, FALSE)</f>
        <v>0</v>
      </c>
      <c r="AS31" s="310" t="s">
        <v>5</v>
      </c>
      <c r="AT31" s="312">
        <f>VLOOKUP(AP28, $B$3:$F$109, 5, FALSE)</f>
        <v>0</v>
      </c>
      <c r="AU31" s="313" t="s">
        <v>5</v>
      </c>
      <c r="AV31" s="309">
        <f>SUM(AR31,AT31)</f>
        <v>0</v>
      </c>
      <c r="AX31" s="300"/>
      <c r="AY31" s="304"/>
      <c r="AZ31" s="289">
        <v>8</v>
      </c>
      <c r="BA31" s="310" t="s">
        <v>5</v>
      </c>
      <c r="BB31" s="311">
        <f>VLOOKUP(AZ28, $B$3:$E$109, 4, FALSE)</f>
        <v>0</v>
      </c>
      <c r="BC31" s="310" t="s">
        <v>5</v>
      </c>
      <c r="BD31" s="312">
        <f>VLOOKUP(AZ28, $B$3:$F$109, 5, FALSE)</f>
        <v>0</v>
      </c>
      <c r="BE31" s="313" t="s">
        <v>5</v>
      </c>
      <c r="BF31" s="309">
        <f>SUM(BB31,BD31)</f>
        <v>0</v>
      </c>
      <c r="BH31" s="300"/>
      <c r="BI31" s="304"/>
      <c r="BJ31" s="289">
        <v>8</v>
      </c>
      <c r="BK31" s="310" t="s">
        <v>5</v>
      </c>
      <c r="BL31" s="311">
        <f>VLOOKUP(BJ28, $B$3:$E$109, 4, FALSE)</f>
        <v>0</v>
      </c>
      <c r="BM31" s="310" t="s">
        <v>5</v>
      </c>
      <c r="BN31" s="312">
        <f>VLOOKUP(BJ28, $B$3:$F$109, 5, FALSE)</f>
        <v>0</v>
      </c>
      <c r="BO31" s="313" t="s">
        <v>5</v>
      </c>
      <c r="BP31" s="309">
        <f>SUM(BL31,BN31)</f>
        <v>0</v>
      </c>
    </row>
    <row r="32" spans="2:68" ht="15.75" customHeight="1">
      <c r="B32" s="278">
        <v>42549</v>
      </c>
      <c r="G32" s="150">
        <f t="shared" si="0"/>
        <v>0</v>
      </c>
      <c r="H32" s="150">
        <f t="shared" si="1"/>
        <v>0</v>
      </c>
      <c r="K32" s="304"/>
      <c r="L32" s="303"/>
      <c r="M32" s="659" t="s">
        <v>105</v>
      </c>
      <c r="N32" s="311">
        <f>VLOOKUP(L28, $B$3:$E$109, 2, FALSE)</f>
        <v>0</v>
      </c>
      <c r="O32" s="659" t="s">
        <v>105</v>
      </c>
      <c r="P32" s="312">
        <f>VLOOKUP(L28, $B$3:$E$109, 3, FALSE)</f>
        <v>0</v>
      </c>
      <c r="Q32" s="660" t="s">
        <v>105</v>
      </c>
      <c r="R32" s="309">
        <f>SUM(N32,P32)</f>
        <v>0</v>
      </c>
      <c r="S32" s="294"/>
      <c r="T32" s="300"/>
      <c r="U32" s="304"/>
      <c r="V32" s="303"/>
      <c r="W32" s="659" t="s">
        <v>105</v>
      </c>
      <c r="X32" s="311">
        <f>VLOOKUP(V28, $B$3:$E$109, 2, FALSE)</f>
        <v>0</v>
      </c>
      <c r="Y32" s="659" t="s">
        <v>105</v>
      </c>
      <c r="Z32" s="312">
        <f>VLOOKUP(V28, $B$3:$E$109, 3, FALSE)</f>
        <v>0</v>
      </c>
      <c r="AA32" s="660" t="s">
        <v>105</v>
      </c>
      <c r="AB32" s="309">
        <f>SUM(X32,Z32)</f>
        <v>0</v>
      </c>
      <c r="AD32" s="300"/>
      <c r="AE32" s="304"/>
      <c r="AF32" s="303"/>
      <c r="AG32" s="659" t="s">
        <v>105</v>
      </c>
      <c r="AH32" s="311">
        <f>VLOOKUP(AF28, $B$3:$E$109, 2, FALSE)</f>
        <v>0</v>
      </c>
      <c r="AI32" s="659" t="s">
        <v>105</v>
      </c>
      <c r="AJ32" s="312">
        <f>VLOOKUP(AF28, $B$3:$E$109, 3, FALSE)</f>
        <v>0</v>
      </c>
      <c r="AK32" s="660" t="s">
        <v>105</v>
      </c>
      <c r="AL32" s="309">
        <f>SUM(AH32,AJ32)</f>
        <v>0</v>
      </c>
      <c r="AN32" s="300"/>
      <c r="AO32" s="304"/>
      <c r="AP32" s="303"/>
      <c r="AQ32" s="659" t="s">
        <v>105</v>
      </c>
      <c r="AR32" s="311">
        <f>VLOOKUP(AP28, $B$3:$E$109, 2, FALSE)</f>
        <v>0</v>
      </c>
      <c r="AS32" s="659" t="s">
        <v>105</v>
      </c>
      <c r="AT32" s="312">
        <f>VLOOKUP(AP28, $B$3:$E$109, 3, FALSE)</f>
        <v>0</v>
      </c>
      <c r="AU32" s="660" t="s">
        <v>105</v>
      </c>
      <c r="AV32" s="309">
        <f>SUM(AR32,AT32)</f>
        <v>0</v>
      </c>
      <c r="AX32" s="300"/>
      <c r="AY32" s="304"/>
      <c r="AZ32" s="303"/>
      <c r="BA32" s="659" t="s">
        <v>105</v>
      </c>
      <c r="BB32" s="311">
        <f>VLOOKUP(AZ28, $B$3:$E$109, 2, FALSE)</f>
        <v>0</v>
      </c>
      <c r="BC32" s="659" t="s">
        <v>105</v>
      </c>
      <c r="BD32" s="312">
        <f>VLOOKUP(AZ28, $B$3:$E$109, 3, FALSE)</f>
        <v>0</v>
      </c>
      <c r="BE32" s="660" t="s">
        <v>105</v>
      </c>
      <c r="BF32" s="309">
        <f>SUM(BB32,BD32)</f>
        <v>0</v>
      </c>
      <c r="BH32" s="300"/>
      <c r="BI32" s="304"/>
      <c r="BJ32" s="303"/>
      <c r="BK32" s="659" t="s">
        <v>105</v>
      </c>
      <c r="BL32" s="311">
        <f>VLOOKUP(BJ28, $B$3:$E$109, 2, FALSE)</f>
        <v>0</v>
      </c>
      <c r="BM32" s="659" t="s">
        <v>105</v>
      </c>
      <c r="BN32" s="312">
        <f>VLOOKUP(BJ28, $B$3:$E$109, 3, FALSE)</f>
        <v>0</v>
      </c>
      <c r="BO32" s="660" t="s">
        <v>105</v>
      </c>
      <c r="BP32" s="309">
        <f>SUM(BL32,BN32)</f>
        <v>0</v>
      </c>
    </row>
    <row r="33" spans="2:68" ht="12.75" customHeight="1">
      <c r="B33" s="278">
        <v>42550</v>
      </c>
      <c r="G33" s="150">
        <f>C33+D33</f>
        <v>0</v>
      </c>
      <c r="H33" s="150">
        <f>E33+F33</f>
        <v>0</v>
      </c>
      <c r="K33" s="700" t="s">
        <v>157</v>
      </c>
      <c r="L33" s="701"/>
      <c r="M33" s="660"/>
      <c r="N33" s="305"/>
      <c r="O33" s="659"/>
      <c r="P33" s="305"/>
      <c r="Q33" s="660"/>
      <c r="R33" s="305"/>
      <c r="S33" s="156"/>
      <c r="T33" s="300"/>
      <c r="U33" s="700" t="s">
        <v>157</v>
      </c>
      <c r="V33" s="701"/>
      <c r="W33" s="660"/>
      <c r="X33" s="305"/>
      <c r="Y33" s="659"/>
      <c r="Z33" s="305"/>
      <c r="AA33" s="660"/>
      <c r="AB33" s="305"/>
      <c r="AD33" s="300"/>
      <c r="AE33" s="700" t="s">
        <v>157</v>
      </c>
      <c r="AF33" s="701"/>
      <c r="AG33" s="660"/>
      <c r="AH33" s="305"/>
      <c r="AI33" s="659"/>
      <c r="AJ33" s="305"/>
      <c r="AK33" s="660"/>
      <c r="AL33" s="305"/>
      <c r="AN33" s="300"/>
      <c r="AO33" s="700" t="s">
        <v>157</v>
      </c>
      <c r="AP33" s="701"/>
      <c r="AQ33" s="660"/>
      <c r="AR33" s="305"/>
      <c r="AS33" s="659"/>
      <c r="AT33" s="305"/>
      <c r="AU33" s="660"/>
      <c r="AV33" s="305"/>
      <c r="AX33" s="300"/>
      <c r="AY33" s="700" t="s">
        <v>157</v>
      </c>
      <c r="AZ33" s="701"/>
      <c r="BA33" s="660"/>
      <c r="BB33" s="305"/>
      <c r="BC33" s="659"/>
      <c r="BD33" s="305"/>
      <c r="BE33" s="660"/>
      <c r="BF33" s="305"/>
      <c r="BH33" s="300"/>
      <c r="BI33" s="700" t="s">
        <v>157</v>
      </c>
      <c r="BJ33" s="701"/>
      <c r="BK33" s="660"/>
      <c r="BL33" s="305"/>
      <c r="BM33" s="659"/>
      <c r="BN33" s="305"/>
      <c r="BO33" s="660"/>
      <c r="BP33" s="305"/>
    </row>
    <row r="34" spans="2:68" ht="15.75">
      <c r="B34" s="278">
        <v>42551</v>
      </c>
      <c r="G34" s="150">
        <f>C34+D34</f>
        <v>0</v>
      </c>
      <c r="H34" s="150">
        <f>E34+F34</f>
        <v>0</v>
      </c>
      <c r="K34" s="384"/>
      <c r="L34" s="314">
        <f>R30*13</f>
        <v>0</v>
      </c>
      <c r="M34" s="425"/>
      <c r="N34" s="305"/>
      <c r="O34" s="316"/>
      <c r="P34" s="305"/>
      <c r="Q34" s="426"/>
      <c r="R34" s="305"/>
      <c r="S34" s="156"/>
      <c r="T34" s="300"/>
      <c r="U34" s="384"/>
      <c r="V34" s="314">
        <f>AB30*13</f>
        <v>0</v>
      </c>
      <c r="W34" s="425"/>
      <c r="X34" s="305"/>
      <c r="Y34" s="316"/>
      <c r="Z34" s="305"/>
      <c r="AA34" s="426"/>
      <c r="AB34" s="305"/>
      <c r="AD34" s="300"/>
      <c r="AE34" s="384"/>
      <c r="AF34" s="314">
        <f>AL30*13</f>
        <v>0</v>
      </c>
      <c r="AG34" s="425"/>
      <c r="AH34" s="305"/>
      <c r="AI34" s="316"/>
      <c r="AJ34" s="305"/>
      <c r="AK34" s="426"/>
      <c r="AL34" s="305"/>
      <c r="AN34" s="300"/>
      <c r="AO34" s="384"/>
      <c r="AP34" s="314">
        <f>AV30*13</f>
        <v>0</v>
      </c>
      <c r="AQ34" s="425"/>
      <c r="AR34" s="305"/>
      <c r="AS34" s="316"/>
      <c r="AT34" s="305"/>
      <c r="AU34" s="426"/>
      <c r="AV34" s="305"/>
      <c r="AX34" s="300"/>
      <c r="AY34" s="384"/>
      <c r="AZ34" s="314">
        <f>BF30*13</f>
        <v>0</v>
      </c>
      <c r="BA34" s="425"/>
      <c r="BB34" s="305"/>
      <c r="BC34" s="316"/>
      <c r="BD34" s="305"/>
      <c r="BE34" s="426"/>
      <c r="BF34" s="305"/>
      <c r="BH34" s="300"/>
      <c r="BI34" s="384"/>
      <c r="BJ34" s="314">
        <f>BP30*13</f>
        <v>0</v>
      </c>
      <c r="BK34" s="425"/>
      <c r="BL34" s="305"/>
      <c r="BM34" s="316"/>
      <c r="BN34" s="305"/>
      <c r="BO34" s="426"/>
      <c r="BP34" s="305"/>
    </row>
    <row r="35" spans="2:68" ht="18.75">
      <c r="B35" s="278">
        <v>42552</v>
      </c>
      <c r="G35" s="150">
        <f>C35+D35</f>
        <v>0</v>
      </c>
      <c r="H35" s="150">
        <f>E35+F35</f>
        <v>0</v>
      </c>
      <c r="K35" s="304"/>
      <c r="L35" s="385"/>
      <c r="M35" s="286" t="s">
        <v>97</v>
      </c>
      <c r="N35" s="287" t="e">
        <f>N32/((N30*EFFICIENCY!$H$28))</f>
        <v>#DIV/0!</v>
      </c>
      <c r="O35" s="286" t="s">
        <v>97</v>
      </c>
      <c r="P35" s="287" t="e">
        <f>P32/(P30*EFFICIENCY!$H$28)</f>
        <v>#DIV/0!</v>
      </c>
      <c r="Q35" s="286" t="s">
        <v>97</v>
      </c>
      <c r="R35" s="287" t="e">
        <f>R32/(R30*EFFICIENCY!$H$28)</f>
        <v>#DIV/0!</v>
      </c>
      <c r="S35" s="295"/>
      <c r="T35" s="300"/>
      <c r="U35" s="304"/>
      <c r="V35" s="385"/>
      <c r="W35" s="286" t="s">
        <v>97</v>
      </c>
      <c r="X35" s="287" t="e">
        <f>X32/((X30*EFFICIENCY!$H$28))</f>
        <v>#DIV/0!</v>
      </c>
      <c r="Y35" s="286" t="s">
        <v>97</v>
      </c>
      <c r="Z35" s="287" t="e">
        <f>Z32/(Z30*EFFICIENCY!$H$28)</f>
        <v>#DIV/0!</v>
      </c>
      <c r="AA35" s="286" t="s">
        <v>97</v>
      </c>
      <c r="AB35" s="287" t="e">
        <f>AB32/(AB30*EFFICIENCY!$H$28)</f>
        <v>#DIV/0!</v>
      </c>
      <c r="AD35" s="300"/>
      <c r="AE35" s="304"/>
      <c r="AF35" s="385"/>
      <c r="AG35" s="286" t="s">
        <v>97</v>
      </c>
      <c r="AH35" s="287" t="e">
        <f>AH32/((AH30*EFFICIENCY!$H$28))</f>
        <v>#DIV/0!</v>
      </c>
      <c r="AI35" s="286" t="s">
        <v>97</v>
      </c>
      <c r="AJ35" s="287" t="e">
        <f>AJ32/(AJ30*EFFICIENCY!$H$28)</f>
        <v>#DIV/0!</v>
      </c>
      <c r="AK35" s="286" t="s">
        <v>97</v>
      </c>
      <c r="AL35" s="287" t="e">
        <f>AL32/(AL30*EFFICIENCY!$H$28)</f>
        <v>#DIV/0!</v>
      </c>
      <c r="AN35" s="300"/>
      <c r="AO35" s="304"/>
      <c r="AP35" s="385"/>
      <c r="AQ35" s="286" t="s">
        <v>97</v>
      </c>
      <c r="AR35" s="287" t="e">
        <f>AR32/((AR30*EFFICIENCY!$H$28))</f>
        <v>#DIV/0!</v>
      </c>
      <c r="AS35" s="286" t="s">
        <v>97</v>
      </c>
      <c r="AT35" s="287" t="e">
        <f>AT32/(AT30*EFFICIENCY!$H$28)</f>
        <v>#DIV/0!</v>
      </c>
      <c r="AU35" s="286" t="s">
        <v>97</v>
      </c>
      <c r="AV35" s="287" t="e">
        <f>AV32/(AV30*EFFICIENCY!$H$28)</f>
        <v>#DIV/0!</v>
      </c>
      <c r="AX35" s="300"/>
      <c r="AY35" s="304"/>
      <c r="AZ35" s="385"/>
      <c r="BA35" s="286" t="s">
        <v>97</v>
      </c>
      <c r="BB35" s="287" t="e">
        <f>BB32/((BB30*EFFICIENCY!$H$28))</f>
        <v>#DIV/0!</v>
      </c>
      <c r="BC35" s="286" t="s">
        <v>97</v>
      </c>
      <c r="BD35" s="287" t="e">
        <f>BD32/(BD30*EFFICIENCY!$H$28)</f>
        <v>#DIV/0!</v>
      </c>
      <c r="BE35" s="286" t="s">
        <v>97</v>
      </c>
      <c r="BF35" s="287" t="e">
        <f>BF32/(BF30*EFFICIENCY!$H$28)</f>
        <v>#DIV/0!</v>
      </c>
      <c r="BH35" s="300"/>
      <c r="BI35" s="304"/>
      <c r="BJ35" s="385"/>
      <c r="BK35" s="286" t="s">
        <v>97</v>
      </c>
      <c r="BL35" s="287" t="e">
        <f>BL32/((BL30*EFFICIENCY!$H$28))</f>
        <v>#DIV/0!</v>
      </c>
      <c r="BM35" s="286" t="s">
        <v>97</v>
      </c>
      <c r="BN35" s="287" t="e">
        <f>BN32/(BN30*EFFICIENCY!$H$28)</f>
        <v>#DIV/0!</v>
      </c>
      <c r="BO35" s="286" t="s">
        <v>97</v>
      </c>
      <c r="BP35" s="287" t="e">
        <f>BP32/(BP30*EFFICIENCY!$H$28)</f>
        <v>#DIV/0!</v>
      </c>
    </row>
    <row r="36" spans="2:68" ht="18.75">
      <c r="B36" s="278">
        <v>42553</v>
      </c>
      <c r="G36" s="150">
        <f>C36+D36</f>
        <v>0</v>
      </c>
      <c r="H36" s="150">
        <f>E36+F36</f>
        <v>0</v>
      </c>
      <c r="K36" s="304"/>
      <c r="L36" s="303"/>
      <c r="M36" s="280" t="s">
        <v>96</v>
      </c>
      <c r="N36" s="281" t="e">
        <f>N32/(N30*EFFICIENCY!$I$28)</f>
        <v>#DIV/0!</v>
      </c>
      <c r="O36" s="280" t="s">
        <v>96</v>
      </c>
      <c r="P36" s="281" t="e">
        <f>P32/(P30*EFFICIENCY!$I$28)</f>
        <v>#DIV/0!</v>
      </c>
      <c r="Q36" s="280" t="s">
        <v>96</v>
      </c>
      <c r="R36" s="281" t="e">
        <f>R32/(R30*EFFICIENCY!$I$28)</f>
        <v>#DIV/0!</v>
      </c>
      <c r="S36" s="296"/>
      <c r="T36" s="300"/>
      <c r="U36" s="304"/>
      <c r="V36" s="303"/>
      <c r="W36" s="280" t="s">
        <v>96</v>
      </c>
      <c r="X36" s="281" t="e">
        <f>X32/(X30*EFFICIENCY!$I$28)</f>
        <v>#DIV/0!</v>
      </c>
      <c r="Y36" s="280" t="s">
        <v>96</v>
      </c>
      <c r="Z36" s="281" t="e">
        <f>Z32/(Z30*EFFICIENCY!$I$28)</f>
        <v>#DIV/0!</v>
      </c>
      <c r="AA36" s="280" t="s">
        <v>96</v>
      </c>
      <c r="AB36" s="281" t="e">
        <f>AB32/(AB30*EFFICIENCY!$I$28)</f>
        <v>#DIV/0!</v>
      </c>
      <c r="AD36" s="300"/>
      <c r="AE36" s="304"/>
      <c r="AF36" s="303"/>
      <c r="AG36" s="280" t="s">
        <v>96</v>
      </c>
      <c r="AH36" s="281" t="e">
        <f>AH32/(AH30*EFFICIENCY!$I$28)</f>
        <v>#DIV/0!</v>
      </c>
      <c r="AI36" s="280" t="s">
        <v>96</v>
      </c>
      <c r="AJ36" s="281" t="e">
        <f>AJ32/(AJ30*EFFICIENCY!$I$28)</f>
        <v>#DIV/0!</v>
      </c>
      <c r="AK36" s="280" t="s">
        <v>96</v>
      </c>
      <c r="AL36" s="281" t="e">
        <f>AL32/(AL30*EFFICIENCY!$I$28)</f>
        <v>#DIV/0!</v>
      </c>
      <c r="AN36" s="300"/>
      <c r="AO36" s="304"/>
      <c r="AP36" s="303"/>
      <c r="AQ36" s="280" t="s">
        <v>96</v>
      </c>
      <c r="AR36" s="281" t="e">
        <f>AR32/(AR30*EFFICIENCY!$I$28)</f>
        <v>#DIV/0!</v>
      </c>
      <c r="AS36" s="280" t="s">
        <v>96</v>
      </c>
      <c r="AT36" s="281" t="e">
        <f>AT32/(AT30*EFFICIENCY!$I$28)</f>
        <v>#DIV/0!</v>
      </c>
      <c r="AU36" s="280" t="s">
        <v>96</v>
      </c>
      <c r="AV36" s="281" t="e">
        <f>AV32/(AV30*EFFICIENCY!$I$28)</f>
        <v>#DIV/0!</v>
      </c>
      <c r="AX36" s="300"/>
      <c r="AY36" s="304"/>
      <c r="AZ36" s="303"/>
      <c r="BA36" s="280" t="s">
        <v>96</v>
      </c>
      <c r="BB36" s="281" t="e">
        <f>BB32/(BB30*EFFICIENCY!$I$28)</f>
        <v>#DIV/0!</v>
      </c>
      <c r="BC36" s="280" t="s">
        <v>96</v>
      </c>
      <c r="BD36" s="281" t="e">
        <f>BD32/(BD30*EFFICIENCY!$I$28)</f>
        <v>#DIV/0!</v>
      </c>
      <c r="BE36" s="280" t="s">
        <v>96</v>
      </c>
      <c r="BF36" s="281" t="e">
        <f>BF32/(BF30*EFFICIENCY!$I$28)</f>
        <v>#DIV/0!</v>
      </c>
      <c r="BH36" s="300"/>
      <c r="BI36" s="304"/>
      <c r="BJ36" s="303"/>
      <c r="BK36" s="280" t="s">
        <v>96</v>
      </c>
      <c r="BL36" s="281" t="e">
        <f>BL32/(BL30*EFFICIENCY!$I$28)</f>
        <v>#DIV/0!</v>
      </c>
      <c r="BM36" s="280" t="s">
        <v>96</v>
      </c>
      <c r="BN36" s="281" t="e">
        <f>BN32/(BN30*EFFICIENCY!$I$28)</f>
        <v>#DIV/0!</v>
      </c>
      <c r="BO36" s="280" t="s">
        <v>96</v>
      </c>
      <c r="BP36" s="281" t="e">
        <f>BP32/(BP30*EFFICIENCY!$I$28)</f>
        <v>#DIV/0!</v>
      </c>
    </row>
    <row r="37" spans="2:68" ht="19.5" customHeight="1" thickBot="1">
      <c r="B37" s="278"/>
      <c r="K37" s="696" t="s">
        <v>156</v>
      </c>
      <c r="L37" s="697"/>
      <c r="M37" s="284" t="s">
        <v>94</v>
      </c>
      <c r="N37" s="285" t="e">
        <f>N32/((N30*EFFICIENCY!$K$28))</f>
        <v>#DIV/0!</v>
      </c>
      <c r="O37" s="288" t="s">
        <v>94</v>
      </c>
      <c r="P37" s="285" t="e">
        <f>P32/((P30*EFFICIENCY!$K$28))</f>
        <v>#DIV/0!</v>
      </c>
      <c r="Q37" s="284" t="s">
        <v>94</v>
      </c>
      <c r="R37" s="285" t="e">
        <f>R32/((R30*EFFICIENCY!$K$28))</f>
        <v>#DIV/0!</v>
      </c>
      <c r="S37" s="297"/>
      <c r="T37" s="300"/>
      <c r="U37" s="696" t="s">
        <v>156</v>
      </c>
      <c r="V37" s="697"/>
      <c r="W37" s="284" t="s">
        <v>94</v>
      </c>
      <c r="X37" s="285" t="e">
        <f>X32/((X30*EFFICIENCY!$K$28))</f>
        <v>#DIV/0!</v>
      </c>
      <c r="Y37" s="288" t="s">
        <v>94</v>
      </c>
      <c r="Z37" s="285" t="e">
        <f>Z32/((Z30*EFFICIENCY!$K$28))</f>
        <v>#DIV/0!</v>
      </c>
      <c r="AA37" s="284" t="s">
        <v>94</v>
      </c>
      <c r="AB37" s="285" t="e">
        <f>AB32/((AB30*EFFICIENCY!$K$28))</f>
        <v>#DIV/0!</v>
      </c>
      <c r="AD37" s="300"/>
      <c r="AE37" s="696" t="s">
        <v>156</v>
      </c>
      <c r="AF37" s="697"/>
      <c r="AG37" s="284" t="s">
        <v>94</v>
      </c>
      <c r="AH37" s="285" t="e">
        <f>AH32/((AH30*EFFICIENCY!$K$28))</f>
        <v>#DIV/0!</v>
      </c>
      <c r="AI37" s="288" t="s">
        <v>94</v>
      </c>
      <c r="AJ37" s="285" t="e">
        <f>AJ32/((AJ30*EFFICIENCY!$K$28))</f>
        <v>#DIV/0!</v>
      </c>
      <c r="AK37" s="284" t="s">
        <v>94</v>
      </c>
      <c r="AL37" s="285" t="e">
        <f>AL32/((AL30*EFFICIENCY!$K$28))</f>
        <v>#DIV/0!</v>
      </c>
      <c r="AN37" s="300"/>
      <c r="AO37" s="696" t="s">
        <v>156</v>
      </c>
      <c r="AP37" s="697"/>
      <c r="AQ37" s="284" t="s">
        <v>94</v>
      </c>
      <c r="AR37" s="285" t="e">
        <f>AR32/((AR30*EFFICIENCY!$K$28))</f>
        <v>#DIV/0!</v>
      </c>
      <c r="AS37" s="288" t="s">
        <v>94</v>
      </c>
      <c r="AT37" s="285" t="e">
        <f>AT32/((AT30*EFFICIENCY!$K$28))</f>
        <v>#DIV/0!</v>
      </c>
      <c r="AU37" s="284" t="s">
        <v>94</v>
      </c>
      <c r="AV37" s="285" t="e">
        <f>AV32/((AV30*EFFICIENCY!$K$28))</f>
        <v>#DIV/0!</v>
      </c>
      <c r="AX37" s="300"/>
      <c r="AY37" s="696" t="s">
        <v>156</v>
      </c>
      <c r="AZ37" s="697"/>
      <c r="BA37" s="284" t="s">
        <v>94</v>
      </c>
      <c r="BB37" s="285" t="e">
        <f>BB32/((BB30*EFFICIENCY!$K$28))</f>
        <v>#DIV/0!</v>
      </c>
      <c r="BC37" s="288" t="s">
        <v>94</v>
      </c>
      <c r="BD37" s="285" t="e">
        <f>BD32/((BD30*EFFICIENCY!$K$28))</f>
        <v>#DIV/0!</v>
      </c>
      <c r="BE37" s="284" t="s">
        <v>94</v>
      </c>
      <c r="BF37" s="285" t="e">
        <f>BF32/((BF30*EFFICIENCY!$K$28))</f>
        <v>#DIV/0!</v>
      </c>
      <c r="BH37" s="300"/>
      <c r="BI37" s="696" t="s">
        <v>156</v>
      </c>
      <c r="BJ37" s="697"/>
      <c r="BK37" s="284" t="s">
        <v>94</v>
      </c>
      <c r="BL37" s="285" t="e">
        <f>BL32/((BL30*EFFICIENCY!$K$28))</f>
        <v>#DIV/0!</v>
      </c>
      <c r="BM37" s="288" t="s">
        <v>94</v>
      </c>
      <c r="BN37" s="285" t="e">
        <f>BN32/((BN30*EFFICIENCY!$K$28))</f>
        <v>#DIV/0!</v>
      </c>
      <c r="BO37" s="284" t="s">
        <v>94</v>
      </c>
      <c r="BP37" s="285" t="e">
        <f>BP32/((BP30*EFFICIENCY!$K$28))</f>
        <v>#DIV/0!</v>
      </c>
    </row>
    <row r="38" spans="2:68" ht="16.5" thickBot="1">
      <c r="K38" s="386"/>
      <c r="L38" s="387" t="e">
        <f>R32/R30</f>
        <v>#DIV/0!</v>
      </c>
      <c r="M38" s="637" t="s">
        <v>153</v>
      </c>
      <c r="N38" s="638"/>
      <c r="O38" s="290"/>
      <c r="P38" s="421"/>
      <c r="Q38" s="421" t="s">
        <v>154</v>
      </c>
      <c r="R38" s="319">
        <f>O38-R32</f>
        <v>0</v>
      </c>
      <c r="S38" s="298"/>
      <c r="T38" s="300"/>
      <c r="U38" s="386"/>
      <c r="V38" s="387" t="e">
        <f>AB32/AB30</f>
        <v>#DIV/0!</v>
      </c>
      <c r="W38" s="637" t="s">
        <v>153</v>
      </c>
      <c r="X38" s="638"/>
      <c r="Y38" s="290"/>
      <c r="Z38" s="421"/>
      <c r="AA38" s="421" t="s">
        <v>154</v>
      </c>
      <c r="AB38" s="319">
        <f>Y38-AB32</f>
        <v>0</v>
      </c>
      <c r="AD38" s="300"/>
      <c r="AE38" s="386"/>
      <c r="AF38" s="387" t="e">
        <f>AL32/AL30</f>
        <v>#DIV/0!</v>
      </c>
      <c r="AG38" s="637" t="s">
        <v>153</v>
      </c>
      <c r="AH38" s="638"/>
      <c r="AI38" s="290"/>
      <c r="AJ38" s="421"/>
      <c r="AK38" s="421" t="s">
        <v>154</v>
      </c>
      <c r="AL38" s="319">
        <f>AI38-AL32</f>
        <v>0</v>
      </c>
      <c r="AN38" s="300"/>
      <c r="AO38" s="386"/>
      <c r="AP38" s="387" t="e">
        <f>AV32/AV30</f>
        <v>#DIV/0!</v>
      </c>
      <c r="AQ38" s="637" t="s">
        <v>153</v>
      </c>
      <c r="AR38" s="638"/>
      <c r="AS38" s="290"/>
      <c r="AT38" s="421"/>
      <c r="AU38" s="421" t="s">
        <v>154</v>
      </c>
      <c r="AV38" s="319">
        <f>AS38-AV32</f>
        <v>0</v>
      </c>
      <c r="AX38" s="300"/>
      <c r="AY38" s="386"/>
      <c r="AZ38" s="387" t="e">
        <f>BF32/BF30</f>
        <v>#DIV/0!</v>
      </c>
      <c r="BA38" s="637" t="s">
        <v>153</v>
      </c>
      <c r="BB38" s="638"/>
      <c r="BC38" s="290"/>
      <c r="BD38" s="421"/>
      <c r="BE38" s="421" t="s">
        <v>154</v>
      </c>
      <c r="BF38" s="319">
        <f>BC38-BF32</f>
        <v>0</v>
      </c>
      <c r="BH38" s="300"/>
      <c r="BI38" s="386"/>
      <c r="BJ38" s="387" t="e">
        <f>BP32/BP30</f>
        <v>#DIV/0!</v>
      </c>
      <c r="BK38" s="637" t="s">
        <v>153</v>
      </c>
      <c r="BL38" s="638"/>
      <c r="BM38" s="290"/>
      <c r="BN38" s="421"/>
      <c r="BO38" s="421" t="s">
        <v>154</v>
      </c>
      <c r="BP38" s="319">
        <f>BM38-BP32</f>
        <v>0</v>
      </c>
    </row>
    <row r="39" spans="2:68">
      <c r="T39" s="300"/>
      <c r="AD39" s="300"/>
      <c r="AN39" s="300"/>
      <c r="AX39" s="300"/>
      <c r="BH39" s="300"/>
    </row>
    <row r="40" spans="2:68" ht="13.5" thickBot="1">
      <c r="K40" s="291"/>
      <c r="L40" s="291"/>
      <c r="M40" s="291"/>
      <c r="N40" s="291"/>
      <c r="O40" s="291"/>
      <c r="P40" s="291"/>
      <c r="Q40" s="291"/>
      <c r="R40" s="291"/>
      <c r="S40" s="299"/>
      <c r="T40" s="301"/>
      <c r="U40" s="291"/>
      <c r="V40" s="291"/>
      <c r="W40" s="291"/>
      <c r="X40" s="291"/>
      <c r="Y40" s="291"/>
      <c r="Z40" s="291"/>
      <c r="AA40" s="291"/>
      <c r="AB40" s="291"/>
      <c r="AC40" s="291"/>
      <c r="AD40" s="301"/>
      <c r="AE40" s="291"/>
      <c r="AF40" s="291"/>
      <c r="AG40" s="291"/>
      <c r="AH40" s="291"/>
      <c r="AI40" s="291"/>
      <c r="AJ40" s="291"/>
      <c r="AK40" s="291"/>
      <c r="AL40" s="291"/>
      <c r="AM40" s="291"/>
      <c r="AN40" s="301"/>
      <c r="AO40" s="291"/>
      <c r="AP40" s="291"/>
      <c r="AQ40" s="291"/>
      <c r="AR40" s="291"/>
      <c r="AS40" s="291"/>
      <c r="AT40" s="291"/>
      <c r="AU40" s="291"/>
      <c r="AV40" s="291"/>
      <c r="AW40" s="291"/>
      <c r="AX40" s="301"/>
      <c r="AY40" s="291"/>
      <c r="AZ40" s="291"/>
      <c r="BA40" s="291"/>
      <c r="BB40" s="291"/>
      <c r="BC40" s="291"/>
      <c r="BD40" s="291"/>
      <c r="BE40" s="291"/>
      <c r="BF40" s="291"/>
      <c r="BG40" s="291"/>
      <c r="BH40" s="301"/>
      <c r="BI40" s="291"/>
      <c r="BJ40" s="291"/>
      <c r="BK40" s="291"/>
      <c r="BL40" s="291"/>
      <c r="BM40" s="291"/>
      <c r="BN40" s="291"/>
      <c r="BO40" s="291"/>
      <c r="BP40" s="291"/>
    </row>
    <row r="41" spans="2:68" ht="15.75" thickBot="1">
      <c r="K41" s="388" t="s">
        <v>7</v>
      </c>
      <c r="L41" s="535">
        <f>B24</f>
        <v>42541</v>
      </c>
      <c r="M41" s="639" t="s">
        <v>100</v>
      </c>
      <c r="N41" s="640"/>
      <c r="O41" s="641" t="s">
        <v>99</v>
      </c>
      <c r="P41" s="642"/>
      <c r="Q41" s="643" t="s">
        <v>16</v>
      </c>
      <c r="R41" s="644"/>
      <c r="S41" s="293"/>
      <c r="T41" s="300"/>
      <c r="U41" s="388" t="s">
        <v>7</v>
      </c>
      <c r="V41" s="535">
        <f>B25</f>
        <v>42542</v>
      </c>
      <c r="W41" s="639" t="s">
        <v>100</v>
      </c>
      <c r="X41" s="640"/>
      <c r="Y41" s="641" t="s">
        <v>99</v>
      </c>
      <c r="Z41" s="642"/>
      <c r="AA41" s="643" t="s">
        <v>16</v>
      </c>
      <c r="AB41" s="644"/>
      <c r="AC41" s="154"/>
      <c r="AD41" s="300"/>
      <c r="AE41" s="388" t="s">
        <v>7</v>
      </c>
      <c r="AF41" s="535">
        <f>B26</f>
        <v>42543</v>
      </c>
      <c r="AG41" s="639" t="s">
        <v>100</v>
      </c>
      <c r="AH41" s="640"/>
      <c r="AI41" s="641" t="s">
        <v>99</v>
      </c>
      <c r="AJ41" s="642"/>
      <c r="AK41" s="643" t="s">
        <v>16</v>
      </c>
      <c r="AL41" s="644"/>
      <c r="AM41" s="154"/>
      <c r="AN41" s="300"/>
      <c r="AO41" s="388" t="s">
        <v>7</v>
      </c>
      <c r="AP41" s="535">
        <f>B27</f>
        <v>42544</v>
      </c>
      <c r="AQ41" s="639" t="s">
        <v>100</v>
      </c>
      <c r="AR41" s="640"/>
      <c r="AS41" s="641" t="s">
        <v>99</v>
      </c>
      <c r="AT41" s="642"/>
      <c r="AU41" s="643" t="s">
        <v>16</v>
      </c>
      <c r="AV41" s="644"/>
      <c r="AW41" s="154"/>
      <c r="AX41" s="300"/>
      <c r="AY41" s="388" t="s">
        <v>7</v>
      </c>
      <c r="AZ41" s="535">
        <f>B28</f>
        <v>42545</v>
      </c>
      <c r="BA41" s="639" t="s">
        <v>100</v>
      </c>
      <c r="BB41" s="640"/>
      <c r="BC41" s="641" t="s">
        <v>99</v>
      </c>
      <c r="BD41" s="642"/>
      <c r="BE41" s="643" t="s">
        <v>16</v>
      </c>
      <c r="BF41" s="644"/>
      <c r="BG41" s="154"/>
      <c r="BH41" s="300"/>
      <c r="BI41" s="388" t="s">
        <v>7</v>
      </c>
      <c r="BJ41" s="535">
        <f>B29</f>
        <v>42546</v>
      </c>
      <c r="BK41" s="639" t="s">
        <v>100</v>
      </c>
      <c r="BL41" s="640"/>
      <c r="BM41" s="641" t="s">
        <v>99</v>
      </c>
      <c r="BN41" s="642"/>
      <c r="BO41" s="643" t="s">
        <v>16</v>
      </c>
      <c r="BP41" s="644"/>
    </row>
    <row r="42" spans="2:68" ht="13.5" thickBot="1">
      <c r="K42" s="321"/>
      <c r="L42" s="320"/>
      <c r="M42" s="321"/>
      <c r="N42" s="322"/>
      <c r="O42" s="321"/>
      <c r="P42" s="322"/>
      <c r="Q42" s="320"/>
      <c r="R42" s="322"/>
      <c r="S42" s="156"/>
      <c r="T42" s="300"/>
      <c r="U42" s="321"/>
      <c r="V42" s="320"/>
      <c r="W42" s="321"/>
      <c r="X42" s="322"/>
      <c r="Y42" s="321"/>
      <c r="Z42" s="322"/>
      <c r="AA42" s="320"/>
      <c r="AB42" s="322"/>
      <c r="AC42" s="154"/>
      <c r="AD42" s="300"/>
      <c r="AE42" s="321"/>
      <c r="AF42" s="320"/>
      <c r="AG42" s="321"/>
      <c r="AH42" s="322"/>
      <c r="AI42" s="321"/>
      <c r="AJ42" s="322"/>
      <c r="AK42" s="320"/>
      <c r="AL42" s="322"/>
      <c r="AM42" s="154"/>
      <c r="AN42" s="300"/>
      <c r="AO42" s="321"/>
      <c r="AP42" s="320"/>
      <c r="AQ42" s="321"/>
      <c r="AR42" s="322"/>
      <c r="AS42" s="321"/>
      <c r="AT42" s="322"/>
      <c r="AU42" s="320"/>
      <c r="AV42" s="322"/>
      <c r="AW42" s="154"/>
      <c r="AX42" s="300"/>
      <c r="AY42" s="321"/>
      <c r="AZ42" s="320"/>
      <c r="BA42" s="321"/>
      <c r="BB42" s="322"/>
      <c r="BC42" s="321"/>
      <c r="BD42" s="322"/>
      <c r="BE42" s="320"/>
      <c r="BF42" s="322"/>
      <c r="BG42" s="154"/>
      <c r="BH42" s="300"/>
      <c r="BI42" s="321"/>
      <c r="BJ42" s="320"/>
      <c r="BK42" s="321"/>
      <c r="BL42" s="322"/>
      <c r="BM42" s="321"/>
      <c r="BN42" s="322"/>
      <c r="BO42" s="320"/>
      <c r="BP42" s="322"/>
    </row>
    <row r="43" spans="2:68" ht="16.5" thickBot="1">
      <c r="K43" s="321"/>
      <c r="L43" s="422" t="s">
        <v>155</v>
      </c>
      <c r="M43" s="324" t="s">
        <v>103</v>
      </c>
      <c r="N43" s="279"/>
      <c r="O43" s="324" t="s">
        <v>103</v>
      </c>
      <c r="P43" s="279"/>
      <c r="Q43" s="325" t="s">
        <v>103</v>
      </c>
      <c r="R43" s="326">
        <f>SUM(N43,P43)</f>
        <v>0</v>
      </c>
      <c r="S43" s="294"/>
      <c r="T43" s="300"/>
      <c r="U43" s="321"/>
      <c r="V43" s="422" t="s">
        <v>155</v>
      </c>
      <c r="W43" s="324" t="s">
        <v>103</v>
      </c>
      <c r="X43" s="279"/>
      <c r="Y43" s="324" t="s">
        <v>103</v>
      </c>
      <c r="Z43" s="279"/>
      <c r="AA43" s="325" t="s">
        <v>103</v>
      </c>
      <c r="AB43" s="326">
        <f>SUM(X43,Z43)</f>
        <v>0</v>
      </c>
      <c r="AD43" s="300"/>
      <c r="AE43" s="321"/>
      <c r="AF43" s="422" t="s">
        <v>155</v>
      </c>
      <c r="AG43" s="324" t="s">
        <v>103</v>
      </c>
      <c r="AH43" s="279"/>
      <c r="AI43" s="324" t="s">
        <v>103</v>
      </c>
      <c r="AJ43" s="279"/>
      <c r="AK43" s="325" t="s">
        <v>103</v>
      </c>
      <c r="AL43" s="326">
        <f>SUM(AH43,AJ43)</f>
        <v>0</v>
      </c>
      <c r="AN43" s="300"/>
      <c r="AO43" s="321"/>
      <c r="AP43" s="422" t="s">
        <v>155</v>
      </c>
      <c r="AQ43" s="324" t="s">
        <v>103</v>
      </c>
      <c r="AR43" s="279"/>
      <c r="AS43" s="324" t="s">
        <v>103</v>
      </c>
      <c r="AT43" s="279"/>
      <c r="AU43" s="325" t="s">
        <v>103</v>
      </c>
      <c r="AV43" s="326">
        <f>SUM(AR43,AT43)</f>
        <v>0</v>
      </c>
      <c r="AX43" s="300"/>
      <c r="AY43" s="321"/>
      <c r="AZ43" s="422" t="s">
        <v>155</v>
      </c>
      <c r="BA43" s="324" t="s">
        <v>103</v>
      </c>
      <c r="BB43" s="279"/>
      <c r="BC43" s="324" t="s">
        <v>103</v>
      </c>
      <c r="BD43" s="279"/>
      <c r="BE43" s="325" t="s">
        <v>103</v>
      </c>
      <c r="BF43" s="326">
        <f>SUM(BB43,BD43)</f>
        <v>0</v>
      </c>
      <c r="BH43" s="300"/>
      <c r="BI43" s="321"/>
      <c r="BJ43" s="422" t="s">
        <v>155</v>
      </c>
      <c r="BK43" s="324" t="s">
        <v>103</v>
      </c>
      <c r="BL43" s="279"/>
      <c r="BM43" s="324" t="s">
        <v>103</v>
      </c>
      <c r="BN43" s="279"/>
      <c r="BO43" s="325" t="s">
        <v>103</v>
      </c>
      <c r="BP43" s="326">
        <f>SUM(BL43,BN43)</f>
        <v>0</v>
      </c>
    </row>
    <row r="44" spans="2:68" ht="18.75" thickBot="1">
      <c r="K44" s="321"/>
      <c r="L44" s="289">
        <v>8</v>
      </c>
      <c r="M44" s="327" t="s">
        <v>5</v>
      </c>
      <c r="N44" s="328">
        <f>VLOOKUP(L41, $B$3:$E$109, 4, FALSE)</f>
        <v>0</v>
      </c>
      <c r="O44" s="327" t="s">
        <v>5</v>
      </c>
      <c r="P44" s="329">
        <f>VLOOKUP(L41, $B$3:$F$109, 5, FALSE)</f>
        <v>0</v>
      </c>
      <c r="Q44" s="330" t="s">
        <v>5</v>
      </c>
      <c r="R44" s="326">
        <f>SUM(N44,P44)</f>
        <v>0</v>
      </c>
      <c r="S44" s="294"/>
      <c r="T44" s="300"/>
      <c r="U44" s="321"/>
      <c r="V44" s="289">
        <v>8</v>
      </c>
      <c r="W44" s="327" t="s">
        <v>5</v>
      </c>
      <c r="X44" s="328">
        <f>VLOOKUP(V41, $B$3:$E$109, 4, FALSE)</f>
        <v>0</v>
      </c>
      <c r="Y44" s="327" t="s">
        <v>5</v>
      </c>
      <c r="Z44" s="329">
        <f>VLOOKUP(V41, $B$3:$F$109, 5, FALSE)</f>
        <v>0</v>
      </c>
      <c r="AA44" s="330" t="s">
        <v>5</v>
      </c>
      <c r="AB44" s="326">
        <f>SUM(X44,Z44)</f>
        <v>0</v>
      </c>
      <c r="AD44" s="300"/>
      <c r="AE44" s="321"/>
      <c r="AF44" s="289">
        <v>8</v>
      </c>
      <c r="AG44" s="327" t="s">
        <v>5</v>
      </c>
      <c r="AH44" s="328">
        <f>VLOOKUP(AF41, $B$3:$E$109, 4, FALSE)</f>
        <v>0</v>
      </c>
      <c r="AI44" s="327" t="s">
        <v>5</v>
      </c>
      <c r="AJ44" s="329">
        <f>VLOOKUP(AF41, $B$3:$F$109, 5, FALSE)</f>
        <v>0</v>
      </c>
      <c r="AK44" s="330" t="s">
        <v>5</v>
      </c>
      <c r="AL44" s="326">
        <f>SUM(AH44,AJ44)</f>
        <v>0</v>
      </c>
      <c r="AN44" s="300"/>
      <c r="AO44" s="321"/>
      <c r="AP44" s="289">
        <v>8</v>
      </c>
      <c r="AQ44" s="327" t="s">
        <v>5</v>
      </c>
      <c r="AR44" s="328">
        <f>VLOOKUP(AP41, $B$3:$E$109, 4, FALSE)</f>
        <v>0</v>
      </c>
      <c r="AS44" s="327" t="s">
        <v>5</v>
      </c>
      <c r="AT44" s="329">
        <f>VLOOKUP(AP41, $B$3:$F$109, 5, FALSE)</f>
        <v>0</v>
      </c>
      <c r="AU44" s="330" t="s">
        <v>5</v>
      </c>
      <c r="AV44" s="326">
        <f>SUM(AR44,AT44)</f>
        <v>0</v>
      </c>
      <c r="AX44" s="300"/>
      <c r="AY44" s="321"/>
      <c r="AZ44" s="289">
        <v>8</v>
      </c>
      <c r="BA44" s="327" t="s">
        <v>5</v>
      </c>
      <c r="BB44" s="328">
        <f>VLOOKUP(AZ41, $B$3:$E$109, 4, FALSE)</f>
        <v>0</v>
      </c>
      <c r="BC44" s="327" t="s">
        <v>5</v>
      </c>
      <c r="BD44" s="329">
        <f>VLOOKUP(AZ41, $B$3:$F$109, 5, FALSE)</f>
        <v>0</v>
      </c>
      <c r="BE44" s="330" t="s">
        <v>5</v>
      </c>
      <c r="BF44" s="326">
        <f>SUM(BB44,BD44)</f>
        <v>0</v>
      </c>
      <c r="BH44" s="300"/>
      <c r="BI44" s="321"/>
      <c r="BJ44" s="289">
        <v>8</v>
      </c>
      <c r="BK44" s="327" t="s">
        <v>5</v>
      </c>
      <c r="BL44" s="328">
        <f>VLOOKUP(BJ41, $B$3:$E$109, 4, FALSE)</f>
        <v>0</v>
      </c>
      <c r="BM44" s="327" t="s">
        <v>5</v>
      </c>
      <c r="BN44" s="329">
        <f>VLOOKUP(BJ41, $B$3:$F$109, 5, FALSE)</f>
        <v>0</v>
      </c>
      <c r="BO44" s="330" t="s">
        <v>5</v>
      </c>
      <c r="BP44" s="326">
        <f>SUM(BL44,BN44)</f>
        <v>0</v>
      </c>
    </row>
    <row r="45" spans="2:68" ht="15.75" customHeight="1">
      <c r="K45" s="321"/>
      <c r="L45" s="320"/>
      <c r="M45" s="645" t="s">
        <v>105</v>
      </c>
      <c r="N45" s="328">
        <f>VLOOKUP(L41, $B$3:$E$109, 2, FALSE)</f>
        <v>0</v>
      </c>
      <c r="O45" s="645" t="s">
        <v>105</v>
      </c>
      <c r="P45" s="329">
        <f>VLOOKUP(L41, $B$3:$E$109, 3, FALSE)</f>
        <v>0</v>
      </c>
      <c r="Q45" s="646" t="s">
        <v>105</v>
      </c>
      <c r="R45" s="326">
        <f>SUM(N45,P45)</f>
        <v>0</v>
      </c>
      <c r="S45" s="294"/>
      <c r="T45" s="300"/>
      <c r="U45" s="321"/>
      <c r="V45" s="320"/>
      <c r="W45" s="645" t="s">
        <v>105</v>
      </c>
      <c r="X45" s="328">
        <f>VLOOKUP(V41, $B$3:$E$109, 2, FALSE)</f>
        <v>0</v>
      </c>
      <c r="Y45" s="645" t="s">
        <v>105</v>
      </c>
      <c r="Z45" s="329">
        <f>VLOOKUP(V41, $B$3:$E$109, 3, FALSE)</f>
        <v>0</v>
      </c>
      <c r="AA45" s="646" t="s">
        <v>105</v>
      </c>
      <c r="AB45" s="326">
        <f>SUM(X45,Z45)</f>
        <v>0</v>
      </c>
      <c r="AD45" s="300"/>
      <c r="AE45" s="321"/>
      <c r="AF45" s="320"/>
      <c r="AG45" s="645" t="s">
        <v>105</v>
      </c>
      <c r="AH45" s="328">
        <f>VLOOKUP(AF41, $B$3:$E$109, 2, FALSE)</f>
        <v>0</v>
      </c>
      <c r="AI45" s="645" t="s">
        <v>105</v>
      </c>
      <c r="AJ45" s="329">
        <f>VLOOKUP(AF41, $B$3:$E$109, 3, FALSE)</f>
        <v>0</v>
      </c>
      <c r="AK45" s="646" t="s">
        <v>105</v>
      </c>
      <c r="AL45" s="326">
        <f>SUM(AH45,AJ45)</f>
        <v>0</v>
      </c>
      <c r="AN45" s="300"/>
      <c r="AO45" s="321"/>
      <c r="AP45" s="320"/>
      <c r="AQ45" s="645" t="s">
        <v>105</v>
      </c>
      <c r="AR45" s="328">
        <f>VLOOKUP(AP41, $B$3:$E$109, 2, FALSE)</f>
        <v>0</v>
      </c>
      <c r="AS45" s="645" t="s">
        <v>105</v>
      </c>
      <c r="AT45" s="329">
        <f>VLOOKUP(AP41, $B$3:$E$109, 3, FALSE)</f>
        <v>0</v>
      </c>
      <c r="AU45" s="646" t="s">
        <v>105</v>
      </c>
      <c r="AV45" s="326">
        <f>SUM(AR45,AT45)</f>
        <v>0</v>
      </c>
      <c r="AX45" s="300"/>
      <c r="AY45" s="321"/>
      <c r="AZ45" s="320"/>
      <c r="BA45" s="645" t="s">
        <v>105</v>
      </c>
      <c r="BB45" s="328">
        <f>VLOOKUP(AZ41, $B$3:$E$109, 2, FALSE)</f>
        <v>0</v>
      </c>
      <c r="BC45" s="645" t="s">
        <v>105</v>
      </c>
      <c r="BD45" s="329">
        <f>VLOOKUP(AZ41, $B$3:$E$109, 3, FALSE)</f>
        <v>0</v>
      </c>
      <c r="BE45" s="646" t="s">
        <v>105</v>
      </c>
      <c r="BF45" s="326">
        <f>SUM(BB45,BD45)</f>
        <v>0</v>
      </c>
      <c r="BH45" s="300"/>
      <c r="BI45" s="321"/>
      <c r="BJ45" s="320"/>
      <c r="BK45" s="645" t="s">
        <v>105</v>
      </c>
      <c r="BL45" s="328">
        <f>VLOOKUP(BJ41, $B$3:$E$109, 2, FALSE)</f>
        <v>0</v>
      </c>
      <c r="BM45" s="645" t="s">
        <v>105</v>
      </c>
      <c r="BN45" s="329">
        <f>VLOOKUP(BJ41, $B$3:$E$109, 3, FALSE)</f>
        <v>0</v>
      </c>
      <c r="BO45" s="646" t="s">
        <v>105</v>
      </c>
      <c r="BP45" s="326">
        <f>SUM(BL45,BN45)</f>
        <v>0</v>
      </c>
    </row>
    <row r="46" spans="2:68" ht="12.75" customHeight="1">
      <c r="K46" s="702" t="s">
        <v>157</v>
      </c>
      <c r="L46" s="703"/>
      <c r="M46" s="646"/>
      <c r="N46" s="322"/>
      <c r="O46" s="645"/>
      <c r="P46" s="322"/>
      <c r="Q46" s="646"/>
      <c r="R46" s="322"/>
      <c r="S46" s="156"/>
      <c r="T46" s="300"/>
      <c r="U46" s="702" t="s">
        <v>157</v>
      </c>
      <c r="V46" s="703"/>
      <c r="W46" s="646"/>
      <c r="X46" s="322"/>
      <c r="Y46" s="645"/>
      <c r="Z46" s="322"/>
      <c r="AA46" s="646"/>
      <c r="AB46" s="322"/>
      <c r="AD46" s="300"/>
      <c r="AE46" s="702" t="s">
        <v>157</v>
      </c>
      <c r="AF46" s="703"/>
      <c r="AG46" s="646"/>
      <c r="AH46" s="322"/>
      <c r="AI46" s="645"/>
      <c r="AJ46" s="322"/>
      <c r="AK46" s="646"/>
      <c r="AL46" s="322"/>
      <c r="AN46" s="300"/>
      <c r="AO46" s="702" t="s">
        <v>157</v>
      </c>
      <c r="AP46" s="703"/>
      <c r="AQ46" s="646"/>
      <c r="AR46" s="322"/>
      <c r="AS46" s="645"/>
      <c r="AT46" s="322"/>
      <c r="AU46" s="646"/>
      <c r="AV46" s="322"/>
      <c r="AX46" s="300"/>
      <c r="AY46" s="702" t="s">
        <v>157</v>
      </c>
      <c r="AZ46" s="703"/>
      <c r="BA46" s="646"/>
      <c r="BB46" s="322"/>
      <c r="BC46" s="645"/>
      <c r="BD46" s="322"/>
      <c r="BE46" s="646"/>
      <c r="BF46" s="322"/>
      <c r="BH46" s="300"/>
      <c r="BI46" s="702" t="s">
        <v>157</v>
      </c>
      <c r="BJ46" s="703"/>
      <c r="BK46" s="646"/>
      <c r="BL46" s="322"/>
      <c r="BM46" s="645"/>
      <c r="BN46" s="322"/>
      <c r="BO46" s="646"/>
      <c r="BP46" s="322"/>
    </row>
    <row r="47" spans="2:68" ht="15.75">
      <c r="K47" s="389"/>
      <c r="L47" s="331">
        <f>R43*13</f>
        <v>0</v>
      </c>
      <c r="M47" s="423"/>
      <c r="N47" s="322"/>
      <c r="O47" s="333"/>
      <c r="P47" s="322"/>
      <c r="Q47" s="424"/>
      <c r="R47" s="322"/>
      <c r="S47" s="156"/>
      <c r="T47" s="300"/>
      <c r="U47" s="389"/>
      <c r="V47" s="331">
        <f>AB43*13</f>
        <v>0</v>
      </c>
      <c r="W47" s="423"/>
      <c r="X47" s="322"/>
      <c r="Y47" s="333"/>
      <c r="Z47" s="322"/>
      <c r="AA47" s="424"/>
      <c r="AB47" s="322"/>
      <c r="AD47" s="300"/>
      <c r="AE47" s="389"/>
      <c r="AF47" s="331">
        <f>AL43*13</f>
        <v>0</v>
      </c>
      <c r="AG47" s="423"/>
      <c r="AH47" s="322"/>
      <c r="AI47" s="333"/>
      <c r="AJ47" s="322"/>
      <c r="AK47" s="424"/>
      <c r="AL47" s="322"/>
      <c r="AN47" s="300"/>
      <c r="AO47" s="389"/>
      <c r="AP47" s="331">
        <f>AV43*13</f>
        <v>0</v>
      </c>
      <c r="AQ47" s="423"/>
      <c r="AR47" s="322"/>
      <c r="AS47" s="333"/>
      <c r="AT47" s="322"/>
      <c r="AU47" s="424"/>
      <c r="AV47" s="322"/>
      <c r="AX47" s="300"/>
      <c r="AY47" s="389"/>
      <c r="AZ47" s="331">
        <f>BF43*13</f>
        <v>0</v>
      </c>
      <c r="BA47" s="423"/>
      <c r="BB47" s="322"/>
      <c r="BC47" s="333"/>
      <c r="BD47" s="322"/>
      <c r="BE47" s="424"/>
      <c r="BF47" s="322"/>
      <c r="BH47" s="300"/>
      <c r="BI47" s="389"/>
      <c r="BJ47" s="331">
        <f>BP43*13</f>
        <v>0</v>
      </c>
      <c r="BK47" s="423"/>
      <c r="BL47" s="322"/>
      <c r="BM47" s="333"/>
      <c r="BN47" s="322"/>
      <c r="BO47" s="424"/>
      <c r="BP47" s="322"/>
    </row>
    <row r="48" spans="2:68" ht="18.75">
      <c r="K48" s="321"/>
      <c r="L48" s="390"/>
      <c r="M48" s="286" t="s">
        <v>97</v>
      </c>
      <c r="N48" s="287" t="e">
        <f>N45/((N43*EFFICIENCY!$H$28))</f>
        <v>#DIV/0!</v>
      </c>
      <c r="O48" s="286" t="s">
        <v>97</v>
      </c>
      <c r="P48" s="287" t="e">
        <f>P45/(P43*EFFICIENCY!$H$28)</f>
        <v>#DIV/0!</v>
      </c>
      <c r="Q48" s="286" t="s">
        <v>97</v>
      </c>
      <c r="R48" s="287" t="e">
        <f>R45/(R43*EFFICIENCY!$H$28)</f>
        <v>#DIV/0!</v>
      </c>
      <c r="S48" s="295"/>
      <c r="T48" s="300"/>
      <c r="U48" s="321"/>
      <c r="V48" s="390"/>
      <c r="W48" s="286" t="s">
        <v>97</v>
      </c>
      <c r="X48" s="287" t="e">
        <f>X45/((X43*EFFICIENCY!$H$28))</f>
        <v>#DIV/0!</v>
      </c>
      <c r="Y48" s="286" t="s">
        <v>97</v>
      </c>
      <c r="Z48" s="287" t="e">
        <f>Z45/(Z43*EFFICIENCY!$H$28)</f>
        <v>#DIV/0!</v>
      </c>
      <c r="AA48" s="286" t="s">
        <v>97</v>
      </c>
      <c r="AB48" s="287" t="e">
        <f>AB45/(AB43*EFFICIENCY!$H$28)</f>
        <v>#DIV/0!</v>
      </c>
      <c r="AD48" s="300"/>
      <c r="AE48" s="321"/>
      <c r="AF48" s="390"/>
      <c r="AG48" s="286" t="s">
        <v>97</v>
      </c>
      <c r="AH48" s="287" t="e">
        <f>AH45/((AH43*EFFICIENCY!$H$28))</f>
        <v>#DIV/0!</v>
      </c>
      <c r="AI48" s="286" t="s">
        <v>97</v>
      </c>
      <c r="AJ48" s="287" t="e">
        <f>AJ45/(AJ43*EFFICIENCY!$H$28)</f>
        <v>#DIV/0!</v>
      </c>
      <c r="AK48" s="286" t="s">
        <v>97</v>
      </c>
      <c r="AL48" s="287" t="e">
        <f>AL45/(AL43*EFFICIENCY!$H$28)</f>
        <v>#DIV/0!</v>
      </c>
      <c r="AN48" s="300"/>
      <c r="AO48" s="321"/>
      <c r="AP48" s="390"/>
      <c r="AQ48" s="286" t="s">
        <v>97</v>
      </c>
      <c r="AR48" s="287" t="e">
        <f>AR45/((AR43*EFFICIENCY!$H$28))</f>
        <v>#DIV/0!</v>
      </c>
      <c r="AS48" s="286" t="s">
        <v>97</v>
      </c>
      <c r="AT48" s="287" t="e">
        <f>AT45/(AT43*EFFICIENCY!$H$28)</f>
        <v>#DIV/0!</v>
      </c>
      <c r="AU48" s="286" t="s">
        <v>97</v>
      </c>
      <c r="AV48" s="287" t="e">
        <f>AV45/(AV43*EFFICIENCY!$H$28)</f>
        <v>#DIV/0!</v>
      </c>
      <c r="AX48" s="300"/>
      <c r="AY48" s="321"/>
      <c r="AZ48" s="390"/>
      <c r="BA48" s="286" t="s">
        <v>97</v>
      </c>
      <c r="BB48" s="287" t="e">
        <f>BB45/((BB43*EFFICIENCY!$H$28))</f>
        <v>#DIV/0!</v>
      </c>
      <c r="BC48" s="286" t="s">
        <v>97</v>
      </c>
      <c r="BD48" s="287" t="e">
        <f>BD45/(BD43*EFFICIENCY!$H$28)</f>
        <v>#DIV/0!</v>
      </c>
      <c r="BE48" s="286" t="s">
        <v>97</v>
      </c>
      <c r="BF48" s="287" t="e">
        <f>BF45/(BF43*EFFICIENCY!$H$28)</f>
        <v>#DIV/0!</v>
      </c>
      <c r="BH48" s="300"/>
      <c r="BI48" s="321"/>
      <c r="BJ48" s="390"/>
      <c r="BK48" s="286" t="s">
        <v>97</v>
      </c>
      <c r="BL48" s="287" t="e">
        <f>BL45/((BL43*EFFICIENCY!$H$28))</f>
        <v>#DIV/0!</v>
      </c>
      <c r="BM48" s="286" t="s">
        <v>97</v>
      </c>
      <c r="BN48" s="287" t="e">
        <f>BN45/(BN43*EFFICIENCY!$H$28)</f>
        <v>#DIV/0!</v>
      </c>
      <c r="BO48" s="286" t="s">
        <v>97</v>
      </c>
      <c r="BP48" s="287" t="e">
        <f>BP45/(BP43*EFFICIENCY!$H$28)</f>
        <v>#DIV/0!</v>
      </c>
    </row>
    <row r="49" spans="10:68" ht="18.75">
      <c r="K49" s="321"/>
      <c r="L49" s="320"/>
      <c r="M49" s="280" t="s">
        <v>96</v>
      </c>
      <c r="N49" s="281" t="e">
        <f>N45/(N43*EFFICIENCY!$I$28)</f>
        <v>#DIV/0!</v>
      </c>
      <c r="O49" s="280" t="s">
        <v>96</v>
      </c>
      <c r="P49" s="281" t="e">
        <f>P45/(P43*EFFICIENCY!$I$28)</f>
        <v>#DIV/0!</v>
      </c>
      <c r="Q49" s="280" t="s">
        <v>96</v>
      </c>
      <c r="R49" s="281" t="e">
        <f>R45/(R43*EFFICIENCY!$I$28)</f>
        <v>#DIV/0!</v>
      </c>
      <c r="S49" s="296"/>
      <c r="T49" s="300"/>
      <c r="U49" s="321"/>
      <c r="V49" s="320"/>
      <c r="W49" s="280" t="s">
        <v>96</v>
      </c>
      <c r="X49" s="281" t="e">
        <f>X45/(X43*EFFICIENCY!$I$28)</f>
        <v>#DIV/0!</v>
      </c>
      <c r="Y49" s="280" t="s">
        <v>96</v>
      </c>
      <c r="Z49" s="281" t="e">
        <f>Z45/(Z43*EFFICIENCY!$I$28)</f>
        <v>#DIV/0!</v>
      </c>
      <c r="AA49" s="280" t="s">
        <v>96</v>
      </c>
      <c r="AB49" s="281" t="e">
        <f>AB45/(AB43*EFFICIENCY!$I$28)</f>
        <v>#DIV/0!</v>
      </c>
      <c r="AD49" s="300"/>
      <c r="AE49" s="321"/>
      <c r="AF49" s="320"/>
      <c r="AG49" s="280" t="s">
        <v>96</v>
      </c>
      <c r="AH49" s="281" t="e">
        <f>AH45/(AH43*EFFICIENCY!$I$28)</f>
        <v>#DIV/0!</v>
      </c>
      <c r="AI49" s="280" t="s">
        <v>96</v>
      </c>
      <c r="AJ49" s="281" t="e">
        <f>AJ45/(AJ43*EFFICIENCY!$I$28)</f>
        <v>#DIV/0!</v>
      </c>
      <c r="AK49" s="280" t="s">
        <v>96</v>
      </c>
      <c r="AL49" s="281" t="e">
        <f>AL45/(AL43*EFFICIENCY!$I$28)</f>
        <v>#DIV/0!</v>
      </c>
      <c r="AN49" s="300"/>
      <c r="AO49" s="321"/>
      <c r="AP49" s="320"/>
      <c r="AQ49" s="280" t="s">
        <v>96</v>
      </c>
      <c r="AR49" s="281" t="e">
        <f>AR45/(AR43*EFFICIENCY!$I$28)</f>
        <v>#DIV/0!</v>
      </c>
      <c r="AS49" s="280" t="s">
        <v>96</v>
      </c>
      <c r="AT49" s="281" t="e">
        <f>AT45/(AT43*EFFICIENCY!$I$28)</f>
        <v>#DIV/0!</v>
      </c>
      <c r="AU49" s="280" t="s">
        <v>96</v>
      </c>
      <c r="AV49" s="281" t="e">
        <f>AV45/(AV43*EFFICIENCY!$I$28)</f>
        <v>#DIV/0!</v>
      </c>
      <c r="AX49" s="300"/>
      <c r="AY49" s="321"/>
      <c r="AZ49" s="320"/>
      <c r="BA49" s="280" t="s">
        <v>96</v>
      </c>
      <c r="BB49" s="281" t="e">
        <f>BB45/(BB43*EFFICIENCY!$I$28)</f>
        <v>#DIV/0!</v>
      </c>
      <c r="BC49" s="280" t="s">
        <v>96</v>
      </c>
      <c r="BD49" s="281" t="e">
        <f>BD45/(BD43*EFFICIENCY!$I$28)</f>
        <v>#DIV/0!</v>
      </c>
      <c r="BE49" s="280" t="s">
        <v>96</v>
      </c>
      <c r="BF49" s="281" t="e">
        <f>BF45/(BF43*EFFICIENCY!$I$28)</f>
        <v>#DIV/0!</v>
      </c>
      <c r="BH49" s="300"/>
      <c r="BI49" s="321"/>
      <c r="BJ49" s="320"/>
      <c r="BK49" s="280" t="s">
        <v>96</v>
      </c>
      <c r="BL49" s="281" t="e">
        <f>BL45/(BL43*EFFICIENCY!$I$28)</f>
        <v>#DIV/0!</v>
      </c>
      <c r="BM49" s="280" t="s">
        <v>96</v>
      </c>
      <c r="BN49" s="281" t="e">
        <f>BN45/(BN43*EFFICIENCY!$I$28)</f>
        <v>#DIV/0!</v>
      </c>
      <c r="BO49" s="280" t="s">
        <v>96</v>
      </c>
      <c r="BP49" s="281" t="e">
        <f>BP45/(BP43*EFFICIENCY!$I$28)</f>
        <v>#DIV/0!</v>
      </c>
    </row>
    <row r="50" spans="10:68" ht="19.5" customHeight="1" thickBot="1">
      <c r="K50" s="686" t="s">
        <v>156</v>
      </c>
      <c r="L50" s="687"/>
      <c r="M50" s="284" t="s">
        <v>94</v>
      </c>
      <c r="N50" s="285" t="e">
        <f>N45/((N43*EFFICIENCY!$K$28))</f>
        <v>#DIV/0!</v>
      </c>
      <c r="O50" s="288" t="s">
        <v>94</v>
      </c>
      <c r="P50" s="285" t="e">
        <f>P45/((P43*EFFICIENCY!$K$28))</f>
        <v>#DIV/0!</v>
      </c>
      <c r="Q50" s="284" t="s">
        <v>94</v>
      </c>
      <c r="R50" s="285" t="e">
        <f>R45/((R43*EFFICIENCY!$K$28))</f>
        <v>#DIV/0!</v>
      </c>
      <c r="S50" s="297"/>
      <c r="T50" s="300"/>
      <c r="U50" s="686" t="s">
        <v>156</v>
      </c>
      <c r="V50" s="687"/>
      <c r="W50" s="284" t="s">
        <v>94</v>
      </c>
      <c r="X50" s="285" t="e">
        <f>X45/((X43*EFFICIENCY!$K$28))</f>
        <v>#DIV/0!</v>
      </c>
      <c r="Y50" s="288" t="s">
        <v>94</v>
      </c>
      <c r="Z50" s="285" t="e">
        <f>Z45/((Z43*EFFICIENCY!$K$28))</f>
        <v>#DIV/0!</v>
      </c>
      <c r="AA50" s="284" t="s">
        <v>94</v>
      </c>
      <c r="AB50" s="285" t="e">
        <f>AB45/((AB43*EFFICIENCY!$K$28))</f>
        <v>#DIV/0!</v>
      </c>
      <c r="AD50" s="300"/>
      <c r="AE50" s="686" t="s">
        <v>156</v>
      </c>
      <c r="AF50" s="687"/>
      <c r="AG50" s="284" t="s">
        <v>94</v>
      </c>
      <c r="AH50" s="285" t="e">
        <f>AH45/((AH43*EFFICIENCY!$K$28))</f>
        <v>#DIV/0!</v>
      </c>
      <c r="AI50" s="288" t="s">
        <v>94</v>
      </c>
      <c r="AJ50" s="285" t="e">
        <f>AJ45/((AJ43*EFFICIENCY!$K$28))</f>
        <v>#DIV/0!</v>
      </c>
      <c r="AK50" s="284" t="s">
        <v>94</v>
      </c>
      <c r="AL50" s="285" t="e">
        <f>AL45/((AL43*EFFICIENCY!$K$28))</f>
        <v>#DIV/0!</v>
      </c>
      <c r="AN50" s="300"/>
      <c r="AO50" s="686" t="s">
        <v>156</v>
      </c>
      <c r="AP50" s="687"/>
      <c r="AQ50" s="284" t="s">
        <v>94</v>
      </c>
      <c r="AR50" s="285" t="e">
        <f>AR45/((AR43*EFFICIENCY!$K$28))</f>
        <v>#DIV/0!</v>
      </c>
      <c r="AS50" s="288" t="s">
        <v>94</v>
      </c>
      <c r="AT50" s="285" t="e">
        <f>AT45/((AT43*EFFICIENCY!$K$28))</f>
        <v>#DIV/0!</v>
      </c>
      <c r="AU50" s="284" t="s">
        <v>94</v>
      </c>
      <c r="AV50" s="285" t="e">
        <f>AV45/((AV43*EFFICIENCY!$K$28))</f>
        <v>#DIV/0!</v>
      </c>
      <c r="AX50" s="300"/>
      <c r="AY50" s="686" t="s">
        <v>156</v>
      </c>
      <c r="AZ50" s="687"/>
      <c r="BA50" s="284" t="s">
        <v>94</v>
      </c>
      <c r="BB50" s="285" t="e">
        <f>BB45/((BB43*EFFICIENCY!$K$28))</f>
        <v>#DIV/0!</v>
      </c>
      <c r="BC50" s="288" t="s">
        <v>94</v>
      </c>
      <c r="BD50" s="285" t="e">
        <f>BD45/((BD43*EFFICIENCY!$K$28))</f>
        <v>#DIV/0!</v>
      </c>
      <c r="BE50" s="284" t="s">
        <v>94</v>
      </c>
      <c r="BF50" s="285" t="e">
        <f>BF45/((BF43*EFFICIENCY!$K$28))</f>
        <v>#DIV/0!</v>
      </c>
      <c r="BH50" s="300"/>
      <c r="BI50" s="686" t="s">
        <v>156</v>
      </c>
      <c r="BJ50" s="687"/>
      <c r="BK50" s="284" t="s">
        <v>94</v>
      </c>
      <c r="BL50" s="285" t="e">
        <f>BL45/((BL43*EFFICIENCY!$K$28))</f>
        <v>#DIV/0!</v>
      </c>
      <c r="BM50" s="288" t="s">
        <v>94</v>
      </c>
      <c r="BN50" s="285" t="e">
        <f>BN45/((BN43*EFFICIENCY!$K$28))</f>
        <v>#DIV/0!</v>
      </c>
      <c r="BO50" s="284" t="s">
        <v>94</v>
      </c>
      <c r="BP50" s="285" t="e">
        <f>BP45/((BP43*EFFICIENCY!$K$28))</f>
        <v>#DIV/0!</v>
      </c>
    </row>
    <row r="51" spans="10:68" ht="16.5" thickBot="1">
      <c r="K51" s="391"/>
      <c r="L51" s="392" t="e">
        <f>R45/R43</f>
        <v>#DIV/0!</v>
      </c>
      <c r="M51" s="649" t="s">
        <v>153</v>
      </c>
      <c r="N51" s="650"/>
      <c r="O51" s="290"/>
      <c r="P51" s="420"/>
      <c r="Q51" s="420" t="s">
        <v>154</v>
      </c>
      <c r="R51" s="336">
        <f>O51-R45</f>
        <v>0</v>
      </c>
      <c r="S51" s="298"/>
      <c r="T51" s="300"/>
      <c r="U51" s="391"/>
      <c r="V51" s="392" t="e">
        <f>AB45/AB43</f>
        <v>#DIV/0!</v>
      </c>
      <c r="W51" s="649" t="s">
        <v>153</v>
      </c>
      <c r="X51" s="650"/>
      <c r="Y51" s="290"/>
      <c r="Z51" s="420"/>
      <c r="AA51" s="420" t="s">
        <v>154</v>
      </c>
      <c r="AB51" s="336">
        <f>Y51-AB45</f>
        <v>0</v>
      </c>
      <c r="AD51" s="300"/>
      <c r="AE51" s="391"/>
      <c r="AF51" s="392" t="e">
        <f>AL45/AL43</f>
        <v>#DIV/0!</v>
      </c>
      <c r="AG51" s="649" t="s">
        <v>153</v>
      </c>
      <c r="AH51" s="650"/>
      <c r="AI51" s="290"/>
      <c r="AJ51" s="420"/>
      <c r="AK51" s="420" t="s">
        <v>154</v>
      </c>
      <c r="AL51" s="336">
        <f>AI51-AL45</f>
        <v>0</v>
      </c>
      <c r="AN51" s="300"/>
      <c r="AO51" s="391"/>
      <c r="AP51" s="392" t="e">
        <f>AV45/AV43</f>
        <v>#DIV/0!</v>
      </c>
      <c r="AQ51" s="649" t="s">
        <v>153</v>
      </c>
      <c r="AR51" s="650"/>
      <c r="AS51" s="290"/>
      <c r="AT51" s="420"/>
      <c r="AU51" s="420" t="s">
        <v>154</v>
      </c>
      <c r="AV51" s="336">
        <f>AS51-AV45</f>
        <v>0</v>
      </c>
      <c r="AX51" s="300"/>
      <c r="AY51" s="391"/>
      <c r="AZ51" s="392" t="e">
        <f>BF45/BF43</f>
        <v>#DIV/0!</v>
      </c>
      <c r="BA51" s="649" t="s">
        <v>153</v>
      </c>
      <c r="BB51" s="650"/>
      <c r="BC51" s="290"/>
      <c r="BD51" s="420"/>
      <c r="BE51" s="420" t="s">
        <v>154</v>
      </c>
      <c r="BF51" s="336">
        <f>BC51-BF45</f>
        <v>0</v>
      </c>
      <c r="BH51" s="300"/>
      <c r="BI51" s="391"/>
      <c r="BJ51" s="392" t="e">
        <f>BP45/BP43</f>
        <v>#DIV/0!</v>
      </c>
      <c r="BK51" s="649" t="s">
        <v>153</v>
      </c>
      <c r="BL51" s="650"/>
      <c r="BM51" s="290"/>
      <c r="BN51" s="420"/>
      <c r="BO51" s="420" t="s">
        <v>154</v>
      </c>
      <c r="BP51" s="336">
        <f>BM51-BP45</f>
        <v>0</v>
      </c>
    </row>
    <row r="52" spans="10:68">
      <c r="T52" s="300"/>
      <c r="AD52" s="300"/>
      <c r="AN52" s="300"/>
      <c r="AX52" s="300"/>
      <c r="BH52" s="300"/>
    </row>
    <row r="53" spans="10:68" ht="13.5" thickBot="1">
      <c r="J53" s="291"/>
      <c r="K53" s="291"/>
      <c r="L53" s="291"/>
      <c r="M53" s="291"/>
      <c r="N53" s="291"/>
      <c r="O53" s="291"/>
      <c r="P53" s="291"/>
      <c r="Q53" s="291"/>
      <c r="R53" s="291"/>
      <c r="S53" s="299"/>
      <c r="T53" s="301"/>
      <c r="U53" s="291"/>
      <c r="V53" s="291"/>
      <c r="W53" s="291"/>
      <c r="X53" s="291"/>
      <c r="Y53" s="291"/>
      <c r="Z53" s="291"/>
      <c r="AA53" s="291"/>
      <c r="AB53" s="291"/>
      <c r="AC53" s="291"/>
      <c r="AD53" s="301"/>
      <c r="AE53" s="291"/>
      <c r="AF53" s="291"/>
      <c r="AG53" s="291"/>
      <c r="AH53" s="291"/>
      <c r="AI53" s="291"/>
      <c r="AJ53" s="291"/>
      <c r="AK53" s="291"/>
      <c r="AL53" s="291"/>
      <c r="AM53" s="291"/>
      <c r="AN53" s="301"/>
      <c r="AO53" s="291"/>
      <c r="AP53" s="291"/>
      <c r="AQ53" s="291"/>
      <c r="AR53" s="291"/>
      <c r="AS53" s="291"/>
      <c r="AT53" s="291"/>
      <c r="AU53" s="291"/>
      <c r="AV53" s="291"/>
      <c r="AW53" s="291"/>
      <c r="AX53" s="301"/>
      <c r="AY53" s="291"/>
      <c r="AZ53" s="291"/>
      <c r="BA53" s="291"/>
      <c r="BB53" s="291"/>
      <c r="BC53" s="291"/>
      <c r="BD53" s="291"/>
      <c r="BE53" s="291"/>
      <c r="BF53" s="291"/>
      <c r="BG53" s="291"/>
      <c r="BH53" s="301"/>
      <c r="BI53" s="291"/>
      <c r="BJ53" s="291"/>
      <c r="BK53" s="291"/>
      <c r="BL53" s="291"/>
      <c r="BM53" s="291"/>
      <c r="BN53" s="291"/>
      <c r="BO53" s="291"/>
      <c r="BP53" s="291"/>
    </row>
    <row r="54" spans="10:68" ht="15.75" thickBot="1">
      <c r="J54" s="154"/>
      <c r="K54" s="409" t="s">
        <v>7</v>
      </c>
      <c r="L54" s="536">
        <f>B31</f>
        <v>42548</v>
      </c>
      <c r="M54" s="651" t="s">
        <v>100</v>
      </c>
      <c r="N54" s="652"/>
      <c r="O54" s="653" t="s">
        <v>99</v>
      </c>
      <c r="P54" s="654"/>
      <c r="Q54" s="655" t="s">
        <v>16</v>
      </c>
      <c r="R54" s="656"/>
      <c r="S54" s="293"/>
      <c r="T54" s="300"/>
      <c r="U54" s="409" t="s">
        <v>7</v>
      </c>
      <c r="V54" s="536">
        <f>B32</f>
        <v>42549</v>
      </c>
      <c r="W54" s="651" t="s">
        <v>100</v>
      </c>
      <c r="X54" s="652"/>
      <c r="Y54" s="653" t="s">
        <v>99</v>
      </c>
      <c r="Z54" s="654"/>
      <c r="AA54" s="655" t="s">
        <v>16</v>
      </c>
      <c r="AB54" s="656"/>
      <c r="AC54" s="154"/>
      <c r="AD54" s="300"/>
      <c r="AE54" s="409" t="s">
        <v>7</v>
      </c>
      <c r="AF54" s="536">
        <f>B33</f>
        <v>42550</v>
      </c>
      <c r="AG54" s="651" t="s">
        <v>100</v>
      </c>
      <c r="AH54" s="652"/>
      <c r="AI54" s="653" t="s">
        <v>99</v>
      </c>
      <c r="AJ54" s="654"/>
      <c r="AK54" s="655" t="s">
        <v>16</v>
      </c>
      <c r="AL54" s="656"/>
      <c r="AM54" s="154"/>
      <c r="AN54" s="300"/>
      <c r="AO54" s="409" t="s">
        <v>7</v>
      </c>
      <c r="AP54" s="536">
        <f>B34</f>
        <v>42551</v>
      </c>
      <c r="AQ54" s="651" t="s">
        <v>100</v>
      </c>
      <c r="AR54" s="652"/>
      <c r="AS54" s="653" t="s">
        <v>99</v>
      </c>
      <c r="AT54" s="654"/>
      <c r="AU54" s="655" t="s">
        <v>16</v>
      </c>
      <c r="AV54" s="656"/>
      <c r="AW54" s="154"/>
      <c r="AX54" s="300"/>
      <c r="AY54" s="409" t="s">
        <v>7</v>
      </c>
      <c r="AZ54" s="536">
        <f>B35</f>
        <v>42552</v>
      </c>
      <c r="BA54" s="651" t="s">
        <v>100</v>
      </c>
      <c r="BB54" s="652"/>
      <c r="BC54" s="653" t="s">
        <v>99</v>
      </c>
      <c r="BD54" s="654"/>
      <c r="BE54" s="655" t="s">
        <v>16</v>
      </c>
      <c r="BF54" s="656"/>
      <c r="BG54" s="154"/>
      <c r="BH54" s="300"/>
      <c r="BI54" s="409" t="s">
        <v>7</v>
      </c>
      <c r="BJ54" s="536">
        <f>B36</f>
        <v>42553</v>
      </c>
      <c r="BK54" s="651" t="s">
        <v>100</v>
      </c>
      <c r="BL54" s="652"/>
      <c r="BM54" s="653" t="s">
        <v>99</v>
      </c>
      <c r="BN54" s="654"/>
      <c r="BO54" s="655" t="s">
        <v>16</v>
      </c>
      <c r="BP54" s="656"/>
    </row>
    <row r="55" spans="10:68" ht="13.5" thickBot="1">
      <c r="J55" s="154"/>
      <c r="K55" s="394"/>
      <c r="L55" s="393"/>
      <c r="M55" s="394"/>
      <c r="N55" s="395"/>
      <c r="O55" s="394"/>
      <c r="P55" s="395"/>
      <c r="Q55" s="393"/>
      <c r="R55" s="395"/>
      <c r="S55" s="156"/>
      <c r="T55" s="300"/>
      <c r="U55" s="394"/>
      <c r="V55" s="393"/>
      <c r="W55" s="394"/>
      <c r="X55" s="395"/>
      <c r="Y55" s="394"/>
      <c r="Z55" s="395"/>
      <c r="AA55" s="393"/>
      <c r="AB55" s="395"/>
      <c r="AC55" s="154"/>
      <c r="AD55" s="300"/>
      <c r="AE55" s="394"/>
      <c r="AF55" s="393"/>
      <c r="AG55" s="394"/>
      <c r="AH55" s="395"/>
      <c r="AI55" s="394"/>
      <c r="AJ55" s="395"/>
      <c r="AK55" s="393"/>
      <c r="AL55" s="395"/>
      <c r="AM55" s="154"/>
      <c r="AN55" s="300"/>
      <c r="AO55" s="394"/>
      <c r="AP55" s="393"/>
      <c r="AQ55" s="394"/>
      <c r="AR55" s="395"/>
      <c r="AS55" s="394"/>
      <c r="AT55" s="395"/>
      <c r="AU55" s="393"/>
      <c r="AV55" s="395"/>
      <c r="AW55" s="154"/>
      <c r="AX55" s="300"/>
      <c r="AY55" s="394"/>
      <c r="AZ55" s="393"/>
      <c r="BA55" s="394"/>
      <c r="BB55" s="395"/>
      <c r="BC55" s="394"/>
      <c r="BD55" s="395"/>
      <c r="BE55" s="393"/>
      <c r="BF55" s="395"/>
      <c r="BG55" s="154"/>
      <c r="BH55" s="300"/>
      <c r="BI55" s="394"/>
      <c r="BJ55" s="393"/>
      <c r="BK55" s="394"/>
      <c r="BL55" s="395"/>
      <c r="BM55" s="394"/>
      <c r="BN55" s="395"/>
      <c r="BO55" s="393"/>
      <c r="BP55" s="395"/>
    </row>
    <row r="56" spans="10:68" ht="16.5" thickBot="1">
      <c r="J56" s="154"/>
      <c r="K56" s="394"/>
      <c r="L56" s="417" t="s">
        <v>155</v>
      </c>
      <c r="M56" s="397" t="s">
        <v>103</v>
      </c>
      <c r="N56" s="279"/>
      <c r="O56" s="397" t="s">
        <v>103</v>
      </c>
      <c r="P56" s="279"/>
      <c r="Q56" s="398" t="s">
        <v>103</v>
      </c>
      <c r="R56" s="399">
        <f>SUM(N56,P56)</f>
        <v>0</v>
      </c>
      <c r="S56" s="294"/>
      <c r="T56" s="300"/>
      <c r="U56" s="394"/>
      <c r="V56" s="417" t="s">
        <v>155</v>
      </c>
      <c r="W56" s="397" t="s">
        <v>103</v>
      </c>
      <c r="X56" s="279"/>
      <c r="Y56" s="397" t="s">
        <v>103</v>
      </c>
      <c r="Z56" s="279"/>
      <c r="AA56" s="398" t="s">
        <v>103</v>
      </c>
      <c r="AB56" s="399">
        <f>SUM(X56,Z56)</f>
        <v>0</v>
      </c>
      <c r="AC56" s="154"/>
      <c r="AD56" s="300"/>
      <c r="AE56" s="394"/>
      <c r="AF56" s="417" t="s">
        <v>155</v>
      </c>
      <c r="AG56" s="397" t="s">
        <v>103</v>
      </c>
      <c r="AH56" s="279"/>
      <c r="AI56" s="397" t="s">
        <v>103</v>
      </c>
      <c r="AJ56" s="279"/>
      <c r="AK56" s="398" t="s">
        <v>103</v>
      </c>
      <c r="AL56" s="399">
        <f>SUM(AH56,AJ56)</f>
        <v>0</v>
      </c>
      <c r="AM56" s="154"/>
      <c r="AN56" s="300"/>
      <c r="AO56" s="394"/>
      <c r="AP56" s="417" t="s">
        <v>155</v>
      </c>
      <c r="AQ56" s="397" t="s">
        <v>103</v>
      </c>
      <c r="AR56" s="279"/>
      <c r="AS56" s="397" t="s">
        <v>103</v>
      </c>
      <c r="AT56" s="279"/>
      <c r="AU56" s="398" t="s">
        <v>103</v>
      </c>
      <c r="AV56" s="399">
        <f>SUM(AR56,AT56)</f>
        <v>0</v>
      </c>
      <c r="AW56" s="154"/>
      <c r="AX56" s="300"/>
      <c r="AY56" s="394"/>
      <c r="AZ56" s="417" t="s">
        <v>155</v>
      </c>
      <c r="BA56" s="397" t="s">
        <v>103</v>
      </c>
      <c r="BB56" s="279"/>
      <c r="BC56" s="397" t="s">
        <v>103</v>
      </c>
      <c r="BD56" s="279"/>
      <c r="BE56" s="398" t="s">
        <v>103</v>
      </c>
      <c r="BF56" s="399">
        <f>SUM(BB56,BD56)</f>
        <v>0</v>
      </c>
      <c r="BG56" s="154"/>
      <c r="BH56" s="300"/>
      <c r="BI56" s="394"/>
      <c r="BJ56" s="417" t="s">
        <v>155</v>
      </c>
      <c r="BK56" s="397" t="s">
        <v>103</v>
      </c>
      <c r="BL56" s="279"/>
      <c r="BM56" s="397" t="s">
        <v>103</v>
      </c>
      <c r="BN56" s="279"/>
      <c r="BO56" s="398" t="s">
        <v>103</v>
      </c>
      <c r="BP56" s="399">
        <f>SUM(BL56,BN56)</f>
        <v>0</v>
      </c>
    </row>
    <row r="57" spans="10:68" ht="18.75" thickBot="1">
      <c r="K57" s="394"/>
      <c r="L57" s="289">
        <v>8</v>
      </c>
      <c r="M57" s="400" t="s">
        <v>5</v>
      </c>
      <c r="N57" s="401">
        <f>VLOOKUP(L54, $B$3:$E$109, 4, FALSE)</f>
        <v>0</v>
      </c>
      <c r="O57" s="400" t="s">
        <v>5</v>
      </c>
      <c r="P57" s="402">
        <f>VLOOKUP(L54, $B$3:$F$109, 5, FALSE)</f>
        <v>0</v>
      </c>
      <c r="Q57" s="403" t="s">
        <v>5</v>
      </c>
      <c r="R57" s="399">
        <f>SUM(N57,P57)</f>
        <v>0</v>
      </c>
      <c r="S57" s="294"/>
      <c r="T57" s="300"/>
      <c r="U57" s="394"/>
      <c r="V57" s="289">
        <v>8</v>
      </c>
      <c r="W57" s="400" t="s">
        <v>5</v>
      </c>
      <c r="X57" s="401">
        <f>VLOOKUP(V54, $B$3:$E$109, 4, FALSE)</f>
        <v>0</v>
      </c>
      <c r="Y57" s="400" t="s">
        <v>5</v>
      </c>
      <c r="Z57" s="402">
        <f>VLOOKUP(V54, $B$3:$F$109, 5, FALSE)</f>
        <v>0</v>
      </c>
      <c r="AA57" s="403" t="s">
        <v>5</v>
      </c>
      <c r="AB57" s="399">
        <f>SUM(X57,Z57)</f>
        <v>0</v>
      </c>
      <c r="AD57" s="300"/>
      <c r="AE57" s="394"/>
      <c r="AF57" s="289">
        <v>8</v>
      </c>
      <c r="AG57" s="400" t="s">
        <v>5</v>
      </c>
      <c r="AH57" s="401">
        <f>VLOOKUP(AF54, $B$3:$E$109, 4, FALSE)</f>
        <v>0</v>
      </c>
      <c r="AI57" s="400" t="s">
        <v>5</v>
      </c>
      <c r="AJ57" s="402">
        <f>VLOOKUP(AF54, $B$3:$F$109, 5, FALSE)</f>
        <v>0</v>
      </c>
      <c r="AK57" s="403" t="s">
        <v>5</v>
      </c>
      <c r="AL57" s="399">
        <f>SUM(AH57,AJ57)</f>
        <v>0</v>
      </c>
      <c r="AN57" s="300"/>
      <c r="AO57" s="394"/>
      <c r="AP57" s="289">
        <v>8</v>
      </c>
      <c r="AQ57" s="400" t="s">
        <v>5</v>
      </c>
      <c r="AR57" s="401">
        <f>VLOOKUP(AP54, $B$3:$E$109, 4, FALSE)</f>
        <v>0</v>
      </c>
      <c r="AS57" s="400" t="s">
        <v>5</v>
      </c>
      <c r="AT57" s="402">
        <f>VLOOKUP(AP54, $B$3:$F$109, 5, FALSE)</f>
        <v>0</v>
      </c>
      <c r="AU57" s="403" t="s">
        <v>5</v>
      </c>
      <c r="AV57" s="399">
        <f>SUM(AR57,AT57)</f>
        <v>0</v>
      </c>
      <c r="AX57" s="300"/>
      <c r="AY57" s="394"/>
      <c r="AZ57" s="289">
        <v>8</v>
      </c>
      <c r="BA57" s="400" t="s">
        <v>5</v>
      </c>
      <c r="BB57" s="401">
        <f>VLOOKUP(AZ54, $B$3:$E$109, 4, FALSE)</f>
        <v>0</v>
      </c>
      <c r="BC57" s="400" t="s">
        <v>5</v>
      </c>
      <c r="BD57" s="402">
        <f>VLOOKUP(AZ54, $B$3:$F$109, 5, FALSE)</f>
        <v>0</v>
      </c>
      <c r="BE57" s="403" t="s">
        <v>5</v>
      </c>
      <c r="BF57" s="399">
        <f>SUM(BB57,BD57)</f>
        <v>0</v>
      </c>
      <c r="BH57" s="300"/>
      <c r="BI57" s="394"/>
      <c r="BJ57" s="289">
        <v>8</v>
      </c>
      <c r="BK57" s="400" t="s">
        <v>5</v>
      </c>
      <c r="BL57" s="401">
        <f>VLOOKUP(BJ54, $B$3:$E$109, 4, FALSE)</f>
        <v>0</v>
      </c>
      <c r="BM57" s="400" t="s">
        <v>5</v>
      </c>
      <c r="BN57" s="402">
        <f>VLOOKUP(BJ54, $B$3:$F$109, 5, FALSE)</f>
        <v>0</v>
      </c>
      <c r="BO57" s="403" t="s">
        <v>5</v>
      </c>
      <c r="BP57" s="399">
        <f>SUM(BL57,BN57)</f>
        <v>0</v>
      </c>
    </row>
    <row r="58" spans="10:68" ht="15.75" customHeight="1">
      <c r="K58" s="394"/>
      <c r="L58" s="393"/>
      <c r="M58" s="657" t="s">
        <v>105</v>
      </c>
      <c r="N58" s="401">
        <f>VLOOKUP(L54, $B$3:$E$109, 2, FALSE)</f>
        <v>0</v>
      </c>
      <c r="O58" s="657" t="s">
        <v>105</v>
      </c>
      <c r="P58" s="402">
        <f>VLOOKUP(L54, $B$3:$E$109, 3, FALSE)</f>
        <v>0</v>
      </c>
      <c r="Q58" s="658" t="s">
        <v>105</v>
      </c>
      <c r="R58" s="399">
        <f>SUM(N58,P58)</f>
        <v>0</v>
      </c>
      <c r="S58" s="294"/>
      <c r="T58" s="300"/>
      <c r="U58" s="394"/>
      <c r="V58" s="393"/>
      <c r="W58" s="657" t="s">
        <v>105</v>
      </c>
      <c r="X58" s="401">
        <f>VLOOKUP(V54, $B$3:$E$109, 2, FALSE)</f>
        <v>0</v>
      </c>
      <c r="Y58" s="657" t="s">
        <v>105</v>
      </c>
      <c r="Z58" s="402">
        <f>VLOOKUP(V54, $B$3:$E$109, 3, FALSE)</f>
        <v>0</v>
      </c>
      <c r="AA58" s="658" t="s">
        <v>105</v>
      </c>
      <c r="AB58" s="399">
        <f>SUM(X58,Z58)</f>
        <v>0</v>
      </c>
      <c r="AD58" s="300"/>
      <c r="AE58" s="394"/>
      <c r="AF58" s="393"/>
      <c r="AG58" s="657" t="s">
        <v>105</v>
      </c>
      <c r="AH58" s="401">
        <f>VLOOKUP(AF54, $B$3:$E$109, 2, FALSE)</f>
        <v>0</v>
      </c>
      <c r="AI58" s="657" t="s">
        <v>105</v>
      </c>
      <c r="AJ58" s="402">
        <f>VLOOKUP(AF54, $B$3:$E$109, 3, FALSE)</f>
        <v>0</v>
      </c>
      <c r="AK58" s="658" t="s">
        <v>105</v>
      </c>
      <c r="AL58" s="399">
        <f>SUM(AH58,AJ58)</f>
        <v>0</v>
      </c>
      <c r="AN58" s="300"/>
      <c r="AO58" s="394"/>
      <c r="AP58" s="393"/>
      <c r="AQ58" s="657" t="s">
        <v>105</v>
      </c>
      <c r="AR58" s="401">
        <f>VLOOKUP(AP54, $B$3:$E$109, 2, FALSE)</f>
        <v>0</v>
      </c>
      <c r="AS58" s="657" t="s">
        <v>105</v>
      </c>
      <c r="AT58" s="402">
        <f>VLOOKUP(AP54, $B$3:$E$109, 3, FALSE)</f>
        <v>0</v>
      </c>
      <c r="AU58" s="658" t="s">
        <v>105</v>
      </c>
      <c r="AV58" s="399">
        <f>SUM(AR58,AT58)</f>
        <v>0</v>
      </c>
      <c r="AX58" s="300"/>
      <c r="AY58" s="394"/>
      <c r="AZ58" s="393"/>
      <c r="BA58" s="657" t="s">
        <v>105</v>
      </c>
      <c r="BB58" s="401">
        <f>VLOOKUP(AZ54, $B$3:$E$109, 2, FALSE)</f>
        <v>0</v>
      </c>
      <c r="BC58" s="657" t="s">
        <v>105</v>
      </c>
      <c r="BD58" s="402">
        <f>VLOOKUP(AZ54, $B$3:$E$109, 3, FALSE)</f>
        <v>0</v>
      </c>
      <c r="BE58" s="658" t="s">
        <v>105</v>
      </c>
      <c r="BF58" s="399">
        <f>SUM(BB58,BD58)</f>
        <v>0</v>
      </c>
      <c r="BH58" s="300"/>
      <c r="BI58" s="394"/>
      <c r="BJ58" s="393"/>
      <c r="BK58" s="657" t="s">
        <v>105</v>
      </c>
      <c r="BL58" s="401">
        <f>VLOOKUP(BJ54, $B$3:$E$109, 2, FALSE)</f>
        <v>0</v>
      </c>
      <c r="BM58" s="657" t="s">
        <v>105</v>
      </c>
      <c r="BN58" s="402">
        <f>VLOOKUP(BJ54, $B$3:$E$109, 3, FALSE)</f>
        <v>0</v>
      </c>
      <c r="BO58" s="658" t="s">
        <v>105</v>
      </c>
      <c r="BP58" s="399">
        <f>SUM(BL58,BN58)</f>
        <v>0</v>
      </c>
    </row>
    <row r="59" spans="10:68" ht="12.75" customHeight="1">
      <c r="K59" s="688" t="s">
        <v>157</v>
      </c>
      <c r="L59" s="689"/>
      <c r="M59" s="658"/>
      <c r="N59" s="395"/>
      <c r="O59" s="657"/>
      <c r="P59" s="395"/>
      <c r="Q59" s="658"/>
      <c r="R59" s="395"/>
      <c r="S59" s="156"/>
      <c r="T59" s="300"/>
      <c r="U59" s="688" t="s">
        <v>157</v>
      </c>
      <c r="V59" s="689"/>
      <c r="W59" s="658"/>
      <c r="X59" s="395"/>
      <c r="Y59" s="657"/>
      <c r="Z59" s="395"/>
      <c r="AA59" s="658"/>
      <c r="AB59" s="395"/>
      <c r="AD59" s="300"/>
      <c r="AE59" s="688" t="s">
        <v>157</v>
      </c>
      <c r="AF59" s="689"/>
      <c r="AG59" s="658"/>
      <c r="AH59" s="395"/>
      <c r="AI59" s="657"/>
      <c r="AJ59" s="395"/>
      <c r="AK59" s="658"/>
      <c r="AL59" s="395"/>
      <c r="AN59" s="300"/>
      <c r="AO59" s="688" t="s">
        <v>157</v>
      </c>
      <c r="AP59" s="689"/>
      <c r="AQ59" s="658"/>
      <c r="AR59" s="395"/>
      <c r="AS59" s="657"/>
      <c r="AT59" s="395"/>
      <c r="AU59" s="658"/>
      <c r="AV59" s="395"/>
      <c r="AX59" s="300"/>
      <c r="AY59" s="688" t="s">
        <v>157</v>
      </c>
      <c r="AZ59" s="689"/>
      <c r="BA59" s="658"/>
      <c r="BB59" s="395"/>
      <c r="BC59" s="657"/>
      <c r="BD59" s="395"/>
      <c r="BE59" s="658"/>
      <c r="BF59" s="395"/>
      <c r="BH59" s="300"/>
      <c r="BI59" s="688" t="s">
        <v>157</v>
      </c>
      <c r="BJ59" s="689"/>
      <c r="BK59" s="658"/>
      <c r="BL59" s="395"/>
      <c r="BM59" s="657"/>
      <c r="BN59" s="395"/>
      <c r="BO59" s="658"/>
      <c r="BP59" s="395"/>
    </row>
    <row r="60" spans="10:68" ht="15.75">
      <c r="K60" s="411"/>
      <c r="L60" s="404">
        <f>R56*13</f>
        <v>0</v>
      </c>
      <c r="M60" s="418"/>
      <c r="N60" s="395"/>
      <c r="O60" s="406"/>
      <c r="P60" s="395"/>
      <c r="Q60" s="419"/>
      <c r="R60" s="395"/>
      <c r="S60" s="156"/>
      <c r="T60" s="300"/>
      <c r="U60" s="411"/>
      <c r="V60" s="404">
        <f>AB56*13</f>
        <v>0</v>
      </c>
      <c r="W60" s="418"/>
      <c r="X60" s="395"/>
      <c r="Y60" s="406"/>
      <c r="Z60" s="395"/>
      <c r="AA60" s="419"/>
      <c r="AB60" s="395"/>
      <c r="AD60" s="300"/>
      <c r="AE60" s="411"/>
      <c r="AF60" s="404">
        <f>AL56*13</f>
        <v>0</v>
      </c>
      <c r="AG60" s="418"/>
      <c r="AH60" s="395"/>
      <c r="AI60" s="406"/>
      <c r="AJ60" s="395"/>
      <c r="AK60" s="419"/>
      <c r="AL60" s="395"/>
      <c r="AN60" s="300"/>
      <c r="AO60" s="411"/>
      <c r="AP60" s="404">
        <f>AV56*13</f>
        <v>0</v>
      </c>
      <c r="AQ60" s="418"/>
      <c r="AR60" s="395"/>
      <c r="AS60" s="406"/>
      <c r="AT60" s="395"/>
      <c r="AU60" s="419"/>
      <c r="AV60" s="395"/>
      <c r="AX60" s="300"/>
      <c r="AY60" s="411"/>
      <c r="AZ60" s="404">
        <f>BF56*13</f>
        <v>0</v>
      </c>
      <c r="BA60" s="418"/>
      <c r="BB60" s="395"/>
      <c r="BC60" s="406"/>
      <c r="BD60" s="395"/>
      <c r="BE60" s="419"/>
      <c r="BF60" s="395"/>
      <c r="BH60" s="300"/>
      <c r="BI60" s="411"/>
      <c r="BJ60" s="404">
        <f>BP56*13</f>
        <v>0</v>
      </c>
      <c r="BK60" s="418"/>
      <c r="BL60" s="395"/>
      <c r="BM60" s="406"/>
      <c r="BN60" s="395"/>
      <c r="BO60" s="419"/>
      <c r="BP60" s="395"/>
    </row>
    <row r="61" spans="10:68" ht="18.75">
      <c r="K61" s="394"/>
      <c r="L61" s="412"/>
      <c r="M61" s="286" t="s">
        <v>97</v>
      </c>
      <c r="N61" s="287" t="e">
        <f>N58/((N56*EFFICIENCY!$H$28))</f>
        <v>#DIV/0!</v>
      </c>
      <c r="O61" s="286" t="s">
        <v>97</v>
      </c>
      <c r="P61" s="287" t="e">
        <f>P58/(P56*EFFICIENCY!$H$28)</f>
        <v>#DIV/0!</v>
      </c>
      <c r="Q61" s="286" t="s">
        <v>97</v>
      </c>
      <c r="R61" s="287" t="e">
        <f>R58/(R56*EFFICIENCY!$H$28)</f>
        <v>#DIV/0!</v>
      </c>
      <c r="S61" s="295"/>
      <c r="T61" s="300"/>
      <c r="U61" s="394"/>
      <c r="V61" s="412"/>
      <c r="W61" s="286" t="s">
        <v>97</v>
      </c>
      <c r="X61" s="287" t="e">
        <f>X58/((X56*EFFICIENCY!$H$28))</f>
        <v>#DIV/0!</v>
      </c>
      <c r="Y61" s="286" t="s">
        <v>97</v>
      </c>
      <c r="Z61" s="287" t="e">
        <f>Z58/(Z56*EFFICIENCY!$H$28)</f>
        <v>#DIV/0!</v>
      </c>
      <c r="AA61" s="286" t="s">
        <v>97</v>
      </c>
      <c r="AB61" s="287" t="e">
        <f>AB58/(AB56*EFFICIENCY!$H$28)</f>
        <v>#DIV/0!</v>
      </c>
      <c r="AD61" s="300"/>
      <c r="AE61" s="394"/>
      <c r="AF61" s="412"/>
      <c r="AG61" s="286" t="s">
        <v>97</v>
      </c>
      <c r="AH61" s="287" t="e">
        <f>AH58/((AH56*EFFICIENCY!$H$28))</f>
        <v>#DIV/0!</v>
      </c>
      <c r="AI61" s="286" t="s">
        <v>97</v>
      </c>
      <c r="AJ61" s="287" t="e">
        <f>AJ58/(AJ56*EFFICIENCY!$H$28)</f>
        <v>#DIV/0!</v>
      </c>
      <c r="AK61" s="286" t="s">
        <v>97</v>
      </c>
      <c r="AL61" s="287" t="e">
        <f>AL58/(AL56*EFFICIENCY!$H$28)</f>
        <v>#DIV/0!</v>
      </c>
      <c r="AN61" s="300"/>
      <c r="AO61" s="394"/>
      <c r="AP61" s="412"/>
      <c r="AQ61" s="286" t="s">
        <v>97</v>
      </c>
      <c r="AR61" s="287" t="e">
        <f>AR58/((AR56*EFFICIENCY!$H$28))</f>
        <v>#DIV/0!</v>
      </c>
      <c r="AS61" s="286" t="s">
        <v>97</v>
      </c>
      <c r="AT61" s="287" t="e">
        <f>AT58/(AT56*EFFICIENCY!$H$28)</f>
        <v>#DIV/0!</v>
      </c>
      <c r="AU61" s="286" t="s">
        <v>97</v>
      </c>
      <c r="AV61" s="287" t="e">
        <f>AV58/(AV56*EFFICIENCY!$H$28)</f>
        <v>#DIV/0!</v>
      </c>
      <c r="AX61" s="300"/>
      <c r="AY61" s="394"/>
      <c r="AZ61" s="412"/>
      <c r="BA61" s="286" t="s">
        <v>97</v>
      </c>
      <c r="BB61" s="287" t="e">
        <f>BB58/((BB56*EFFICIENCY!$H$28))</f>
        <v>#DIV/0!</v>
      </c>
      <c r="BC61" s="286" t="s">
        <v>97</v>
      </c>
      <c r="BD61" s="287" t="e">
        <f>BD58/(BD56*EFFICIENCY!$H$28)</f>
        <v>#DIV/0!</v>
      </c>
      <c r="BE61" s="286" t="s">
        <v>97</v>
      </c>
      <c r="BF61" s="287" t="e">
        <f>BF58/(BF56*EFFICIENCY!$H$28)</f>
        <v>#DIV/0!</v>
      </c>
      <c r="BH61" s="300"/>
      <c r="BI61" s="394"/>
      <c r="BJ61" s="412"/>
      <c r="BK61" s="286" t="s">
        <v>97</v>
      </c>
      <c r="BL61" s="287" t="e">
        <f>BL58/((BL56*EFFICIENCY!$H$28))</f>
        <v>#DIV/0!</v>
      </c>
      <c r="BM61" s="286" t="s">
        <v>97</v>
      </c>
      <c r="BN61" s="287" t="e">
        <f>BN58/(BN56*EFFICIENCY!$H$28)</f>
        <v>#DIV/0!</v>
      </c>
      <c r="BO61" s="286" t="s">
        <v>97</v>
      </c>
      <c r="BP61" s="287" t="e">
        <f>BP58/(BP56*EFFICIENCY!$H$28)</f>
        <v>#DIV/0!</v>
      </c>
    </row>
    <row r="62" spans="10:68" ht="18.75">
      <c r="K62" s="394"/>
      <c r="L62" s="393"/>
      <c r="M62" s="280" t="s">
        <v>96</v>
      </c>
      <c r="N62" s="281" t="e">
        <f>N58/(N56*EFFICIENCY!$I$28)</f>
        <v>#DIV/0!</v>
      </c>
      <c r="O62" s="280" t="s">
        <v>96</v>
      </c>
      <c r="P62" s="281" t="e">
        <f>P58/(P56*EFFICIENCY!$I$28)</f>
        <v>#DIV/0!</v>
      </c>
      <c r="Q62" s="280" t="s">
        <v>96</v>
      </c>
      <c r="R62" s="281" t="e">
        <f>R58/(R56*EFFICIENCY!$I$28)</f>
        <v>#DIV/0!</v>
      </c>
      <c r="S62" s="296"/>
      <c r="T62" s="300"/>
      <c r="U62" s="394"/>
      <c r="V62" s="393"/>
      <c r="W62" s="280" t="s">
        <v>96</v>
      </c>
      <c r="X62" s="281" t="e">
        <f>X58/(X56*EFFICIENCY!$I$28)</f>
        <v>#DIV/0!</v>
      </c>
      <c r="Y62" s="280" t="s">
        <v>96</v>
      </c>
      <c r="Z62" s="281" t="e">
        <f>Z58/(Z56*EFFICIENCY!$I$28)</f>
        <v>#DIV/0!</v>
      </c>
      <c r="AA62" s="280" t="s">
        <v>96</v>
      </c>
      <c r="AB62" s="281" t="e">
        <f>AB58/(AB56*EFFICIENCY!$I$28)</f>
        <v>#DIV/0!</v>
      </c>
      <c r="AD62" s="300"/>
      <c r="AE62" s="394"/>
      <c r="AF62" s="393"/>
      <c r="AG62" s="280" t="s">
        <v>96</v>
      </c>
      <c r="AH62" s="281" t="e">
        <f>AH58/(AH56*EFFICIENCY!$I$28)</f>
        <v>#DIV/0!</v>
      </c>
      <c r="AI62" s="280" t="s">
        <v>96</v>
      </c>
      <c r="AJ62" s="281" t="e">
        <f>AJ58/(AJ56*EFFICIENCY!$I$28)</f>
        <v>#DIV/0!</v>
      </c>
      <c r="AK62" s="280" t="s">
        <v>96</v>
      </c>
      <c r="AL62" s="281" t="e">
        <f>AL58/(AL56*EFFICIENCY!$I$28)</f>
        <v>#DIV/0!</v>
      </c>
      <c r="AN62" s="300"/>
      <c r="AO62" s="394"/>
      <c r="AP62" s="393"/>
      <c r="AQ62" s="280" t="s">
        <v>96</v>
      </c>
      <c r="AR62" s="281" t="e">
        <f>AR58/(AR56*EFFICIENCY!$I$28)</f>
        <v>#DIV/0!</v>
      </c>
      <c r="AS62" s="280" t="s">
        <v>96</v>
      </c>
      <c r="AT62" s="281" t="e">
        <f>AT58/(AT56*EFFICIENCY!$I$28)</f>
        <v>#DIV/0!</v>
      </c>
      <c r="AU62" s="280" t="s">
        <v>96</v>
      </c>
      <c r="AV62" s="281" t="e">
        <f>AV58/(AV56*EFFICIENCY!$I$28)</f>
        <v>#DIV/0!</v>
      </c>
      <c r="AX62" s="300"/>
      <c r="AY62" s="394"/>
      <c r="AZ62" s="393"/>
      <c r="BA62" s="280" t="s">
        <v>96</v>
      </c>
      <c r="BB62" s="281" t="e">
        <f>BB58/(BB56*EFFICIENCY!$I$28)</f>
        <v>#DIV/0!</v>
      </c>
      <c r="BC62" s="280" t="s">
        <v>96</v>
      </c>
      <c r="BD62" s="281" t="e">
        <f>BD58/(BD56*EFFICIENCY!$I$28)</f>
        <v>#DIV/0!</v>
      </c>
      <c r="BE62" s="280" t="s">
        <v>96</v>
      </c>
      <c r="BF62" s="281" t="e">
        <f>BF58/(BF56*EFFICIENCY!$I$28)</f>
        <v>#DIV/0!</v>
      </c>
      <c r="BH62" s="300"/>
      <c r="BI62" s="394"/>
      <c r="BJ62" s="393"/>
      <c r="BK62" s="280" t="s">
        <v>96</v>
      </c>
      <c r="BL62" s="281" t="e">
        <f>BL58/(BL56*EFFICIENCY!$I$28)</f>
        <v>#DIV/0!</v>
      </c>
      <c r="BM62" s="280" t="s">
        <v>96</v>
      </c>
      <c r="BN62" s="281" t="e">
        <f>BN58/(BN56*EFFICIENCY!$I$28)</f>
        <v>#DIV/0!</v>
      </c>
      <c r="BO62" s="280" t="s">
        <v>96</v>
      </c>
      <c r="BP62" s="281" t="e">
        <f>BP58/(BP56*EFFICIENCY!$I$28)</f>
        <v>#DIV/0!</v>
      </c>
    </row>
    <row r="63" spans="10:68" ht="19.5" customHeight="1" thickBot="1">
      <c r="K63" s="690" t="s">
        <v>156</v>
      </c>
      <c r="L63" s="691"/>
      <c r="M63" s="284" t="s">
        <v>94</v>
      </c>
      <c r="N63" s="285" t="e">
        <f>N58/((N56*EFFICIENCY!$K$28))</f>
        <v>#DIV/0!</v>
      </c>
      <c r="O63" s="288" t="s">
        <v>94</v>
      </c>
      <c r="P63" s="285" t="e">
        <f>P58/((P56*EFFICIENCY!$K$28))</f>
        <v>#DIV/0!</v>
      </c>
      <c r="Q63" s="284" t="s">
        <v>94</v>
      </c>
      <c r="R63" s="285" t="e">
        <f>R58/((R56*EFFICIENCY!$K$28))</f>
        <v>#DIV/0!</v>
      </c>
      <c r="S63" s="297"/>
      <c r="T63" s="300"/>
      <c r="U63" s="690" t="s">
        <v>156</v>
      </c>
      <c r="V63" s="691"/>
      <c r="W63" s="284" t="s">
        <v>94</v>
      </c>
      <c r="X63" s="285" t="e">
        <f>X58/((X56*EFFICIENCY!$K$28))</f>
        <v>#DIV/0!</v>
      </c>
      <c r="Y63" s="288" t="s">
        <v>94</v>
      </c>
      <c r="Z63" s="285" t="e">
        <f>Z58/((Z56*EFFICIENCY!$K$28))</f>
        <v>#DIV/0!</v>
      </c>
      <c r="AA63" s="284" t="s">
        <v>94</v>
      </c>
      <c r="AB63" s="285" t="e">
        <f>AB58/((AB56*EFFICIENCY!$K$28))</f>
        <v>#DIV/0!</v>
      </c>
      <c r="AD63" s="300"/>
      <c r="AE63" s="690" t="s">
        <v>156</v>
      </c>
      <c r="AF63" s="691"/>
      <c r="AG63" s="284" t="s">
        <v>94</v>
      </c>
      <c r="AH63" s="285" t="e">
        <f>AH58/((AH56*EFFICIENCY!$K$28))</f>
        <v>#DIV/0!</v>
      </c>
      <c r="AI63" s="288" t="s">
        <v>94</v>
      </c>
      <c r="AJ63" s="285" t="e">
        <f>AJ58/((AJ56*EFFICIENCY!$K$28))</f>
        <v>#DIV/0!</v>
      </c>
      <c r="AK63" s="284" t="s">
        <v>94</v>
      </c>
      <c r="AL63" s="285" t="e">
        <f>AL58/((AL56*EFFICIENCY!$K$28))</f>
        <v>#DIV/0!</v>
      </c>
      <c r="AN63" s="300"/>
      <c r="AO63" s="690" t="s">
        <v>156</v>
      </c>
      <c r="AP63" s="691"/>
      <c r="AQ63" s="284" t="s">
        <v>94</v>
      </c>
      <c r="AR63" s="285" t="e">
        <f>AR58/((AR56*EFFICIENCY!$K$28))</f>
        <v>#DIV/0!</v>
      </c>
      <c r="AS63" s="288" t="s">
        <v>94</v>
      </c>
      <c r="AT63" s="285" t="e">
        <f>AT58/((AT56*EFFICIENCY!$K$28))</f>
        <v>#DIV/0!</v>
      </c>
      <c r="AU63" s="284" t="s">
        <v>94</v>
      </c>
      <c r="AV63" s="285" t="e">
        <f>AV58/((AV56*EFFICIENCY!$K$28))</f>
        <v>#DIV/0!</v>
      </c>
      <c r="AX63" s="300"/>
      <c r="AY63" s="690" t="s">
        <v>156</v>
      </c>
      <c r="AZ63" s="691"/>
      <c r="BA63" s="284" t="s">
        <v>94</v>
      </c>
      <c r="BB63" s="285" t="e">
        <f>BB58/((BB56*EFFICIENCY!$K$28))</f>
        <v>#DIV/0!</v>
      </c>
      <c r="BC63" s="288" t="s">
        <v>94</v>
      </c>
      <c r="BD63" s="285" t="e">
        <f>BD58/((BD56*EFFICIENCY!$K$28))</f>
        <v>#DIV/0!</v>
      </c>
      <c r="BE63" s="284" t="s">
        <v>94</v>
      </c>
      <c r="BF63" s="285" t="e">
        <f>BF58/((BF56*EFFICIENCY!$K$28))</f>
        <v>#DIV/0!</v>
      </c>
      <c r="BH63" s="300"/>
      <c r="BI63" s="690" t="s">
        <v>156</v>
      </c>
      <c r="BJ63" s="691"/>
      <c r="BK63" s="284" t="s">
        <v>94</v>
      </c>
      <c r="BL63" s="285" t="e">
        <f>BL58/((BL56*EFFICIENCY!$K$28))</f>
        <v>#DIV/0!</v>
      </c>
      <c r="BM63" s="288" t="s">
        <v>94</v>
      </c>
      <c r="BN63" s="285" t="e">
        <f>BN58/((BN56*EFFICIENCY!$K$28))</f>
        <v>#DIV/0!</v>
      </c>
      <c r="BO63" s="284" t="s">
        <v>94</v>
      </c>
      <c r="BP63" s="285" t="e">
        <f>BP58/((BP56*EFFICIENCY!$K$28))</f>
        <v>#DIV/0!</v>
      </c>
    </row>
    <row r="64" spans="10:68" ht="16.5" thickBot="1">
      <c r="K64" s="413"/>
      <c r="L64" s="414" t="e">
        <f>R58/R56</f>
        <v>#DIV/0!</v>
      </c>
      <c r="M64" s="647" t="s">
        <v>153</v>
      </c>
      <c r="N64" s="648"/>
      <c r="O64" s="290"/>
      <c r="P64" s="416"/>
      <c r="Q64" s="416" t="s">
        <v>154</v>
      </c>
      <c r="R64" s="415">
        <f>O64-R58</f>
        <v>0</v>
      </c>
      <c r="S64" s="298"/>
      <c r="T64" s="300"/>
      <c r="U64" s="413"/>
      <c r="V64" s="414" t="e">
        <f>AB58/AB56</f>
        <v>#DIV/0!</v>
      </c>
      <c r="W64" s="647" t="s">
        <v>153</v>
      </c>
      <c r="X64" s="648"/>
      <c r="Y64" s="290"/>
      <c r="Z64" s="416"/>
      <c r="AA64" s="416" t="s">
        <v>154</v>
      </c>
      <c r="AB64" s="415">
        <f>Y64-AB58</f>
        <v>0</v>
      </c>
      <c r="AD64" s="300"/>
      <c r="AE64" s="413"/>
      <c r="AF64" s="414" t="e">
        <f>AL58/AL56</f>
        <v>#DIV/0!</v>
      </c>
      <c r="AG64" s="647" t="s">
        <v>153</v>
      </c>
      <c r="AH64" s="648"/>
      <c r="AI64" s="290"/>
      <c r="AJ64" s="416"/>
      <c r="AK64" s="416" t="s">
        <v>154</v>
      </c>
      <c r="AL64" s="415">
        <f>AI64-AL58</f>
        <v>0</v>
      </c>
      <c r="AN64" s="300"/>
      <c r="AO64" s="413"/>
      <c r="AP64" s="414" t="e">
        <f>AV58/AV56</f>
        <v>#DIV/0!</v>
      </c>
      <c r="AQ64" s="647" t="s">
        <v>153</v>
      </c>
      <c r="AR64" s="648"/>
      <c r="AS64" s="290"/>
      <c r="AT64" s="416"/>
      <c r="AU64" s="416" t="s">
        <v>154</v>
      </c>
      <c r="AV64" s="415">
        <f>AS64-AV58</f>
        <v>0</v>
      </c>
      <c r="AX64" s="300"/>
      <c r="AY64" s="413"/>
      <c r="AZ64" s="414" t="e">
        <f>BF58/BF56</f>
        <v>#DIV/0!</v>
      </c>
      <c r="BA64" s="647" t="s">
        <v>153</v>
      </c>
      <c r="BB64" s="648"/>
      <c r="BC64" s="290"/>
      <c r="BD64" s="416"/>
      <c r="BE64" s="416" t="s">
        <v>154</v>
      </c>
      <c r="BF64" s="415">
        <f>BC64-BF58</f>
        <v>0</v>
      </c>
      <c r="BH64" s="300"/>
      <c r="BI64" s="413"/>
      <c r="BJ64" s="414" t="e">
        <f>BP58/BP56</f>
        <v>#DIV/0!</v>
      </c>
      <c r="BK64" s="647" t="s">
        <v>153</v>
      </c>
      <c r="BL64" s="648"/>
      <c r="BM64" s="290"/>
      <c r="BN64" s="416"/>
      <c r="BO64" s="416" t="s">
        <v>154</v>
      </c>
      <c r="BP64" s="415">
        <f>BM64-BP58</f>
        <v>0</v>
      </c>
    </row>
    <row r="65" spans="20:60">
      <c r="T65" s="300"/>
      <c r="AD65" s="300"/>
      <c r="AN65" s="300"/>
      <c r="AX65" s="300"/>
      <c r="BH65" s="300"/>
    </row>
    <row r="66" spans="20:60">
      <c r="T66" s="300"/>
      <c r="BH66" s="300"/>
    </row>
    <row r="67" spans="20:60">
      <c r="T67" s="300"/>
      <c r="BH67" s="300"/>
    </row>
    <row r="68" spans="20:60">
      <c r="T68" s="300"/>
      <c r="BH68" s="300"/>
    </row>
    <row r="69" spans="20:60">
      <c r="T69" s="300"/>
      <c r="BH69" s="300"/>
    </row>
    <row r="70" spans="20:60">
      <c r="T70" s="300"/>
      <c r="BH70" s="300"/>
    </row>
  </sheetData>
  <mergeCells count="258">
    <mergeCell ref="M64:N64"/>
    <mergeCell ref="W64:X64"/>
    <mergeCell ref="AG64:AH64"/>
    <mergeCell ref="AQ64:AR64"/>
    <mergeCell ref="BA64:BB64"/>
    <mergeCell ref="BK64:BL64"/>
    <mergeCell ref="K63:L63"/>
    <mergeCell ref="U63:V63"/>
    <mergeCell ref="AE63:AF63"/>
    <mergeCell ref="AO63:AP63"/>
    <mergeCell ref="AY63:AZ63"/>
    <mergeCell ref="BI63:BJ63"/>
    <mergeCell ref="K59:L59"/>
    <mergeCell ref="U59:V59"/>
    <mergeCell ref="AE59:AF59"/>
    <mergeCell ref="AO59:AP59"/>
    <mergeCell ref="AY59:AZ59"/>
    <mergeCell ref="BI59:BJ59"/>
    <mergeCell ref="BA58:BA59"/>
    <mergeCell ref="BC58:BC59"/>
    <mergeCell ref="BE58:BE59"/>
    <mergeCell ref="M58:M59"/>
    <mergeCell ref="O58:O59"/>
    <mergeCell ref="Q58:Q59"/>
    <mergeCell ref="W58:W59"/>
    <mergeCell ref="Y58:Y59"/>
    <mergeCell ref="AA58:AA59"/>
    <mergeCell ref="BK58:BK59"/>
    <mergeCell ref="BM58:BM59"/>
    <mergeCell ref="BO58:BO59"/>
    <mergeCell ref="AG58:AG59"/>
    <mergeCell ref="AI58:AI59"/>
    <mergeCell ref="AK58:AK59"/>
    <mergeCell ref="AQ58:AQ59"/>
    <mergeCell ref="AS58:AS59"/>
    <mergeCell ref="AU58:AU59"/>
    <mergeCell ref="BA54:BB54"/>
    <mergeCell ref="BC54:BD54"/>
    <mergeCell ref="BE54:BF54"/>
    <mergeCell ref="BK54:BL54"/>
    <mergeCell ref="BM54:BN54"/>
    <mergeCell ref="BO54:BP54"/>
    <mergeCell ref="AG54:AH54"/>
    <mergeCell ref="AI54:AJ54"/>
    <mergeCell ref="AK54:AL54"/>
    <mergeCell ref="AQ54:AR54"/>
    <mergeCell ref="AS54:AT54"/>
    <mergeCell ref="AU54:AV54"/>
    <mergeCell ref="M54:N54"/>
    <mergeCell ref="O54:P54"/>
    <mergeCell ref="Q54:R54"/>
    <mergeCell ref="W54:X54"/>
    <mergeCell ref="Y54:Z54"/>
    <mergeCell ref="AA54:AB54"/>
    <mergeCell ref="M51:N51"/>
    <mergeCell ref="W51:X51"/>
    <mergeCell ref="AG51:AH51"/>
    <mergeCell ref="AQ51:AR51"/>
    <mergeCell ref="BA51:BB51"/>
    <mergeCell ref="BK51:BL51"/>
    <mergeCell ref="K50:L50"/>
    <mergeCell ref="U50:V50"/>
    <mergeCell ref="AE50:AF50"/>
    <mergeCell ref="AO50:AP50"/>
    <mergeCell ref="AY50:AZ50"/>
    <mergeCell ref="BI50:BJ50"/>
    <mergeCell ref="K46:L46"/>
    <mergeCell ref="U46:V46"/>
    <mergeCell ref="AE46:AF46"/>
    <mergeCell ref="AO46:AP46"/>
    <mergeCell ref="AY46:AZ46"/>
    <mergeCell ref="BI46:BJ46"/>
    <mergeCell ref="BA45:BA46"/>
    <mergeCell ref="BC45:BC46"/>
    <mergeCell ref="BE45:BE46"/>
    <mergeCell ref="M45:M46"/>
    <mergeCell ref="O45:O46"/>
    <mergeCell ref="Q45:Q46"/>
    <mergeCell ref="W45:W46"/>
    <mergeCell ref="Y45:Y46"/>
    <mergeCell ref="AA45:AA46"/>
    <mergeCell ref="BK45:BK46"/>
    <mergeCell ref="BM45:BM46"/>
    <mergeCell ref="BO45:BO46"/>
    <mergeCell ref="AG45:AG46"/>
    <mergeCell ref="AI45:AI46"/>
    <mergeCell ref="AK45:AK46"/>
    <mergeCell ref="AQ45:AQ46"/>
    <mergeCell ref="AS45:AS46"/>
    <mergeCell ref="AU45:AU46"/>
    <mergeCell ref="BA41:BB41"/>
    <mergeCell ref="BC41:BD41"/>
    <mergeCell ref="BE41:BF41"/>
    <mergeCell ref="BK41:BL41"/>
    <mergeCell ref="BM41:BN41"/>
    <mergeCell ref="BO41:BP41"/>
    <mergeCell ref="AG41:AH41"/>
    <mergeCell ref="AI41:AJ41"/>
    <mergeCell ref="AK41:AL41"/>
    <mergeCell ref="AQ41:AR41"/>
    <mergeCell ref="AS41:AT41"/>
    <mergeCell ref="AU41:AV41"/>
    <mergeCell ref="M41:N41"/>
    <mergeCell ref="O41:P41"/>
    <mergeCell ref="Q41:R41"/>
    <mergeCell ref="W41:X41"/>
    <mergeCell ref="Y41:Z41"/>
    <mergeCell ref="AA41:AB41"/>
    <mergeCell ref="M38:N38"/>
    <mergeCell ref="W38:X38"/>
    <mergeCell ref="AG38:AH38"/>
    <mergeCell ref="AQ38:AR38"/>
    <mergeCell ref="BA38:BB38"/>
    <mergeCell ref="BK38:BL38"/>
    <mergeCell ref="K37:L37"/>
    <mergeCell ref="U37:V37"/>
    <mergeCell ref="AE37:AF37"/>
    <mergeCell ref="AO37:AP37"/>
    <mergeCell ref="AY37:AZ37"/>
    <mergeCell ref="BI37:BJ37"/>
    <mergeCell ref="K33:L33"/>
    <mergeCell ref="U33:V33"/>
    <mergeCell ref="AE33:AF33"/>
    <mergeCell ref="AO33:AP33"/>
    <mergeCell ref="AY33:AZ33"/>
    <mergeCell ref="BI33:BJ33"/>
    <mergeCell ref="BA32:BA33"/>
    <mergeCell ref="BC32:BC33"/>
    <mergeCell ref="BE32:BE33"/>
    <mergeCell ref="M32:M33"/>
    <mergeCell ref="O32:O33"/>
    <mergeCell ref="Q32:Q33"/>
    <mergeCell ref="W32:W33"/>
    <mergeCell ref="Y32:Y33"/>
    <mergeCell ref="AA32:AA33"/>
    <mergeCell ref="BK32:BK33"/>
    <mergeCell ref="BM32:BM33"/>
    <mergeCell ref="BO32:BO33"/>
    <mergeCell ref="AG32:AG33"/>
    <mergeCell ref="AI32:AI33"/>
    <mergeCell ref="AK32:AK33"/>
    <mergeCell ref="AQ32:AQ33"/>
    <mergeCell ref="AS32:AS33"/>
    <mergeCell ref="AU32:AU33"/>
    <mergeCell ref="BA28:BB28"/>
    <mergeCell ref="BC28:BD28"/>
    <mergeCell ref="BE28:BF28"/>
    <mergeCell ref="BK28:BL28"/>
    <mergeCell ref="BM28:BN28"/>
    <mergeCell ref="BO28:BP28"/>
    <mergeCell ref="AG28:AH28"/>
    <mergeCell ref="AI28:AJ28"/>
    <mergeCell ref="AK28:AL28"/>
    <mergeCell ref="AQ28:AR28"/>
    <mergeCell ref="AS28:AT28"/>
    <mergeCell ref="AU28:AV28"/>
    <mergeCell ref="M28:N28"/>
    <mergeCell ref="O28:P28"/>
    <mergeCell ref="Q28:R28"/>
    <mergeCell ref="W28:X28"/>
    <mergeCell ref="Y28:Z28"/>
    <mergeCell ref="AA28:AB28"/>
    <mergeCell ref="M25:N25"/>
    <mergeCell ref="W25:X25"/>
    <mergeCell ref="AG25:AH25"/>
    <mergeCell ref="AQ25:AR25"/>
    <mergeCell ref="BA25:BB25"/>
    <mergeCell ref="BK25:BL25"/>
    <mergeCell ref="K24:L24"/>
    <mergeCell ref="U24:V24"/>
    <mergeCell ref="AE24:AF24"/>
    <mergeCell ref="AO24:AP24"/>
    <mergeCell ref="AY24:AZ24"/>
    <mergeCell ref="BI24:BJ24"/>
    <mergeCell ref="K20:L20"/>
    <mergeCell ref="U20:V20"/>
    <mergeCell ref="AE20:AF20"/>
    <mergeCell ref="AO20:AP20"/>
    <mergeCell ref="AY20:AZ20"/>
    <mergeCell ref="BI20:BJ20"/>
    <mergeCell ref="BA19:BA20"/>
    <mergeCell ref="BC19:BC20"/>
    <mergeCell ref="BE19:BE20"/>
    <mergeCell ref="M19:M20"/>
    <mergeCell ref="O19:O20"/>
    <mergeCell ref="Q19:Q20"/>
    <mergeCell ref="W19:W20"/>
    <mergeCell ref="Y19:Y20"/>
    <mergeCell ref="AA19:AA20"/>
    <mergeCell ref="BK19:BK20"/>
    <mergeCell ref="BM19:BM20"/>
    <mergeCell ref="BO19:BO20"/>
    <mergeCell ref="AG19:AG20"/>
    <mergeCell ref="AI19:AI20"/>
    <mergeCell ref="AK19:AK20"/>
    <mergeCell ref="AQ19:AQ20"/>
    <mergeCell ref="AS19:AS20"/>
    <mergeCell ref="AU19:AU20"/>
    <mergeCell ref="BC15:BD15"/>
    <mergeCell ref="BE15:BF15"/>
    <mergeCell ref="BK15:BL15"/>
    <mergeCell ref="BM15:BN15"/>
    <mergeCell ref="BO15:BP15"/>
    <mergeCell ref="AG15:AH15"/>
    <mergeCell ref="AI15:AJ15"/>
    <mergeCell ref="AK15:AL15"/>
    <mergeCell ref="AQ15:AR15"/>
    <mergeCell ref="AS15:AT15"/>
    <mergeCell ref="AU15:AV15"/>
    <mergeCell ref="M15:N15"/>
    <mergeCell ref="O15:P15"/>
    <mergeCell ref="Q15:R15"/>
    <mergeCell ref="W15:X15"/>
    <mergeCell ref="Y15:Z15"/>
    <mergeCell ref="AA15:AB15"/>
    <mergeCell ref="AG12:AH12"/>
    <mergeCell ref="AQ12:AR12"/>
    <mergeCell ref="BA12:BB12"/>
    <mergeCell ref="BA15:BB15"/>
    <mergeCell ref="AS2:AT2"/>
    <mergeCell ref="AU2:AV2"/>
    <mergeCell ref="BK12:BL12"/>
    <mergeCell ref="AE11:AF11"/>
    <mergeCell ref="AO11:AP11"/>
    <mergeCell ref="AY11:AZ11"/>
    <mergeCell ref="BI11:BJ11"/>
    <mergeCell ref="AE7:AF7"/>
    <mergeCell ref="AO7:AP7"/>
    <mergeCell ref="AY7:AZ7"/>
    <mergeCell ref="BI7:BJ7"/>
    <mergeCell ref="BA6:BA7"/>
    <mergeCell ref="BC6:BC7"/>
    <mergeCell ref="BE6:BE7"/>
    <mergeCell ref="BK6:BK7"/>
    <mergeCell ref="M1:N1"/>
    <mergeCell ref="W1:X1"/>
    <mergeCell ref="AG1:AH1"/>
    <mergeCell ref="AQ1:AR1"/>
    <mergeCell ref="BA1:BB1"/>
    <mergeCell ref="BK1:BL1"/>
    <mergeCell ref="BM6:BM7"/>
    <mergeCell ref="BO6:BO7"/>
    <mergeCell ref="AG6:AG7"/>
    <mergeCell ref="AI6:AI7"/>
    <mergeCell ref="AK6:AK7"/>
    <mergeCell ref="AQ6:AQ7"/>
    <mergeCell ref="AS6:AS7"/>
    <mergeCell ref="AU6:AU7"/>
    <mergeCell ref="BA2:BB2"/>
    <mergeCell ref="BC2:BD2"/>
    <mergeCell ref="BE2:BF2"/>
    <mergeCell ref="BK2:BL2"/>
    <mergeCell ref="BM2:BN2"/>
    <mergeCell ref="BO2:BP2"/>
    <mergeCell ref="AG2:AH2"/>
    <mergeCell ref="AI2:AJ2"/>
    <mergeCell ref="AK2:AL2"/>
    <mergeCell ref="AQ2:AR2"/>
  </mergeCells>
  <dataValidations count="1">
    <dataValidation type="list" allowBlank="1" showInputMessage="1" showErrorMessage="1" sqref="L5 L18 L31 L44 L57 V5 V18 V31 V44 V57 AF5 AF18 AF31 AF44 AF57 AP5 AP18 AP31 AP44 AP57 AZ5 AZ18 AZ31 AZ44 AZ57 BJ5 BJ18 BJ31 BJ44 BJ57" xr:uid="{00000000-0002-0000-0B00-000000000000}">
      <formula1>"8, 10, 12"</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B1:BP70"/>
  <sheetViews>
    <sheetView zoomScale="85" zoomScaleNormal="85" workbookViewId="0">
      <selection activeCell="C6" sqref="C6"/>
    </sheetView>
  </sheetViews>
  <sheetFormatPr defaultRowHeight="12.75"/>
  <cols>
    <col min="1" max="11" width="9.140625" style="150"/>
    <col min="12" max="12" width="11.140625" style="150" customWidth="1"/>
    <col min="13" max="13" width="10.5703125" style="150" customWidth="1"/>
    <col min="14" max="14" width="11.28515625" style="150" customWidth="1"/>
    <col min="15" max="15" width="10.5703125" style="150" customWidth="1"/>
    <col min="16" max="16" width="10.28515625" style="150" customWidth="1"/>
    <col min="17" max="17" width="10.140625" style="150" customWidth="1"/>
    <col min="18" max="18" width="10" style="150" bestFit="1" customWidth="1"/>
    <col min="19" max="19" width="7.42578125" style="151" customWidth="1"/>
    <col min="20" max="20" width="7" style="150" customWidth="1"/>
    <col min="21" max="21" width="9.140625" style="150"/>
    <col min="22" max="22" width="11.140625" style="150" customWidth="1"/>
    <col min="23" max="23" width="10.5703125" style="150" customWidth="1"/>
    <col min="24" max="24" width="11.28515625" style="150" customWidth="1"/>
    <col min="25" max="25" width="10.5703125" style="150" customWidth="1"/>
    <col min="26" max="26" width="10.28515625" style="150" customWidth="1"/>
    <col min="27" max="27" width="10.140625" style="150" customWidth="1"/>
    <col min="28" max="28" width="10" style="150" bestFit="1" customWidth="1"/>
    <col min="29" max="31" width="9.140625" style="150"/>
    <col min="32" max="32" width="11.140625" style="150" customWidth="1"/>
    <col min="33" max="33" width="10.5703125" style="150" customWidth="1"/>
    <col min="34" max="34" width="11.28515625" style="150" customWidth="1"/>
    <col min="35" max="35" width="10.5703125" style="150" customWidth="1"/>
    <col min="36" max="36" width="10.28515625" style="150" customWidth="1"/>
    <col min="37" max="37" width="10.140625" style="150" customWidth="1"/>
    <col min="38" max="38" width="10" style="150" bestFit="1" customWidth="1"/>
    <col min="39" max="41" width="9.140625" style="150"/>
    <col min="42" max="42" width="11.140625" style="150" customWidth="1"/>
    <col min="43" max="43" width="10.5703125" style="150" customWidth="1"/>
    <col min="44" max="44" width="11.28515625" style="150" customWidth="1"/>
    <col min="45" max="45" width="10.5703125" style="150" customWidth="1"/>
    <col min="46" max="46" width="10.28515625" style="150" customWidth="1"/>
    <col min="47" max="47" width="10.140625" style="150" customWidth="1"/>
    <col min="48" max="48" width="10" style="150" bestFit="1" customWidth="1"/>
    <col min="49" max="51" width="9.140625" style="150"/>
    <col min="52" max="52" width="11.140625" style="150" customWidth="1"/>
    <col min="53" max="53" width="10.5703125" style="150" customWidth="1"/>
    <col min="54" max="54" width="11.28515625" style="150" customWidth="1"/>
    <col min="55" max="55" width="10.5703125" style="150" customWidth="1"/>
    <col min="56" max="56" width="10.28515625" style="150" customWidth="1"/>
    <col min="57" max="57" width="10.140625" style="150" customWidth="1"/>
    <col min="58" max="58" width="10" style="150" bestFit="1" customWidth="1"/>
    <col min="59" max="61" width="9.140625" style="150"/>
    <col min="62" max="62" width="11.140625" style="150" customWidth="1"/>
    <col min="63" max="63" width="10.5703125" style="150" customWidth="1"/>
    <col min="64" max="64" width="11.28515625" style="150" customWidth="1"/>
    <col min="65" max="65" width="10.5703125" style="150" customWidth="1"/>
    <col min="66" max="66" width="10.28515625" style="150" customWidth="1"/>
    <col min="67" max="67" width="10.140625" style="150" customWidth="1"/>
    <col min="68" max="68" width="10" style="150" bestFit="1" customWidth="1"/>
    <col min="69" max="16384" width="9.140625" style="150"/>
  </cols>
  <sheetData>
    <row r="1" spans="2:68" ht="13.5" thickBot="1">
      <c r="L1" s="154"/>
      <c r="M1" s="671"/>
      <c r="N1" s="671"/>
      <c r="O1" s="154"/>
      <c r="P1" s="154"/>
      <c r="Q1" s="228">
        <v>13</v>
      </c>
      <c r="R1" s="228">
        <v>15</v>
      </c>
      <c r="S1" s="292"/>
      <c r="T1" s="228">
        <v>18</v>
      </c>
      <c r="V1" s="154"/>
      <c r="W1" s="671"/>
      <c r="X1" s="671"/>
      <c r="Y1" s="154"/>
      <c r="Z1" s="154"/>
      <c r="AA1" s="228"/>
      <c r="AB1" s="228"/>
      <c r="AD1" s="300"/>
      <c r="AF1" s="154"/>
      <c r="AG1" s="671"/>
      <c r="AH1" s="671"/>
      <c r="AI1" s="154"/>
      <c r="AJ1" s="154"/>
      <c r="AK1" s="228"/>
      <c r="AL1" s="228"/>
      <c r="AN1" s="300"/>
      <c r="AP1" s="154"/>
      <c r="AQ1" s="671"/>
      <c r="AR1" s="671"/>
      <c r="AS1" s="154"/>
      <c r="AT1" s="154"/>
      <c r="AU1" s="228"/>
      <c r="AV1" s="228"/>
      <c r="AX1" s="300"/>
      <c r="AZ1" s="154"/>
      <c r="BA1" s="671"/>
      <c r="BB1" s="671"/>
      <c r="BC1" s="154"/>
      <c r="BD1" s="154"/>
      <c r="BE1" s="228"/>
      <c r="BF1" s="228"/>
      <c r="BH1" s="300"/>
      <c r="BJ1" s="154"/>
      <c r="BK1" s="671"/>
      <c r="BL1" s="671"/>
      <c r="BM1" s="154"/>
      <c r="BN1" s="154"/>
      <c r="BO1" s="228"/>
      <c r="BP1" s="228"/>
    </row>
    <row r="2" spans="2:68" ht="15.75" thickBot="1">
      <c r="K2" s="203"/>
      <c r="L2" s="443"/>
      <c r="M2" s="444"/>
      <c r="N2" s="444"/>
      <c r="O2" s="444"/>
      <c r="P2" s="444"/>
      <c r="Q2" s="444"/>
      <c r="R2" s="444"/>
      <c r="S2" s="293"/>
      <c r="T2" s="156"/>
      <c r="U2" s="203"/>
      <c r="V2" s="443"/>
      <c r="W2" s="444"/>
      <c r="X2" s="444"/>
      <c r="Y2" s="444"/>
      <c r="Z2" s="444"/>
      <c r="AA2" s="444"/>
      <c r="AB2" s="444"/>
      <c r="AC2" s="156"/>
      <c r="AD2" s="156"/>
      <c r="AE2" s="203"/>
      <c r="AF2" s="443"/>
      <c r="AG2" s="444"/>
      <c r="AH2" s="444"/>
      <c r="AI2" s="444"/>
      <c r="AJ2" s="444"/>
      <c r="AK2" s="444"/>
      <c r="AL2" s="444"/>
      <c r="AM2" s="156"/>
      <c r="AN2" s="156"/>
      <c r="AO2" s="203"/>
      <c r="AP2" s="443"/>
      <c r="AQ2" s="444"/>
      <c r="AR2" s="444"/>
      <c r="AS2" s="444"/>
      <c r="AT2" s="444"/>
      <c r="AU2" s="444"/>
      <c r="AV2" s="444"/>
      <c r="AX2" s="300"/>
      <c r="AY2" s="373" t="s">
        <v>7</v>
      </c>
      <c r="AZ2" s="532">
        <f>B6</f>
        <v>42552</v>
      </c>
      <c r="BA2" s="674" t="s">
        <v>100</v>
      </c>
      <c r="BB2" s="675"/>
      <c r="BC2" s="674" t="s">
        <v>99</v>
      </c>
      <c r="BD2" s="675"/>
      <c r="BE2" s="709" t="s">
        <v>16</v>
      </c>
      <c r="BF2" s="677"/>
      <c r="BH2" s="300"/>
      <c r="BI2" s="373" t="s">
        <v>7</v>
      </c>
      <c r="BJ2" s="532">
        <f>B7</f>
        <v>42553</v>
      </c>
      <c r="BK2" s="674" t="s">
        <v>100</v>
      </c>
      <c r="BL2" s="675"/>
      <c r="BM2" s="674" t="s">
        <v>99</v>
      </c>
      <c r="BN2" s="675"/>
      <c r="BO2" s="676" t="s">
        <v>16</v>
      </c>
      <c r="BP2" s="677"/>
    </row>
    <row r="3" spans="2:68" ht="13.5" thickBot="1">
      <c r="K3" s="156"/>
      <c r="L3" s="156"/>
      <c r="M3" s="156"/>
      <c r="N3" s="156"/>
      <c r="O3" s="224"/>
      <c r="P3" s="224"/>
      <c r="Q3" s="224"/>
      <c r="R3" s="224"/>
      <c r="S3" s="156"/>
      <c r="T3" s="156"/>
      <c r="U3" s="156"/>
      <c r="V3" s="156"/>
      <c r="W3" s="156"/>
      <c r="X3" s="156"/>
      <c r="Y3" s="224"/>
      <c r="Z3" s="224"/>
      <c r="AA3" s="224"/>
      <c r="AB3" s="224"/>
      <c r="AC3" s="156"/>
      <c r="AD3" s="156"/>
      <c r="AE3" s="156"/>
      <c r="AF3" s="156"/>
      <c r="AG3" s="156"/>
      <c r="AH3" s="156"/>
      <c r="AI3" s="224"/>
      <c r="AJ3" s="224"/>
      <c r="AK3" s="224"/>
      <c r="AL3" s="224"/>
      <c r="AM3" s="156"/>
      <c r="AN3" s="156"/>
      <c r="AO3" s="156"/>
      <c r="AP3" s="156"/>
      <c r="AQ3" s="156"/>
      <c r="AR3" s="156"/>
      <c r="AS3" s="224"/>
      <c r="AT3" s="224"/>
      <c r="AU3" s="224"/>
      <c r="AV3" s="224"/>
      <c r="AX3" s="300"/>
      <c r="AY3" s="356"/>
      <c r="AZ3" s="355"/>
      <c r="BA3" s="356"/>
      <c r="BB3" s="357"/>
      <c r="BC3" s="367"/>
      <c r="BD3" s="368"/>
      <c r="BE3" s="369"/>
      <c r="BF3" s="368"/>
      <c r="BH3" s="300"/>
      <c r="BI3" s="356"/>
      <c r="BJ3" s="355"/>
      <c r="BK3" s="356"/>
      <c r="BL3" s="357"/>
      <c r="BM3" s="367"/>
      <c r="BN3" s="368"/>
      <c r="BO3" s="369"/>
      <c r="BP3" s="368"/>
    </row>
    <row r="4" spans="2:68" ht="16.5" thickBot="1">
      <c r="C4" s="277" t="s">
        <v>149</v>
      </c>
      <c r="D4" s="277" t="s">
        <v>149</v>
      </c>
      <c r="E4" s="150" t="s">
        <v>5</v>
      </c>
      <c r="F4" s="150" t="s">
        <v>5</v>
      </c>
      <c r="G4" s="277" t="s">
        <v>149</v>
      </c>
      <c r="H4" s="150" t="s">
        <v>5</v>
      </c>
      <c r="K4" s="156"/>
      <c r="L4" s="445"/>
      <c r="M4" s="439"/>
      <c r="N4" s="446"/>
      <c r="O4" s="439"/>
      <c r="P4" s="446"/>
      <c r="Q4" s="439"/>
      <c r="R4" s="447"/>
      <c r="S4" s="294"/>
      <c r="T4" s="156"/>
      <c r="U4" s="156"/>
      <c r="V4" s="445"/>
      <c r="W4" s="439"/>
      <c r="X4" s="446"/>
      <c r="Y4" s="439"/>
      <c r="Z4" s="446"/>
      <c r="AA4" s="439"/>
      <c r="AB4" s="447"/>
      <c r="AC4" s="156"/>
      <c r="AD4" s="156"/>
      <c r="AE4" s="156"/>
      <c r="AF4" s="445"/>
      <c r="AG4" s="439"/>
      <c r="AH4" s="446"/>
      <c r="AI4" s="439"/>
      <c r="AJ4" s="446"/>
      <c r="AK4" s="439"/>
      <c r="AL4" s="447"/>
      <c r="AM4" s="156"/>
      <c r="AN4" s="156"/>
      <c r="AO4" s="156"/>
      <c r="AP4" s="445"/>
      <c r="AQ4" s="439"/>
      <c r="AR4" s="446"/>
      <c r="AS4" s="439"/>
      <c r="AT4" s="446"/>
      <c r="AU4" s="439"/>
      <c r="AV4" s="447"/>
      <c r="AX4" s="300"/>
      <c r="AY4" s="356"/>
      <c r="AZ4" s="433" t="s">
        <v>155</v>
      </c>
      <c r="BA4" s="358" t="s">
        <v>103</v>
      </c>
      <c r="BB4" s="279"/>
      <c r="BC4" s="358" t="s">
        <v>103</v>
      </c>
      <c r="BD4" s="279"/>
      <c r="BE4" s="359" t="s">
        <v>103</v>
      </c>
      <c r="BF4" s="370">
        <f>SUM(BB4,BD4)</f>
        <v>0</v>
      </c>
      <c r="BH4" s="300"/>
      <c r="BI4" s="356"/>
      <c r="BJ4" s="433" t="s">
        <v>155</v>
      </c>
      <c r="BK4" s="358" t="s">
        <v>103</v>
      </c>
      <c r="BL4" s="279"/>
      <c r="BM4" s="358" t="s">
        <v>103</v>
      </c>
      <c r="BN4" s="279"/>
      <c r="BO4" s="359" t="s">
        <v>103</v>
      </c>
      <c r="BP4" s="370">
        <f>SUM(BL4,BN4)</f>
        <v>0</v>
      </c>
    </row>
    <row r="5" spans="2:68" ht="18.75" thickBot="1">
      <c r="B5" s="277" t="s">
        <v>150</v>
      </c>
      <c r="C5" s="277" t="s">
        <v>151</v>
      </c>
      <c r="D5" s="277" t="s">
        <v>137</v>
      </c>
      <c r="E5" s="277" t="s">
        <v>151</v>
      </c>
      <c r="F5" s="277" t="s">
        <v>137</v>
      </c>
      <c r="G5" s="277" t="s">
        <v>152</v>
      </c>
      <c r="H5" s="277" t="s">
        <v>152</v>
      </c>
      <c r="K5" s="156"/>
      <c r="L5" s="448"/>
      <c r="M5" s="449"/>
      <c r="N5" s="450"/>
      <c r="O5" s="439"/>
      <c r="P5" s="450"/>
      <c r="Q5" s="439"/>
      <c r="R5" s="447"/>
      <c r="S5" s="294"/>
      <c r="T5" s="156"/>
      <c r="U5" s="156"/>
      <c r="V5" s="448"/>
      <c r="W5" s="449"/>
      <c r="X5" s="450"/>
      <c r="Y5" s="439"/>
      <c r="Z5" s="450"/>
      <c r="AA5" s="439"/>
      <c r="AB5" s="447"/>
      <c r="AC5" s="156"/>
      <c r="AD5" s="156"/>
      <c r="AE5" s="156"/>
      <c r="AF5" s="448"/>
      <c r="AG5" s="449"/>
      <c r="AH5" s="450"/>
      <c r="AI5" s="439"/>
      <c r="AJ5" s="450"/>
      <c r="AK5" s="439"/>
      <c r="AL5" s="447"/>
      <c r="AM5" s="156"/>
      <c r="AN5" s="156"/>
      <c r="AO5" s="156"/>
      <c r="AP5" s="448"/>
      <c r="AQ5" s="449"/>
      <c r="AR5" s="450"/>
      <c r="AS5" s="439"/>
      <c r="AT5" s="450"/>
      <c r="AU5" s="439"/>
      <c r="AV5" s="447"/>
      <c r="AX5" s="300"/>
      <c r="AY5" s="356"/>
      <c r="AZ5" s="289">
        <v>8</v>
      </c>
      <c r="BA5" s="360" t="s">
        <v>5</v>
      </c>
      <c r="BB5" s="361">
        <f>VLOOKUP(AZ2, $B$3:$E$109, 4, FALSE)</f>
        <v>0</v>
      </c>
      <c r="BC5" s="358" t="s">
        <v>5</v>
      </c>
      <c r="BD5" s="361">
        <f>VLOOKUP(AZ2, $B$3:$F$109, 5, FALSE)</f>
        <v>0</v>
      </c>
      <c r="BE5" s="359" t="s">
        <v>5</v>
      </c>
      <c r="BF5" s="370">
        <f>SUM(BB5,BD5)</f>
        <v>0</v>
      </c>
      <c r="BH5" s="300"/>
      <c r="BI5" s="356"/>
      <c r="BJ5" s="289">
        <v>8</v>
      </c>
      <c r="BK5" s="360" t="s">
        <v>5</v>
      </c>
      <c r="BL5" s="361">
        <f>VLOOKUP(BJ2, $B$3:$E$109, 4, FALSE)</f>
        <v>0</v>
      </c>
      <c r="BM5" s="358" t="s">
        <v>5</v>
      </c>
      <c r="BN5" s="361">
        <f>VLOOKUP(BJ2, $B$3:$F$109, 5, FALSE)</f>
        <v>0</v>
      </c>
      <c r="BO5" s="359" t="s">
        <v>5</v>
      </c>
      <c r="BP5" s="370">
        <f>SUM(BL5,BN5)</f>
        <v>0</v>
      </c>
    </row>
    <row r="6" spans="2:68" ht="15.75" customHeight="1">
      <c r="B6" s="278">
        <v>42552</v>
      </c>
      <c r="D6" s="2"/>
      <c r="E6" s="2"/>
      <c r="F6" s="2"/>
      <c r="G6" s="2">
        <f t="shared" ref="G6:G36" si="0">C6+D6</f>
        <v>0</v>
      </c>
      <c r="H6" s="2">
        <f t="shared" ref="H6:H36" si="1">E6+F6</f>
        <v>0</v>
      </c>
      <c r="K6" s="156"/>
      <c r="L6" s="156"/>
      <c r="M6" s="440"/>
      <c r="N6" s="450"/>
      <c r="O6" s="440"/>
      <c r="P6" s="450"/>
      <c r="Q6" s="440"/>
      <c r="R6" s="447"/>
      <c r="S6" s="294"/>
      <c r="T6" s="156"/>
      <c r="U6" s="156"/>
      <c r="V6" s="156"/>
      <c r="W6" s="440"/>
      <c r="X6" s="450"/>
      <c r="Y6" s="440"/>
      <c r="Z6" s="450"/>
      <c r="AA6" s="440"/>
      <c r="AB6" s="447"/>
      <c r="AC6" s="156"/>
      <c r="AD6" s="156"/>
      <c r="AE6" s="156"/>
      <c r="AF6" s="156"/>
      <c r="AG6" s="440"/>
      <c r="AH6" s="450"/>
      <c r="AI6" s="440"/>
      <c r="AJ6" s="450"/>
      <c r="AK6" s="440"/>
      <c r="AL6" s="447"/>
      <c r="AM6" s="156"/>
      <c r="AN6" s="156"/>
      <c r="AO6" s="156"/>
      <c r="AP6" s="156"/>
      <c r="AQ6" s="440"/>
      <c r="AR6" s="450"/>
      <c r="AS6" s="440"/>
      <c r="AT6" s="450"/>
      <c r="AU6" s="440"/>
      <c r="AV6" s="447"/>
      <c r="AX6" s="300"/>
      <c r="AY6" s="356"/>
      <c r="AZ6" s="355"/>
      <c r="BA6" s="673" t="s">
        <v>105</v>
      </c>
      <c r="BB6" s="361">
        <f>VLOOKUP(AZ2, $B$3:$E$109, 2, FALSE)</f>
        <v>0</v>
      </c>
      <c r="BC6" s="672" t="s">
        <v>105</v>
      </c>
      <c r="BD6" s="361">
        <f>VLOOKUP(AZ2, $B$3:$E$109, 3, FALSE)</f>
        <v>0</v>
      </c>
      <c r="BE6" s="672" t="s">
        <v>105</v>
      </c>
      <c r="BF6" s="370">
        <f>SUM(BB6,BD6)</f>
        <v>0</v>
      </c>
      <c r="BH6" s="300"/>
      <c r="BI6" s="356"/>
      <c r="BJ6" s="355"/>
      <c r="BK6" s="672" t="s">
        <v>105</v>
      </c>
      <c r="BL6" s="361">
        <f>VLOOKUP(BJ2, $B$3:$E$109, 2, FALSE)</f>
        <v>0</v>
      </c>
      <c r="BM6" s="672" t="s">
        <v>105</v>
      </c>
      <c r="BN6" s="361">
        <f>VLOOKUP(BJ2, $B$3:$E$109, 3, FALSE)</f>
        <v>0</v>
      </c>
      <c r="BO6" s="673" t="s">
        <v>105</v>
      </c>
      <c r="BP6" s="370">
        <f>SUM(BL6,BN6)</f>
        <v>0</v>
      </c>
    </row>
    <row r="7" spans="2:68" ht="17.25" customHeight="1">
      <c r="B7" s="278">
        <v>42553</v>
      </c>
      <c r="C7" s="2"/>
      <c r="D7" s="337"/>
      <c r="E7" s="2"/>
      <c r="F7" s="2"/>
      <c r="G7" s="337">
        <f t="shared" si="0"/>
        <v>0</v>
      </c>
      <c r="H7" s="2">
        <f t="shared" si="1"/>
        <v>0</v>
      </c>
      <c r="K7" s="451"/>
      <c r="L7" s="451"/>
      <c r="M7" s="440"/>
      <c r="N7" s="156"/>
      <c r="O7" s="440"/>
      <c r="P7" s="224"/>
      <c r="Q7" s="440"/>
      <c r="R7" s="224"/>
      <c r="S7" s="156"/>
      <c r="T7" s="156"/>
      <c r="U7" s="451"/>
      <c r="V7" s="451"/>
      <c r="W7" s="440"/>
      <c r="X7" s="156"/>
      <c r="Y7" s="440"/>
      <c r="Z7" s="224"/>
      <c r="AA7" s="440"/>
      <c r="AB7" s="224"/>
      <c r="AC7" s="156"/>
      <c r="AD7" s="156"/>
      <c r="AE7" s="451"/>
      <c r="AF7" s="451"/>
      <c r="AG7" s="440"/>
      <c r="AH7" s="156"/>
      <c r="AI7" s="440"/>
      <c r="AJ7" s="224"/>
      <c r="AK7" s="440"/>
      <c r="AL7" s="224"/>
      <c r="AM7" s="156"/>
      <c r="AN7" s="156"/>
      <c r="AO7" s="451"/>
      <c r="AP7" s="451"/>
      <c r="AQ7" s="440"/>
      <c r="AR7" s="156"/>
      <c r="AS7" s="440"/>
      <c r="AT7" s="224"/>
      <c r="AU7" s="440"/>
      <c r="AV7" s="224"/>
      <c r="AX7" s="300"/>
      <c r="AY7" s="704" t="s">
        <v>157</v>
      </c>
      <c r="AZ7" s="705"/>
      <c r="BA7" s="673"/>
      <c r="BB7" s="357"/>
      <c r="BC7" s="672"/>
      <c r="BD7" s="368"/>
      <c r="BE7" s="672"/>
      <c r="BF7" s="368"/>
      <c r="BH7" s="300"/>
      <c r="BI7" s="704" t="s">
        <v>157</v>
      </c>
      <c r="BJ7" s="705"/>
      <c r="BK7" s="673"/>
      <c r="BL7" s="357"/>
      <c r="BM7" s="672"/>
      <c r="BN7" s="368"/>
      <c r="BO7" s="673"/>
      <c r="BP7" s="368"/>
    </row>
    <row r="8" spans="2:68" ht="15.75">
      <c r="B8" s="278">
        <v>42554</v>
      </c>
      <c r="C8" s="2"/>
      <c r="G8" s="150">
        <f t="shared" si="0"/>
        <v>0</v>
      </c>
      <c r="H8" s="150">
        <f t="shared" si="1"/>
        <v>0</v>
      </c>
      <c r="K8" s="451"/>
      <c r="L8" s="441"/>
      <c r="M8" s="442"/>
      <c r="N8" s="156"/>
      <c r="O8" s="440"/>
      <c r="P8" s="156"/>
      <c r="Q8" s="442"/>
      <c r="R8" s="156"/>
      <c r="S8" s="156"/>
      <c r="T8" s="156"/>
      <c r="U8" s="451"/>
      <c r="V8" s="441"/>
      <c r="W8" s="442"/>
      <c r="X8" s="156"/>
      <c r="Y8" s="440"/>
      <c r="Z8" s="156"/>
      <c r="AA8" s="442"/>
      <c r="AB8" s="156"/>
      <c r="AC8" s="156"/>
      <c r="AD8" s="156"/>
      <c r="AE8" s="451"/>
      <c r="AF8" s="441"/>
      <c r="AG8" s="442"/>
      <c r="AH8" s="156"/>
      <c r="AI8" s="440"/>
      <c r="AJ8" s="156"/>
      <c r="AK8" s="442"/>
      <c r="AL8" s="156"/>
      <c r="AM8" s="156"/>
      <c r="AN8" s="156"/>
      <c r="AO8" s="451"/>
      <c r="AP8" s="441"/>
      <c r="AQ8" s="442"/>
      <c r="AR8" s="156"/>
      <c r="AS8" s="440"/>
      <c r="AT8" s="156"/>
      <c r="AU8" s="442"/>
      <c r="AV8" s="156"/>
      <c r="AX8" s="300"/>
      <c r="AY8" s="374"/>
      <c r="AZ8" s="372">
        <f>BF4*13</f>
        <v>0</v>
      </c>
      <c r="BA8" s="434"/>
      <c r="BB8" s="357"/>
      <c r="BC8" s="363"/>
      <c r="BD8" s="357"/>
      <c r="BE8" s="435"/>
      <c r="BF8" s="357"/>
      <c r="BH8" s="300"/>
      <c r="BI8" s="374"/>
      <c r="BJ8" s="372">
        <f>BP4*13</f>
        <v>0</v>
      </c>
      <c r="BK8" s="434"/>
      <c r="BL8" s="357"/>
      <c r="BM8" s="363"/>
      <c r="BN8" s="357"/>
      <c r="BO8" s="435"/>
      <c r="BP8" s="357"/>
    </row>
    <row r="9" spans="2:68" ht="18.75">
      <c r="B9" s="278">
        <v>42555</v>
      </c>
      <c r="G9" s="150">
        <f t="shared" si="0"/>
        <v>0</v>
      </c>
      <c r="H9" s="150">
        <f t="shared" si="1"/>
        <v>0</v>
      </c>
      <c r="K9" s="156"/>
      <c r="L9" s="98"/>
      <c r="M9" s="452"/>
      <c r="N9" s="295"/>
      <c r="O9" s="452"/>
      <c r="P9" s="295"/>
      <c r="Q9" s="452"/>
      <c r="R9" s="295"/>
      <c r="S9" s="295"/>
      <c r="T9" s="156"/>
      <c r="U9" s="156"/>
      <c r="V9" s="98"/>
      <c r="W9" s="452"/>
      <c r="X9" s="295"/>
      <c r="Y9" s="452"/>
      <c r="Z9" s="295"/>
      <c r="AA9" s="452"/>
      <c r="AB9" s="295"/>
      <c r="AC9" s="156"/>
      <c r="AD9" s="156"/>
      <c r="AE9" s="156"/>
      <c r="AF9" s="98"/>
      <c r="AG9" s="452"/>
      <c r="AH9" s="295"/>
      <c r="AI9" s="452"/>
      <c r="AJ9" s="295"/>
      <c r="AK9" s="452"/>
      <c r="AL9" s="295"/>
      <c r="AM9" s="156"/>
      <c r="AN9" s="156"/>
      <c r="AO9" s="156"/>
      <c r="AP9" s="98"/>
      <c r="AQ9" s="452"/>
      <c r="AR9" s="295"/>
      <c r="AS9" s="452"/>
      <c r="AT9" s="295"/>
      <c r="AU9" s="452"/>
      <c r="AV9" s="295"/>
      <c r="AX9" s="300"/>
      <c r="AY9" s="356"/>
      <c r="AZ9" s="375"/>
      <c r="BA9" s="286" t="s">
        <v>97</v>
      </c>
      <c r="BB9" s="287" t="e">
        <f>BB6/((BB4*EFFICIENCY!$H$28))</f>
        <v>#DIV/0!</v>
      </c>
      <c r="BC9" s="286" t="s">
        <v>97</v>
      </c>
      <c r="BD9" s="287" t="e">
        <f>BD6/(BD4*EFFICIENCY!$H$28)</f>
        <v>#DIV/0!</v>
      </c>
      <c r="BE9" s="286" t="s">
        <v>97</v>
      </c>
      <c r="BF9" s="287" t="e">
        <f>BF6/(BF4*EFFICIENCY!$H$28)</f>
        <v>#DIV/0!</v>
      </c>
      <c r="BH9" s="300"/>
      <c r="BI9" s="356"/>
      <c r="BJ9" s="375"/>
      <c r="BK9" s="286" t="s">
        <v>97</v>
      </c>
      <c r="BL9" s="287" t="e">
        <f>BL6/((BL4*EFFICIENCY!$H$28))</f>
        <v>#DIV/0!</v>
      </c>
      <c r="BM9" s="286" t="s">
        <v>97</v>
      </c>
      <c r="BN9" s="287" t="e">
        <f>BN6/(BN4*EFFICIENCY!$H$28)</f>
        <v>#DIV/0!</v>
      </c>
      <c r="BO9" s="286" t="s">
        <v>97</v>
      </c>
      <c r="BP9" s="287" t="e">
        <f>BP6/(BP4*EFFICIENCY!$H$28)</f>
        <v>#DIV/0!</v>
      </c>
    </row>
    <row r="10" spans="2:68" ht="18.75" customHeight="1">
      <c r="B10" s="278">
        <v>42556</v>
      </c>
      <c r="G10" s="150">
        <f t="shared" si="0"/>
        <v>0</v>
      </c>
      <c r="H10" s="150">
        <f t="shared" si="1"/>
        <v>0</v>
      </c>
      <c r="K10" s="156"/>
      <c r="L10" s="156"/>
      <c r="M10" s="453"/>
      <c r="N10" s="296"/>
      <c r="O10" s="453"/>
      <c r="P10" s="296"/>
      <c r="Q10" s="453"/>
      <c r="R10" s="296"/>
      <c r="S10" s="296"/>
      <c r="T10" s="156"/>
      <c r="U10" s="156"/>
      <c r="V10" s="156"/>
      <c r="W10" s="453"/>
      <c r="X10" s="296"/>
      <c r="Y10" s="453"/>
      <c r="Z10" s="296"/>
      <c r="AA10" s="453"/>
      <c r="AB10" s="296"/>
      <c r="AC10" s="156"/>
      <c r="AD10" s="156"/>
      <c r="AE10" s="156"/>
      <c r="AF10" s="156"/>
      <c r="AG10" s="453"/>
      <c r="AH10" s="296"/>
      <c r="AI10" s="453"/>
      <c r="AJ10" s="296"/>
      <c r="AK10" s="453"/>
      <c r="AL10" s="296"/>
      <c r="AM10" s="156"/>
      <c r="AN10" s="156"/>
      <c r="AO10" s="156"/>
      <c r="AP10" s="156"/>
      <c r="AQ10" s="453"/>
      <c r="AR10" s="296"/>
      <c r="AS10" s="453"/>
      <c r="AT10" s="296"/>
      <c r="AU10" s="453"/>
      <c r="AV10" s="296"/>
      <c r="AX10" s="300"/>
      <c r="AY10" s="356"/>
      <c r="AZ10" s="355"/>
      <c r="BA10" s="280" t="s">
        <v>96</v>
      </c>
      <c r="BB10" s="281" t="e">
        <f>BB6/(BB4*EFFICIENCY!$I$28)</f>
        <v>#DIV/0!</v>
      </c>
      <c r="BC10" s="280" t="s">
        <v>96</v>
      </c>
      <c r="BD10" s="281" t="e">
        <f>BD6/(BD4*EFFICIENCY!$I$28)</f>
        <v>#DIV/0!</v>
      </c>
      <c r="BE10" s="280" t="s">
        <v>96</v>
      </c>
      <c r="BF10" s="281" t="e">
        <f>BF6/(BF4*EFFICIENCY!$I$28)</f>
        <v>#DIV/0!</v>
      </c>
      <c r="BH10" s="300"/>
      <c r="BI10" s="356"/>
      <c r="BJ10" s="355"/>
      <c r="BK10" s="280" t="s">
        <v>96</v>
      </c>
      <c r="BL10" s="281" t="e">
        <f>BL6/(BL4*EFFICIENCY!$I$28)</f>
        <v>#DIV/0!</v>
      </c>
      <c r="BM10" s="280" t="s">
        <v>96</v>
      </c>
      <c r="BN10" s="281" t="e">
        <f>BN6/(BN4*EFFICIENCY!$I$28)</f>
        <v>#DIV/0!</v>
      </c>
      <c r="BO10" s="280" t="s">
        <v>96</v>
      </c>
      <c r="BP10" s="281" t="e">
        <f>BP6/(BP4*EFFICIENCY!$I$28)</f>
        <v>#DIV/0!</v>
      </c>
    </row>
    <row r="11" spans="2:68" ht="17.25" customHeight="1" thickBot="1">
      <c r="B11" s="278">
        <v>42557</v>
      </c>
      <c r="G11" s="150">
        <f t="shared" si="0"/>
        <v>0</v>
      </c>
      <c r="H11" s="150">
        <f t="shared" si="1"/>
        <v>0</v>
      </c>
      <c r="K11" s="454"/>
      <c r="L11" s="454"/>
      <c r="M11" s="455"/>
      <c r="N11" s="297"/>
      <c r="O11" s="455"/>
      <c r="P11" s="297"/>
      <c r="Q11" s="455"/>
      <c r="R11" s="297"/>
      <c r="S11" s="297"/>
      <c r="T11" s="156"/>
      <c r="U11" s="454"/>
      <c r="V11" s="454"/>
      <c r="W11" s="455"/>
      <c r="X11" s="297"/>
      <c r="Y11" s="455"/>
      <c r="Z11" s="297"/>
      <c r="AA11" s="455"/>
      <c r="AB11" s="297"/>
      <c r="AC11" s="156"/>
      <c r="AD11" s="156"/>
      <c r="AE11" s="454"/>
      <c r="AF11" s="454"/>
      <c r="AG11" s="455"/>
      <c r="AH11" s="297"/>
      <c r="AI11" s="455"/>
      <c r="AJ11" s="297"/>
      <c r="AK11" s="455"/>
      <c r="AL11" s="297"/>
      <c r="AM11" s="156"/>
      <c r="AN11" s="156"/>
      <c r="AO11" s="454"/>
      <c r="AP11" s="454"/>
      <c r="AQ11" s="455"/>
      <c r="AR11" s="297"/>
      <c r="AS11" s="455"/>
      <c r="AT11" s="297"/>
      <c r="AU11" s="455"/>
      <c r="AV11" s="297"/>
      <c r="AX11" s="300"/>
      <c r="AY11" s="692" t="s">
        <v>156</v>
      </c>
      <c r="AZ11" s="708"/>
      <c r="BA11" s="284" t="s">
        <v>94</v>
      </c>
      <c r="BB11" s="285" t="e">
        <f>BB6/((BB4*EFFICIENCY!$K$28))</f>
        <v>#DIV/0!</v>
      </c>
      <c r="BC11" s="288" t="s">
        <v>94</v>
      </c>
      <c r="BD11" s="285" t="e">
        <f>BD6/((BD4*EFFICIENCY!$K$28))</f>
        <v>#DIV/0!</v>
      </c>
      <c r="BE11" s="284" t="s">
        <v>94</v>
      </c>
      <c r="BF11" s="285" t="e">
        <f>BF6/((BF4*EFFICIENCY!$K$28))</f>
        <v>#DIV/0!</v>
      </c>
      <c r="BH11" s="300"/>
      <c r="BI11" s="692" t="s">
        <v>156</v>
      </c>
      <c r="BJ11" s="693"/>
      <c r="BK11" s="284" t="s">
        <v>94</v>
      </c>
      <c r="BL11" s="285" t="e">
        <f>BL6/((BL4*EFFICIENCY!$K$28))</f>
        <v>#DIV/0!</v>
      </c>
      <c r="BM11" s="288" t="s">
        <v>94</v>
      </c>
      <c r="BN11" s="285" t="e">
        <f>BN6/((BN4*EFFICIENCY!$K$28))</f>
        <v>#DIV/0!</v>
      </c>
      <c r="BO11" s="284" t="s">
        <v>94</v>
      </c>
      <c r="BP11" s="285" t="e">
        <f>BP6/((BP4*EFFICIENCY!$K$28))</f>
        <v>#DIV/0!</v>
      </c>
    </row>
    <row r="12" spans="2:68" ht="16.5" thickBot="1">
      <c r="B12" s="278">
        <v>42558</v>
      </c>
      <c r="G12" s="150">
        <f t="shared" si="0"/>
        <v>0</v>
      </c>
      <c r="H12" s="150">
        <f t="shared" si="1"/>
        <v>0</v>
      </c>
      <c r="K12" s="156"/>
      <c r="L12" s="441"/>
      <c r="M12" s="456"/>
      <c r="N12" s="456"/>
      <c r="O12" s="457"/>
      <c r="P12" s="458"/>
      <c r="Q12" s="458"/>
      <c r="R12" s="298"/>
      <c r="S12" s="298"/>
      <c r="T12" s="156"/>
      <c r="U12" s="156"/>
      <c r="V12" s="441"/>
      <c r="W12" s="456"/>
      <c r="X12" s="456"/>
      <c r="Y12" s="457"/>
      <c r="Z12" s="458"/>
      <c r="AA12" s="458"/>
      <c r="AB12" s="298"/>
      <c r="AC12" s="156"/>
      <c r="AD12" s="156"/>
      <c r="AE12" s="156"/>
      <c r="AF12" s="441"/>
      <c r="AG12" s="456"/>
      <c r="AH12" s="456"/>
      <c r="AI12" s="457"/>
      <c r="AJ12" s="458"/>
      <c r="AK12" s="458"/>
      <c r="AL12" s="298"/>
      <c r="AM12" s="156"/>
      <c r="AN12" s="156"/>
      <c r="AO12" s="156"/>
      <c r="AP12" s="441"/>
      <c r="AQ12" s="456"/>
      <c r="AR12" s="456"/>
      <c r="AS12" s="457"/>
      <c r="AT12" s="458"/>
      <c r="AU12" s="458"/>
      <c r="AV12" s="298"/>
      <c r="AX12" s="300"/>
      <c r="AY12" s="376"/>
      <c r="AZ12" s="377" t="e">
        <f>BF6/BF4</f>
        <v>#DIV/0!</v>
      </c>
      <c r="BA12" s="706" t="s">
        <v>153</v>
      </c>
      <c r="BB12" s="707"/>
      <c r="BC12" s="290"/>
      <c r="BD12" s="431"/>
      <c r="BE12" s="431" t="s">
        <v>154</v>
      </c>
      <c r="BF12" s="366">
        <f>BC12-BF6</f>
        <v>0</v>
      </c>
      <c r="BH12" s="300"/>
      <c r="BI12" s="376"/>
      <c r="BJ12" s="377" t="e">
        <f>BP6/BP4</f>
        <v>#DIV/0!</v>
      </c>
      <c r="BK12" s="678" t="s">
        <v>153</v>
      </c>
      <c r="BL12" s="679"/>
      <c r="BM12" s="290"/>
      <c r="BN12" s="431"/>
      <c r="BO12" s="431" t="s">
        <v>154</v>
      </c>
      <c r="BP12" s="366">
        <f>BM12-BP6</f>
        <v>0</v>
      </c>
    </row>
    <row r="13" spans="2:68" ht="15.75" customHeight="1">
      <c r="B13" s="278">
        <v>42559</v>
      </c>
      <c r="G13" s="150">
        <f t="shared" si="0"/>
        <v>0</v>
      </c>
      <c r="H13" s="150">
        <f t="shared" si="1"/>
        <v>0</v>
      </c>
      <c r="L13" s="154"/>
      <c r="T13" s="300"/>
      <c r="V13" s="154"/>
      <c r="AD13" s="300"/>
      <c r="AF13" s="154"/>
      <c r="AN13" s="300"/>
      <c r="AP13" s="154"/>
      <c r="AX13" s="300"/>
      <c r="AZ13" s="154"/>
      <c r="BH13" s="300"/>
      <c r="BJ13" s="154"/>
    </row>
    <row r="14" spans="2:68" ht="15" customHeight="1" thickBot="1">
      <c r="B14" s="278">
        <v>42560</v>
      </c>
      <c r="G14" s="150">
        <f t="shared" si="0"/>
        <v>0</v>
      </c>
      <c r="H14" s="150">
        <f t="shared" si="1"/>
        <v>0</v>
      </c>
      <c r="K14" s="291"/>
      <c r="L14" s="291"/>
      <c r="M14" s="291"/>
      <c r="N14" s="291"/>
      <c r="O14" s="291"/>
      <c r="P14" s="291"/>
      <c r="Q14" s="291"/>
      <c r="R14" s="291"/>
      <c r="S14" s="299"/>
      <c r="T14" s="301"/>
      <c r="U14" s="291"/>
      <c r="V14" s="291"/>
      <c r="W14" s="291"/>
      <c r="X14" s="291"/>
      <c r="Y14" s="291"/>
      <c r="Z14" s="291"/>
      <c r="AA14" s="291"/>
      <c r="AB14" s="291"/>
      <c r="AC14" s="291"/>
      <c r="AD14" s="301"/>
      <c r="AE14" s="291"/>
      <c r="AF14" s="291"/>
      <c r="AG14" s="291"/>
      <c r="AH14" s="291"/>
      <c r="AI14" s="291"/>
      <c r="AJ14" s="291"/>
      <c r="AK14" s="291"/>
      <c r="AL14" s="291"/>
      <c r="AM14" s="291"/>
      <c r="AN14" s="301"/>
      <c r="AO14" s="291"/>
      <c r="AP14" s="291"/>
      <c r="AQ14" s="291"/>
      <c r="AR14" s="291"/>
      <c r="AS14" s="291"/>
      <c r="AT14" s="291"/>
      <c r="AU14" s="291"/>
      <c r="AV14" s="291"/>
      <c r="AW14" s="291"/>
      <c r="AX14" s="301"/>
      <c r="AY14" s="291"/>
      <c r="AZ14" s="291"/>
      <c r="BA14" s="291"/>
      <c r="BB14" s="291"/>
      <c r="BC14" s="291"/>
      <c r="BD14" s="291"/>
      <c r="BE14" s="291"/>
      <c r="BF14" s="291"/>
      <c r="BG14" s="291"/>
      <c r="BH14" s="300"/>
      <c r="BI14" s="291"/>
      <c r="BJ14" s="291"/>
      <c r="BK14" s="291"/>
      <c r="BL14" s="291"/>
      <c r="BM14" s="291"/>
      <c r="BN14" s="291"/>
      <c r="BO14" s="291"/>
      <c r="BP14" s="291"/>
    </row>
    <row r="15" spans="2:68" ht="15.75" thickBot="1">
      <c r="B15" s="278">
        <v>42561</v>
      </c>
      <c r="G15" s="150">
        <f t="shared" si="0"/>
        <v>0</v>
      </c>
      <c r="H15" s="150">
        <f t="shared" si="1"/>
        <v>0</v>
      </c>
      <c r="K15" s="378" t="s">
        <v>7</v>
      </c>
      <c r="L15" s="533">
        <f>B9</f>
        <v>42555</v>
      </c>
      <c r="M15" s="663" t="s">
        <v>100</v>
      </c>
      <c r="N15" s="664"/>
      <c r="O15" s="665" t="s">
        <v>99</v>
      </c>
      <c r="P15" s="666"/>
      <c r="Q15" s="667" t="s">
        <v>16</v>
      </c>
      <c r="R15" s="668"/>
      <c r="S15" s="293"/>
      <c r="T15" s="302"/>
      <c r="U15" s="378" t="s">
        <v>7</v>
      </c>
      <c r="V15" s="533">
        <f>B10</f>
        <v>42556</v>
      </c>
      <c r="W15" s="663" t="s">
        <v>100</v>
      </c>
      <c r="X15" s="664"/>
      <c r="Y15" s="665" t="s">
        <v>99</v>
      </c>
      <c r="Z15" s="666"/>
      <c r="AA15" s="667" t="s">
        <v>16</v>
      </c>
      <c r="AB15" s="668"/>
      <c r="AD15" s="300"/>
      <c r="AE15" s="378" t="s">
        <v>7</v>
      </c>
      <c r="AF15" s="533">
        <f>B11</f>
        <v>42557</v>
      </c>
      <c r="AG15" s="663" t="s">
        <v>100</v>
      </c>
      <c r="AH15" s="664"/>
      <c r="AI15" s="665" t="s">
        <v>99</v>
      </c>
      <c r="AJ15" s="666"/>
      <c r="AK15" s="667" t="s">
        <v>16</v>
      </c>
      <c r="AL15" s="668"/>
      <c r="AN15" s="300"/>
      <c r="AO15" s="378" t="s">
        <v>7</v>
      </c>
      <c r="AP15" s="533">
        <f>B12</f>
        <v>42558</v>
      </c>
      <c r="AQ15" s="663" t="s">
        <v>100</v>
      </c>
      <c r="AR15" s="664"/>
      <c r="AS15" s="665" t="s">
        <v>99</v>
      </c>
      <c r="AT15" s="666"/>
      <c r="AU15" s="667" t="s">
        <v>16</v>
      </c>
      <c r="AV15" s="668"/>
      <c r="AX15" s="300"/>
      <c r="AY15" s="378" t="s">
        <v>7</v>
      </c>
      <c r="AZ15" s="533">
        <f>B13</f>
        <v>42559</v>
      </c>
      <c r="BA15" s="663" t="s">
        <v>100</v>
      </c>
      <c r="BB15" s="664"/>
      <c r="BC15" s="665" t="s">
        <v>99</v>
      </c>
      <c r="BD15" s="666"/>
      <c r="BE15" s="667" t="s">
        <v>16</v>
      </c>
      <c r="BF15" s="668"/>
      <c r="BH15" s="300"/>
      <c r="BI15" s="378" t="s">
        <v>7</v>
      </c>
      <c r="BJ15" s="533">
        <f>B14</f>
        <v>42560</v>
      </c>
      <c r="BK15" s="663" t="s">
        <v>100</v>
      </c>
      <c r="BL15" s="664"/>
      <c r="BM15" s="665" t="s">
        <v>99</v>
      </c>
      <c r="BN15" s="666"/>
      <c r="BO15" s="667" t="s">
        <v>16</v>
      </c>
      <c r="BP15" s="668"/>
    </row>
    <row r="16" spans="2:68" ht="13.5" thickBot="1">
      <c r="B16" s="278">
        <v>42562</v>
      </c>
      <c r="G16" s="150">
        <f t="shared" si="0"/>
        <v>0</v>
      </c>
      <c r="H16" s="150">
        <f t="shared" si="1"/>
        <v>0</v>
      </c>
      <c r="K16" s="339"/>
      <c r="L16" s="338"/>
      <c r="M16" s="339"/>
      <c r="N16" s="340"/>
      <c r="O16" s="339"/>
      <c r="P16" s="340"/>
      <c r="Q16" s="338"/>
      <c r="R16" s="340"/>
      <c r="S16" s="156"/>
      <c r="T16" s="302"/>
      <c r="U16" s="339"/>
      <c r="V16" s="338"/>
      <c r="W16" s="339"/>
      <c r="X16" s="340"/>
      <c r="Y16" s="339"/>
      <c r="Z16" s="340"/>
      <c r="AA16" s="338"/>
      <c r="AB16" s="340"/>
      <c r="AD16" s="300"/>
      <c r="AE16" s="339"/>
      <c r="AF16" s="338"/>
      <c r="AG16" s="339"/>
      <c r="AH16" s="340"/>
      <c r="AI16" s="339"/>
      <c r="AJ16" s="340"/>
      <c r="AK16" s="338"/>
      <c r="AL16" s="340"/>
      <c r="AN16" s="300"/>
      <c r="AO16" s="339"/>
      <c r="AP16" s="338"/>
      <c r="AQ16" s="339"/>
      <c r="AR16" s="340"/>
      <c r="AS16" s="339"/>
      <c r="AT16" s="340"/>
      <c r="AU16" s="338"/>
      <c r="AV16" s="340"/>
      <c r="AX16" s="300"/>
      <c r="AY16" s="339"/>
      <c r="AZ16" s="338"/>
      <c r="BA16" s="339"/>
      <c r="BB16" s="340"/>
      <c r="BC16" s="339"/>
      <c r="BD16" s="340"/>
      <c r="BE16" s="338"/>
      <c r="BF16" s="340"/>
      <c r="BH16" s="300"/>
      <c r="BI16" s="339"/>
      <c r="BJ16" s="338"/>
      <c r="BK16" s="339"/>
      <c r="BL16" s="340"/>
      <c r="BM16" s="339"/>
      <c r="BN16" s="340"/>
      <c r="BO16" s="338"/>
      <c r="BP16" s="340"/>
    </row>
    <row r="17" spans="2:68" ht="16.5" thickBot="1">
      <c r="B17" s="278">
        <v>42563</v>
      </c>
      <c r="G17" s="150">
        <f t="shared" si="0"/>
        <v>0</v>
      </c>
      <c r="H17" s="150">
        <f t="shared" si="1"/>
        <v>0</v>
      </c>
      <c r="K17" s="339"/>
      <c r="L17" s="432" t="s">
        <v>155</v>
      </c>
      <c r="M17" s="342" t="s">
        <v>103</v>
      </c>
      <c r="N17" s="279"/>
      <c r="O17" s="342" t="s">
        <v>103</v>
      </c>
      <c r="P17" s="279"/>
      <c r="Q17" s="343" t="s">
        <v>103</v>
      </c>
      <c r="R17" s="344">
        <f>SUM(N17,P17)</f>
        <v>0</v>
      </c>
      <c r="S17" s="294"/>
      <c r="T17" s="302"/>
      <c r="U17" s="339"/>
      <c r="V17" s="432" t="s">
        <v>155</v>
      </c>
      <c r="W17" s="342" t="s">
        <v>103</v>
      </c>
      <c r="X17" s="279"/>
      <c r="Y17" s="342" t="s">
        <v>103</v>
      </c>
      <c r="Z17" s="279"/>
      <c r="AA17" s="343" t="s">
        <v>103</v>
      </c>
      <c r="AB17" s="344">
        <f>SUM(X17,Z17)</f>
        <v>0</v>
      </c>
      <c r="AD17" s="300"/>
      <c r="AE17" s="339"/>
      <c r="AF17" s="432" t="s">
        <v>155</v>
      </c>
      <c r="AG17" s="342" t="s">
        <v>103</v>
      </c>
      <c r="AH17" s="279"/>
      <c r="AI17" s="342" t="s">
        <v>103</v>
      </c>
      <c r="AJ17" s="279"/>
      <c r="AK17" s="343" t="s">
        <v>103</v>
      </c>
      <c r="AL17" s="344">
        <f>SUM(AH17,AJ17)</f>
        <v>0</v>
      </c>
      <c r="AN17" s="300"/>
      <c r="AO17" s="339"/>
      <c r="AP17" s="432" t="s">
        <v>155</v>
      </c>
      <c r="AQ17" s="342" t="s">
        <v>103</v>
      </c>
      <c r="AR17" s="279"/>
      <c r="AS17" s="342" t="s">
        <v>103</v>
      </c>
      <c r="AT17" s="279"/>
      <c r="AU17" s="343" t="s">
        <v>103</v>
      </c>
      <c r="AV17" s="344">
        <f>SUM(AR17,AT17)</f>
        <v>0</v>
      </c>
      <c r="AX17" s="300"/>
      <c r="AY17" s="339"/>
      <c r="AZ17" s="432" t="s">
        <v>155</v>
      </c>
      <c r="BA17" s="342" t="s">
        <v>103</v>
      </c>
      <c r="BB17" s="279"/>
      <c r="BC17" s="342" t="s">
        <v>103</v>
      </c>
      <c r="BD17" s="279"/>
      <c r="BE17" s="343" t="s">
        <v>103</v>
      </c>
      <c r="BF17" s="344">
        <f>SUM(BB17,BD17)</f>
        <v>0</v>
      </c>
      <c r="BH17" s="300"/>
      <c r="BI17" s="339"/>
      <c r="BJ17" s="432" t="s">
        <v>155</v>
      </c>
      <c r="BK17" s="342" t="s">
        <v>103</v>
      </c>
      <c r="BL17" s="279"/>
      <c r="BM17" s="342" t="s">
        <v>103</v>
      </c>
      <c r="BN17" s="279"/>
      <c r="BO17" s="343" t="s">
        <v>103</v>
      </c>
      <c r="BP17" s="344">
        <f>SUM(BL17,BN17)</f>
        <v>0</v>
      </c>
    </row>
    <row r="18" spans="2:68" ht="18.75" thickBot="1">
      <c r="B18" s="278">
        <v>42564</v>
      </c>
      <c r="G18" s="150">
        <f t="shared" si="0"/>
        <v>0</v>
      </c>
      <c r="H18" s="150">
        <f t="shared" si="1"/>
        <v>0</v>
      </c>
      <c r="K18" s="339"/>
      <c r="L18" s="289">
        <v>8</v>
      </c>
      <c r="M18" s="345" t="s">
        <v>5</v>
      </c>
      <c r="N18" s="346">
        <f>VLOOKUP(L15, $B$3:$E$109, 4, FALSE)</f>
        <v>0</v>
      </c>
      <c r="O18" s="345" t="s">
        <v>5</v>
      </c>
      <c r="P18" s="347">
        <f>VLOOKUP(L15, $B$3:$F$109, 5, FALSE)</f>
        <v>0</v>
      </c>
      <c r="Q18" s="348" t="s">
        <v>5</v>
      </c>
      <c r="R18" s="344">
        <f>SUM(N18,P18)</f>
        <v>0</v>
      </c>
      <c r="S18" s="294"/>
      <c r="T18" s="302"/>
      <c r="U18" s="339"/>
      <c r="V18" s="289">
        <v>8</v>
      </c>
      <c r="W18" s="345" t="s">
        <v>5</v>
      </c>
      <c r="X18" s="346">
        <f>VLOOKUP(V15, $B$3:$E$109, 4, FALSE)</f>
        <v>0</v>
      </c>
      <c r="Y18" s="345" t="s">
        <v>5</v>
      </c>
      <c r="Z18" s="347">
        <f>VLOOKUP(V15, $B$3:$F$109, 5, FALSE)</f>
        <v>0</v>
      </c>
      <c r="AA18" s="348" t="s">
        <v>5</v>
      </c>
      <c r="AB18" s="344">
        <f>SUM(X18,Z18)</f>
        <v>0</v>
      </c>
      <c r="AD18" s="300"/>
      <c r="AE18" s="339"/>
      <c r="AF18" s="289">
        <v>8</v>
      </c>
      <c r="AG18" s="345" t="s">
        <v>5</v>
      </c>
      <c r="AH18" s="346">
        <f>VLOOKUP(AF15, $B$3:$E$109, 4, FALSE)</f>
        <v>0</v>
      </c>
      <c r="AI18" s="345" t="s">
        <v>5</v>
      </c>
      <c r="AJ18" s="347">
        <f>VLOOKUP(AF15, $B$3:$F$109, 5, FALSE)</f>
        <v>0</v>
      </c>
      <c r="AK18" s="348" t="s">
        <v>5</v>
      </c>
      <c r="AL18" s="344">
        <f>SUM(AH18,AJ18)</f>
        <v>0</v>
      </c>
      <c r="AN18" s="300"/>
      <c r="AO18" s="339"/>
      <c r="AP18" s="289">
        <v>8</v>
      </c>
      <c r="AQ18" s="345" t="s">
        <v>5</v>
      </c>
      <c r="AR18" s="346">
        <f>VLOOKUP(AP15, $B$3:$E$109, 4, FALSE)</f>
        <v>0</v>
      </c>
      <c r="AS18" s="345" t="s">
        <v>5</v>
      </c>
      <c r="AT18" s="347">
        <f>VLOOKUP(AP15, $B$3:$F$109, 5, FALSE)</f>
        <v>0</v>
      </c>
      <c r="AU18" s="348" t="s">
        <v>5</v>
      </c>
      <c r="AV18" s="344">
        <f>SUM(AR18,AT18)</f>
        <v>0</v>
      </c>
      <c r="AX18" s="300"/>
      <c r="AY18" s="339"/>
      <c r="AZ18" s="289">
        <v>8</v>
      </c>
      <c r="BA18" s="345" t="s">
        <v>5</v>
      </c>
      <c r="BB18" s="346">
        <f>VLOOKUP(AZ15, $B$3:$E$109, 4, FALSE)</f>
        <v>0</v>
      </c>
      <c r="BC18" s="345" t="s">
        <v>5</v>
      </c>
      <c r="BD18" s="347">
        <f>VLOOKUP(AZ15, $B$3:$F$109, 5, FALSE)</f>
        <v>0</v>
      </c>
      <c r="BE18" s="348" t="s">
        <v>5</v>
      </c>
      <c r="BF18" s="344">
        <f>SUM(BB18,BD18)</f>
        <v>0</v>
      </c>
      <c r="BH18" s="300"/>
      <c r="BI18" s="339"/>
      <c r="BJ18" s="289">
        <v>8</v>
      </c>
      <c r="BK18" s="345" t="s">
        <v>5</v>
      </c>
      <c r="BL18" s="346">
        <f>VLOOKUP(BJ15, $B$3:$E$109, 4, FALSE)</f>
        <v>0</v>
      </c>
      <c r="BM18" s="345" t="s">
        <v>5</v>
      </c>
      <c r="BN18" s="347">
        <f>VLOOKUP(BJ15, $B$3:$F$109, 5, FALSE)</f>
        <v>0</v>
      </c>
      <c r="BO18" s="348" t="s">
        <v>5</v>
      </c>
      <c r="BP18" s="344">
        <f>SUM(BL18,BN18)</f>
        <v>0</v>
      </c>
    </row>
    <row r="19" spans="2:68" ht="15.75" customHeight="1">
      <c r="B19" s="278">
        <v>42565</v>
      </c>
      <c r="G19" s="150">
        <f t="shared" si="0"/>
        <v>0</v>
      </c>
      <c r="H19" s="150">
        <f t="shared" si="1"/>
        <v>0</v>
      </c>
      <c r="K19" s="339"/>
      <c r="L19" s="338"/>
      <c r="M19" s="669" t="s">
        <v>105</v>
      </c>
      <c r="N19" s="346">
        <f>VLOOKUP(L15, $B$3:$E$109, 2, FALSE)</f>
        <v>0</v>
      </c>
      <c r="O19" s="669" t="s">
        <v>105</v>
      </c>
      <c r="P19" s="347">
        <f>VLOOKUP(L15, $B$3:$E$109, 3, FALSE)</f>
        <v>0</v>
      </c>
      <c r="Q19" s="670" t="s">
        <v>105</v>
      </c>
      <c r="R19" s="344">
        <f>SUM(N19,P19)</f>
        <v>0</v>
      </c>
      <c r="S19" s="294"/>
      <c r="T19" s="302"/>
      <c r="U19" s="339"/>
      <c r="V19" s="338"/>
      <c r="W19" s="669" t="s">
        <v>105</v>
      </c>
      <c r="X19" s="346">
        <f>VLOOKUP(V15, $B$3:$E$109, 2, FALSE)</f>
        <v>0</v>
      </c>
      <c r="Y19" s="669" t="s">
        <v>105</v>
      </c>
      <c r="Z19" s="347">
        <f>VLOOKUP(V15, $B$3:$E$109, 3, FALSE)</f>
        <v>0</v>
      </c>
      <c r="AA19" s="670" t="s">
        <v>105</v>
      </c>
      <c r="AB19" s="344">
        <f>SUM(X19,Z19)</f>
        <v>0</v>
      </c>
      <c r="AD19" s="300"/>
      <c r="AE19" s="339"/>
      <c r="AF19" s="338"/>
      <c r="AG19" s="669" t="s">
        <v>105</v>
      </c>
      <c r="AH19" s="346">
        <f>VLOOKUP(AF15, $B$3:$E$109, 2, FALSE)</f>
        <v>0</v>
      </c>
      <c r="AI19" s="669" t="s">
        <v>105</v>
      </c>
      <c r="AJ19" s="347">
        <f>VLOOKUP(AF15, $B$3:$E$109, 3, FALSE)</f>
        <v>0</v>
      </c>
      <c r="AK19" s="670" t="s">
        <v>105</v>
      </c>
      <c r="AL19" s="344">
        <f>SUM(AH19,AJ19)</f>
        <v>0</v>
      </c>
      <c r="AN19" s="300"/>
      <c r="AO19" s="339"/>
      <c r="AP19" s="338"/>
      <c r="AQ19" s="669" t="s">
        <v>105</v>
      </c>
      <c r="AR19" s="346">
        <f>VLOOKUP(AP15, $B$3:$E$109, 2, FALSE)</f>
        <v>0</v>
      </c>
      <c r="AS19" s="669" t="s">
        <v>105</v>
      </c>
      <c r="AT19" s="347">
        <f>VLOOKUP(AP15, $B$3:$E$109, 3, FALSE)</f>
        <v>0</v>
      </c>
      <c r="AU19" s="670" t="s">
        <v>105</v>
      </c>
      <c r="AV19" s="344">
        <f>SUM(AR19,AT19)</f>
        <v>0</v>
      </c>
      <c r="AX19" s="300"/>
      <c r="AY19" s="339"/>
      <c r="AZ19" s="338"/>
      <c r="BA19" s="669" t="s">
        <v>105</v>
      </c>
      <c r="BB19" s="346">
        <f>VLOOKUP(AZ15, $B$3:$E$109, 2, FALSE)</f>
        <v>0</v>
      </c>
      <c r="BC19" s="669" t="s">
        <v>105</v>
      </c>
      <c r="BD19" s="347">
        <f>VLOOKUP(AZ15, $B$3:$E$109, 3, FALSE)</f>
        <v>0</v>
      </c>
      <c r="BE19" s="670" t="s">
        <v>105</v>
      </c>
      <c r="BF19" s="344">
        <f>SUM(BB19,BD19)</f>
        <v>0</v>
      </c>
      <c r="BH19" s="300"/>
      <c r="BI19" s="339"/>
      <c r="BJ19" s="338"/>
      <c r="BK19" s="669" t="s">
        <v>105</v>
      </c>
      <c r="BL19" s="346">
        <f>VLOOKUP(BJ15, $B$3:$E$109, 2, FALSE)</f>
        <v>0</v>
      </c>
      <c r="BM19" s="669" t="s">
        <v>105</v>
      </c>
      <c r="BN19" s="347">
        <f>VLOOKUP(BJ15, $B$3:$E$109, 3, FALSE)</f>
        <v>0</v>
      </c>
      <c r="BO19" s="670" t="s">
        <v>105</v>
      </c>
      <c r="BP19" s="344">
        <f>SUM(BL19,BN19)</f>
        <v>0</v>
      </c>
    </row>
    <row r="20" spans="2:68" ht="12.75" customHeight="1">
      <c r="B20" s="278">
        <v>42566</v>
      </c>
      <c r="G20" s="150">
        <f t="shared" si="0"/>
        <v>0</v>
      </c>
      <c r="H20" s="150">
        <f t="shared" si="1"/>
        <v>0</v>
      </c>
      <c r="K20" s="698" t="s">
        <v>157</v>
      </c>
      <c r="L20" s="699"/>
      <c r="M20" s="670"/>
      <c r="N20" s="340"/>
      <c r="O20" s="669"/>
      <c r="P20" s="340"/>
      <c r="Q20" s="670"/>
      <c r="R20" s="340"/>
      <c r="S20" s="156"/>
      <c r="T20" s="302"/>
      <c r="U20" s="698" t="s">
        <v>157</v>
      </c>
      <c r="V20" s="699"/>
      <c r="W20" s="670"/>
      <c r="X20" s="340"/>
      <c r="Y20" s="669"/>
      <c r="Z20" s="340"/>
      <c r="AA20" s="670"/>
      <c r="AB20" s="340"/>
      <c r="AD20" s="300"/>
      <c r="AE20" s="698" t="s">
        <v>157</v>
      </c>
      <c r="AF20" s="699"/>
      <c r="AG20" s="670"/>
      <c r="AH20" s="340"/>
      <c r="AI20" s="669"/>
      <c r="AJ20" s="340"/>
      <c r="AK20" s="670"/>
      <c r="AL20" s="340"/>
      <c r="AN20" s="300"/>
      <c r="AO20" s="698" t="s">
        <v>157</v>
      </c>
      <c r="AP20" s="699"/>
      <c r="AQ20" s="670"/>
      <c r="AR20" s="340"/>
      <c r="AS20" s="669"/>
      <c r="AT20" s="340"/>
      <c r="AU20" s="670"/>
      <c r="AV20" s="340"/>
      <c r="AX20" s="300"/>
      <c r="AY20" s="698" t="s">
        <v>157</v>
      </c>
      <c r="AZ20" s="699"/>
      <c r="BA20" s="670"/>
      <c r="BB20" s="340"/>
      <c r="BC20" s="669"/>
      <c r="BD20" s="340"/>
      <c r="BE20" s="670"/>
      <c r="BF20" s="340"/>
      <c r="BH20" s="300"/>
      <c r="BI20" s="698" t="s">
        <v>157</v>
      </c>
      <c r="BJ20" s="699"/>
      <c r="BK20" s="670"/>
      <c r="BL20" s="340"/>
      <c r="BM20" s="669"/>
      <c r="BN20" s="340"/>
      <c r="BO20" s="670"/>
      <c r="BP20" s="340"/>
    </row>
    <row r="21" spans="2:68" ht="15.75">
      <c r="B21" s="278">
        <v>42567</v>
      </c>
      <c r="G21" s="150">
        <f t="shared" si="0"/>
        <v>0</v>
      </c>
      <c r="H21" s="150">
        <f t="shared" si="1"/>
        <v>0</v>
      </c>
      <c r="K21" s="379"/>
      <c r="L21" s="349">
        <f>R17*13</f>
        <v>0</v>
      </c>
      <c r="M21" s="429"/>
      <c r="N21" s="340"/>
      <c r="O21" s="351"/>
      <c r="P21" s="340"/>
      <c r="Q21" s="430"/>
      <c r="R21" s="340"/>
      <c r="S21" s="156"/>
      <c r="T21" s="302"/>
      <c r="U21" s="379"/>
      <c r="V21" s="349">
        <f>AB17*13</f>
        <v>0</v>
      </c>
      <c r="W21" s="429"/>
      <c r="X21" s="340"/>
      <c r="Y21" s="351"/>
      <c r="Z21" s="340"/>
      <c r="AA21" s="430"/>
      <c r="AB21" s="340"/>
      <c r="AD21" s="300"/>
      <c r="AE21" s="379"/>
      <c r="AF21" s="349">
        <f>AL17*13</f>
        <v>0</v>
      </c>
      <c r="AG21" s="429"/>
      <c r="AH21" s="340"/>
      <c r="AI21" s="351"/>
      <c r="AJ21" s="340"/>
      <c r="AK21" s="430"/>
      <c r="AL21" s="340"/>
      <c r="AN21" s="300"/>
      <c r="AO21" s="379"/>
      <c r="AP21" s="349">
        <f>AV17*13</f>
        <v>0</v>
      </c>
      <c r="AQ21" s="429"/>
      <c r="AR21" s="340"/>
      <c r="AS21" s="351"/>
      <c r="AT21" s="340"/>
      <c r="AU21" s="430"/>
      <c r="AV21" s="340"/>
      <c r="AX21" s="300"/>
      <c r="AY21" s="379"/>
      <c r="AZ21" s="349">
        <f>BF17*13</f>
        <v>0</v>
      </c>
      <c r="BA21" s="429"/>
      <c r="BB21" s="340"/>
      <c r="BC21" s="351"/>
      <c r="BD21" s="340"/>
      <c r="BE21" s="430"/>
      <c r="BF21" s="340"/>
      <c r="BH21" s="300"/>
      <c r="BI21" s="379"/>
      <c r="BJ21" s="349">
        <f>BP17*13</f>
        <v>0</v>
      </c>
      <c r="BK21" s="429"/>
      <c r="BL21" s="340"/>
      <c r="BM21" s="351"/>
      <c r="BN21" s="340"/>
      <c r="BO21" s="430"/>
      <c r="BP21" s="340"/>
    </row>
    <row r="22" spans="2:68" ht="18.75">
      <c r="B22" s="278">
        <v>42568</v>
      </c>
      <c r="G22" s="150">
        <f t="shared" si="0"/>
        <v>0</v>
      </c>
      <c r="H22" s="150">
        <f t="shared" si="1"/>
        <v>0</v>
      </c>
      <c r="K22" s="339"/>
      <c r="L22" s="380"/>
      <c r="M22" s="286" t="s">
        <v>97</v>
      </c>
      <c r="N22" s="287" t="e">
        <f>N19/((N17*EFFICIENCY!$H$28))</f>
        <v>#DIV/0!</v>
      </c>
      <c r="O22" s="286" t="s">
        <v>97</v>
      </c>
      <c r="P22" s="287" t="e">
        <f>P19/(P17*EFFICIENCY!$H$28)</f>
        <v>#DIV/0!</v>
      </c>
      <c r="Q22" s="286" t="s">
        <v>97</v>
      </c>
      <c r="R22" s="287" t="e">
        <f>R19/(R17*EFFICIENCY!$H$28)</f>
        <v>#DIV/0!</v>
      </c>
      <c r="S22" s="295"/>
      <c r="T22" s="302"/>
      <c r="U22" s="339"/>
      <c r="V22" s="380"/>
      <c r="W22" s="286" t="s">
        <v>97</v>
      </c>
      <c r="X22" s="287" t="e">
        <f>X19/((X17*EFFICIENCY!$H$28))</f>
        <v>#DIV/0!</v>
      </c>
      <c r="Y22" s="286" t="s">
        <v>97</v>
      </c>
      <c r="Z22" s="287" t="e">
        <f>Z19/(Z17*EFFICIENCY!$H$28)</f>
        <v>#DIV/0!</v>
      </c>
      <c r="AA22" s="286" t="s">
        <v>97</v>
      </c>
      <c r="AB22" s="287" t="e">
        <f>AB19/(AB17*EFFICIENCY!$H$28)</f>
        <v>#DIV/0!</v>
      </c>
      <c r="AD22" s="300"/>
      <c r="AE22" s="339"/>
      <c r="AF22" s="380"/>
      <c r="AG22" s="286" t="s">
        <v>97</v>
      </c>
      <c r="AH22" s="287" t="e">
        <f>AH19/((AH17*EFFICIENCY!$H$28))</f>
        <v>#DIV/0!</v>
      </c>
      <c r="AI22" s="286" t="s">
        <v>97</v>
      </c>
      <c r="AJ22" s="287" t="e">
        <f>AJ19/(AJ17*EFFICIENCY!$H$28)</f>
        <v>#DIV/0!</v>
      </c>
      <c r="AK22" s="286" t="s">
        <v>97</v>
      </c>
      <c r="AL22" s="287" t="e">
        <f>AL19/(AL17*EFFICIENCY!$H$28)</f>
        <v>#DIV/0!</v>
      </c>
      <c r="AN22" s="300"/>
      <c r="AO22" s="339"/>
      <c r="AP22" s="380"/>
      <c r="AQ22" s="286" t="s">
        <v>97</v>
      </c>
      <c r="AR22" s="287" t="e">
        <f>AR19/((AR17*EFFICIENCY!$H$28))</f>
        <v>#DIV/0!</v>
      </c>
      <c r="AS22" s="286" t="s">
        <v>97</v>
      </c>
      <c r="AT22" s="287" t="e">
        <f>AT19/(AT17*EFFICIENCY!$H$28)</f>
        <v>#DIV/0!</v>
      </c>
      <c r="AU22" s="286" t="s">
        <v>97</v>
      </c>
      <c r="AV22" s="287" t="e">
        <f>AV19/(AV17*EFFICIENCY!$H$28)</f>
        <v>#DIV/0!</v>
      </c>
      <c r="AX22" s="300"/>
      <c r="AY22" s="339"/>
      <c r="AZ22" s="380"/>
      <c r="BA22" s="286" t="s">
        <v>97</v>
      </c>
      <c r="BB22" s="287" t="e">
        <f>BB19/((BB17*EFFICIENCY!$H$28))</f>
        <v>#DIV/0!</v>
      </c>
      <c r="BC22" s="286" t="s">
        <v>97</v>
      </c>
      <c r="BD22" s="287" t="e">
        <f>BD19/(BD17*EFFICIENCY!$H$28)</f>
        <v>#DIV/0!</v>
      </c>
      <c r="BE22" s="286" t="s">
        <v>97</v>
      </c>
      <c r="BF22" s="287" t="e">
        <f>BF19/(BF17*EFFICIENCY!$H$28)</f>
        <v>#DIV/0!</v>
      </c>
      <c r="BH22" s="300"/>
      <c r="BI22" s="339"/>
      <c r="BJ22" s="380"/>
      <c r="BK22" s="286" t="s">
        <v>97</v>
      </c>
      <c r="BL22" s="287" t="e">
        <f>BL19/((BL17*EFFICIENCY!$H$28))</f>
        <v>#DIV/0!</v>
      </c>
      <c r="BM22" s="286" t="s">
        <v>97</v>
      </c>
      <c r="BN22" s="287" t="e">
        <f>BN19/(BN17*EFFICIENCY!$H$28)</f>
        <v>#DIV/0!</v>
      </c>
      <c r="BO22" s="286" t="s">
        <v>97</v>
      </c>
      <c r="BP22" s="287" t="e">
        <f>BP19/(BP17*EFFICIENCY!$H$28)</f>
        <v>#DIV/0!</v>
      </c>
    </row>
    <row r="23" spans="2:68" ht="18.75">
      <c r="B23" s="278">
        <v>42569</v>
      </c>
      <c r="G23" s="150">
        <f t="shared" si="0"/>
        <v>0</v>
      </c>
      <c r="H23" s="150">
        <f t="shared" si="1"/>
        <v>0</v>
      </c>
      <c r="K23" s="339"/>
      <c r="L23" s="338"/>
      <c r="M23" s="280" t="s">
        <v>96</v>
      </c>
      <c r="N23" s="281" t="e">
        <f>N19/(N17*EFFICIENCY!$I$28)</f>
        <v>#DIV/0!</v>
      </c>
      <c r="O23" s="280" t="s">
        <v>96</v>
      </c>
      <c r="P23" s="281" t="e">
        <f>P19/(P17*EFFICIENCY!$I$28)</f>
        <v>#DIV/0!</v>
      </c>
      <c r="Q23" s="280" t="s">
        <v>96</v>
      </c>
      <c r="R23" s="281" t="e">
        <f>R19/(R17*EFFICIENCY!$I$28)</f>
        <v>#DIV/0!</v>
      </c>
      <c r="S23" s="296"/>
      <c r="T23" s="302"/>
      <c r="U23" s="339"/>
      <c r="V23" s="338"/>
      <c r="W23" s="280" t="s">
        <v>96</v>
      </c>
      <c r="X23" s="281" t="e">
        <f>X19/(X17*EFFICIENCY!$I$28)</f>
        <v>#DIV/0!</v>
      </c>
      <c r="Y23" s="280" t="s">
        <v>96</v>
      </c>
      <c r="Z23" s="281" t="e">
        <f>Z19/(Z17*EFFICIENCY!$I$28)</f>
        <v>#DIV/0!</v>
      </c>
      <c r="AA23" s="280" t="s">
        <v>96</v>
      </c>
      <c r="AB23" s="281" t="e">
        <f>AB19/(AB17*EFFICIENCY!$I$28)</f>
        <v>#DIV/0!</v>
      </c>
      <c r="AD23" s="300"/>
      <c r="AE23" s="339"/>
      <c r="AF23" s="338"/>
      <c r="AG23" s="280" t="s">
        <v>96</v>
      </c>
      <c r="AH23" s="281" t="e">
        <f>AH19/(AH17*EFFICIENCY!$I$28)</f>
        <v>#DIV/0!</v>
      </c>
      <c r="AI23" s="280" t="s">
        <v>96</v>
      </c>
      <c r="AJ23" s="281" t="e">
        <f>AJ19/(AJ17*EFFICIENCY!$I$28)</f>
        <v>#DIV/0!</v>
      </c>
      <c r="AK23" s="280" t="s">
        <v>96</v>
      </c>
      <c r="AL23" s="281" t="e">
        <f>AL19/(AL17*EFFICIENCY!$I$28)</f>
        <v>#DIV/0!</v>
      </c>
      <c r="AN23" s="300"/>
      <c r="AO23" s="339"/>
      <c r="AP23" s="338"/>
      <c r="AQ23" s="280" t="s">
        <v>96</v>
      </c>
      <c r="AR23" s="281" t="e">
        <f>AR19/(AR17*EFFICIENCY!$I$28)</f>
        <v>#DIV/0!</v>
      </c>
      <c r="AS23" s="280" t="s">
        <v>96</v>
      </c>
      <c r="AT23" s="281" t="e">
        <f>AT19/(AT17*EFFICIENCY!$I$28)</f>
        <v>#DIV/0!</v>
      </c>
      <c r="AU23" s="280" t="s">
        <v>96</v>
      </c>
      <c r="AV23" s="281" t="e">
        <f>AV19/(AV17*EFFICIENCY!$I$28)</f>
        <v>#DIV/0!</v>
      </c>
      <c r="AX23" s="300"/>
      <c r="AY23" s="339"/>
      <c r="AZ23" s="338"/>
      <c r="BA23" s="280" t="s">
        <v>96</v>
      </c>
      <c r="BB23" s="281" t="e">
        <f>BB19/(BB17*EFFICIENCY!$I$28)</f>
        <v>#DIV/0!</v>
      </c>
      <c r="BC23" s="280" t="s">
        <v>96</v>
      </c>
      <c r="BD23" s="281" t="e">
        <f>BD19/(BD17*EFFICIENCY!$I$28)</f>
        <v>#DIV/0!</v>
      </c>
      <c r="BE23" s="280" t="s">
        <v>96</v>
      </c>
      <c r="BF23" s="281" t="e">
        <f>BF19/(BF17*EFFICIENCY!$I$28)</f>
        <v>#DIV/0!</v>
      </c>
      <c r="BH23" s="300"/>
      <c r="BI23" s="339"/>
      <c r="BJ23" s="338"/>
      <c r="BK23" s="280" t="s">
        <v>96</v>
      </c>
      <c r="BL23" s="281" t="e">
        <f>BL19/(BL17*EFFICIENCY!$I$28)</f>
        <v>#DIV/0!</v>
      </c>
      <c r="BM23" s="280" t="s">
        <v>96</v>
      </c>
      <c r="BN23" s="281" t="e">
        <f>BN19/(BN17*EFFICIENCY!$I$28)</f>
        <v>#DIV/0!</v>
      </c>
      <c r="BO23" s="280" t="s">
        <v>96</v>
      </c>
      <c r="BP23" s="281" t="e">
        <f>BP19/(BP17*EFFICIENCY!$I$28)</f>
        <v>#DIV/0!</v>
      </c>
    </row>
    <row r="24" spans="2:68" ht="19.5" customHeight="1" thickBot="1">
      <c r="B24" s="278">
        <v>42570</v>
      </c>
      <c r="G24" s="150">
        <f t="shared" si="0"/>
        <v>0</v>
      </c>
      <c r="H24" s="150">
        <f t="shared" si="1"/>
        <v>0</v>
      </c>
      <c r="K24" s="694" t="s">
        <v>156</v>
      </c>
      <c r="L24" s="695"/>
      <c r="M24" s="284" t="s">
        <v>94</v>
      </c>
      <c r="N24" s="285" t="e">
        <f>N19/((N17*EFFICIENCY!$K$28))</f>
        <v>#DIV/0!</v>
      </c>
      <c r="O24" s="288" t="s">
        <v>94</v>
      </c>
      <c r="P24" s="285" t="e">
        <f>P19/((P17*EFFICIENCY!$K$28))</f>
        <v>#DIV/0!</v>
      </c>
      <c r="Q24" s="284" t="s">
        <v>94</v>
      </c>
      <c r="R24" s="285" t="e">
        <f>R19/((R17*EFFICIENCY!$K$28))</f>
        <v>#DIV/0!</v>
      </c>
      <c r="S24" s="297"/>
      <c r="T24" s="302"/>
      <c r="U24" s="694" t="s">
        <v>156</v>
      </c>
      <c r="V24" s="695"/>
      <c r="W24" s="284" t="s">
        <v>94</v>
      </c>
      <c r="X24" s="285" t="e">
        <f>X19/((X17*EFFICIENCY!$K$28))</f>
        <v>#DIV/0!</v>
      </c>
      <c r="Y24" s="288" t="s">
        <v>94</v>
      </c>
      <c r="Z24" s="285" t="e">
        <f>Z19/((Z17*EFFICIENCY!$K$28))</f>
        <v>#DIV/0!</v>
      </c>
      <c r="AA24" s="284" t="s">
        <v>94</v>
      </c>
      <c r="AB24" s="285" t="e">
        <f>AB19/((AB17*EFFICIENCY!$K$28))</f>
        <v>#DIV/0!</v>
      </c>
      <c r="AD24" s="300"/>
      <c r="AE24" s="694" t="s">
        <v>156</v>
      </c>
      <c r="AF24" s="695"/>
      <c r="AG24" s="284" t="s">
        <v>94</v>
      </c>
      <c r="AH24" s="285" t="e">
        <f>AH19/((AH17*EFFICIENCY!$K$28))</f>
        <v>#DIV/0!</v>
      </c>
      <c r="AI24" s="288" t="s">
        <v>94</v>
      </c>
      <c r="AJ24" s="285" t="e">
        <f>AJ19/((AJ17*EFFICIENCY!$K$28))</f>
        <v>#DIV/0!</v>
      </c>
      <c r="AK24" s="284" t="s">
        <v>94</v>
      </c>
      <c r="AL24" s="285" t="e">
        <f>AL19/((AL17*EFFICIENCY!$K$28))</f>
        <v>#DIV/0!</v>
      </c>
      <c r="AN24" s="300"/>
      <c r="AO24" s="694" t="s">
        <v>156</v>
      </c>
      <c r="AP24" s="695"/>
      <c r="AQ24" s="284" t="s">
        <v>94</v>
      </c>
      <c r="AR24" s="285" t="e">
        <f>AR19/((AR17*EFFICIENCY!$K$28))</f>
        <v>#DIV/0!</v>
      </c>
      <c r="AS24" s="288" t="s">
        <v>94</v>
      </c>
      <c r="AT24" s="285" t="e">
        <f>AT19/((AT17*EFFICIENCY!$K$28))</f>
        <v>#DIV/0!</v>
      </c>
      <c r="AU24" s="284" t="s">
        <v>94</v>
      </c>
      <c r="AV24" s="285" t="e">
        <f>AV19/((AV17*EFFICIENCY!$K$28))</f>
        <v>#DIV/0!</v>
      </c>
      <c r="AX24" s="300"/>
      <c r="AY24" s="694" t="s">
        <v>156</v>
      </c>
      <c r="AZ24" s="695"/>
      <c r="BA24" s="284" t="s">
        <v>94</v>
      </c>
      <c r="BB24" s="285" t="e">
        <f>BB19/((BB17*EFFICIENCY!$K$28))</f>
        <v>#DIV/0!</v>
      </c>
      <c r="BC24" s="288" t="s">
        <v>94</v>
      </c>
      <c r="BD24" s="285" t="e">
        <f>BD19/((BD17*EFFICIENCY!$K$28))</f>
        <v>#DIV/0!</v>
      </c>
      <c r="BE24" s="284" t="s">
        <v>94</v>
      </c>
      <c r="BF24" s="285" t="e">
        <f>BF19/((BF17*EFFICIENCY!$K$28))</f>
        <v>#DIV/0!</v>
      </c>
      <c r="BH24" s="300"/>
      <c r="BI24" s="694" t="s">
        <v>156</v>
      </c>
      <c r="BJ24" s="695"/>
      <c r="BK24" s="284" t="s">
        <v>94</v>
      </c>
      <c r="BL24" s="285" t="e">
        <f>BL19/((BL17*EFFICIENCY!$K$28))</f>
        <v>#DIV/0!</v>
      </c>
      <c r="BM24" s="288" t="s">
        <v>94</v>
      </c>
      <c r="BN24" s="285" t="e">
        <f>BN19/((BN17*EFFICIENCY!$K$28))</f>
        <v>#DIV/0!</v>
      </c>
      <c r="BO24" s="284" t="s">
        <v>94</v>
      </c>
      <c r="BP24" s="285" t="e">
        <f>BP19/((BP17*EFFICIENCY!$K$28))</f>
        <v>#DIV/0!</v>
      </c>
    </row>
    <row r="25" spans="2:68" ht="16.5" thickBot="1">
      <c r="B25" s="278">
        <v>42571</v>
      </c>
      <c r="G25" s="150">
        <f t="shared" si="0"/>
        <v>0</v>
      </c>
      <c r="H25" s="150">
        <f t="shared" si="1"/>
        <v>0</v>
      </c>
      <c r="K25" s="381"/>
      <c r="L25" s="382" t="e">
        <f>R19/R17</f>
        <v>#DIV/0!</v>
      </c>
      <c r="M25" s="661" t="s">
        <v>153</v>
      </c>
      <c r="N25" s="662"/>
      <c r="O25" s="290"/>
      <c r="P25" s="427"/>
      <c r="Q25" s="427" t="s">
        <v>154</v>
      </c>
      <c r="R25" s="354">
        <f>O25-R19</f>
        <v>0</v>
      </c>
      <c r="S25" s="298"/>
      <c r="T25" s="300"/>
      <c r="U25" s="381"/>
      <c r="V25" s="382" t="e">
        <f>AB19/AB17</f>
        <v>#DIV/0!</v>
      </c>
      <c r="W25" s="661" t="s">
        <v>153</v>
      </c>
      <c r="X25" s="662"/>
      <c r="Y25" s="290"/>
      <c r="Z25" s="427"/>
      <c r="AA25" s="427" t="s">
        <v>154</v>
      </c>
      <c r="AB25" s="354">
        <f>Y25-AB19</f>
        <v>0</v>
      </c>
      <c r="AD25" s="300"/>
      <c r="AE25" s="381"/>
      <c r="AF25" s="382" t="e">
        <f>AL19/AL17</f>
        <v>#DIV/0!</v>
      </c>
      <c r="AG25" s="661" t="s">
        <v>153</v>
      </c>
      <c r="AH25" s="662"/>
      <c r="AI25" s="290"/>
      <c r="AJ25" s="427"/>
      <c r="AK25" s="427" t="s">
        <v>154</v>
      </c>
      <c r="AL25" s="354">
        <f>AI25-AL19</f>
        <v>0</v>
      </c>
      <c r="AN25" s="300"/>
      <c r="AO25" s="381"/>
      <c r="AP25" s="382" t="e">
        <f>AV19/AV17</f>
        <v>#DIV/0!</v>
      </c>
      <c r="AQ25" s="661" t="s">
        <v>153</v>
      </c>
      <c r="AR25" s="662"/>
      <c r="AS25" s="290"/>
      <c r="AT25" s="427"/>
      <c r="AU25" s="427" t="s">
        <v>154</v>
      </c>
      <c r="AV25" s="354">
        <f>AS25-AV19</f>
        <v>0</v>
      </c>
      <c r="AX25" s="300"/>
      <c r="AY25" s="381"/>
      <c r="AZ25" s="382" t="e">
        <f>BF19/BF17</f>
        <v>#DIV/0!</v>
      </c>
      <c r="BA25" s="661" t="s">
        <v>153</v>
      </c>
      <c r="BB25" s="662"/>
      <c r="BC25" s="290"/>
      <c r="BD25" s="427"/>
      <c r="BE25" s="427" t="s">
        <v>154</v>
      </c>
      <c r="BF25" s="354">
        <f>BC25-BF19</f>
        <v>0</v>
      </c>
      <c r="BH25" s="300"/>
      <c r="BI25" s="381"/>
      <c r="BJ25" s="382" t="e">
        <f>BP19/BP17</f>
        <v>#DIV/0!</v>
      </c>
      <c r="BK25" s="661" t="s">
        <v>153</v>
      </c>
      <c r="BL25" s="662"/>
      <c r="BM25" s="290"/>
      <c r="BN25" s="427"/>
      <c r="BO25" s="427" t="s">
        <v>154</v>
      </c>
      <c r="BP25" s="354">
        <f>BM25-BP19</f>
        <v>0</v>
      </c>
    </row>
    <row r="26" spans="2:68">
      <c r="B26" s="278">
        <v>42572</v>
      </c>
      <c r="G26" s="150">
        <f t="shared" si="0"/>
        <v>0</v>
      </c>
      <c r="H26" s="150">
        <f t="shared" si="1"/>
        <v>0</v>
      </c>
      <c r="T26" s="300"/>
      <c r="AD26" s="300"/>
      <c r="AN26" s="300"/>
      <c r="AX26" s="300"/>
      <c r="BH26" s="300"/>
    </row>
    <row r="27" spans="2:68" ht="13.5" thickBot="1">
      <c r="B27" s="278">
        <v>42573</v>
      </c>
      <c r="G27" s="150">
        <f t="shared" si="0"/>
        <v>0</v>
      </c>
      <c r="H27" s="150">
        <f t="shared" si="1"/>
        <v>0</v>
      </c>
      <c r="J27" s="291"/>
      <c r="K27" s="291"/>
      <c r="L27" s="291"/>
      <c r="M27" s="291"/>
      <c r="N27" s="291"/>
      <c r="O27" s="291"/>
      <c r="P27" s="291"/>
      <c r="Q27" s="291"/>
      <c r="R27" s="291"/>
      <c r="S27" s="299"/>
      <c r="T27" s="301"/>
      <c r="U27" s="291"/>
      <c r="V27" s="291"/>
      <c r="W27" s="291"/>
      <c r="X27" s="291"/>
      <c r="Y27" s="291"/>
      <c r="Z27" s="291"/>
      <c r="AA27" s="291"/>
      <c r="AB27" s="291"/>
      <c r="AC27" s="291"/>
      <c r="AD27" s="301"/>
      <c r="AE27" s="291"/>
      <c r="AF27" s="291"/>
      <c r="AG27" s="291"/>
      <c r="AH27" s="291"/>
      <c r="AI27" s="291"/>
      <c r="AJ27" s="291"/>
      <c r="AK27" s="291"/>
      <c r="AL27" s="291"/>
      <c r="AM27" s="291"/>
      <c r="AN27" s="301"/>
      <c r="AO27" s="291"/>
      <c r="AP27" s="291"/>
      <c r="AQ27" s="291"/>
      <c r="AR27" s="291"/>
      <c r="AS27" s="291"/>
      <c r="AT27" s="291"/>
      <c r="AU27" s="291"/>
      <c r="AV27" s="291"/>
      <c r="AW27" s="291"/>
      <c r="AX27" s="301"/>
      <c r="AY27" s="291"/>
      <c r="AZ27" s="291"/>
      <c r="BA27" s="291"/>
      <c r="BB27" s="291"/>
      <c r="BC27" s="291"/>
      <c r="BD27" s="291"/>
      <c r="BE27" s="291"/>
      <c r="BF27" s="291"/>
      <c r="BG27" s="291"/>
      <c r="BH27" s="301"/>
      <c r="BI27" s="291"/>
      <c r="BJ27" s="291"/>
      <c r="BK27" s="291"/>
      <c r="BL27" s="291"/>
      <c r="BM27" s="291"/>
      <c r="BN27" s="291"/>
      <c r="BO27" s="291"/>
      <c r="BP27" s="291"/>
    </row>
    <row r="28" spans="2:68" ht="15.75" thickBot="1">
      <c r="B28" s="278">
        <v>42574</v>
      </c>
      <c r="G28" s="150">
        <f t="shared" si="0"/>
        <v>0</v>
      </c>
      <c r="H28" s="150">
        <f t="shared" si="1"/>
        <v>0</v>
      </c>
      <c r="J28" s="154"/>
      <c r="K28" s="383" t="s">
        <v>7</v>
      </c>
      <c r="L28" s="534">
        <f>B16</f>
        <v>42562</v>
      </c>
      <c r="M28" s="680" t="s">
        <v>100</v>
      </c>
      <c r="N28" s="681"/>
      <c r="O28" s="682" t="s">
        <v>99</v>
      </c>
      <c r="P28" s="683"/>
      <c r="Q28" s="684" t="s">
        <v>16</v>
      </c>
      <c r="R28" s="685"/>
      <c r="S28" s="293"/>
      <c r="T28" s="300"/>
      <c r="U28" s="383" t="s">
        <v>7</v>
      </c>
      <c r="V28" s="534">
        <f>B17</f>
        <v>42563</v>
      </c>
      <c r="W28" s="680" t="s">
        <v>100</v>
      </c>
      <c r="X28" s="681"/>
      <c r="Y28" s="682" t="s">
        <v>99</v>
      </c>
      <c r="Z28" s="683"/>
      <c r="AA28" s="684" t="s">
        <v>16</v>
      </c>
      <c r="AB28" s="685"/>
      <c r="AC28" s="154"/>
      <c r="AD28" s="300"/>
      <c r="AE28" s="383" t="s">
        <v>7</v>
      </c>
      <c r="AF28" s="534">
        <f>B18</f>
        <v>42564</v>
      </c>
      <c r="AG28" s="680" t="s">
        <v>100</v>
      </c>
      <c r="AH28" s="681"/>
      <c r="AI28" s="682" t="s">
        <v>99</v>
      </c>
      <c r="AJ28" s="683"/>
      <c r="AK28" s="684" t="s">
        <v>16</v>
      </c>
      <c r="AL28" s="685"/>
      <c r="AM28" s="154"/>
      <c r="AN28" s="300"/>
      <c r="AO28" s="383" t="s">
        <v>7</v>
      </c>
      <c r="AP28" s="534">
        <f>B19</f>
        <v>42565</v>
      </c>
      <c r="AQ28" s="680" t="s">
        <v>100</v>
      </c>
      <c r="AR28" s="681"/>
      <c r="AS28" s="682" t="s">
        <v>99</v>
      </c>
      <c r="AT28" s="683"/>
      <c r="AU28" s="684" t="s">
        <v>16</v>
      </c>
      <c r="AV28" s="685"/>
      <c r="AW28" s="154"/>
      <c r="AX28" s="300"/>
      <c r="AY28" s="383" t="s">
        <v>7</v>
      </c>
      <c r="AZ28" s="534">
        <f>B20</f>
        <v>42566</v>
      </c>
      <c r="BA28" s="680" t="s">
        <v>100</v>
      </c>
      <c r="BB28" s="681"/>
      <c r="BC28" s="682" t="s">
        <v>99</v>
      </c>
      <c r="BD28" s="683"/>
      <c r="BE28" s="684" t="s">
        <v>16</v>
      </c>
      <c r="BF28" s="685"/>
      <c r="BG28" s="154"/>
      <c r="BH28" s="300"/>
      <c r="BI28" s="383" t="s">
        <v>7</v>
      </c>
      <c r="BJ28" s="534">
        <f>B21</f>
        <v>42567</v>
      </c>
      <c r="BK28" s="680" t="s">
        <v>100</v>
      </c>
      <c r="BL28" s="681"/>
      <c r="BM28" s="682" t="s">
        <v>99</v>
      </c>
      <c r="BN28" s="683"/>
      <c r="BO28" s="684" t="s">
        <v>16</v>
      </c>
      <c r="BP28" s="685"/>
    </row>
    <row r="29" spans="2:68" ht="13.5" thickBot="1">
      <c r="B29" s="278">
        <v>42575</v>
      </c>
      <c r="G29" s="150">
        <f t="shared" si="0"/>
        <v>0</v>
      </c>
      <c r="H29" s="150">
        <f t="shared" si="1"/>
        <v>0</v>
      </c>
      <c r="K29" s="304"/>
      <c r="L29" s="303"/>
      <c r="M29" s="304"/>
      <c r="N29" s="305"/>
      <c r="O29" s="304"/>
      <c r="P29" s="305"/>
      <c r="Q29" s="303"/>
      <c r="R29" s="305"/>
      <c r="S29" s="156"/>
      <c r="T29" s="300"/>
      <c r="U29" s="304"/>
      <c r="V29" s="303"/>
      <c r="W29" s="304"/>
      <c r="X29" s="305"/>
      <c r="Y29" s="304"/>
      <c r="Z29" s="305"/>
      <c r="AA29" s="303"/>
      <c r="AB29" s="305"/>
      <c r="AD29" s="300"/>
      <c r="AE29" s="304"/>
      <c r="AF29" s="303"/>
      <c r="AG29" s="304"/>
      <c r="AH29" s="305"/>
      <c r="AI29" s="304"/>
      <c r="AJ29" s="305"/>
      <c r="AK29" s="303"/>
      <c r="AL29" s="305"/>
      <c r="AN29" s="300"/>
      <c r="AO29" s="304"/>
      <c r="AP29" s="303"/>
      <c r="AQ29" s="304"/>
      <c r="AR29" s="305"/>
      <c r="AS29" s="304"/>
      <c r="AT29" s="305"/>
      <c r="AU29" s="303"/>
      <c r="AV29" s="305"/>
      <c r="AX29" s="300"/>
      <c r="AY29" s="304"/>
      <c r="AZ29" s="303"/>
      <c r="BA29" s="304"/>
      <c r="BB29" s="305"/>
      <c r="BC29" s="304"/>
      <c r="BD29" s="305"/>
      <c r="BE29" s="303"/>
      <c r="BF29" s="305"/>
      <c r="BH29" s="300"/>
      <c r="BI29" s="304"/>
      <c r="BJ29" s="303"/>
      <c r="BK29" s="304"/>
      <c r="BL29" s="305"/>
      <c r="BM29" s="304"/>
      <c r="BN29" s="305"/>
      <c r="BO29" s="303"/>
      <c r="BP29" s="305"/>
    </row>
    <row r="30" spans="2:68" ht="16.5" thickBot="1">
      <c r="B30" s="278">
        <v>42576</v>
      </c>
      <c r="G30" s="150">
        <f t="shared" si="0"/>
        <v>0</v>
      </c>
      <c r="H30" s="150">
        <f t="shared" si="1"/>
        <v>0</v>
      </c>
      <c r="K30" s="304"/>
      <c r="L30" s="428" t="s">
        <v>155</v>
      </c>
      <c r="M30" s="307" t="s">
        <v>103</v>
      </c>
      <c r="N30" s="279"/>
      <c r="O30" s="307" t="s">
        <v>103</v>
      </c>
      <c r="P30" s="279"/>
      <c r="Q30" s="308" t="s">
        <v>103</v>
      </c>
      <c r="R30" s="309">
        <f>SUM(N30,P30)</f>
        <v>0</v>
      </c>
      <c r="S30" s="294"/>
      <c r="T30" s="300"/>
      <c r="U30" s="304"/>
      <c r="V30" s="428" t="s">
        <v>155</v>
      </c>
      <c r="W30" s="307" t="s">
        <v>103</v>
      </c>
      <c r="X30" s="279"/>
      <c r="Y30" s="307" t="s">
        <v>103</v>
      </c>
      <c r="Z30" s="279"/>
      <c r="AA30" s="308" t="s">
        <v>103</v>
      </c>
      <c r="AB30" s="309">
        <f>SUM(X30,Z30)</f>
        <v>0</v>
      </c>
      <c r="AD30" s="300"/>
      <c r="AE30" s="304"/>
      <c r="AF30" s="428" t="s">
        <v>155</v>
      </c>
      <c r="AG30" s="307" t="s">
        <v>103</v>
      </c>
      <c r="AH30" s="279"/>
      <c r="AI30" s="307" t="s">
        <v>103</v>
      </c>
      <c r="AJ30" s="279"/>
      <c r="AK30" s="308" t="s">
        <v>103</v>
      </c>
      <c r="AL30" s="309">
        <f>SUM(AH30,AJ30)</f>
        <v>0</v>
      </c>
      <c r="AN30" s="300"/>
      <c r="AO30" s="304"/>
      <c r="AP30" s="428" t="s">
        <v>155</v>
      </c>
      <c r="AQ30" s="307" t="s">
        <v>103</v>
      </c>
      <c r="AR30" s="279"/>
      <c r="AS30" s="307" t="s">
        <v>103</v>
      </c>
      <c r="AT30" s="279"/>
      <c r="AU30" s="308" t="s">
        <v>103</v>
      </c>
      <c r="AV30" s="309">
        <f>SUM(AR30,AT30)</f>
        <v>0</v>
      </c>
      <c r="AX30" s="300"/>
      <c r="AY30" s="304"/>
      <c r="AZ30" s="428" t="s">
        <v>155</v>
      </c>
      <c r="BA30" s="307" t="s">
        <v>103</v>
      </c>
      <c r="BB30" s="279"/>
      <c r="BC30" s="307" t="s">
        <v>103</v>
      </c>
      <c r="BD30" s="279"/>
      <c r="BE30" s="308" t="s">
        <v>103</v>
      </c>
      <c r="BF30" s="309">
        <f>SUM(BB30,BD30)</f>
        <v>0</v>
      </c>
      <c r="BH30" s="300"/>
      <c r="BI30" s="304"/>
      <c r="BJ30" s="428" t="s">
        <v>155</v>
      </c>
      <c r="BK30" s="307" t="s">
        <v>103</v>
      </c>
      <c r="BL30" s="279"/>
      <c r="BM30" s="307" t="s">
        <v>103</v>
      </c>
      <c r="BN30" s="279"/>
      <c r="BO30" s="308" t="s">
        <v>103</v>
      </c>
      <c r="BP30" s="309">
        <f>SUM(BL30,BN30)</f>
        <v>0</v>
      </c>
    </row>
    <row r="31" spans="2:68" ht="18.75" thickBot="1">
      <c r="B31" s="278">
        <v>42577</v>
      </c>
      <c r="G31" s="150">
        <f t="shared" si="0"/>
        <v>0</v>
      </c>
      <c r="H31" s="150">
        <f t="shared" si="1"/>
        <v>0</v>
      </c>
      <c r="K31" s="304"/>
      <c r="L31" s="289">
        <v>8</v>
      </c>
      <c r="M31" s="310" t="s">
        <v>5</v>
      </c>
      <c r="N31" s="311">
        <f>VLOOKUP(L28, $B$3:$E$109, 4, FALSE)</f>
        <v>0</v>
      </c>
      <c r="O31" s="310" t="s">
        <v>5</v>
      </c>
      <c r="P31" s="312">
        <f>VLOOKUP(L28, $B$3:$F$109, 5, FALSE)</f>
        <v>0</v>
      </c>
      <c r="Q31" s="313" t="s">
        <v>5</v>
      </c>
      <c r="R31" s="309">
        <f>SUM(N31,P31)</f>
        <v>0</v>
      </c>
      <c r="S31" s="294"/>
      <c r="T31" s="300"/>
      <c r="U31" s="304"/>
      <c r="V31" s="289">
        <v>8</v>
      </c>
      <c r="W31" s="310" t="s">
        <v>5</v>
      </c>
      <c r="X31" s="311">
        <f>VLOOKUP(V28, $B$3:$E$109, 4, FALSE)</f>
        <v>0</v>
      </c>
      <c r="Y31" s="310" t="s">
        <v>5</v>
      </c>
      <c r="Z31" s="312">
        <f>VLOOKUP(V28, $B$3:$F$109, 5, FALSE)</f>
        <v>0</v>
      </c>
      <c r="AA31" s="313" t="s">
        <v>5</v>
      </c>
      <c r="AB31" s="309">
        <f>SUM(X31,Z31)</f>
        <v>0</v>
      </c>
      <c r="AD31" s="300"/>
      <c r="AE31" s="304"/>
      <c r="AF31" s="289">
        <v>8</v>
      </c>
      <c r="AG31" s="310" t="s">
        <v>5</v>
      </c>
      <c r="AH31" s="311">
        <f>VLOOKUP(AF28, $B$3:$E$109, 4, FALSE)</f>
        <v>0</v>
      </c>
      <c r="AI31" s="310" t="s">
        <v>5</v>
      </c>
      <c r="AJ31" s="312">
        <f>VLOOKUP(AF28, $B$3:$F$109, 5, FALSE)</f>
        <v>0</v>
      </c>
      <c r="AK31" s="313" t="s">
        <v>5</v>
      </c>
      <c r="AL31" s="309">
        <f>SUM(AH31,AJ31)</f>
        <v>0</v>
      </c>
      <c r="AN31" s="300"/>
      <c r="AO31" s="304"/>
      <c r="AP31" s="289">
        <v>8</v>
      </c>
      <c r="AQ31" s="310" t="s">
        <v>5</v>
      </c>
      <c r="AR31" s="311">
        <f>VLOOKUP(AP28, $B$3:$E$109, 4, FALSE)</f>
        <v>0</v>
      </c>
      <c r="AS31" s="310" t="s">
        <v>5</v>
      </c>
      <c r="AT31" s="312">
        <f>VLOOKUP(AP28, $B$3:$F$109, 5, FALSE)</f>
        <v>0</v>
      </c>
      <c r="AU31" s="313" t="s">
        <v>5</v>
      </c>
      <c r="AV31" s="309">
        <f>SUM(AR31,AT31)</f>
        <v>0</v>
      </c>
      <c r="AX31" s="300"/>
      <c r="AY31" s="304"/>
      <c r="AZ31" s="289">
        <v>8</v>
      </c>
      <c r="BA31" s="310" t="s">
        <v>5</v>
      </c>
      <c r="BB31" s="311">
        <f>VLOOKUP(AZ28, $B$3:$E$109, 4, FALSE)</f>
        <v>0</v>
      </c>
      <c r="BC31" s="310" t="s">
        <v>5</v>
      </c>
      <c r="BD31" s="312">
        <f>VLOOKUP(AZ28, $B$3:$F$109, 5, FALSE)</f>
        <v>0</v>
      </c>
      <c r="BE31" s="313" t="s">
        <v>5</v>
      </c>
      <c r="BF31" s="309">
        <f>SUM(BB31,BD31)</f>
        <v>0</v>
      </c>
      <c r="BH31" s="300"/>
      <c r="BI31" s="304"/>
      <c r="BJ31" s="289">
        <v>8</v>
      </c>
      <c r="BK31" s="310" t="s">
        <v>5</v>
      </c>
      <c r="BL31" s="311">
        <f>VLOOKUP(BJ28, $B$3:$E$109, 4, FALSE)</f>
        <v>0</v>
      </c>
      <c r="BM31" s="310" t="s">
        <v>5</v>
      </c>
      <c r="BN31" s="312">
        <f>VLOOKUP(BJ28, $B$3:$F$109, 5, FALSE)</f>
        <v>0</v>
      </c>
      <c r="BO31" s="313" t="s">
        <v>5</v>
      </c>
      <c r="BP31" s="309">
        <f>SUM(BL31,BN31)</f>
        <v>0</v>
      </c>
    </row>
    <row r="32" spans="2:68" ht="15.75" customHeight="1">
      <c r="B32" s="278">
        <v>42578</v>
      </c>
      <c r="G32" s="150">
        <f t="shared" si="0"/>
        <v>0</v>
      </c>
      <c r="H32" s="150">
        <f t="shared" si="1"/>
        <v>0</v>
      </c>
      <c r="K32" s="304"/>
      <c r="L32" s="303"/>
      <c r="M32" s="659" t="s">
        <v>105</v>
      </c>
      <c r="N32" s="311">
        <f>VLOOKUP(L28, $B$3:$E$109, 2, FALSE)</f>
        <v>0</v>
      </c>
      <c r="O32" s="659" t="s">
        <v>105</v>
      </c>
      <c r="P32" s="312">
        <f>VLOOKUP(L28, $B$3:$E$109, 3, FALSE)</f>
        <v>0</v>
      </c>
      <c r="Q32" s="660" t="s">
        <v>105</v>
      </c>
      <c r="R32" s="309">
        <f>SUM(N32,P32)</f>
        <v>0</v>
      </c>
      <c r="S32" s="294"/>
      <c r="T32" s="300"/>
      <c r="U32" s="304"/>
      <c r="V32" s="303"/>
      <c r="W32" s="659" t="s">
        <v>105</v>
      </c>
      <c r="X32" s="311">
        <f>VLOOKUP(V28, $B$3:$E$109, 2, FALSE)</f>
        <v>0</v>
      </c>
      <c r="Y32" s="659" t="s">
        <v>105</v>
      </c>
      <c r="Z32" s="312">
        <f>VLOOKUP(V28, $B$3:$E$109, 3, FALSE)</f>
        <v>0</v>
      </c>
      <c r="AA32" s="660" t="s">
        <v>105</v>
      </c>
      <c r="AB32" s="309">
        <f>SUM(X32,Z32)</f>
        <v>0</v>
      </c>
      <c r="AD32" s="300"/>
      <c r="AE32" s="304"/>
      <c r="AF32" s="303"/>
      <c r="AG32" s="659" t="s">
        <v>105</v>
      </c>
      <c r="AH32" s="311">
        <f>VLOOKUP(AF28, $B$3:$E$109, 2, FALSE)</f>
        <v>0</v>
      </c>
      <c r="AI32" s="659" t="s">
        <v>105</v>
      </c>
      <c r="AJ32" s="312">
        <f>VLOOKUP(AF28, $B$3:$E$109, 3, FALSE)</f>
        <v>0</v>
      </c>
      <c r="AK32" s="660" t="s">
        <v>105</v>
      </c>
      <c r="AL32" s="309">
        <f>SUM(AH32,AJ32)</f>
        <v>0</v>
      </c>
      <c r="AN32" s="300"/>
      <c r="AO32" s="304"/>
      <c r="AP32" s="303"/>
      <c r="AQ32" s="659" t="s">
        <v>105</v>
      </c>
      <c r="AR32" s="311">
        <f>VLOOKUP(AP28, $B$3:$E$109, 2, FALSE)</f>
        <v>0</v>
      </c>
      <c r="AS32" s="659" t="s">
        <v>105</v>
      </c>
      <c r="AT32" s="312">
        <f>VLOOKUP(AP28, $B$3:$E$109, 3, FALSE)</f>
        <v>0</v>
      </c>
      <c r="AU32" s="660" t="s">
        <v>105</v>
      </c>
      <c r="AV32" s="309">
        <f>SUM(AR32,AT32)</f>
        <v>0</v>
      </c>
      <c r="AX32" s="300"/>
      <c r="AY32" s="304"/>
      <c r="AZ32" s="303"/>
      <c r="BA32" s="659" t="s">
        <v>105</v>
      </c>
      <c r="BB32" s="311">
        <f>VLOOKUP(AZ28, $B$3:$E$109, 2, FALSE)</f>
        <v>0</v>
      </c>
      <c r="BC32" s="659" t="s">
        <v>105</v>
      </c>
      <c r="BD32" s="312">
        <f>VLOOKUP(AZ28, $B$3:$E$109, 3, FALSE)</f>
        <v>0</v>
      </c>
      <c r="BE32" s="660" t="s">
        <v>105</v>
      </c>
      <c r="BF32" s="309">
        <f>SUM(BB32,BD32)</f>
        <v>0</v>
      </c>
      <c r="BH32" s="300"/>
      <c r="BI32" s="304"/>
      <c r="BJ32" s="303"/>
      <c r="BK32" s="659" t="s">
        <v>105</v>
      </c>
      <c r="BL32" s="311">
        <f>VLOOKUP(BJ28, $B$3:$E$109, 2, FALSE)</f>
        <v>0</v>
      </c>
      <c r="BM32" s="659" t="s">
        <v>105</v>
      </c>
      <c r="BN32" s="312">
        <f>VLOOKUP(BJ28, $B$3:$E$109, 3, FALSE)</f>
        <v>0</v>
      </c>
      <c r="BO32" s="660" t="s">
        <v>105</v>
      </c>
      <c r="BP32" s="309">
        <f>SUM(BL32,BN32)</f>
        <v>0</v>
      </c>
    </row>
    <row r="33" spans="2:68" ht="12.75" customHeight="1">
      <c r="B33" s="278">
        <v>42579</v>
      </c>
      <c r="G33" s="150">
        <f t="shared" si="0"/>
        <v>0</v>
      </c>
      <c r="H33" s="150">
        <f t="shared" si="1"/>
        <v>0</v>
      </c>
      <c r="K33" s="700" t="s">
        <v>157</v>
      </c>
      <c r="L33" s="701"/>
      <c r="M33" s="660"/>
      <c r="N33" s="305"/>
      <c r="O33" s="659"/>
      <c r="P33" s="305"/>
      <c r="Q33" s="660"/>
      <c r="R33" s="305"/>
      <c r="S33" s="156"/>
      <c r="T33" s="300"/>
      <c r="U33" s="700" t="s">
        <v>157</v>
      </c>
      <c r="V33" s="701"/>
      <c r="W33" s="660"/>
      <c r="X33" s="305"/>
      <c r="Y33" s="659"/>
      <c r="Z33" s="305"/>
      <c r="AA33" s="660"/>
      <c r="AB33" s="305"/>
      <c r="AD33" s="300"/>
      <c r="AE33" s="700" t="s">
        <v>157</v>
      </c>
      <c r="AF33" s="701"/>
      <c r="AG33" s="660"/>
      <c r="AH33" s="305"/>
      <c r="AI33" s="659"/>
      <c r="AJ33" s="305"/>
      <c r="AK33" s="660"/>
      <c r="AL33" s="305"/>
      <c r="AN33" s="300"/>
      <c r="AO33" s="700" t="s">
        <v>157</v>
      </c>
      <c r="AP33" s="701"/>
      <c r="AQ33" s="660"/>
      <c r="AR33" s="305"/>
      <c r="AS33" s="659"/>
      <c r="AT33" s="305"/>
      <c r="AU33" s="660"/>
      <c r="AV33" s="305"/>
      <c r="AX33" s="300"/>
      <c r="AY33" s="700" t="s">
        <v>157</v>
      </c>
      <c r="AZ33" s="701"/>
      <c r="BA33" s="660"/>
      <c r="BB33" s="305"/>
      <c r="BC33" s="659"/>
      <c r="BD33" s="305"/>
      <c r="BE33" s="660"/>
      <c r="BF33" s="305"/>
      <c r="BH33" s="300"/>
      <c r="BI33" s="700" t="s">
        <v>157</v>
      </c>
      <c r="BJ33" s="701"/>
      <c r="BK33" s="660"/>
      <c r="BL33" s="305"/>
      <c r="BM33" s="659"/>
      <c r="BN33" s="305"/>
      <c r="BO33" s="660"/>
      <c r="BP33" s="305"/>
    </row>
    <row r="34" spans="2:68" ht="15.75">
      <c r="B34" s="278">
        <v>42580</v>
      </c>
      <c r="G34" s="150">
        <f t="shared" si="0"/>
        <v>0</v>
      </c>
      <c r="H34" s="150">
        <f t="shared" si="1"/>
        <v>0</v>
      </c>
      <c r="K34" s="384"/>
      <c r="L34" s="314">
        <f>R30*13</f>
        <v>0</v>
      </c>
      <c r="M34" s="425"/>
      <c r="N34" s="305"/>
      <c r="O34" s="316"/>
      <c r="P34" s="305"/>
      <c r="Q34" s="426"/>
      <c r="R34" s="305"/>
      <c r="S34" s="156"/>
      <c r="T34" s="300"/>
      <c r="U34" s="384"/>
      <c r="V34" s="314">
        <f>AB30*13</f>
        <v>0</v>
      </c>
      <c r="W34" s="425"/>
      <c r="X34" s="305"/>
      <c r="Y34" s="316"/>
      <c r="Z34" s="305"/>
      <c r="AA34" s="426"/>
      <c r="AB34" s="305"/>
      <c r="AD34" s="300"/>
      <c r="AE34" s="384"/>
      <c r="AF34" s="314">
        <f>AL30*13</f>
        <v>0</v>
      </c>
      <c r="AG34" s="425"/>
      <c r="AH34" s="305"/>
      <c r="AI34" s="316"/>
      <c r="AJ34" s="305"/>
      <c r="AK34" s="426"/>
      <c r="AL34" s="305"/>
      <c r="AN34" s="300"/>
      <c r="AO34" s="384"/>
      <c r="AP34" s="314">
        <f>AV30*13</f>
        <v>0</v>
      </c>
      <c r="AQ34" s="425"/>
      <c r="AR34" s="305"/>
      <c r="AS34" s="316"/>
      <c r="AT34" s="305"/>
      <c r="AU34" s="426"/>
      <c r="AV34" s="305"/>
      <c r="AX34" s="300"/>
      <c r="AY34" s="384"/>
      <c r="AZ34" s="314">
        <f>BF30*13</f>
        <v>0</v>
      </c>
      <c r="BA34" s="425"/>
      <c r="BB34" s="305"/>
      <c r="BC34" s="316"/>
      <c r="BD34" s="305"/>
      <c r="BE34" s="426"/>
      <c r="BF34" s="305"/>
      <c r="BH34" s="300"/>
      <c r="BI34" s="384"/>
      <c r="BJ34" s="314">
        <f>BP30*13</f>
        <v>0</v>
      </c>
      <c r="BK34" s="425"/>
      <c r="BL34" s="305"/>
      <c r="BM34" s="316"/>
      <c r="BN34" s="305"/>
      <c r="BO34" s="426"/>
      <c r="BP34" s="305"/>
    </row>
    <row r="35" spans="2:68" ht="18.75">
      <c r="B35" s="278">
        <v>42581</v>
      </c>
      <c r="G35" s="150">
        <f t="shared" si="0"/>
        <v>0</v>
      </c>
      <c r="H35" s="150">
        <f t="shared" si="1"/>
        <v>0</v>
      </c>
      <c r="K35" s="304"/>
      <c r="L35" s="385"/>
      <c r="M35" s="286" t="s">
        <v>97</v>
      </c>
      <c r="N35" s="287" t="e">
        <f>N32/((N30*EFFICIENCY!$H$28))</f>
        <v>#DIV/0!</v>
      </c>
      <c r="O35" s="286" t="s">
        <v>97</v>
      </c>
      <c r="P35" s="287" t="e">
        <f>P32/(P30*EFFICIENCY!$H$28)</f>
        <v>#DIV/0!</v>
      </c>
      <c r="Q35" s="286" t="s">
        <v>97</v>
      </c>
      <c r="R35" s="287" t="e">
        <f>R32/(R30*EFFICIENCY!$H$28)</f>
        <v>#DIV/0!</v>
      </c>
      <c r="S35" s="295"/>
      <c r="T35" s="300"/>
      <c r="U35" s="304"/>
      <c r="V35" s="385"/>
      <c r="W35" s="286" t="s">
        <v>97</v>
      </c>
      <c r="X35" s="287" t="e">
        <f>X32/((X30*EFFICIENCY!$H$28))</f>
        <v>#DIV/0!</v>
      </c>
      <c r="Y35" s="286" t="s">
        <v>97</v>
      </c>
      <c r="Z35" s="287" t="e">
        <f>Z32/(Z30*EFFICIENCY!$H$28)</f>
        <v>#DIV/0!</v>
      </c>
      <c r="AA35" s="286" t="s">
        <v>97</v>
      </c>
      <c r="AB35" s="287" t="e">
        <f>AB32/(AB30*EFFICIENCY!$H$28)</f>
        <v>#DIV/0!</v>
      </c>
      <c r="AD35" s="300"/>
      <c r="AE35" s="304"/>
      <c r="AF35" s="385"/>
      <c r="AG35" s="286" t="s">
        <v>97</v>
      </c>
      <c r="AH35" s="287" t="e">
        <f>AH32/((AH30*EFFICIENCY!$H$28))</f>
        <v>#DIV/0!</v>
      </c>
      <c r="AI35" s="286" t="s">
        <v>97</v>
      </c>
      <c r="AJ35" s="287" t="e">
        <f>AJ32/(AJ30*EFFICIENCY!$H$28)</f>
        <v>#DIV/0!</v>
      </c>
      <c r="AK35" s="286" t="s">
        <v>97</v>
      </c>
      <c r="AL35" s="287" t="e">
        <f>AL32/(AL30*EFFICIENCY!$H$28)</f>
        <v>#DIV/0!</v>
      </c>
      <c r="AN35" s="300"/>
      <c r="AO35" s="304"/>
      <c r="AP35" s="385"/>
      <c r="AQ35" s="286" t="s">
        <v>97</v>
      </c>
      <c r="AR35" s="287" t="e">
        <f>AR32/((AR30*EFFICIENCY!$H$28))</f>
        <v>#DIV/0!</v>
      </c>
      <c r="AS35" s="286" t="s">
        <v>97</v>
      </c>
      <c r="AT35" s="287" t="e">
        <f>AT32/(AT30*EFFICIENCY!$H$28)</f>
        <v>#DIV/0!</v>
      </c>
      <c r="AU35" s="286" t="s">
        <v>97</v>
      </c>
      <c r="AV35" s="287" t="e">
        <f>AV32/(AV30*EFFICIENCY!$H$28)</f>
        <v>#DIV/0!</v>
      </c>
      <c r="AX35" s="300"/>
      <c r="AY35" s="304"/>
      <c r="AZ35" s="385"/>
      <c r="BA35" s="286" t="s">
        <v>97</v>
      </c>
      <c r="BB35" s="287" t="e">
        <f>BB32/((BB30*EFFICIENCY!$H$28))</f>
        <v>#DIV/0!</v>
      </c>
      <c r="BC35" s="286" t="s">
        <v>97</v>
      </c>
      <c r="BD35" s="287" t="e">
        <f>BD32/(BD30*EFFICIENCY!$H$28)</f>
        <v>#DIV/0!</v>
      </c>
      <c r="BE35" s="286" t="s">
        <v>97</v>
      </c>
      <c r="BF35" s="287" t="e">
        <f>BF32/(BF30*EFFICIENCY!$H$28)</f>
        <v>#DIV/0!</v>
      </c>
      <c r="BH35" s="300"/>
      <c r="BI35" s="304"/>
      <c r="BJ35" s="385"/>
      <c r="BK35" s="286" t="s">
        <v>97</v>
      </c>
      <c r="BL35" s="287" t="e">
        <f>BL32/((BL30*EFFICIENCY!$H$28))</f>
        <v>#DIV/0!</v>
      </c>
      <c r="BM35" s="286" t="s">
        <v>97</v>
      </c>
      <c r="BN35" s="287" t="e">
        <f>BN32/(BN30*EFFICIENCY!$H$28)</f>
        <v>#DIV/0!</v>
      </c>
      <c r="BO35" s="286" t="s">
        <v>97</v>
      </c>
      <c r="BP35" s="287" t="e">
        <f>BP32/(BP30*EFFICIENCY!$H$28)</f>
        <v>#DIV/0!</v>
      </c>
    </row>
    <row r="36" spans="2:68" ht="18.75">
      <c r="B36" s="278">
        <v>42582</v>
      </c>
      <c r="G36" s="150">
        <f t="shared" si="0"/>
        <v>0</v>
      </c>
      <c r="H36" s="150">
        <f t="shared" si="1"/>
        <v>0</v>
      </c>
      <c r="K36" s="304"/>
      <c r="L36" s="303"/>
      <c r="M36" s="280" t="s">
        <v>96</v>
      </c>
      <c r="N36" s="281" t="e">
        <f>N32/(N30*EFFICIENCY!$I$28)</f>
        <v>#DIV/0!</v>
      </c>
      <c r="O36" s="280" t="s">
        <v>96</v>
      </c>
      <c r="P36" s="281" t="e">
        <f>P32/(P30*EFFICIENCY!$I$28)</f>
        <v>#DIV/0!</v>
      </c>
      <c r="Q36" s="280" t="s">
        <v>96</v>
      </c>
      <c r="R36" s="281" t="e">
        <f>R32/(R30*EFFICIENCY!$I$28)</f>
        <v>#DIV/0!</v>
      </c>
      <c r="S36" s="296"/>
      <c r="T36" s="300"/>
      <c r="U36" s="304"/>
      <c r="V36" s="303"/>
      <c r="W36" s="280" t="s">
        <v>96</v>
      </c>
      <c r="X36" s="281" t="e">
        <f>X32/(X30*EFFICIENCY!$I$28)</f>
        <v>#DIV/0!</v>
      </c>
      <c r="Y36" s="280" t="s">
        <v>96</v>
      </c>
      <c r="Z36" s="281" t="e">
        <f>Z32/(Z30*EFFICIENCY!$I$28)</f>
        <v>#DIV/0!</v>
      </c>
      <c r="AA36" s="280" t="s">
        <v>96</v>
      </c>
      <c r="AB36" s="281" t="e">
        <f>AB32/(AB30*EFFICIENCY!$I$28)</f>
        <v>#DIV/0!</v>
      </c>
      <c r="AD36" s="300"/>
      <c r="AE36" s="304"/>
      <c r="AF36" s="303"/>
      <c r="AG36" s="280" t="s">
        <v>96</v>
      </c>
      <c r="AH36" s="281" t="e">
        <f>AH32/(AH30*EFFICIENCY!$I$28)</f>
        <v>#DIV/0!</v>
      </c>
      <c r="AI36" s="280" t="s">
        <v>96</v>
      </c>
      <c r="AJ36" s="281" t="e">
        <f>AJ32/(AJ30*EFFICIENCY!$I$28)</f>
        <v>#DIV/0!</v>
      </c>
      <c r="AK36" s="280" t="s">
        <v>96</v>
      </c>
      <c r="AL36" s="281" t="e">
        <f>AL32/(AL30*EFFICIENCY!$I$28)</f>
        <v>#DIV/0!</v>
      </c>
      <c r="AN36" s="300"/>
      <c r="AO36" s="304"/>
      <c r="AP36" s="303"/>
      <c r="AQ36" s="280" t="s">
        <v>96</v>
      </c>
      <c r="AR36" s="281" t="e">
        <f>AR32/(AR30*EFFICIENCY!$I$28)</f>
        <v>#DIV/0!</v>
      </c>
      <c r="AS36" s="280" t="s">
        <v>96</v>
      </c>
      <c r="AT36" s="281" t="e">
        <f>AT32/(AT30*EFFICIENCY!$I$28)</f>
        <v>#DIV/0!</v>
      </c>
      <c r="AU36" s="280" t="s">
        <v>96</v>
      </c>
      <c r="AV36" s="281" t="e">
        <f>AV32/(AV30*EFFICIENCY!$I$28)</f>
        <v>#DIV/0!</v>
      </c>
      <c r="AX36" s="300"/>
      <c r="AY36" s="304"/>
      <c r="AZ36" s="303"/>
      <c r="BA36" s="280" t="s">
        <v>96</v>
      </c>
      <c r="BB36" s="281" t="e">
        <f>BB32/(BB30*EFFICIENCY!$I$28)</f>
        <v>#DIV/0!</v>
      </c>
      <c r="BC36" s="280" t="s">
        <v>96</v>
      </c>
      <c r="BD36" s="281" t="e">
        <f>BD32/(BD30*EFFICIENCY!$I$28)</f>
        <v>#DIV/0!</v>
      </c>
      <c r="BE36" s="280" t="s">
        <v>96</v>
      </c>
      <c r="BF36" s="281" t="e">
        <f>BF32/(BF30*EFFICIENCY!$I$28)</f>
        <v>#DIV/0!</v>
      </c>
      <c r="BH36" s="300"/>
      <c r="BI36" s="304"/>
      <c r="BJ36" s="303"/>
      <c r="BK36" s="280" t="s">
        <v>96</v>
      </c>
      <c r="BL36" s="281" t="e">
        <f>BL32/(BL30*EFFICIENCY!$I$28)</f>
        <v>#DIV/0!</v>
      </c>
      <c r="BM36" s="280" t="s">
        <v>96</v>
      </c>
      <c r="BN36" s="281" t="e">
        <f>BN32/(BN30*EFFICIENCY!$I$28)</f>
        <v>#DIV/0!</v>
      </c>
      <c r="BO36" s="280" t="s">
        <v>96</v>
      </c>
      <c r="BP36" s="281" t="e">
        <f>BP32/(BP30*EFFICIENCY!$I$28)</f>
        <v>#DIV/0!</v>
      </c>
    </row>
    <row r="37" spans="2:68" ht="19.5" customHeight="1" thickBot="1">
      <c r="B37" s="278"/>
      <c r="K37" s="696" t="s">
        <v>156</v>
      </c>
      <c r="L37" s="697"/>
      <c r="M37" s="284" t="s">
        <v>94</v>
      </c>
      <c r="N37" s="285" t="e">
        <f>N32/((N30*EFFICIENCY!$K$28))</f>
        <v>#DIV/0!</v>
      </c>
      <c r="O37" s="288" t="s">
        <v>94</v>
      </c>
      <c r="P37" s="285" t="e">
        <f>P32/((P30*EFFICIENCY!$K$28))</f>
        <v>#DIV/0!</v>
      </c>
      <c r="Q37" s="284" t="s">
        <v>94</v>
      </c>
      <c r="R37" s="285" t="e">
        <f>R32/((R30*EFFICIENCY!$K$28))</f>
        <v>#DIV/0!</v>
      </c>
      <c r="S37" s="297"/>
      <c r="T37" s="300"/>
      <c r="U37" s="696" t="s">
        <v>156</v>
      </c>
      <c r="V37" s="697"/>
      <c r="W37" s="284" t="s">
        <v>94</v>
      </c>
      <c r="X37" s="285" t="e">
        <f>X32/((X30*EFFICIENCY!$K$28))</f>
        <v>#DIV/0!</v>
      </c>
      <c r="Y37" s="288" t="s">
        <v>94</v>
      </c>
      <c r="Z37" s="285" t="e">
        <f>Z32/((Z30*EFFICIENCY!$K$28))</f>
        <v>#DIV/0!</v>
      </c>
      <c r="AA37" s="284" t="s">
        <v>94</v>
      </c>
      <c r="AB37" s="285" t="e">
        <f>AB32/((AB30*EFFICIENCY!$K$28))</f>
        <v>#DIV/0!</v>
      </c>
      <c r="AD37" s="300"/>
      <c r="AE37" s="696" t="s">
        <v>156</v>
      </c>
      <c r="AF37" s="697"/>
      <c r="AG37" s="284" t="s">
        <v>94</v>
      </c>
      <c r="AH37" s="285" t="e">
        <f>AH32/((AH30*EFFICIENCY!$K$28))</f>
        <v>#DIV/0!</v>
      </c>
      <c r="AI37" s="288" t="s">
        <v>94</v>
      </c>
      <c r="AJ37" s="285" t="e">
        <f>AJ32/((AJ30*EFFICIENCY!$K$28))</f>
        <v>#DIV/0!</v>
      </c>
      <c r="AK37" s="284" t="s">
        <v>94</v>
      </c>
      <c r="AL37" s="285" t="e">
        <f>AL32/((AL30*EFFICIENCY!$K$28))</f>
        <v>#DIV/0!</v>
      </c>
      <c r="AN37" s="300"/>
      <c r="AO37" s="696" t="s">
        <v>156</v>
      </c>
      <c r="AP37" s="697"/>
      <c r="AQ37" s="284" t="s">
        <v>94</v>
      </c>
      <c r="AR37" s="285" t="e">
        <f>AR32/((AR30*EFFICIENCY!$K$28))</f>
        <v>#DIV/0!</v>
      </c>
      <c r="AS37" s="288" t="s">
        <v>94</v>
      </c>
      <c r="AT37" s="285" t="e">
        <f>AT32/((AT30*EFFICIENCY!$K$28))</f>
        <v>#DIV/0!</v>
      </c>
      <c r="AU37" s="284" t="s">
        <v>94</v>
      </c>
      <c r="AV37" s="285" t="e">
        <f>AV32/((AV30*EFFICIENCY!$K$28))</f>
        <v>#DIV/0!</v>
      </c>
      <c r="AX37" s="300"/>
      <c r="AY37" s="696" t="s">
        <v>156</v>
      </c>
      <c r="AZ37" s="697"/>
      <c r="BA37" s="284" t="s">
        <v>94</v>
      </c>
      <c r="BB37" s="285" t="e">
        <f>BB32/((BB30*EFFICIENCY!$K$28))</f>
        <v>#DIV/0!</v>
      </c>
      <c r="BC37" s="288" t="s">
        <v>94</v>
      </c>
      <c r="BD37" s="285" t="e">
        <f>BD32/((BD30*EFFICIENCY!$K$28))</f>
        <v>#DIV/0!</v>
      </c>
      <c r="BE37" s="284" t="s">
        <v>94</v>
      </c>
      <c r="BF37" s="285" t="e">
        <f>BF32/((BF30*EFFICIENCY!$K$28))</f>
        <v>#DIV/0!</v>
      </c>
      <c r="BH37" s="300"/>
      <c r="BI37" s="696" t="s">
        <v>156</v>
      </c>
      <c r="BJ37" s="697"/>
      <c r="BK37" s="284" t="s">
        <v>94</v>
      </c>
      <c r="BL37" s="285" t="e">
        <f>BL32/((BL30*EFFICIENCY!$K$28))</f>
        <v>#DIV/0!</v>
      </c>
      <c r="BM37" s="288" t="s">
        <v>94</v>
      </c>
      <c r="BN37" s="285" t="e">
        <f>BN32/((BN30*EFFICIENCY!$K$28))</f>
        <v>#DIV/0!</v>
      </c>
      <c r="BO37" s="284" t="s">
        <v>94</v>
      </c>
      <c r="BP37" s="285" t="e">
        <f>BP32/((BP30*EFFICIENCY!$K$28))</f>
        <v>#DIV/0!</v>
      </c>
    </row>
    <row r="38" spans="2:68" ht="16.5" thickBot="1">
      <c r="K38" s="386"/>
      <c r="L38" s="387" t="e">
        <f>R32/R30</f>
        <v>#DIV/0!</v>
      </c>
      <c r="M38" s="637" t="s">
        <v>153</v>
      </c>
      <c r="N38" s="638"/>
      <c r="O38" s="290"/>
      <c r="P38" s="421"/>
      <c r="Q38" s="421" t="s">
        <v>154</v>
      </c>
      <c r="R38" s="319">
        <f>O38-R32</f>
        <v>0</v>
      </c>
      <c r="S38" s="298"/>
      <c r="T38" s="300"/>
      <c r="U38" s="386"/>
      <c r="V38" s="387" t="e">
        <f>AB32/AB30</f>
        <v>#DIV/0!</v>
      </c>
      <c r="W38" s="637" t="s">
        <v>153</v>
      </c>
      <c r="X38" s="638"/>
      <c r="Y38" s="290"/>
      <c r="Z38" s="421"/>
      <c r="AA38" s="421" t="s">
        <v>154</v>
      </c>
      <c r="AB38" s="319">
        <f>Y38-AB32</f>
        <v>0</v>
      </c>
      <c r="AD38" s="300"/>
      <c r="AE38" s="386"/>
      <c r="AF38" s="387" t="e">
        <f>AL32/AL30</f>
        <v>#DIV/0!</v>
      </c>
      <c r="AG38" s="637" t="s">
        <v>153</v>
      </c>
      <c r="AH38" s="638"/>
      <c r="AI38" s="290"/>
      <c r="AJ38" s="421"/>
      <c r="AK38" s="421" t="s">
        <v>154</v>
      </c>
      <c r="AL38" s="319">
        <f>AI38-AL32</f>
        <v>0</v>
      </c>
      <c r="AN38" s="300"/>
      <c r="AO38" s="386"/>
      <c r="AP38" s="387" t="e">
        <f>AV32/AV30</f>
        <v>#DIV/0!</v>
      </c>
      <c r="AQ38" s="637" t="s">
        <v>153</v>
      </c>
      <c r="AR38" s="638"/>
      <c r="AS38" s="290"/>
      <c r="AT38" s="421"/>
      <c r="AU38" s="421" t="s">
        <v>154</v>
      </c>
      <c r="AV38" s="319">
        <f>AS38-AV32</f>
        <v>0</v>
      </c>
      <c r="AX38" s="300"/>
      <c r="AY38" s="386"/>
      <c r="AZ38" s="387" t="e">
        <f>BF32/BF30</f>
        <v>#DIV/0!</v>
      </c>
      <c r="BA38" s="637" t="s">
        <v>153</v>
      </c>
      <c r="BB38" s="638"/>
      <c r="BC38" s="290"/>
      <c r="BD38" s="421"/>
      <c r="BE38" s="421" t="s">
        <v>154</v>
      </c>
      <c r="BF38" s="319">
        <f>BC38-BF32</f>
        <v>0</v>
      </c>
      <c r="BH38" s="300"/>
      <c r="BI38" s="386"/>
      <c r="BJ38" s="387" t="e">
        <f>BP32/BP30</f>
        <v>#DIV/0!</v>
      </c>
      <c r="BK38" s="637" t="s">
        <v>153</v>
      </c>
      <c r="BL38" s="638"/>
      <c r="BM38" s="290"/>
      <c r="BN38" s="421"/>
      <c r="BO38" s="421" t="s">
        <v>154</v>
      </c>
      <c r="BP38" s="319">
        <f>BM38-BP32</f>
        <v>0</v>
      </c>
    </row>
    <row r="39" spans="2:68">
      <c r="T39" s="300"/>
      <c r="AD39" s="300"/>
      <c r="AN39" s="300"/>
      <c r="AX39" s="300"/>
      <c r="BH39" s="300"/>
    </row>
    <row r="40" spans="2:68" ht="13.5" thickBot="1">
      <c r="K40" s="291"/>
      <c r="L40" s="291"/>
      <c r="M40" s="291"/>
      <c r="N40" s="291"/>
      <c r="O40" s="291"/>
      <c r="P40" s="291"/>
      <c r="Q40" s="291"/>
      <c r="R40" s="291"/>
      <c r="S40" s="299"/>
      <c r="T40" s="301"/>
      <c r="U40" s="291"/>
      <c r="V40" s="291"/>
      <c r="W40" s="291"/>
      <c r="X40" s="291"/>
      <c r="Y40" s="291"/>
      <c r="Z40" s="291"/>
      <c r="AA40" s="291"/>
      <c r="AB40" s="291"/>
      <c r="AC40" s="291"/>
      <c r="AD40" s="301"/>
      <c r="AE40" s="291"/>
      <c r="AF40" s="291"/>
      <c r="AG40" s="291"/>
      <c r="AH40" s="291"/>
      <c r="AI40" s="291"/>
      <c r="AJ40" s="291"/>
      <c r="AK40" s="291"/>
      <c r="AL40" s="291"/>
      <c r="AM40" s="291"/>
      <c r="AN40" s="301"/>
      <c r="AO40" s="291"/>
      <c r="AP40" s="291"/>
      <c r="AQ40" s="291"/>
      <c r="AR40" s="291"/>
      <c r="AS40" s="291"/>
      <c r="AT40" s="291"/>
      <c r="AU40" s="291"/>
      <c r="AV40" s="291"/>
      <c r="AW40" s="291"/>
      <c r="AX40" s="301"/>
      <c r="AY40" s="291"/>
      <c r="AZ40" s="291"/>
      <c r="BA40" s="291"/>
      <c r="BB40" s="291"/>
      <c r="BC40" s="291"/>
      <c r="BD40" s="291"/>
      <c r="BE40" s="291"/>
      <c r="BF40" s="291"/>
      <c r="BG40" s="291"/>
      <c r="BH40" s="301"/>
      <c r="BI40" s="291"/>
      <c r="BJ40" s="291"/>
      <c r="BK40" s="291"/>
      <c r="BL40" s="291"/>
      <c r="BM40" s="291"/>
      <c r="BN40" s="291"/>
      <c r="BO40" s="291"/>
      <c r="BP40" s="291"/>
    </row>
    <row r="41" spans="2:68" ht="15.75" thickBot="1">
      <c r="K41" s="388" t="s">
        <v>7</v>
      </c>
      <c r="L41" s="535">
        <f>B23</f>
        <v>42569</v>
      </c>
      <c r="M41" s="639" t="s">
        <v>100</v>
      </c>
      <c r="N41" s="640"/>
      <c r="O41" s="641" t="s">
        <v>99</v>
      </c>
      <c r="P41" s="642"/>
      <c r="Q41" s="643" t="s">
        <v>16</v>
      </c>
      <c r="R41" s="644"/>
      <c r="S41" s="293"/>
      <c r="T41" s="300"/>
      <c r="U41" s="388" t="s">
        <v>7</v>
      </c>
      <c r="V41" s="535">
        <f>B24</f>
        <v>42570</v>
      </c>
      <c r="W41" s="639" t="s">
        <v>100</v>
      </c>
      <c r="X41" s="640"/>
      <c r="Y41" s="641" t="s">
        <v>99</v>
      </c>
      <c r="Z41" s="642"/>
      <c r="AA41" s="643" t="s">
        <v>16</v>
      </c>
      <c r="AB41" s="644"/>
      <c r="AC41" s="154"/>
      <c r="AD41" s="300"/>
      <c r="AE41" s="388" t="s">
        <v>7</v>
      </c>
      <c r="AF41" s="535">
        <f>B25</f>
        <v>42571</v>
      </c>
      <c r="AG41" s="639" t="s">
        <v>100</v>
      </c>
      <c r="AH41" s="640"/>
      <c r="AI41" s="641" t="s">
        <v>99</v>
      </c>
      <c r="AJ41" s="642"/>
      <c r="AK41" s="643" t="s">
        <v>16</v>
      </c>
      <c r="AL41" s="644"/>
      <c r="AM41" s="154"/>
      <c r="AN41" s="300"/>
      <c r="AO41" s="388" t="s">
        <v>7</v>
      </c>
      <c r="AP41" s="535">
        <f>B26</f>
        <v>42572</v>
      </c>
      <c r="AQ41" s="639" t="s">
        <v>100</v>
      </c>
      <c r="AR41" s="640"/>
      <c r="AS41" s="641" t="s">
        <v>99</v>
      </c>
      <c r="AT41" s="642"/>
      <c r="AU41" s="643" t="s">
        <v>16</v>
      </c>
      <c r="AV41" s="644"/>
      <c r="AW41" s="154"/>
      <c r="AX41" s="300"/>
      <c r="AY41" s="388" t="s">
        <v>7</v>
      </c>
      <c r="AZ41" s="535">
        <f>B27</f>
        <v>42573</v>
      </c>
      <c r="BA41" s="639" t="s">
        <v>100</v>
      </c>
      <c r="BB41" s="640"/>
      <c r="BC41" s="641" t="s">
        <v>99</v>
      </c>
      <c r="BD41" s="642"/>
      <c r="BE41" s="643" t="s">
        <v>16</v>
      </c>
      <c r="BF41" s="644"/>
      <c r="BG41" s="154"/>
      <c r="BH41" s="300"/>
      <c r="BI41" s="388" t="s">
        <v>7</v>
      </c>
      <c r="BJ41" s="535">
        <f>B28</f>
        <v>42574</v>
      </c>
      <c r="BK41" s="639" t="s">
        <v>100</v>
      </c>
      <c r="BL41" s="640"/>
      <c r="BM41" s="641" t="s">
        <v>99</v>
      </c>
      <c r="BN41" s="642"/>
      <c r="BO41" s="643" t="s">
        <v>16</v>
      </c>
      <c r="BP41" s="644"/>
    </row>
    <row r="42" spans="2:68" ht="13.5" thickBot="1">
      <c r="K42" s="321"/>
      <c r="L42" s="320"/>
      <c r="M42" s="321"/>
      <c r="N42" s="322"/>
      <c r="O42" s="321"/>
      <c r="P42" s="322"/>
      <c r="Q42" s="320"/>
      <c r="R42" s="322"/>
      <c r="S42" s="156"/>
      <c r="T42" s="300"/>
      <c r="U42" s="321"/>
      <c r="V42" s="320"/>
      <c r="W42" s="321"/>
      <c r="X42" s="322"/>
      <c r="Y42" s="321"/>
      <c r="Z42" s="322"/>
      <c r="AA42" s="320"/>
      <c r="AB42" s="322"/>
      <c r="AC42" s="154"/>
      <c r="AD42" s="300"/>
      <c r="AE42" s="321"/>
      <c r="AF42" s="320"/>
      <c r="AG42" s="321"/>
      <c r="AH42" s="322"/>
      <c r="AI42" s="321"/>
      <c r="AJ42" s="322"/>
      <c r="AK42" s="320"/>
      <c r="AL42" s="322"/>
      <c r="AM42" s="154"/>
      <c r="AN42" s="300"/>
      <c r="AO42" s="321"/>
      <c r="AP42" s="320"/>
      <c r="AQ42" s="321"/>
      <c r="AR42" s="322"/>
      <c r="AS42" s="321"/>
      <c r="AT42" s="322"/>
      <c r="AU42" s="320"/>
      <c r="AV42" s="322"/>
      <c r="AW42" s="154"/>
      <c r="AX42" s="300"/>
      <c r="AY42" s="321"/>
      <c r="AZ42" s="320"/>
      <c r="BA42" s="321"/>
      <c r="BB42" s="322"/>
      <c r="BC42" s="321"/>
      <c r="BD42" s="322"/>
      <c r="BE42" s="320"/>
      <c r="BF42" s="322"/>
      <c r="BG42" s="154"/>
      <c r="BH42" s="300"/>
      <c r="BI42" s="321"/>
      <c r="BJ42" s="320"/>
      <c r="BK42" s="321"/>
      <c r="BL42" s="322"/>
      <c r="BM42" s="321"/>
      <c r="BN42" s="322"/>
      <c r="BO42" s="320"/>
      <c r="BP42" s="322"/>
    </row>
    <row r="43" spans="2:68" ht="16.5" thickBot="1">
      <c r="K43" s="321"/>
      <c r="L43" s="422" t="s">
        <v>155</v>
      </c>
      <c r="M43" s="324" t="s">
        <v>103</v>
      </c>
      <c r="N43" s="279"/>
      <c r="O43" s="324" t="s">
        <v>103</v>
      </c>
      <c r="P43" s="279"/>
      <c r="Q43" s="325" t="s">
        <v>103</v>
      </c>
      <c r="R43" s="326">
        <f>SUM(N43,P43)</f>
        <v>0</v>
      </c>
      <c r="S43" s="294"/>
      <c r="T43" s="300"/>
      <c r="U43" s="321"/>
      <c r="V43" s="422" t="s">
        <v>155</v>
      </c>
      <c r="W43" s="324" t="s">
        <v>103</v>
      </c>
      <c r="X43" s="279"/>
      <c r="Y43" s="324" t="s">
        <v>103</v>
      </c>
      <c r="Z43" s="279"/>
      <c r="AA43" s="325" t="s">
        <v>103</v>
      </c>
      <c r="AB43" s="326">
        <f>SUM(X43,Z43)</f>
        <v>0</v>
      </c>
      <c r="AD43" s="300"/>
      <c r="AE43" s="321"/>
      <c r="AF43" s="422" t="s">
        <v>155</v>
      </c>
      <c r="AG43" s="324" t="s">
        <v>103</v>
      </c>
      <c r="AH43" s="279"/>
      <c r="AI43" s="324" t="s">
        <v>103</v>
      </c>
      <c r="AJ43" s="279"/>
      <c r="AK43" s="325" t="s">
        <v>103</v>
      </c>
      <c r="AL43" s="326">
        <f>SUM(AH43,AJ43)</f>
        <v>0</v>
      </c>
      <c r="AN43" s="300"/>
      <c r="AO43" s="321"/>
      <c r="AP43" s="422" t="s">
        <v>155</v>
      </c>
      <c r="AQ43" s="324" t="s">
        <v>103</v>
      </c>
      <c r="AR43" s="279"/>
      <c r="AS43" s="324" t="s">
        <v>103</v>
      </c>
      <c r="AT43" s="279"/>
      <c r="AU43" s="325" t="s">
        <v>103</v>
      </c>
      <c r="AV43" s="326">
        <f>SUM(AR43,AT43)</f>
        <v>0</v>
      </c>
      <c r="AX43" s="300"/>
      <c r="AY43" s="321"/>
      <c r="AZ43" s="422" t="s">
        <v>155</v>
      </c>
      <c r="BA43" s="324" t="s">
        <v>103</v>
      </c>
      <c r="BB43" s="279"/>
      <c r="BC43" s="324" t="s">
        <v>103</v>
      </c>
      <c r="BD43" s="279"/>
      <c r="BE43" s="325" t="s">
        <v>103</v>
      </c>
      <c r="BF43" s="326">
        <f>SUM(BB43,BD43)</f>
        <v>0</v>
      </c>
      <c r="BH43" s="300"/>
      <c r="BI43" s="321"/>
      <c r="BJ43" s="422" t="s">
        <v>155</v>
      </c>
      <c r="BK43" s="324" t="s">
        <v>103</v>
      </c>
      <c r="BL43" s="279"/>
      <c r="BM43" s="324" t="s">
        <v>103</v>
      </c>
      <c r="BN43" s="279"/>
      <c r="BO43" s="325" t="s">
        <v>103</v>
      </c>
      <c r="BP43" s="326">
        <f>SUM(BL43,BN43)</f>
        <v>0</v>
      </c>
    </row>
    <row r="44" spans="2:68" ht="18.75" thickBot="1">
      <c r="K44" s="321"/>
      <c r="L44" s="289">
        <v>8</v>
      </c>
      <c r="M44" s="327" t="s">
        <v>5</v>
      </c>
      <c r="N44" s="328">
        <f>VLOOKUP(L41, $B$3:$E$109, 4, FALSE)</f>
        <v>0</v>
      </c>
      <c r="O44" s="327" t="s">
        <v>5</v>
      </c>
      <c r="P44" s="329">
        <f>VLOOKUP(L41, $B$3:$F$109, 5, FALSE)</f>
        <v>0</v>
      </c>
      <c r="Q44" s="330" t="s">
        <v>5</v>
      </c>
      <c r="R44" s="326">
        <f>SUM(N44,P44)</f>
        <v>0</v>
      </c>
      <c r="S44" s="294"/>
      <c r="T44" s="300"/>
      <c r="U44" s="321"/>
      <c r="V44" s="289">
        <v>8</v>
      </c>
      <c r="W44" s="327" t="s">
        <v>5</v>
      </c>
      <c r="X44" s="328">
        <f>VLOOKUP(V41, $B$3:$E$109, 4, FALSE)</f>
        <v>0</v>
      </c>
      <c r="Y44" s="327" t="s">
        <v>5</v>
      </c>
      <c r="Z44" s="329">
        <f>VLOOKUP(V41, $B$3:$F$109, 5, FALSE)</f>
        <v>0</v>
      </c>
      <c r="AA44" s="330" t="s">
        <v>5</v>
      </c>
      <c r="AB44" s="326">
        <f>SUM(X44,Z44)</f>
        <v>0</v>
      </c>
      <c r="AD44" s="300"/>
      <c r="AE44" s="321"/>
      <c r="AF44" s="289">
        <v>8</v>
      </c>
      <c r="AG44" s="327" t="s">
        <v>5</v>
      </c>
      <c r="AH44" s="328">
        <f>VLOOKUP(AF41, $B$3:$E$109, 4, FALSE)</f>
        <v>0</v>
      </c>
      <c r="AI44" s="327" t="s">
        <v>5</v>
      </c>
      <c r="AJ44" s="329">
        <f>VLOOKUP(AF41, $B$3:$F$109, 5, FALSE)</f>
        <v>0</v>
      </c>
      <c r="AK44" s="330" t="s">
        <v>5</v>
      </c>
      <c r="AL44" s="326">
        <f>SUM(AH44,AJ44)</f>
        <v>0</v>
      </c>
      <c r="AN44" s="300"/>
      <c r="AO44" s="321"/>
      <c r="AP44" s="289">
        <v>8</v>
      </c>
      <c r="AQ44" s="327" t="s">
        <v>5</v>
      </c>
      <c r="AR44" s="328">
        <f>VLOOKUP(AP41, $B$3:$E$109, 4, FALSE)</f>
        <v>0</v>
      </c>
      <c r="AS44" s="327" t="s">
        <v>5</v>
      </c>
      <c r="AT44" s="329">
        <f>VLOOKUP(AP41, $B$3:$F$109, 5, FALSE)</f>
        <v>0</v>
      </c>
      <c r="AU44" s="330" t="s">
        <v>5</v>
      </c>
      <c r="AV44" s="326">
        <f>SUM(AR44,AT44)</f>
        <v>0</v>
      </c>
      <c r="AX44" s="300"/>
      <c r="AY44" s="321"/>
      <c r="AZ44" s="289">
        <v>8</v>
      </c>
      <c r="BA44" s="327" t="s">
        <v>5</v>
      </c>
      <c r="BB44" s="328">
        <f>VLOOKUP(AZ41, $B$3:$E$109, 4, FALSE)</f>
        <v>0</v>
      </c>
      <c r="BC44" s="327" t="s">
        <v>5</v>
      </c>
      <c r="BD44" s="329">
        <f>VLOOKUP(AZ41, $B$3:$F$109, 5, FALSE)</f>
        <v>0</v>
      </c>
      <c r="BE44" s="330" t="s">
        <v>5</v>
      </c>
      <c r="BF44" s="326">
        <f>SUM(BB44,BD44)</f>
        <v>0</v>
      </c>
      <c r="BH44" s="300"/>
      <c r="BI44" s="321"/>
      <c r="BJ44" s="289">
        <v>8</v>
      </c>
      <c r="BK44" s="327" t="s">
        <v>5</v>
      </c>
      <c r="BL44" s="328">
        <f>VLOOKUP(BJ41, $B$3:$E$109, 4, FALSE)</f>
        <v>0</v>
      </c>
      <c r="BM44" s="327" t="s">
        <v>5</v>
      </c>
      <c r="BN44" s="329">
        <f>VLOOKUP(BJ41, $B$3:$F$109, 5, FALSE)</f>
        <v>0</v>
      </c>
      <c r="BO44" s="330" t="s">
        <v>5</v>
      </c>
      <c r="BP44" s="326">
        <f>SUM(BL44,BN44)</f>
        <v>0</v>
      </c>
    </row>
    <row r="45" spans="2:68" ht="15.75" customHeight="1">
      <c r="K45" s="321"/>
      <c r="L45" s="320"/>
      <c r="M45" s="645" t="s">
        <v>105</v>
      </c>
      <c r="N45" s="328">
        <f>VLOOKUP(L41, $B$3:$E$109, 2, FALSE)</f>
        <v>0</v>
      </c>
      <c r="O45" s="645" t="s">
        <v>105</v>
      </c>
      <c r="P45" s="329">
        <f>VLOOKUP(L41, $B$3:$E$109, 3, FALSE)</f>
        <v>0</v>
      </c>
      <c r="Q45" s="646" t="s">
        <v>105</v>
      </c>
      <c r="R45" s="326">
        <f>SUM(N45,P45)</f>
        <v>0</v>
      </c>
      <c r="S45" s="294"/>
      <c r="T45" s="300"/>
      <c r="U45" s="321"/>
      <c r="V45" s="320"/>
      <c r="W45" s="645" t="s">
        <v>105</v>
      </c>
      <c r="X45" s="328">
        <f>VLOOKUP(V41, $B$3:$E$109, 2, FALSE)</f>
        <v>0</v>
      </c>
      <c r="Y45" s="645" t="s">
        <v>105</v>
      </c>
      <c r="Z45" s="329">
        <f>VLOOKUP(V41, $B$3:$E$109, 3, FALSE)</f>
        <v>0</v>
      </c>
      <c r="AA45" s="646" t="s">
        <v>105</v>
      </c>
      <c r="AB45" s="326">
        <f>SUM(X45,Z45)</f>
        <v>0</v>
      </c>
      <c r="AD45" s="300"/>
      <c r="AE45" s="321"/>
      <c r="AF45" s="320"/>
      <c r="AG45" s="645" t="s">
        <v>105</v>
      </c>
      <c r="AH45" s="328">
        <f>VLOOKUP(AF41, $B$3:$E$109, 2, FALSE)</f>
        <v>0</v>
      </c>
      <c r="AI45" s="645" t="s">
        <v>105</v>
      </c>
      <c r="AJ45" s="329">
        <f>VLOOKUP(AF41, $B$3:$E$109, 3, FALSE)</f>
        <v>0</v>
      </c>
      <c r="AK45" s="646" t="s">
        <v>105</v>
      </c>
      <c r="AL45" s="326">
        <f>SUM(AH45,AJ45)</f>
        <v>0</v>
      </c>
      <c r="AN45" s="300"/>
      <c r="AO45" s="321"/>
      <c r="AP45" s="320"/>
      <c r="AQ45" s="645" t="s">
        <v>105</v>
      </c>
      <c r="AR45" s="328">
        <f>VLOOKUP(AP41, $B$3:$E$109, 2, FALSE)</f>
        <v>0</v>
      </c>
      <c r="AS45" s="645" t="s">
        <v>105</v>
      </c>
      <c r="AT45" s="329">
        <f>VLOOKUP(AP41, $B$3:$E$109, 3, FALSE)</f>
        <v>0</v>
      </c>
      <c r="AU45" s="646" t="s">
        <v>105</v>
      </c>
      <c r="AV45" s="326">
        <f>SUM(AR45,AT45)</f>
        <v>0</v>
      </c>
      <c r="AX45" s="300"/>
      <c r="AY45" s="321"/>
      <c r="AZ45" s="320"/>
      <c r="BA45" s="645" t="s">
        <v>105</v>
      </c>
      <c r="BB45" s="328">
        <f>VLOOKUP(AZ41, $B$3:$E$109, 2, FALSE)</f>
        <v>0</v>
      </c>
      <c r="BC45" s="645" t="s">
        <v>105</v>
      </c>
      <c r="BD45" s="329">
        <f>VLOOKUP(AZ41, $B$3:$E$109, 3, FALSE)</f>
        <v>0</v>
      </c>
      <c r="BE45" s="646" t="s">
        <v>105</v>
      </c>
      <c r="BF45" s="326">
        <f>SUM(BB45,BD45)</f>
        <v>0</v>
      </c>
      <c r="BH45" s="300"/>
      <c r="BI45" s="321"/>
      <c r="BJ45" s="320"/>
      <c r="BK45" s="645" t="s">
        <v>105</v>
      </c>
      <c r="BL45" s="328">
        <f>VLOOKUP(BJ41, $B$3:$E$109, 2, FALSE)</f>
        <v>0</v>
      </c>
      <c r="BM45" s="645" t="s">
        <v>105</v>
      </c>
      <c r="BN45" s="329">
        <f>VLOOKUP(BJ41, $B$3:$E$109, 3, FALSE)</f>
        <v>0</v>
      </c>
      <c r="BO45" s="646" t="s">
        <v>105</v>
      </c>
      <c r="BP45" s="326">
        <f>SUM(BL45,BN45)</f>
        <v>0</v>
      </c>
    </row>
    <row r="46" spans="2:68" ht="12.75" customHeight="1">
      <c r="K46" s="702" t="s">
        <v>157</v>
      </c>
      <c r="L46" s="703"/>
      <c r="M46" s="646"/>
      <c r="N46" s="322"/>
      <c r="O46" s="645"/>
      <c r="P46" s="322"/>
      <c r="Q46" s="646"/>
      <c r="R46" s="322"/>
      <c r="S46" s="156"/>
      <c r="T46" s="300"/>
      <c r="U46" s="702" t="s">
        <v>157</v>
      </c>
      <c r="V46" s="703"/>
      <c r="W46" s="646"/>
      <c r="X46" s="322"/>
      <c r="Y46" s="645"/>
      <c r="Z46" s="322"/>
      <c r="AA46" s="646"/>
      <c r="AB46" s="322"/>
      <c r="AD46" s="300"/>
      <c r="AE46" s="702" t="s">
        <v>157</v>
      </c>
      <c r="AF46" s="703"/>
      <c r="AG46" s="646"/>
      <c r="AH46" s="322"/>
      <c r="AI46" s="645"/>
      <c r="AJ46" s="322"/>
      <c r="AK46" s="646"/>
      <c r="AL46" s="322"/>
      <c r="AN46" s="300"/>
      <c r="AO46" s="702" t="s">
        <v>157</v>
      </c>
      <c r="AP46" s="703"/>
      <c r="AQ46" s="646"/>
      <c r="AR46" s="322"/>
      <c r="AS46" s="645"/>
      <c r="AT46" s="322"/>
      <c r="AU46" s="646"/>
      <c r="AV46" s="322"/>
      <c r="AX46" s="300"/>
      <c r="AY46" s="702" t="s">
        <v>157</v>
      </c>
      <c r="AZ46" s="703"/>
      <c r="BA46" s="646"/>
      <c r="BB46" s="322"/>
      <c r="BC46" s="645"/>
      <c r="BD46" s="322"/>
      <c r="BE46" s="646"/>
      <c r="BF46" s="322"/>
      <c r="BH46" s="300"/>
      <c r="BI46" s="702" t="s">
        <v>157</v>
      </c>
      <c r="BJ46" s="703"/>
      <c r="BK46" s="646"/>
      <c r="BL46" s="322"/>
      <c r="BM46" s="645"/>
      <c r="BN46" s="322"/>
      <c r="BO46" s="646"/>
      <c r="BP46" s="322"/>
    </row>
    <row r="47" spans="2:68" ht="15.75">
      <c r="K47" s="389"/>
      <c r="L47" s="331">
        <f>R43*13</f>
        <v>0</v>
      </c>
      <c r="M47" s="423"/>
      <c r="N47" s="322"/>
      <c r="O47" s="333"/>
      <c r="P47" s="322"/>
      <c r="Q47" s="424"/>
      <c r="R47" s="322"/>
      <c r="S47" s="156"/>
      <c r="T47" s="300"/>
      <c r="U47" s="389"/>
      <c r="V47" s="331">
        <f>AB43*13</f>
        <v>0</v>
      </c>
      <c r="W47" s="423"/>
      <c r="X47" s="322"/>
      <c r="Y47" s="333"/>
      <c r="Z47" s="322"/>
      <c r="AA47" s="424"/>
      <c r="AB47" s="322"/>
      <c r="AD47" s="300"/>
      <c r="AE47" s="389"/>
      <c r="AF47" s="331">
        <f>AL43*13</f>
        <v>0</v>
      </c>
      <c r="AG47" s="423"/>
      <c r="AH47" s="322"/>
      <c r="AI47" s="333"/>
      <c r="AJ47" s="322"/>
      <c r="AK47" s="424"/>
      <c r="AL47" s="322"/>
      <c r="AN47" s="300"/>
      <c r="AO47" s="389"/>
      <c r="AP47" s="331">
        <f>AV43*13</f>
        <v>0</v>
      </c>
      <c r="AQ47" s="423"/>
      <c r="AR47" s="322"/>
      <c r="AS47" s="333"/>
      <c r="AT47" s="322"/>
      <c r="AU47" s="424"/>
      <c r="AV47" s="322"/>
      <c r="AX47" s="300"/>
      <c r="AY47" s="389"/>
      <c r="AZ47" s="331">
        <f>BF43*13</f>
        <v>0</v>
      </c>
      <c r="BA47" s="423"/>
      <c r="BB47" s="322"/>
      <c r="BC47" s="333"/>
      <c r="BD47" s="322"/>
      <c r="BE47" s="424"/>
      <c r="BF47" s="322"/>
      <c r="BH47" s="300"/>
      <c r="BI47" s="389"/>
      <c r="BJ47" s="331">
        <f>BP43*13</f>
        <v>0</v>
      </c>
      <c r="BK47" s="423"/>
      <c r="BL47" s="322"/>
      <c r="BM47" s="333"/>
      <c r="BN47" s="322"/>
      <c r="BO47" s="424"/>
      <c r="BP47" s="322"/>
    </row>
    <row r="48" spans="2:68" ht="18.75">
      <c r="K48" s="321"/>
      <c r="L48" s="390"/>
      <c r="M48" s="286" t="s">
        <v>97</v>
      </c>
      <c r="N48" s="287" t="e">
        <f>N45/((N43*EFFICIENCY!$H$28))</f>
        <v>#DIV/0!</v>
      </c>
      <c r="O48" s="286" t="s">
        <v>97</v>
      </c>
      <c r="P48" s="287" t="e">
        <f>P45/(P43*EFFICIENCY!$H$28)</f>
        <v>#DIV/0!</v>
      </c>
      <c r="Q48" s="286" t="s">
        <v>97</v>
      </c>
      <c r="R48" s="287" t="e">
        <f>R45/(R43*EFFICIENCY!$H$28)</f>
        <v>#DIV/0!</v>
      </c>
      <c r="S48" s="295"/>
      <c r="T48" s="300"/>
      <c r="U48" s="321"/>
      <c r="V48" s="390"/>
      <c r="W48" s="286" t="s">
        <v>97</v>
      </c>
      <c r="X48" s="287" t="e">
        <f>X45/((X43*EFFICIENCY!$H$28))</f>
        <v>#DIV/0!</v>
      </c>
      <c r="Y48" s="286" t="s">
        <v>97</v>
      </c>
      <c r="Z48" s="287" t="e">
        <f>Z45/(Z43*EFFICIENCY!$H$28)</f>
        <v>#DIV/0!</v>
      </c>
      <c r="AA48" s="286" t="s">
        <v>97</v>
      </c>
      <c r="AB48" s="287" t="e">
        <f>AB45/(AB43*EFFICIENCY!$H$28)</f>
        <v>#DIV/0!</v>
      </c>
      <c r="AD48" s="300"/>
      <c r="AE48" s="321"/>
      <c r="AF48" s="390"/>
      <c r="AG48" s="286" t="s">
        <v>97</v>
      </c>
      <c r="AH48" s="287" t="e">
        <f>AH45/((AH43*EFFICIENCY!$H$28))</f>
        <v>#DIV/0!</v>
      </c>
      <c r="AI48" s="286" t="s">
        <v>97</v>
      </c>
      <c r="AJ48" s="287" t="e">
        <f>AJ45/(AJ43*EFFICIENCY!$H$28)</f>
        <v>#DIV/0!</v>
      </c>
      <c r="AK48" s="286" t="s">
        <v>97</v>
      </c>
      <c r="AL48" s="287" t="e">
        <f>AL45/(AL43*EFFICIENCY!$H$28)</f>
        <v>#DIV/0!</v>
      </c>
      <c r="AN48" s="300"/>
      <c r="AO48" s="321"/>
      <c r="AP48" s="390"/>
      <c r="AQ48" s="286" t="s">
        <v>97</v>
      </c>
      <c r="AR48" s="287" t="e">
        <f>AR45/((AR43*EFFICIENCY!$H$28))</f>
        <v>#DIV/0!</v>
      </c>
      <c r="AS48" s="286" t="s">
        <v>97</v>
      </c>
      <c r="AT48" s="287" t="e">
        <f>AT45/(AT43*EFFICIENCY!$H$28)</f>
        <v>#DIV/0!</v>
      </c>
      <c r="AU48" s="286" t="s">
        <v>97</v>
      </c>
      <c r="AV48" s="287" t="e">
        <f>AV45/(AV43*EFFICIENCY!$H$28)</f>
        <v>#DIV/0!</v>
      </c>
      <c r="AX48" s="300"/>
      <c r="AY48" s="321"/>
      <c r="AZ48" s="390"/>
      <c r="BA48" s="286" t="s">
        <v>97</v>
      </c>
      <c r="BB48" s="287" t="e">
        <f>BB45/((BB43*EFFICIENCY!$H$28))</f>
        <v>#DIV/0!</v>
      </c>
      <c r="BC48" s="286" t="s">
        <v>97</v>
      </c>
      <c r="BD48" s="287" t="e">
        <f>BD45/(BD43*EFFICIENCY!$H$28)</f>
        <v>#DIV/0!</v>
      </c>
      <c r="BE48" s="286" t="s">
        <v>97</v>
      </c>
      <c r="BF48" s="287" t="e">
        <f>BF45/(BF43*EFFICIENCY!$H$28)</f>
        <v>#DIV/0!</v>
      </c>
      <c r="BH48" s="300"/>
      <c r="BI48" s="321"/>
      <c r="BJ48" s="390"/>
      <c r="BK48" s="286" t="s">
        <v>97</v>
      </c>
      <c r="BL48" s="287" t="e">
        <f>BL45/((BL43*EFFICIENCY!$H$28))</f>
        <v>#DIV/0!</v>
      </c>
      <c r="BM48" s="286" t="s">
        <v>97</v>
      </c>
      <c r="BN48" s="287" t="e">
        <f>BN45/(BN43*EFFICIENCY!$H$28)</f>
        <v>#DIV/0!</v>
      </c>
      <c r="BO48" s="286" t="s">
        <v>97</v>
      </c>
      <c r="BP48" s="287" t="e">
        <f>BP45/(BP43*EFFICIENCY!$H$28)</f>
        <v>#DIV/0!</v>
      </c>
    </row>
    <row r="49" spans="10:68" ht="18.75">
      <c r="K49" s="321"/>
      <c r="L49" s="320"/>
      <c r="M49" s="280" t="s">
        <v>96</v>
      </c>
      <c r="N49" s="281" t="e">
        <f>N45/(N43*EFFICIENCY!$I$28)</f>
        <v>#DIV/0!</v>
      </c>
      <c r="O49" s="280" t="s">
        <v>96</v>
      </c>
      <c r="P49" s="281" t="e">
        <f>P45/(P43*EFFICIENCY!$I$28)</f>
        <v>#DIV/0!</v>
      </c>
      <c r="Q49" s="280" t="s">
        <v>96</v>
      </c>
      <c r="R49" s="281" t="e">
        <f>R45/(R43*EFFICIENCY!$I$28)</f>
        <v>#DIV/0!</v>
      </c>
      <c r="S49" s="296"/>
      <c r="T49" s="300"/>
      <c r="U49" s="321"/>
      <c r="V49" s="320"/>
      <c r="W49" s="280" t="s">
        <v>96</v>
      </c>
      <c r="X49" s="281" t="e">
        <f>X45/(X43*EFFICIENCY!$I$28)</f>
        <v>#DIV/0!</v>
      </c>
      <c r="Y49" s="280" t="s">
        <v>96</v>
      </c>
      <c r="Z49" s="281" t="e">
        <f>Z45/(Z43*EFFICIENCY!$I$28)</f>
        <v>#DIV/0!</v>
      </c>
      <c r="AA49" s="280" t="s">
        <v>96</v>
      </c>
      <c r="AB49" s="281" t="e">
        <f>AB45/(AB43*EFFICIENCY!$I$28)</f>
        <v>#DIV/0!</v>
      </c>
      <c r="AD49" s="300"/>
      <c r="AE49" s="321"/>
      <c r="AF49" s="320"/>
      <c r="AG49" s="280" t="s">
        <v>96</v>
      </c>
      <c r="AH49" s="281" t="e">
        <f>AH45/(AH43*EFFICIENCY!$I$28)</f>
        <v>#DIV/0!</v>
      </c>
      <c r="AI49" s="280" t="s">
        <v>96</v>
      </c>
      <c r="AJ49" s="281" t="e">
        <f>AJ45/(AJ43*EFFICIENCY!$I$28)</f>
        <v>#DIV/0!</v>
      </c>
      <c r="AK49" s="280" t="s">
        <v>96</v>
      </c>
      <c r="AL49" s="281" t="e">
        <f>AL45/(AL43*EFFICIENCY!$I$28)</f>
        <v>#DIV/0!</v>
      </c>
      <c r="AN49" s="300"/>
      <c r="AO49" s="321"/>
      <c r="AP49" s="320"/>
      <c r="AQ49" s="280" t="s">
        <v>96</v>
      </c>
      <c r="AR49" s="281" t="e">
        <f>AR45/(AR43*EFFICIENCY!$I$28)</f>
        <v>#DIV/0!</v>
      </c>
      <c r="AS49" s="280" t="s">
        <v>96</v>
      </c>
      <c r="AT49" s="281" t="e">
        <f>AT45/(AT43*EFFICIENCY!$I$28)</f>
        <v>#DIV/0!</v>
      </c>
      <c r="AU49" s="280" t="s">
        <v>96</v>
      </c>
      <c r="AV49" s="281" t="e">
        <f>AV45/(AV43*EFFICIENCY!$I$28)</f>
        <v>#DIV/0!</v>
      </c>
      <c r="AX49" s="300"/>
      <c r="AY49" s="321"/>
      <c r="AZ49" s="320"/>
      <c r="BA49" s="280" t="s">
        <v>96</v>
      </c>
      <c r="BB49" s="281" t="e">
        <f>BB45/(BB43*EFFICIENCY!$I$28)</f>
        <v>#DIV/0!</v>
      </c>
      <c r="BC49" s="280" t="s">
        <v>96</v>
      </c>
      <c r="BD49" s="281" t="e">
        <f>BD45/(BD43*EFFICIENCY!$I$28)</f>
        <v>#DIV/0!</v>
      </c>
      <c r="BE49" s="280" t="s">
        <v>96</v>
      </c>
      <c r="BF49" s="281" t="e">
        <f>BF45/(BF43*EFFICIENCY!$I$28)</f>
        <v>#DIV/0!</v>
      </c>
      <c r="BH49" s="300"/>
      <c r="BI49" s="321"/>
      <c r="BJ49" s="320"/>
      <c r="BK49" s="280" t="s">
        <v>96</v>
      </c>
      <c r="BL49" s="281" t="e">
        <f>BL45/(BL43*EFFICIENCY!$I$28)</f>
        <v>#DIV/0!</v>
      </c>
      <c r="BM49" s="280" t="s">
        <v>96</v>
      </c>
      <c r="BN49" s="281" t="e">
        <f>BN45/(BN43*EFFICIENCY!$I$28)</f>
        <v>#DIV/0!</v>
      </c>
      <c r="BO49" s="280" t="s">
        <v>96</v>
      </c>
      <c r="BP49" s="281" t="e">
        <f>BP45/(BP43*EFFICIENCY!$I$28)</f>
        <v>#DIV/0!</v>
      </c>
    </row>
    <row r="50" spans="10:68" ht="19.5" customHeight="1" thickBot="1">
      <c r="K50" s="686" t="s">
        <v>156</v>
      </c>
      <c r="L50" s="687"/>
      <c r="M50" s="284" t="s">
        <v>94</v>
      </c>
      <c r="N50" s="285" t="e">
        <f>N45/((N43*EFFICIENCY!$K$28))</f>
        <v>#DIV/0!</v>
      </c>
      <c r="O50" s="288" t="s">
        <v>94</v>
      </c>
      <c r="P50" s="285" t="e">
        <f>P45/((P43*EFFICIENCY!$K$28))</f>
        <v>#DIV/0!</v>
      </c>
      <c r="Q50" s="284" t="s">
        <v>94</v>
      </c>
      <c r="R50" s="285" t="e">
        <f>R45/((R43*EFFICIENCY!$K$28))</f>
        <v>#DIV/0!</v>
      </c>
      <c r="S50" s="297"/>
      <c r="T50" s="300"/>
      <c r="U50" s="686" t="s">
        <v>156</v>
      </c>
      <c r="V50" s="687"/>
      <c r="W50" s="284" t="s">
        <v>94</v>
      </c>
      <c r="X50" s="285" t="e">
        <f>X45/((X43*EFFICIENCY!$K$28))</f>
        <v>#DIV/0!</v>
      </c>
      <c r="Y50" s="288" t="s">
        <v>94</v>
      </c>
      <c r="Z50" s="285" t="e">
        <f>Z45/((Z43*EFFICIENCY!$K$28))</f>
        <v>#DIV/0!</v>
      </c>
      <c r="AA50" s="284" t="s">
        <v>94</v>
      </c>
      <c r="AB50" s="285" t="e">
        <f>AB45/((AB43*EFFICIENCY!$K$28))</f>
        <v>#DIV/0!</v>
      </c>
      <c r="AD50" s="300"/>
      <c r="AE50" s="686" t="s">
        <v>156</v>
      </c>
      <c r="AF50" s="687"/>
      <c r="AG50" s="284" t="s">
        <v>94</v>
      </c>
      <c r="AH50" s="285" t="e">
        <f>AH45/((AH43*EFFICIENCY!$K$28))</f>
        <v>#DIV/0!</v>
      </c>
      <c r="AI50" s="288" t="s">
        <v>94</v>
      </c>
      <c r="AJ50" s="285" t="e">
        <f>AJ45/((AJ43*EFFICIENCY!$K$28))</f>
        <v>#DIV/0!</v>
      </c>
      <c r="AK50" s="284" t="s">
        <v>94</v>
      </c>
      <c r="AL50" s="285" t="e">
        <f>AL45/((AL43*EFFICIENCY!$K$28))</f>
        <v>#DIV/0!</v>
      </c>
      <c r="AN50" s="300"/>
      <c r="AO50" s="686" t="s">
        <v>156</v>
      </c>
      <c r="AP50" s="687"/>
      <c r="AQ50" s="284" t="s">
        <v>94</v>
      </c>
      <c r="AR50" s="285" t="e">
        <f>AR45/((AR43*EFFICIENCY!$K$28))</f>
        <v>#DIV/0!</v>
      </c>
      <c r="AS50" s="288" t="s">
        <v>94</v>
      </c>
      <c r="AT50" s="285" t="e">
        <f>AT45/((AT43*EFFICIENCY!$K$28))</f>
        <v>#DIV/0!</v>
      </c>
      <c r="AU50" s="284" t="s">
        <v>94</v>
      </c>
      <c r="AV50" s="285" t="e">
        <f>AV45/((AV43*EFFICIENCY!$K$28))</f>
        <v>#DIV/0!</v>
      </c>
      <c r="AX50" s="300"/>
      <c r="AY50" s="686" t="s">
        <v>156</v>
      </c>
      <c r="AZ50" s="687"/>
      <c r="BA50" s="284" t="s">
        <v>94</v>
      </c>
      <c r="BB50" s="285" t="e">
        <f>BB45/((BB43*EFFICIENCY!$K$28))</f>
        <v>#DIV/0!</v>
      </c>
      <c r="BC50" s="288" t="s">
        <v>94</v>
      </c>
      <c r="BD50" s="285" t="e">
        <f>BD45/((BD43*EFFICIENCY!$K$28))</f>
        <v>#DIV/0!</v>
      </c>
      <c r="BE50" s="284" t="s">
        <v>94</v>
      </c>
      <c r="BF50" s="285" t="e">
        <f>BF45/((BF43*EFFICIENCY!$K$28))</f>
        <v>#DIV/0!</v>
      </c>
      <c r="BH50" s="300"/>
      <c r="BI50" s="686" t="s">
        <v>156</v>
      </c>
      <c r="BJ50" s="687"/>
      <c r="BK50" s="284" t="s">
        <v>94</v>
      </c>
      <c r="BL50" s="285" t="e">
        <f>BL45/((BL43*EFFICIENCY!$K$28))</f>
        <v>#DIV/0!</v>
      </c>
      <c r="BM50" s="288" t="s">
        <v>94</v>
      </c>
      <c r="BN50" s="285" t="e">
        <f>BN45/((BN43*EFFICIENCY!$K$28))</f>
        <v>#DIV/0!</v>
      </c>
      <c r="BO50" s="284" t="s">
        <v>94</v>
      </c>
      <c r="BP50" s="285" t="e">
        <f>BP45/((BP43*EFFICIENCY!$K$28))</f>
        <v>#DIV/0!</v>
      </c>
    </row>
    <row r="51" spans="10:68" ht="16.5" thickBot="1">
      <c r="K51" s="391"/>
      <c r="L51" s="392" t="e">
        <f>R45/R43</f>
        <v>#DIV/0!</v>
      </c>
      <c r="M51" s="649" t="s">
        <v>153</v>
      </c>
      <c r="N51" s="650"/>
      <c r="O51" s="290"/>
      <c r="P51" s="420"/>
      <c r="Q51" s="420" t="s">
        <v>154</v>
      </c>
      <c r="R51" s="336">
        <f>O51-R45</f>
        <v>0</v>
      </c>
      <c r="S51" s="298"/>
      <c r="T51" s="300"/>
      <c r="U51" s="391"/>
      <c r="V51" s="392" t="e">
        <f>AB45/AB43</f>
        <v>#DIV/0!</v>
      </c>
      <c r="W51" s="649" t="s">
        <v>153</v>
      </c>
      <c r="X51" s="650"/>
      <c r="Y51" s="290"/>
      <c r="Z51" s="420"/>
      <c r="AA51" s="420" t="s">
        <v>154</v>
      </c>
      <c r="AB51" s="336">
        <f>Y51-AB45</f>
        <v>0</v>
      </c>
      <c r="AD51" s="300"/>
      <c r="AE51" s="391"/>
      <c r="AF51" s="392" t="e">
        <f>AL45/AL43</f>
        <v>#DIV/0!</v>
      </c>
      <c r="AG51" s="649" t="s">
        <v>153</v>
      </c>
      <c r="AH51" s="650"/>
      <c r="AI51" s="290"/>
      <c r="AJ51" s="420"/>
      <c r="AK51" s="420" t="s">
        <v>154</v>
      </c>
      <c r="AL51" s="336">
        <f>AI51-AL45</f>
        <v>0</v>
      </c>
      <c r="AN51" s="300"/>
      <c r="AO51" s="391"/>
      <c r="AP51" s="392" t="e">
        <f>AV45/AV43</f>
        <v>#DIV/0!</v>
      </c>
      <c r="AQ51" s="649" t="s">
        <v>153</v>
      </c>
      <c r="AR51" s="650"/>
      <c r="AS51" s="290"/>
      <c r="AT51" s="420"/>
      <c r="AU51" s="420" t="s">
        <v>154</v>
      </c>
      <c r="AV51" s="336">
        <f>AS51-AV45</f>
        <v>0</v>
      </c>
      <c r="AX51" s="300"/>
      <c r="AY51" s="391"/>
      <c r="AZ51" s="392" t="e">
        <f>BF45/BF43</f>
        <v>#DIV/0!</v>
      </c>
      <c r="BA51" s="649" t="s">
        <v>153</v>
      </c>
      <c r="BB51" s="650"/>
      <c r="BC51" s="290"/>
      <c r="BD51" s="420"/>
      <c r="BE51" s="420" t="s">
        <v>154</v>
      </c>
      <c r="BF51" s="336">
        <f>BC51-BF45</f>
        <v>0</v>
      </c>
      <c r="BH51" s="300"/>
      <c r="BI51" s="391"/>
      <c r="BJ51" s="392" t="e">
        <f>BP45/BP43</f>
        <v>#DIV/0!</v>
      </c>
      <c r="BK51" s="649" t="s">
        <v>153</v>
      </c>
      <c r="BL51" s="650"/>
      <c r="BM51" s="290"/>
      <c r="BN51" s="420"/>
      <c r="BO51" s="420" t="s">
        <v>154</v>
      </c>
      <c r="BP51" s="336">
        <f>BM51-BP45</f>
        <v>0</v>
      </c>
    </row>
    <row r="52" spans="10:68">
      <c r="T52" s="300"/>
      <c r="AD52" s="300"/>
      <c r="AN52" s="300"/>
      <c r="AX52" s="300"/>
      <c r="BH52" s="300"/>
    </row>
    <row r="53" spans="10:68" ht="13.5" thickBot="1">
      <c r="J53" s="291"/>
      <c r="K53" s="291"/>
      <c r="L53" s="291"/>
      <c r="M53" s="291"/>
      <c r="N53" s="291"/>
      <c r="O53" s="291"/>
      <c r="P53" s="291"/>
      <c r="Q53" s="291"/>
      <c r="R53" s="291"/>
      <c r="S53" s="299"/>
      <c r="T53" s="301"/>
      <c r="U53" s="291"/>
      <c r="V53" s="291"/>
      <c r="W53" s="291"/>
      <c r="X53" s="291"/>
      <c r="Y53" s="291"/>
      <c r="Z53" s="291"/>
      <c r="AA53" s="291"/>
      <c r="AB53" s="291"/>
      <c r="AC53" s="291"/>
      <c r="AD53" s="301"/>
      <c r="AE53" s="291"/>
      <c r="AF53" s="291"/>
      <c r="AG53" s="291"/>
      <c r="AH53" s="291"/>
      <c r="AI53" s="291"/>
      <c r="AJ53" s="291"/>
      <c r="AK53" s="291"/>
      <c r="AL53" s="291"/>
      <c r="AM53" s="291"/>
      <c r="AN53" s="301"/>
      <c r="AO53" s="291"/>
      <c r="AP53" s="291"/>
      <c r="AQ53" s="291"/>
      <c r="AR53" s="291"/>
      <c r="AS53" s="291"/>
      <c r="AT53" s="291"/>
      <c r="AU53" s="291"/>
      <c r="AV53" s="291"/>
      <c r="AW53" s="291"/>
      <c r="AX53" s="301"/>
      <c r="AY53" s="291"/>
      <c r="AZ53" s="291"/>
      <c r="BA53" s="291"/>
      <c r="BB53" s="291"/>
      <c r="BC53" s="291"/>
      <c r="BD53" s="291"/>
      <c r="BE53" s="291"/>
      <c r="BF53" s="291"/>
      <c r="BG53" s="291"/>
      <c r="BH53" s="301"/>
      <c r="BI53" s="291"/>
      <c r="BJ53" s="291"/>
      <c r="BK53" s="291"/>
      <c r="BL53" s="291"/>
      <c r="BM53" s="291"/>
      <c r="BN53" s="291"/>
      <c r="BO53" s="291"/>
      <c r="BP53" s="291"/>
    </row>
    <row r="54" spans="10:68" ht="15.75" thickBot="1">
      <c r="J54" s="154"/>
      <c r="K54" s="409" t="s">
        <v>7</v>
      </c>
      <c r="L54" s="536">
        <f>B30</f>
        <v>42576</v>
      </c>
      <c r="M54" s="651" t="s">
        <v>100</v>
      </c>
      <c r="N54" s="652"/>
      <c r="O54" s="653" t="s">
        <v>99</v>
      </c>
      <c r="P54" s="654"/>
      <c r="Q54" s="655" t="s">
        <v>16</v>
      </c>
      <c r="R54" s="656"/>
      <c r="S54" s="293"/>
      <c r="T54" s="300"/>
      <c r="U54" s="409" t="s">
        <v>7</v>
      </c>
      <c r="V54" s="536">
        <f>B31</f>
        <v>42577</v>
      </c>
      <c r="W54" s="651" t="s">
        <v>100</v>
      </c>
      <c r="X54" s="652"/>
      <c r="Y54" s="653" t="s">
        <v>99</v>
      </c>
      <c r="Z54" s="654"/>
      <c r="AA54" s="655" t="s">
        <v>16</v>
      </c>
      <c r="AB54" s="656"/>
      <c r="AC54" s="154"/>
      <c r="AD54" s="300"/>
      <c r="AE54" s="409" t="s">
        <v>7</v>
      </c>
      <c r="AF54" s="536">
        <f>B32</f>
        <v>42578</v>
      </c>
      <c r="AG54" s="651" t="s">
        <v>100</v>
      </c>
      <c r="AH54" s="652"/>
      <c r="AI54" s="653" t="s">
        <v>99</v>
      </c>
      <c r="AJ54" s="654"/>
      <c r="AK54" s="655" t="s">
        <v>16</v>
      </c>
      <c r="AL54" s="656"/>
      <c r="AM54" s="154"/>
      <c r="AN54" s="300"/>
      <c r="AO54" s="409" t="s">
        <v>7</v>
      </c>
      <c r="AP54" s="536">
        <f>B33</f>
        <v>42579</v>
      </c>
      <c r="AQ54" s="651" t="s">
        <v>100</v>
      </c>
      <c r="AR54" s="652"/>
      <c r="AS54" s="653" t="s">
        <v>99</v>
      </c>
      <c r="AT54" s="654"/>
      <c r="AU54" s="655" t="s">
        <v>16</v>
      </c>
      <c r="AV54" s="656"/>
      <c r="AW54" s="154"/>
      <c r="AX54" s="300"/>
      <c r="AY54" s="409" t="s">
        <v>7</v>
      </c>
      <c r="AZ54" s="536">
        <f>B34</f>
        <v>42580</v>
      </c>
      <c r="BA54" s="651" t="s">
        <v>100</v>
      </c>
      <c r="BB54" s="652"/>
      <c r="BC54" s="653" t="s">
        <v>99</v>
      </c>
      <c r="BD54" s="654"/>
      <c r="BE54" s="655" t="s">
        <v>16</v>
      </c>
      <c r="BF54" s="656"/>
      <c r="BG54" s="154"/>
      <c r="BH54" s="300"/>
      <c r="BI54" s="409" t="s">
        <v>7</v>
      </c>
      <c r="BJ54" s="536">
        <f>B35</f>
        <v>42581</v>
      </c>
      <c r="BK54" s="651" t="s">
        <v>100</v>
      </c>
      <c r="BL54" s="652"/>
      <c r="BM54" s="653" t="s">
        <v>99</v>
      </c>
      <c r="BN54" s="654"/>
      <c r="BO54" s="655" t="s">
        <v>16</v>
      </c>
      <c r="BP54" s="656"/>
    </row>
    <row r="55" spans="10:68" ht="13.5" thickBot="1">
      <c r="J55" s="154"/>
      <c r="K55" s="394"/>
      <c r="L55" s="393"/>
      <c r="M55" s="394"/>
      <c r="N55" s="395"/>
      <c r="O55" s="394"/>
      <c r="P55" s="395"/>
      <c r="Q55" s="393"/>
      <c r="R55" s="395"/>
      <c r="S55" s="156"/>
      <c r="T55" s="300"/>
      <c r="U55" s="394"/>
      <c r="V55" s="393"/>
      <c r="W55" s="394"/>
      <c r="X55" s="395"/>
      <c r="Y55" s="394"/>
      <c r="Z55" s="395"/>
      <c r="AA55" s="393"/>
      <c r="AB55" s="395"/>
      <c r="AC55" s="154"/>
      <c r="AD55" s="300"/>
      <c r="AE55" s="394"/>
      <c r="AF55" s="393"/>
      <c r="AG55" s="394"/>
      <c r="AH55" s="395"/>
      <c r="AI55" s="394"/>
      <c r="AJ55" s="395"/>
      <c r="AK55" s="393"/>
      <c r="AL55" s="395"/>
      <c r="AM55" s="154"/>
      <c r="AN55" s="300"/>
      <c r="AO55" s="394"/>
      <c r="AP55" s="393"/>
      <c r="AQ55" s="394"/>
      <c r="AR55" s="395"/>
      <c r="AS55" s="394"/>
      <c r="AT55" s="395"/>
      <c r="AU55" s="393"/>
      <c r="AV55" s="395"/>
      <c r="AW55" s="154"/>
      <c r="AX55" s="300"/>
      <c r="AY55" s="394"/>
      <c r="AZ55" s="393"/>
      <c r="BA55" s="394"/>
      <c r="BB55" s="395"/>
      <c r="BC55" s="394"/>
      <c r="BD55" s="395"/>
      <c r="BE55" s="393"/>
      <c r="BF55" s="395"/>
      <c r="BG55" s="154"/>
      <c r="BH55" s="300"/>
      <c r="BI55" s="394"/>
      <c r="BJ55" s="393"/>
      <c r="BK55" s="394"/>
      <c r="BL55" s="395"/>
      <c r="BM55" s="394"/>
      <c r="BN55" s="395"/>
      <c r="BO55" s="393"/>
      <c r="BP55" s="395"/>
    </row>
    <row r="56" spans="10:68" ht="16.5" thickBot="1">
      <c r="J56" s="154"/>
      <c r="K56" s="394"/>
      <c r="L56" s="417" t="s">
        <v>155</v>
      </c>
      <c r="M56" s="397" t="s">
        <v>103</v>
      </c>
      <c r="N56" s="279"/>
      <c r="O56" s="397" t="s">
        <v>103</v>
      </c>
      <c r="P56" s="279"/>
      <c r="Q56" s="398" t="s">
        <v>103</v>
      </c>
      <c r="R56" s="399">
        <f>SUM(N56,P56)</f>
        <v>0</v>
      </c>
      <c r="S56" s="294"/>
      <c r="T56" s="300"/>
      <c r="U56" s="394"/>
      <c r="V56" s="417" t="s">
        <v>155</v>
      </c>
      <c r="W56" s="397" t="s">
        <v>103</v>
      </c>
      <c r="X56" s="279"/>
      <c r="Y56" s="397" t="s">
        <v>103</v>
      </c>
      <c r="Z56" s="279"/>
      <c r="AA56" s="398" t="s">
        <v>103</v>
      </c>
      <c r="AB56" s="399">
        <f>SUM(X56,Z56)</f>
        <v>0</v>
      </c>
      <c r="AC56" s="154"/>
      <c r="AD56" s="300"/>
      <c r="AE56" s="394"/>
      <c r="AF56" s="417" t="s">
        <v>155</v>
      </c>
      <c r="AG56" s="397" t="s">
        <v>103</v>
      </c>
      <c r="AH56" s="279"/>
      <c r="AI56" s="397" t="s">
        <v>103</v>
      </c>
      <c r="AJ56" s="279"/>
      <c r="AK56" s="398" t="s">
        <v>103</v>
      </c>
      <c r="AL56" s="399">
        <f>SUM(AH56,AJ56)</f>
        <v>0</v>
      </c>
      <c r="AM56" s="154"/>
      <c r="AN56" s="300"/>
      <c r="AO56" s="394"/>
      <c r="AP56" s="417" t="s">
        <v>155</v>
      </c>
      <c r="AQ56" s="397" t="s">
        <v>103</v>
      </c>
      <c r="AR56" s="279"/>
      <c r="AS56" s="397" t="s">
        <v>103</v>
      </c>
      <c r="AT56" s="279"/>
      <c r="AU56" s="398" t="s">
        <v>103</v>
      </c>
      <c r="AV56" s="399">
        <f>SUM(AR56,AT56)</f>
        <v>0</v>
      </c>
      <c r="AW56" s="154"/>
      <c r="AX56" s="300"/>
      <c r="AY56" s="394"/>
      <c r="AZ56" s="417" t="s">
        <v>155</v>
      </c>
      <c r="BA56" s="397" t="s">
        <v>103</v>
      </c>
      <c r="BB56" s="279"/>
      <c r="BC56" s="397" t="s">
        <v>103</v>
      </c>
      <c r="BD56" s="279"/>
      <c r="BE56" s="398" t="s">
        <v>103</v>
      </c>
      <c r="BF56" s="399">
        <f>SUM(BB56,BD56)</f>
        <v>0</v>
      </c>
      <c r="BG56" s="154"/>
      <c r="BH56" s="300"/>
      <c r="BI56" s="394"/>
      <c r="BJ56" s="417" t="s">
        <v>155</v>
      </c>
      <c r="BK56" s="397" t="s">
        <v>103</v>
      </c>
      <c r="BL56" s="279"/>
      <c r="BM56" s="397" t="s">
        <v>103</v>
      </c>
      <c r="BN56" s="279"/>
      <c r="BO56" s="398" t="s">
        <v>103</v>
      </c>
      <c r="BP56" s="399">
        <f>SUM(BL56,BN56)</f>
        <v>0</v>
      </c>
    </row>
    <row r="57" spans="10:68" ht="18.75" thickBot="1">
      <c r="K57" s="394"/>
      <c r="L57" s="289">
        <v>8</v>
      </c>
      <c r="M57" s="400" t="s">
        <v>5</v>
      </c>
      <c r="N57" s="401">
        <f>VLOOKUP(L54, $B$3:$E$109, 4, FALSE)</f>
        <v>0</v>
      </c>
      <c r="O57" s="400" t="s">
        <v>5</v>
      </c>
      <c r="P57" s="402">
        <f>VLOOKUP(L54, $B$3:$F$109, 5, FALSE)</f>
        <v>0</v>
      </c>
      <c r="Q57" s="403" t="s">
        <v>5</v>
      </c>
      <c r="R57" s="399">
        <f>SUM(N57,P57)</f>
        <v>0</v>
      </c>
      <c r="S57" s="294"/>
      <c r="T57" s="300"/>
      <c r="U57" s="394"/>
      <c r="V57" s="289">
        <v>8</v>
      </c>
      <c r="W57" s="400" t="s">
        <v>5</v>
      </c>
      <c r="X57" s="401">
        <f>VLOOKUP(V54, $B$3:$E$109, 4, FALSE)</f>
        <v>0</v>
      </c>
      <c r="Y57" s="400" t="s">
        <v>5</v>
      </c>
      <c r="Z57" s="402">
        <f>VLOOKUP(V54, $B$3:$F$109, 5, FALSE)</f>
        <v>0</v>
      </c>
      <c r="AA57" s="403" t="s">
        <v>5</v>
      </c>
      <c r="AB57" s="399">
        <f>SUM(X57,Z57)</f>
        <v>0</v>
      </c>
      <c r="AD57" s="300"/>
      <c r="AE57" s="394"/>
      <c r="AF57" s="289">
        <v>8</v>
      </c>
      <c r="AG57" s="400" t="s">
        <v>5</v>
      </c>
      <c r="AH57" s="401">
        <f>VLOOKUP(AF54, $B$3:$E$109, 4, FALSE)</f>
        <v>0</v>
      </c>
      <c r="AI57" s="400" t="s">
        <v>5</v>
      </c>
      <c r="AJ57" s="402">
        <f>VLOOKUP(AF54, $B$3:$F$109, 5, FALSE)</f>
        <v>0</v>
      </c>
      <c r="AK57" s="403" t="s">
        <v>5</v>
      </c>
      <c r="AL57" s="399">
        <f>SUM(AH57,AJ57)</f>
        <v>0</v>
      </c>
      <c r="AN57" s="300"/>
      <c r="AO57" s="394"/>
      <c r="AP57" s="289">
        <v>8</v>
      </c>
      <c r="AQ57" s="400" t="s">
        <v>5</v>
      </c>
      <c r="AR57" s="401">
        <f>VLOOKUP(AP54, $B$3:$E$109, 4, FALSE)</f>
        <v>0</v>
      </c>
      <c r="AS57" s="400" t="s">
        <v>5</v>
      </c>
      <c r="AT57" s="402">
        <f>VLOOKUP(AP54, $B$3:$F$109, 5, FALSE)</f>
        <v>0</v>
      </c>
      <c r="AU57" s="403" t="s">
        <v>5</v>
      </c>
      <c r="AV57" s="399">
        <f>SUM(AR57,AT57)</f>
        <v>0</v>
      </c>
      <c r="AX57" s="300"/>
      <c r="AY57" s="394"/>
      <c r="AZ57" s="289">
        <v>8</v>
      </c>
      <c r="BA57" s="400" t="s">
        <v>5</v>
      </c>
      <c r="BB57" s="401">
        <f>VLOOKUP(AZ54, $B$3:$E$109, 4, FALSE)</f>
        <v>0</v>
      </c>
      <c r="BC57" s="400" t="s">
        <v>5</v>
      </c>
      <c r="BD57" s="402">
        <f>VLOOKUP(AZ54, $B$3:$F$109, 5, FALSE)</f>
        <v>0</v>
      </c>
      <c r="BE57" s="403" t="s">
        <v>5</v>
      </c>
      <c r="BF57" s="399">
        <f>SUM(BB57,BD57)</f>
        <v>0</v>
      </c>
      <c r="BH57" s="300"/>
      <c r="BI57" s="394"/>
      <c r="BJ57" s="289">
        <v>8</v>
      </c>
      <c r="BK57" s="400" t="s">
        <v>5</v>
      </c>
      <c r="BL57" s="401">
        <f>VLOOKUP(BJ54, $B$3:$E$109, 4, FALSE)</f>
        <v>0</v>
      </c>
      <c r="BM57" s="400" t="s">
        <v>5</v>
      </c>
      <c r="BN57" s="402">
        <f>VLOOKUP(BJ54, $B$3:$F$109, 5, FALSE)</f>
        <v>0</v>
      </c>
      <c r="BO57" s="403" t="s">
        <v>5</v>
      </c>
      <c r="BP57" s="399">
        <f>SUM(BL57,BN57)</f>
        <v>0</v>
      </c>
    </row>
    <row r="58" spans="10:68" ht="15.75" customHeight="1">
      <c r="K58" s="394"/>
      <c r="L58" s="393"/>
      <c r="M58" s="657" t="s">
        <v>105</v>
      </c>
      <c r="N58" s="401">
        <f>VLOOKUP(L54, $B$3:$E$109, 2, FALSE)</f>
        <v>0</v>
      </c>
      <c r="O58" s="657" t="s">
        <v>105</v>
      </c>
      <c r="P58" s="402">
        <f>VLOOKUP(L54, $B$3:$E$109, 3, FALSE)</f>
        <v>0</v>
      </c>
      <c r="Q58" s="658" t="s">
        <v>105</v>
      </c>
      <c r="R58" s="399">
        <f>SUM(N58,P58)</f>
        <v>0</v>
      </c>
      <c r="S58" s="294"/>
      <c r="T58" s="300"/>
      <c r="U58" s="394"/>
      <c r="V58" s="393"/>
      <c r="W58" s="657" t="s">
        <v>105</v>
      </c>
      <c r="X58" s="401">
        <f>VLOOKUP(V54, $B$3:$E$109, 2, FALSE)</f>
        <v>0</v>
      </c>
      <c r="Y58" s="657" t="s">
        <v>105</v>
      </c>
      <c r="Z58" s="402">
        <f>VLOOKUP(V54, $B$3:$E$109, 3, FALSE)</f>
        <v>0</v>
      </c>
      <c r="AA58" s="658" t="s">
        <v>105</v>
      </c>
      <c r="AB58" s="399">
        <f>SUM(X58,Z58)</f>
        <v>0</v>
      </c>
      <c r="AD58" s="300"/>
      <c r="AE58" s="394"/>
      <c r="AF58" s="393"/>
      <c r="AG58" s="657" t="s">
        <v>105</v>
      </c>
      <c r="AH58" s="401">
        <f>VLOOKUP(AF54, $B$3:$E$109, 2, FALSE)</f>
        <v>0</v>
      </c>
      <c r="AI58" s="657" t="s">
        <v>105</v>
      </c>
      <c r="AJ58" s="402">
        <f>VLOOKUP(AF54, $B$3:$E$109, 3, FALSE)</f>
        <v>0</v>
      </c>
      <c r="AK58" s="658" t="s">
        <v>105</v>
      </c>
      <c r="AL58" s="399">
        <f>SUM(AH58,AJ58)</f>
        <v>0</v>
      </c>
      <c r="AN58" s="300"/>
      <c r="AO58" s="394"/>
      <c r="AP58" s="393"/>
      <c r="AQ58" s="657" t="s">
        <v>105</v>
      </c>
      <c r="AR58" s="401">
        <f>VLOOKUP(AP54, $B$3:$E$109, 2, FALSE)</f>
        <v>0</v>
      </c>
      <c r="AS58" s="657" t="s">
        <v>105</v>
      </c>
      <c r="AT58" s="402">
        <f>VLOOKUP(AP54, $B$3:$E$109, 3, FALSE)</f>
        <v>0</v>
      </c>
      <c r="AU58" s="658" t="s">
        <v>105</v>
      </c>
      <c r="AV58" s="399">
        <f>SUM(AR58,AT58)</f>
        <v>0</v>
      </c>
      <c r="AX58" s="300"/>
      <c r="AY58" s="394"/>
      <c r="AZ58" s="393"/>
      <c r="BA58" s="657" t="s">
        <v>105</v>
      </c>
      <c r="BB58" s="401">
        <f>VLOOKUP(AZ54, $B$3:$E$109, 2, FALSE)</f>
        <v>0</v>
      </c>
      <c r="BC58" s="657" t="s">
        <v>105</v>
      </c>
      <c r="BD58" s="402">
        <f>VLOOKUP(AZ54, $B$3:$E$109, 3, FALSE)</f>
        <v>0</v>
      </c>
      <c r="BE58" s="658" t="s">
        <v>105</v>
      </c>
      <c r="BF58" s="399">
        <f>SUM(BB58,BD58)</f>
        <v>0</v>
      </c>
      <c r="BH58" s="300"/>
      <c r="BI58" s="394"/>
      <c r="BJ58" s="393"/>
      <c r="BK58" s="657" t="s">
        <v>105</v>
      </c>
      <c r="BL58" s="401">
        <f>VLOOKUP(BJ54, $B$3:$E$109, 2, FALSE)</f>
        <v>0</v>
      </c>
      <c r="BM58" s="657" t="s">
        <v>105</v>
      </c>
      <c r="BN58" s="402">
        <f>VLOOKUP(BJ54, $B$3:$E$109, 3, FALSE)</f>
        <v>0</v>
      </c>
      <c r="BO58" s="658" t="s">
        <v>105</v>
      </c>
      <c r="BP58" s="399">
        <f>SUM(BL58,BN58)</f>
        <v>0</v>
      </c>
    </row>
    <row r="59" spans="10:68" ht="12.75" customHeight="1">
      <c r="K59" s="688" t="s">
        <v>157</v>
      </c>
      <c r="L59" s="689"/>
      <c r="M59" s="658"/>
      <c r="N59" s="395"/>
      <c r="O59" s="657"/>
      <c r="P59" s="395"/>
      <c r="Q59" s="658"/>
      <c r="R59" s="395"/>
      <c r="S59" s="156"/>
      <c r="T59" s="300"/>
      <c r="U59" s="688" t="s">
        <v>157</v>
      </c>
      <c r="V59" s="689"/>
      <c r="W59" s="658"/>
      <c r="X59" s="395"/>
      <c r="Y59" s="657"/>
      <c r="Z59" s="395"/>
      <c r="AA59" s="658"/>
      <c r="AB59" s="395"/>
      <c r="AD59" s="300"/>
      <c r="AE59" s="688" t="s">
        <v>157</v>
      </c>
      <c r="AF59" s="689"/>
      <c r="AG59" s="658"/>
      <c r="AH59" s="395"/>
      <c r="AI59" s="657"/>
      <c r="AJ59" s="395"/>
      <c r="AK59" s="658"/>
      <c r="AL59" s="395"/>
      <c r="AN59" s="300"/>
      <c r="AO59" s="688" t="s">
        <v>157</v>
      </c>
      <c r="AP59" s="689"/>
      <c r="AQ59" s="658"/>
      <c r="AR59" s="395"/>
      <c r="AS59" s="657"/>
      <c r="AT59" s="395"/>
      <c r="AU59" s="658"/>
      <c r="AV59" s="395"/>
      <c r="AX59" s="300"/>
      <c r="AY59" s="688" t="s">
        <v>157</v>
      </c>
      <c r="AZ59" s="689"/>
      <c r="BA59" s="658"/>
      <c r="BB59" s="395"/>
      <c r="BC59" s="657"/>
      <c r="BD59" s="395"/>
      <c r="BE59" s="658"/>
      <c r="BF59" s="395"/>
      <c r="BH59" s="300"/>
      <c r="BI59" s="688" t="s">
        <v>157</v>
      </c>
      <c r="BJ59" s="689"/>
      <c r="BK59" s="658"/>
      <c r="BL59" s="395"/>
      <c r="BM59" s="657"/>
      <c r="BN59" s="395"/>
      <c r="BO59" s="658"/>
      <c r="BP59" s="395"/>
    </row>
    <row r="60" spans="10:68" ht="15.75">
      <c r="K60" s="411"/>
      <c r="L60" s="404">
        <f>R56*13</f>
        <v>0</v>
      </c>
      <c r="M60" s="418"/>
      <c r="N60" s="395"/>
      <c r="O60" s="406"/>
      <c r="P60" s="395"/>
      <c r="Q60" s="419"/>
      <c r="R60" s="395"/>
      <c r="S60" s="156"/>
      <c r="T60" s="300"/>
      <c r="U60" s="411"/>
      <c r="V60" s="404">
        <f>AB56*13</f>
        <v>0</v>
      </c>
      <c r="W60" s="418"/>
      <c r="X60" s="395"/>
      <c r="Y60" s="406"/>
      <c r="Z60" s="395"/>
      <c r="AA60" s="419"/>
      <c r="AB60" s="395"/>
      <c r="AD60" s="300"/>
      <c r="AE60" s="411"/>
      <c r="AF60" s="404">
        <f>AL56*13</f>
        <v>0</v>
      </c>
      <c r="AG60" s="418"/>
      <c r="AH60" s="395"/>
      <c r="AI60" s="406"/>
      <c r="AJ60" s="395"/>
      <c r="AK60" s="419"/>
      <c r="AL60" s="395"/>
      <c r="AN60" s="300"/>
      <c r="AO60" s="411"/>
      <c r="AP60" s="404">
        <f>AV56*13</f>
        <v>0</v>
      </c>
      <c r="AQ60" s="418"/>
      <c r="AR60" s="395"/>
      <c r="AS60" s="406"/>
      <c r="AT60" s="395"/>
      <c r="AU60" s="419"/>
      <c r="AV60" s="395"/>
      <c r="AX60" s="300"/>
      <c r="AY60" s="411"/>
      <c r="AZ60" s="404">
        <f>BF56*13</f>
        <v>0</v>
      </c>
      <c r="BA60" s="418"/>
      <c r="BB60" s="395"/>
      <c r="BC60" s="406"/>
      <c r="BD60" s="395"/>
      <c r="BE60" s="419"/>
      <c r="BF60" s="395"/>
      <c r="BH60" s="300"/>
      <c r="BI60" s="411"/>
      <c r="BJ60" s="404">
        <f>BP56*13</f>
        <v>0</v>
      </c>
      <c r="BK60" s="418"/>
      <c r="BL60" s="395"/>
      <c r="BM60" s="406"/>
      <c r="BN60" s="395"/>
      <c r="BO60" s="419"/>
      <c r="BP60" s="395"/>
    </row>
    <row r="61" spans="10:68" ht="18.75">
      <c r="K61" s="394"/>
      <c r="L61" s="412"/>
      <c r="M61" s="286" t="s">
        <v>97</v>
      </c>
      <c r="N61" s="287" t="e">
        <f>N58/((N56*EFFICIENCY!$H$28))</f>
        <v>#DIV/0!</v>
      </c>
      <c r="O61" s="286" t="s">
        <v>97</v>
      </c>
      <c r="P61" s="287" t="e">
        <f>P58/(P56*EFFICIENCY!$H$28)</f>
        <v>#DIV/0!</v>
      </c>
      <c r="Q61" s="286" t="s">
        <v>97</v>
      </c>
      <c r="R61" s="287" t="e">
        <f>R58/(R56*EFFICIENCY!$H$28)</f>
        <v>#DIV/0!</v>
      </c>
      <c r="S61" s="295"/>
      <c r="T61" s="300"/>
      <c r="U61" s="394"/>
      <c r="V61" s="412"/>
      <c r="W61" s="286" t="s">
        <v>97</v>
      </c>
      <c r="X61" s="287" t="e">
        <f>X58/((X56*EFFICIENCY!$H$28))</f>
        <v>#DIV/0!</v>
      </c>
      <c r="Y61" s="286" t="s">
        <v>97</v>
      </c>
      <c r="Z61" s="287" t="e">
        <f>Z58/(Z56*EFFICIENCY!$H$28)</f>
        <v>#DIV/0!</v>
      </c>
      <c r="AA61" s="286" t="s">
        <v>97</v>
      </c>
      <c r="AB61" s="287" t="e">
        <f>AB58/(AB56*EFFICIENCY!$H$28)</f>
        <v>#DIV/0!</v>
      </c>
      <c r="AD61" s="300"/>
      <c r="AE61" s="394"/>
      <c r="AF61" s="412"/>
      <c r="AG61" s="286" t="s">
        <v>97</v>
      </c>
      <c r="AH61" s="287" t="e">
        <f>AH58/((AH56*EFFICIENCY!$H$28))</f>
        <v>#DIV/0!</v>
      </c>
      <c r="AI61" s="286" t="s">
        <v>97</v>
      </c>
      <c r="AJ61" s="287" t="e">
        <f>AJ58/(AJ56*EFFICIENCY!$H$28)</f>
        <v>#DIV/0!</v>
      </c>
      <c r="AK61" s="286" t="s">
        <v>97</v>
      </c>
      <c r="AL61" s="287" t="e">
        <f>AL58/(AL56*EFFICIENCY!$H$28)</f>
        <v>#DIV/0!</v>
      </c>
      <c r="AN61" s="300"/>
      <c r="AO61" s="394"/>
      <c r="AP61" s="412"/>
      <c r="AQ61" s="286" t="s">
        <v>97</v>
      </c>
      <c r="AR61" s="287" t="e">
        <f>AR58/((AR56*EFFICIENCY!$H$28))</f>
        <v>#DIV/0!</v>
      </c>
      <c r="AS61" s="286" t="s">
        <v>97</v>
      </c>
      <c r="AT61" s="287" t="e">
        <f>AT58/(AT56*EFFICIENCY!$H$28)</f>
        <v>#DIV/0!</v>
      </c>
      <c r="AU61" s="286" t="s">
        <v>97</v>
      </c>
      <c r="AV61" s="287" t="e">
        <f>AV58/(AV56*EFFICIENCY!$H$28)</f>
        <v>#DIV/0!</v>
      </c>
      <c r="AX61" s="300"/>
      <c r="AY61" s="394"/>
      <c r="AZ61" s="412"/>
      <c r="BA61" s="286" t="s">
        <v>97</v>
      </c>
      <c r="BB61" s="287" t="e">
        <f>BB58/((BB56*EFFICIENCY!$H$28))</f>
        <v>#DIV/0!</v>
      </c>
      <c r="BC61" s="286" t="s">
        <v>97</v>
      </c>
      <c r="BD61" s="287" t="e">
        <f>BD58/(BD56*EFFICIENCY!$H$28)</f>
        <v>#DIV/0!</v>
      </c>
      <c r="BE61" s="286" t="s">
        <v>97</v>
      </c>
      <c r="BF61" s="287" t="e">
        <f>BF58/(BF56*EFFICIENCY!$H$28)</f>
        <v>#DIV/0!</v>
      </c>
      <c r="BH61" s="300"/>
      <c r="BI61" s="394"/>
      <c r="BJ61" s="412"/>
      <c r="BK61" s="286" t="s">
        <v>97</v>
      </c>
      <c r="BL61" s="287" t="e">
        <f>BL58/((BL56*EFFICIENCY!$H$28))</f>
        <v>#DIV/0!</v>
      </c>
      <c r="BM61" s="286" t="s">
        <v>97</v>
      </c>
      <c r="BN61" s="287" t="e">
        <f>BN58/(BN56*EFFICIENCY!$H$28)</f>
        <v>#DIV/0!</v>
      </c>
      <c r="BO61" s="286" t="s">
        <v>97</v>
      </c>
      <c r="BP61" s="287" t="e">
        <f>BP58/(BP56*EFFICIENCY!$H$28)</f>
        <v>#DIV/0!</v>
      </c>
    </row>
    <row r="62" spans="10:68" ht="18.75">
      <c r="K62" s="394"/>
      <c r="L62" s="393"/>
      <c r="M62" s="280" t="s">
        <v>96</v>
      </c>
      <c r="N62" s="281" t="e">
        <f>N58/(N56*EFFICIENCY!$I$28)</f>
        <v>#DIV/0!</v>
      </c>
      <c r="O62" s="280" t="s">
        <v>96</v>
      </c>
      <c r="P62" s="281" t="e">
        <f>P58/(P56*EFFICIENCY!$I$28)</f>
        <v>#DIV/0!</v>
      </c>
      <c r="Q62" s="280" t="s">
        <v>96</v>
      </c>
      <c r="R62" s="281" t="e">
        <f>R58/(R56*EFFICIENCY!$I$28)</f>
        <v>#DIV/0!</v>
      </c>
      <c r="S62" s="296"/>
      <c r="T62" s="300"/>
      <c r="U62" s="394"/>
      <c r="V62" s="393"/>
      <c r="W62" s="280" t="s">
        <v>96</v>
      </c>
      <c r="X62" s="281" t="e">
        <f>X58/(X56*EFFICIENCY!$I$28)</f>
        <v>#DIV/0!</v>
      </c>
      <c r="Y62" s="280" t="s">
        <v>96</v>
      </c>
      <c r="Z62" s="281" t="e">
        <f>Z58/(Z56*EFFICIENCY!$I$28)</f>
        <v>#DIV/0!</v>
      </c>
      <c r="AA62" s="280" t="s">
        <v>96</v>
      </c>
      <c r="AB62" s="281" t="e">
        <f>AB58/(AB56*EFFICIENCY!$I$28)</f>
        <v>#DIV/0!</v>
      </c>
      <c r="AD62" s="300"/>
      <c r="AE62" s="394"/>
      <c r="AF62" s="393"/>
      <c r="AG62" s="280" t="s">
        <v>96</v>
      </c>
      <c r="AH62" s="281" t="e">
        <f>AH58/(AH56*EFFICIENCY!$I$28)</f>
        <v>#DIV/0!</v>
      </c>
      <c r="AI62" s="280" t="s">
        <v>96</v>
      </c>
      <c r="AJ62" s="281" t="e">
        <f>AJ58/(AJ56*EFFICIENCY!$I$28)</f>
        <v>#DIV/0!</v>
      </c>
      <c r="AK62" s="280" t="s">
        <v>96</v>
      </c>
      <c r="AL62" s="281" t="e">
        <f>AL58/(AL56*EFFICIENCY!$I$28)</f>
        <v>#DIV/0!</v>
      </c>
      <c r="AN62" s="300"/>
      <c r="AO62" s="394"/>
      <c r="AP62" s="393"/>
      <c r="AQ62" s="280" t="s">
        <v>96</v>
      </c>
      <c r="AR62" s="281" t="e">
        <f>AR58/(AR56*EFFICIENCY!$I$28)</f>
        <v>#DIV/0!</v>
      </c>
      <c r="AS62" s="280" t="s">
        <v>96</v>
      </c>
      <c r="AT62" s="281" t="e">
        <f>AT58/(AT56*EFFICIENCY!$I$28)</f>
        <v>#DIV/0!</v>
      </c>
      <c r="AU62" s="280" t="s">
        <v>96</v>
      </c>
      <c r="AV62" s="281" t="e">
        <f>AV58/(AV56*EFFICIENCY!$I$28)</f>
        <v>#DIV/0!</v>
      </c>
      <c r="AX62" s="300"/>
      <c r="AY62" s="394"/>
      <c r="AZ62" s="393"/>
      <c r="BA62" s="280" t="s">
        <v>96</v>
      </c>
      <c r="BB62" s="281" t="e">
        <f>BB58/(BB56*EFFICIENCY!$I$28)</f>
        <v>#DIV/0!</v>
      </c>
      <c r="BC62" s="280" t="s">
        <v>96</v>
      </c>
      <c r="BD62" s="281" t="e">
        <f>BD58/(BD56*EFFICIENCY!$I$28)</f>
        <v>#DIV/0!</v>
      </c>
      <c r="BE62" s="280" t="s">
        <v>96</v>
      </c>
      <c r="BF62" s="281" t="e">
        <f>BF58/(BF56*EFFICIENCY!$I$28)</f>
        <v>#DIV/0!</v>
      </c>
      <c r="BH62" s="300"/>
      <c r="BI62" s="394"/>
      <c r="BJ62" s="393"/>
      <c r="BK62" s="280" t="s">
        <v>96</v>
      </c>
      <c r="BL62" s="281" t="e">
        <f>BL58/(BL56*EFFICIENCY!$I$28)</f>
        <v>#DIV/0!</v>
      </c>
      <c r="BM62" s="280" t="s">
        <v>96</v>
      </c>
      <c r="BN62" s="281" t="e">
        <f>BN58/(BN56*EFFICIENCY!$I$28)</f>
        <v>#DIV/0!</v>
      </c>
      <c r="BO62" s="280" t="s">
        <v>96</v>
      </c>
      <c r="BP62" s="281" t="e">
        <f>BP58/(BP56*EFFICIENCY!$I$28)</f>
        <v>#DIV/0!</v>
      </c>
    </row>
    <row r="63" spans="10:68" ht="19.5" customHeight="1" thickBot="1">
      <c r="K63" s="690" t="s">
        <v>156</v>
      </c>
      <c r="L63" s="691"/>
      <c r="M63" s="284" t="s">
        <v>94</v>
      </c>
      <c r="N63" s="285" t="e">
        <f>N58/((N56*EFFICIENCY!$K$28))</f>
        <v>#DIV/0!</v>
      </c>
      <c r="O63" s="288" t="s">
        <v>94</v>
      </c>
      <c r="P63" s="285" t="e">
        <f>P58/((P56*EFFICIENCY!$K$28))</f>
        <v>#DIV/0!</v>
      </c>
      <c r="Q63" s="284" t="s">
        <v>94</v>
      </c>
      <c r="R63" s="285" t="e">
        <f>R58/((R56*EFFICIENCY!$K$28))</f>
        <v>#DIV/0!</v>
      </c>
      <c r="S63" s="297"/>
      <c r="T63" s="300"/>
      <c r="U63" s="690" t="s">
        <v>156</v>
      </c>
      <c r="V63" s="691"/>
      <c r="W63" s="284" t="s">
        <v>94</v>
      </c>
      <c r="X63" s="285" t="e">
        <f>X58/((X56*EFFICIENCY!$K$28))</f>
        <v>#DIV/0!</v>
      </c>
      <c r="Y63" s="288" t="s">
        <v>94</v>
      </c>
      <c r="Z63" s="285" t="e">
        <f>Z58/((Z56*EFFICIENCY!$K$28))</f>
        <v>#DIV/0!</v>
      </c>
      <c r="AA63" s="284" t="s">
        <v>94</v>
      </c>
      <c r="AB63" s="285" t="e">
        <f>AB58/((AB56*EFFICIENCY!$K$28))</f>
        <v>#DIV/0!</v>
      </c>
      <c r="AD63" s="300"/>
      <c r="AE63" s="690" t="s">
        <v>156</v>
      </c>
      <c r="AF63" s="691"/>
      <c r="AG63" s="284" t="s">
        <v>94</v>
      </c>
      <c r="AH63" s="285" t="e">
        <f>AH58/((AH56*EFFICIENCY!$K$28))</f>
        <v>#DIV/0!</v>
      </c>
      <c r="AI63" s="288" t="s">
        <v>94</v>
      </c>
      <c r="AJ63" s="285" t="e">
        <f>AJ58/((AJ56*EFFICIENCY!$K$28))</f>
        <v>#DIV/0!</v>
      </c>
      <c r="AK63" s="284" t="s">
        <v>94</v>
      </c>
      <c r="AL63" s="285" t="e">
        <f>AL58/((AL56*EFFICIENCY!$K$28))</f>
        <v>#DIV/0!</v>
      </c>
      <c r="AN63" s="300"/>
      <c r="AO63" s="690" t="s">
        <v>156</v>
      </c>
      <c r="AP63" s="691"/>
      <c r="AQ63" s="284" t="s">
        <v>94</v>
      </c>
      <c r="AR63" s="285" t="e">
        <f>AR58/((AR56*EFFICIENCY!$K$28))</f>
        <v>#DIV/0!</v>
      </c>
      <c r="AS63" s="288" t="s">
        <v>94</v>
      </c>
      <c r="AT63" s="285" t="e">
        <f>AT58/((AT56*EFFICIENCY!$K$28))</f>
        <v>#DIV/0!</v>
      </c>
      <c r="AU63" s="284" t="s">
        <v>94</v>
      </c>
      <c r="AV63" s="285" t="e">
        <f>AV58/((AV56*EFFICIENCY!$K$28))</f>
        <v>#DIV/0!</v>
      </c>
      <c r="AX63" s="300"/>
      <c r="AY63" s="690" t="s">
        <v>156</v>
      </c>
      <c r="AZ63" s="691"/>
      <c r="BA63" s="284" t="s">
        <v>94</v>
      </c>
      <c r="BB63" s="285" t="e">
        <f>BB58/((BB56*EFFICIENCY!$K$28))</f>
        <v>#DIV/0!</v>
      </c>
      <c r="BC63" s="288" t="s">
        <v>94</v>
      </c>
      <c r="BD63" s="285" t="e">
        <f>BD58/((BD56*EFFICIENCY!$K$28))</f>
        <v>#DIV/0!</v>
      </c>
      <c r="BE63" s="284" t="s">
        <v>94</v>
      </c>
      <c r="BF63" s="285" t="e">
        <f>BF58/((BF56*EFFICIENCY!$K$28))</f>
        <v>#DIV/0!</v>
      </c>
      <c r="BH63" s="300"/>
      <c r="BI63" s="690" t="s">
        <v>156</v>
      </c>
      <c r="BJ63" s="691"/>
      <c r="BK63" s="284" t="s">
        <v>94</v>
      </c>
      <c r="BL63" s="285" t="e">
        <f>BL58/((BL56*EFFICIENCY!$K$28))</f>
        <v>#DIV/0!</v>
      </c>
      <c r="BM63" s="288" t="s">
        <v>94</v>
      </c>
      <c r="BN63" s="285" t="e">
        <f>BN58/((BN56*EFFICIENCY!$K$28))</f>
        <v>#DIV/0!</v>
      </c>
      <c r="BO63" s="284" t="s">
        <v>94</v>
      </c>
      <c r="BP63" s="285" t="e">
        <f>BP58/((BP56*EFFICIENCY!$K$28))</f>
        <v>#DIV/0!</v>
      </c>
    </row>
    <row r="64" spans="10:68" ht="16.5" thickBot="1">
      <c r="K64" s="413"/>
      <c r="L64" s="414" t="e">
        <f>R58/R56</f>
        <v>#DIV/0!</v>
      </c>
      <c r="M64" s="647" t="s">
        <v>153</v>
      </c>
      <c r="N64" s="648"/>
      <c r="O64" s="290"/>
      <c r="P64" s="416"/>
      <c r="Q64" s="416" t="s">
        <v>154</v>
      </c>
      <c r="R64" s="415">
        <f>O64-R58</f>
        <v>0</v>
      </c>
      <c r="S64" s="298"/>
      <c r="T64" s="300"/>
      <c r="U64" s="413"/>
      <c r="V64" s="414" t="e">
        <f>AB58/AB56</f>
        <v>#DIV/0!</v>
      </c>
      <c r="W64" s="647" t="s">
        <v>153</v>
      </c>
      <c r="X64" s="648"/>
      <c r="Y64" s="290"/>
      <c r="Z64" s="416"/>
      <c r="AA64" s="416" t="s">
        <v>154</v>
      </c>
      <c r="AB64" s="415">
        <f>Y64-AB58</f>
        <v>0</v>
      </c>
      <c r="AD64" s="300"/>
      <c r="AE64" s="413"/>
      <c r="AF64" s="414" t="e">
        <f>AL58/AL56</f>
        <v>#DIV/0!</v>
      </c>
      <c r="AG64" s="647" t="s">
        <v>153</v>
      </c>
      <c r="AH64" s="648"/>
      <c r="AI64" s="290"/>
      <c r="AJ64" s="416"/>
      <c r="AK64" s="416" t="s">
        <v>154</v>
      </c>
      <c r="AL64" s="415">
        <f>AI64-AL58</f>
        <v>0</v>
      </c>
      <c r="AN64" s="300"/>
      <c r="AO64" s="413"/>
      <c r="AP64" s="414" t="e">
        <f>AV58/AV56</f>
        <v>#DIV/0!</v>
      </c>
      <c r="AQ64" s="647" t="s">
        <v>153</v>
      </c>
      <c r="AR64" s="648"/>
      <c r="AS64" s="290"/>
      <c r="AT64" s="416"/>
      <c r="AU64" s="416" t="s">
        <v>154</v>
      </c>
      <c r="AV64" s="415">
        <f>AS64-AV58</f>
        <v>0</v>
      </c>
      <c r="AX64" s="300"/>
      <c r="AY64" s="413"/>
      <c r="AZ64" s="414" t="e">
        <f>BF58/BF56</f>
        <v>#DIV/0!</v>
      </c>
      <c r="BA64" s="647" t="s">
        <v>153</v>
      </c>
      <c r="BB64" s="648"/>
      <c r="BC64" s="290"/>
      <c r="BD64" s="416"/>
      <c r="BE64" s="416" t="s">
        <v>154</v>
      </c>
      <c r="BF64" s="415">
        <f>BC64-BF58</f>
        <v>0</v>
      </c>
      <c r="BH64" s="300"/>
      <c r="BI64" s="413"/>
      <c r="BJ64" s="414" t="e">
        <f>BP58/BP56</f>
        <v>#DIV/0!</v>
      </c>
      <c r="BK64" s="647" t="s">
        <v>153</v>
      </c>
      <c r="BL64" s="648"/>
      <c r="BM64" s="290"/>
      <c r="BN64" s="416"/>
      <c r="BO64" s="416" t="s">
        <v>154</v>
      </c>
      <c r="BP64" s="415">
        <f>BM64-BP58</f>
        <v>0</v>
      </c>
    </row>
    <row r="65" spans="20:60">
      <c r="T65" s="300"/>
      <c r="AD65" s="300"/>
      <c r="AN65" s="300"/>
      <c r="AX65" s="300"/>
      <c r="BH65" s="300"/>
    </row>
    <row r="66" spans="20:60">
      <c r="T66" s="300"/>
      <c r="BH66" s="300"/>
    </row>
    <row r="67" spans="20:60">
      <c r="T67" s="300"/>
      <c r="BH67" s="300"/>
    </row>
    <row r="68" spans="20:60">
      <c r="T68" s="300"/>
      <c r="BH68" s="300"/>
    </row>
    <row r="69" spans="20:60">
      <c r="T69" s="300"/>
      <c r="BH69" s="300"/>
    </row>
    <row r="70" spans="20:60">
      <c r="T70" s="300"/>
      <c r="BH70" s="300"/>
    </row>
  </sheetData>
  <mergeCells count="240">
    <mergeCell ref="M64:N64"/>
    <mergeCell ref="W64:X64"/>
    <mergeCell ref="AG64:AH64"/>
    <mergeCell ref="AQ64:AR64"/>
    <mergeCell ref="BA64:BB64"/>
    <mergeCell ref="BK64:BL64"/>
    <mergeCell ref="K63:L63"/>
    <mergeCell ref="U63:V63"/>
    <mergeCell ref="AE63:AF63"/>
    <mergeCell ref="AO63:AP63"/>
    <mergeCell ref="AY63:AZ63"/>
    <mergeCell ref="BI63:BJ63"/>
    <mergeCell ref="K59:L59"/>
    <mergeCell ref="U59:V59"/>
    <mergeCell ref="AE59:AF59"/>
    <mergeCell ref="AO59:AP59"/>
    <mergeCell ref="AY59:AZ59"/>
    <mergeCell ref="BI59:BJ59"/>
    <mergeCell ref="BA58:BA59"/>
    <mergeCell ref="BC58:BC59"/>
    <mergeCell ref="BE58:BE59"/>
    <mergeCell ref="M58:M59"/>
    <mergeCell ref="O58:O59"/>
    <mergeCell ref="Q58:Q59"/>
    <mergeCell ref="W58:W59"/>
    <mergeCell ref="Y58:Y59"/>
    <mergeCell ref="AA58:AA59"/>
    <mergeCell ref="BK58:BK59"/>
    <mergeCell ref="BM58:BM59"/>
    <mergeCell ref="BO58:BO59"/>
    <mergeCell ref="AG58:AG59"/>
    <mergeCell ref="AI58:AI59"/>
    <mergeCell ref="AK58:AK59"/>
    <mergeCell ref="AQ58:AQ59"/>
    <mergeCell ref="AS58:AS59"/>
    <mergeCell ref="AU58:AU59"/>
    <mergeCell ref="BA54:BB54"/>
    <mergeCell ref="BC54:BD54"/>
    <mergeCell ref="BE54:BF54"/>
    <mergeCell ref="BK54:BL54"/>
    <mergeCell ref="BM54:BN54"/>
    <mergeCell ref="BO54:BP54"/>
    <mergeCell ref="AG54:AH54"/>
    <mergeCell ref="AI54:AJ54"/>
    <mergeCell ref="AK54:AL54"/>
    <mergeCell ref="AQ54:AR54"/>
    <mergeCell ref="AS54:AT54"/>
    <mergeCell ref="AU54:AV54"/>
    <mergeCell ref="M54:N54"/>
    <mergeCell ref="O54:P54"/>
    <mergeCell ref="Q54:R54"/>
    <mergeCell ref="W54:X54"/>
    <mergeCell ref="Y54:Z54"/>
    <mergeCell ref="AA54:AB54"/>
    <mergeCell ref="M51:N51"/>
    <mergeCell ref="W51:X51"/>
    <mergeCell ref="AG51:AH51"/>
    <mergeCell ref="AQ51:AR51"/>
    <mergeCell ref="BA51:BB51"/>
    <mergeCell ref="BK51:BL51"/>
    <mergeCell ref="K50:L50"/>
    <mergeCell ref="U50:V50"/>
    <mergeCell ref="AE50:AF50"/>
    <mergeCell ref="AO50:AP50"/>
    <mergeCell ref="AY50:AZ50"/>
    <mergeCell ref="BI50:BJ50"/>
    <mergeCell ref="K46:L46"/>
    <mergeCell ref="U46:V46"/>
    <mergeCell ref="AE46:AF46"/>
    <mergeCell ref="AO46:AP46"/>
    <mergeCell ref="AY46:AZ46"/>
    <mergeCell ref="BI46:BJ46"/>
    <mergeCell ref="BA45:BA46"/>
    <mergeCell ref="BC45:BC46"/>
    <mergeCell ref="BE45:BE46"/>
    <mergeCell ref="M45:M46"/>
    <mergeCell ref="O45:O46"/>
    <mergeCell ref="Q45:Q46"/>
    <mergeCell ref="W45:W46"/>
    <mergeCell ref="Y45:Y46"/>
    <mergeCell ref="AA45:AA46"/>
    <mergeCell ref="BK45:BK46"/>
    <mergeCell ref="BM45:BM46"/>
    <mergeCell ref="BO45:BO46"/>
    <mergeCell ref="AG45:AG46"/>
    <mergeCell ref="AI45:AI46"/>
    <mergeCell ref="AK45:AK46"/>
    <mergeCell ref="AQ45:AQ46"/>
    <mergeCell ref="AS45:AS46"/>
    <mergeCell ref="AU45:AU46"/>
    <mergeCell ref="BA41:BB41"/>
    <mergeCell ref="BC41:BD41"/>
    <mergeCell ref="BE41:BF41"/>
    <mergeCell ref="BK41:BL41"/>
    <mergeCell ref="BM41:BN41"/>
    <mergeCell ref="BO41:BP41"/>
    <mergeCell ref="AG41:AH41"/>
    <mergeCell ref="AI41:AJ41"/>
    <mergeCell ref="AK41:AL41"/>
    <mergeCell ref="AQ41:AR41"/>
    <mergeCell ref="AS41:AT41"/>
    <mergeCell ref="AU41:AV41"/>
    <mergeCell ref="M41:N41"/>
    <mergeCell ref="O41:P41"/>
    <mergeCell ref="Q41:R41"/>
    <mergeCell ref="W41:X41"/>
    <mergeCell ref="Y41:Z41"/>
    <mergeCell ref="AA41:AB41"/>
    <mergeCell ref="M38:N38"/>
    <mergeCell ref="W38:X38"/>
    <mergeCell ref="AG38:AH38"/>
    <mergeCell ref="AQ38:AR38"/>
    <mergeCell ref="BA38:BB38"/>
    <mergeCell ref="BK38:BL38"/>
    <mergeCell ref="K37:L37"/>
    <mergeCell ref="U37:V37"/>
    <mergeCell ref="AE37:AF37"/>
    <mergeCell ref="AO37:AP37"/>
    <mergeCell ref="AY37:AZ37"/>
    <mergeCell ref="BI37:BJ37"/>
    <mergeCell ref="K33:L33"/>
    <mergeCell ref="U33:V33"/>
    <mergeCell ref="AE33:AF33"/>
    <mergeCell ref="AO33:AP33"/>
    <mergeCell ref="AY33:AZ33"/>
    <mergeCell ref="BI33:BJ33"/>
    <mergeCell ref="BA32:BA33"/>
    <mergeCell ref="BC32:BC33"/>
    <mergeCell ref="BE32:BE33"/>
    <mergeCell ref="M32:M33"/>
    <mergeCell ref="O32:O33"/>
    <mergeCell ref="Q32:Q33"/>
    <mergeCell ref="W32:W33"/>
    <mergeCell ref="Y32:Y33"/>
    <mergeCell ref="AA32:AA33"/>
    <mergeCell ref="BK32:BK33"/>
    <mergeCell ref="BM32:BM33"/>
    <mergeCell ref="BO32:BO33"/>
    <mergeCell ref="AG32:AG33"/>
    <mergeCell ref="AI32:AI33"/>
    <mergeCell ref="AK32:AK33"/>
    <mergeCell ref="AQ32:AQ33"/>
    <mergeCell ref="AS32:AS33"/>
    <mergeCell ref="AU32:AU33"/>
    <mergeCell ref="BA28:BB28"/>
    <mergeCell ref="BC28:BD28"/>
    <mergeCell ref="BE28:BF28"/>
    <mergeCell ref="BK28:BL28"/>
    <mergeCell ref="BM28:BN28"/>
    <mergeCell ref="BO28:BP28"/>
    <mergeCell ref="AG28:AH28"/>
    <mergeCell ref="AI28:AJ28"/>
    <mergeCell ref="AK28:AL28"/>
    <mergeCell ref="AQ28:AR28"/>
    <mergeCell ref="AS28:AT28"/>
    <mergeCell ref="AU28:AV28"/>
    <mergeCell ref="M28:N28"/>
    <mergeCell ref="O28:P28"/>
    <mergeCell ref="Q28:R28"/>
    <mergeCell ref="W28:X28"/>
    <mergeCell ref="Y28:Z28"/>
    <mergeCell ref="AA28:AB28"/>
    <mergeCell ref="M25:N25"/>
    <mergeCell ref="W25:X25"/>
    <mergeCell ref="AG25:AH25"/>
    <mergeCell ref="AQ25:AR25"/>
    <mergeCell ref="BA25:BB25"/>
    <mergeCell ref="BK25:BL25"/>
    <mergeCell ref="K24:L24"/>
    <mergeCell ref="U24:V24"/>
    <mergeCell ref="AE24:AF24"/>
    <mergeCell ref="AO24:AP24"/>
    <mergeCell ref="AY24:AZ24"/>
    <mergeCell ref="BI24:BJ24"/>
    <mergeCell ref="K20:L20"/>
    <mergeCell ref="U20:V20"/>
    <mergeCell ref="AE20:AF20"/>
    <mergeCell ref="AO20:AP20"/>
    <mergeCell ref="AY20:AZ20"/>
    <mergeCell ref="BI20:BJ20"/>
    <mergeCell ref="BA19:BA20"/>
    <mergeCell ref="BC19:BC20"/>
    <mergeCell ref="BE19:BE20"/>
    <mergeCell ref="M19:M20"/>
    <mergeCell ref="O19:O20"/>
    <mergeCell ref="Q19:Q20"/>
    <mergeCell ref="W19:W20"/>
    <mergeCell ref="Y19:Y20"/>
    <mergeCell ref="AA19:AA20"/>
    <mergeCell ref="AG15:AH15"/>
    <mergeCell ref="AI15:AJ15"/>
    <mergeCell ref="AK15:AL15"/>
    <mergeCell ref="AQ15:AR15"/>
    <mergeCell ref="AS15:AT15"/>
    <mergeCell ref="AU15:AV15"/>
    <mergeCell ref="BK19:BK20"/>
    <mergeCell ref="BM19:BM20"/>
    <mergeCell ref="BO19:BO20"/>
    <mergeCell ref="AG19:AG20"/>
    <mergeCell ref="AI19:AI20"/>
    <mergeCell ref="AK19:AK20"/>
    <mergeCell ref="AQ19:AQ20"/>
    <mergeCell ref="AS19:AS20"/>
    <mergeCell ref="AU19:AU20"/>
    <mergeCell ref="BM6:BM7"/>
    <mergeCell ref="BO6:BO7"/>
    <mergeCell ref="BA2:BB2"/>
    <mergeCell ref="BC2:BD2"/>
    <mergeCell ref="BE2:BF2"/>
    <mergeCell ref="BK2:BL2"/>
    <mergeCell ref="BM2:BN2"/>
    <mergeCell ref="BO2:BP2"/>
    <mergeCell ref="M15:N15"/>
    <mergeCell ref="O15:P15"/>
    <mergeCell ref="Q15:R15"/>
    <mergeCell ref="W15:X15"/>
    <mergeCell ref="Y15:Z15"/>
    <mergeCell ref="AA15:AB15"/>
    <mergeCell ref="BA12:BB12"/>
    <mergeCell ref="BK12:BL12"/>
    <mergeCell ref="AY11:AZ11"/>
    <mergeCell ref="BI11:BJ11"/>
    <mergeCell ref="BA15:BB15"/>
    <mergeCell ref="BC15:BD15"/>
    <mergeCell ref="BE15:BF15"/>
    <mergeCell ref="BK15:BL15"/>
    <mergeCell ref="BM15:BN15"/>
    <mergeCell ref="BO15:BP15"/>
    <mergeCell ref="M1:N1"/>
    <mergeCell ref="W1:X1"/>
    <mergeCell ref="AG1:AH1"/>
    <mergeCell ref="AQ1:AR1"/>
    <mergeCell ref="BA1:BB1"/>
    <mergeCell ref="BK1:BL1"/>
    <mergeCell ref="AY7:AZ7"/>
    <mergeCell ref="BI7:BJ7"/>
    <mergeCell ref="BA6:BA7"/>
    <mergeCell ref="BC6:BC7"/>
    <mergeCell ref="BE6:BE7"/>
    <mergeCell ref="BK6:BK7"/>
  </mergeCells>
  <dataValidations count="1">
    <dataValidation type="list" allowBlank="1" showInputMessage="1" showErrorMessage="1" sqref="L5 L18 L31 L44 L57 V5 V18 V31 V44 V57 AF5 AF18 AF31 AF44 AF57 AP5 AP18 AP31 AP44 AP57 AZ5 AZ18 AZ31 AZ44 AZ57 BJ5 BJ18 BJ31 BJ44 BJ57" xr:uid="{00000000-0002-0000-0C00-000000000000}">
      <formula1>"8, 10, 12"</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7"/>
  <dimension ref="B1:BP70"/>
  <sheetViews>
    <sheetView zoomScale="85" zoomScaleNormal="85" workbookViewId="0">
      <selection activeCell="C3" sqref="C3"/>
    </sheetView>
  </sheetViews>
  <sheetFormatPr defaultRowHeight="12.75"/>
  <cols>
    <col min="1" max="11" width="9.140625" style="150"/>
    <col min="12" max="12" width="11.140625" style="150" customWidth="1"/>
    <col min="13" max="13" width="10.5703125" style="150" customWidth="1"/>
    <col min="14" max="14" width="11.28515625" style="150" customWidth="1"/>
    <col min="15" max="15" width="10.5703125" style="150" customWidth="1"/>
    <col min="16" max="16" width="10.28515625" style="150" customWidth="1"/>
    <col min="17" max="17" width="10.140625" style="150" customWidth="1"/>
    <col min="18" max="18" width="10" style="150" bestFit="1" customWidth="1"/>
    <col min="19" max="19" width="7.42578125" style="151" customWidth="1"/>
    <col min="20" max="20" width="7" style="150" customWidth="1"/>
    <col min="21" max="21" width="9.140625" style="150"/>
    <col min="22" max="22" width="11.140625" style="150" customWidth="1"/>
    <col min="23" max="23" width="10.5703125" style="150" customWidth="1"/>
    <col min="24" max="24" width="11.28515625" style="150" customWidth="1"/>
    <col min="25" max="25" width="10.5703125" style="150" customWidth="1"/>
    <col min="26" max="26" width="10.28515625" style="150" customWidth="1"/>
    <col min="27" max="27" width="10.140625" style="150" customWidth="1"/>
    <col min="28" max="28" width="10" style="150" bestFit="1" customWidth="1"/>
    <col min="29" max="31" width="9.140625" style="150"/>
    <col min="32" max="32" width="11.140625" style="150" customWidth="1"/>
    <col min="33" max="33" width="10.5703125" style="150" customWidth="1"/>
    <col min="34" max="34" width="11.28515625" style="150" customWidth="1"/>
    <col min="35" max="35" width="10.5703125" style="150" customWidth="1"/>
    <col min="36" max="36" width="10.28515625" style="150" customWidth="1"/>
    <col min="37" max="37" width="10.140625" style="150" customWidth="1"/>
    <col min="38" max="38" width="10" style="150" bestFit="1" customWidth="1"/>
    <col min="39" max="41" width="9.140625" style="150"/>
    <col min="42" max="42" width="11.140625" style="150" customWidth="1"/>
    <col min="43" max="43" width="10.5703125" style="150" customWidth="1"/>
    <col min="44" max="44" width="11.28515625" style="150" customWidth="1"/>
    <col min="45" max="45" width="10.5703125" style="150" customWidth="1"/>
    <col min="46" max="46" width="10.28515625" style="150" customWidth="1"/>
    <col min="47" max="47" width="10.140625" style="150" customWidth="1"/>
    <col min="48" max="48" width="10" style="150" bestFit="1" customWidth="1"/>
    <col min="49" max="51" width="9.140625" style="150"/>
    <col min="52" max="52" width="11.140625" style="150" customWidth="1"/>
    <col min="53" max="53" width="10.5703125" style="150" customWidth="1"/>
    <col min="54" max="54" width="11.28515625" style="150" customWidth="1"/>
    <col min="55" max="55" width="10.5703125" style="150" customWidth="1"/>
    <col min="56" max="56" width="10.28515625" style="150" customWidth="1"/>
    <col min="57" max="57" width="10.140625" style="150" customWidth="1"/>
    <col min="58" max="58" width="10" style="150" bestFit="1" customWidth="1"/>
    <col min="59" max="61" width="9.140625" style="150"/>
    <col min="62" max="62" width="11.140625" style="150" customWidth="1"/>
    <col min="63" max="63" width="10.5703125" style="150" customWidth="1"/>
    <col min="64" max="64" width="11.28515625" style="150" customWidth="1"/>
    <col min="65" max="65" width="10.5703125" style="150" customWidth="1"/>
    <col min="66" max="66" width="10.28515625" style="150" customWidth="1"/>
    <col min="67" max="67" width="10.140625" style="150" customWidth="1"/>
    <col min="68" max="68" width="10" style="150" bestFit="1" customWidth="1"/>
    <col min="69" max="16384" width="9.140625" style="150"/>
  </cols>
  <sheetData>
    <row r="1" spans="2:68" ht="13.5" thickBot="1">
      <c r="C1" s="277" t="s">
        <v>149</v>
      </c>
      <c r="D1" s="277" t="s">
        <v>149</v>
      </c>
      <c r="E1" s="150" t="s">
        <v>5</v>
      </c>
      <c r="F1" s="150" t="s">
        <v>5</v>
      </c>
      <c r="G1" s="277" t="s">
        <v>149</v>
      </c>
      <c r="H1" s="150" t="s">
        <v>5</v>
      </c>
      <c r="L1" s="154"/>
      <c r="M1" s="671"/>
      <c r="N1" s="671"/>
      <c r="O1" s="154"/>
      <c r="P1" s="154"/>
      <c r="Q1" s="228">
        <v>13</v>
      </c>
      <c r="R1" s="228">
        <v>15</v>
      </c>
      <c r="S1" s="292"/>
      <c r="T1" s="228">
        <v>18</v>
      </c>
      <c r="V1" s="154"/>
      <c r="W1" s="671"/>
      <c r="X1" s="671"/>
      <c r="Y1" s="154"/>
      <c r="Z1" s="154"/>
      <c r="AA1" s="228"/>
      <c r="AB1" s="228"/>
      <c r="AD1" s="300"/>
      <c r="AF1" s="154"/>
      <c r="AG1" s="671"/>
      <c r="AH1" s="671"/>
      <c r="AI1" s="154"/>
      <c r="AJ1" s="154"/>
      <c r="AK1" s="228"/>
      <c r="AL1" s="228"/>
      <c r="AN1" s="300"/>
      <c r="AP1" s="154"/>
      <c r="AQ1" s="671"/>
      <c r="AR1" s="671"/>
      <c r="AS1" s="154"/>
      <c r="AT1" s="154"/>
      <c r="AU1" s="228"/>
      <c r="AV1" s="228"/>
      <c r="AX1" s="300"/>
      <c r="AZ1" s="154"/>
      <c r="BA1" s="671"/>
      <c r="BB1" s="671"/>
      <c r="BC1" s="154"/>
      <c r="BD1" s="154"/>
      <c r="BE1" s="228"/>
      <c r="BF1" s="228"/>
      <c r="BH1" s="300"/>
      <c r="BJ1" s="154"/>
      <c r="BK1" s="671"/>
      <c r="BL1" s="671"/>
      <c r="BM1" s="154"/>
      <c r="BN1" s="154"/>
      <c r="BO1" s="228"/>
      <c r="BP1" s="228"/>
    </row>
    <row r="2" spans="2:68" ht="15.75" thickBot="1">
      <c r="B2" s="277" t="s">
        <v>150</v>
      </c>
      <c r="C2" s="277" t="s">
        <v>151</v>
      </c>
      <c r="D2" s="277" t="s">
        <v>137</v>
      </c>
      <c r="E2" s="277" t="s">
        <v>151</v>
      </c>
      <c r="F2" s="277" t="s">
        <v>137</v>
      </c>
      <c r="G2" s="277" t="s">
        <v>152</v>
      </c>
      <c r="H2" s="277" t="s">
        <v>152</v>
      </c>
      <c r="K2" s="373" t="s">
        <v>7</v>
      </c>
      <c r="L2" s="532">
        <f>B3</f>
        <v>42583</v>
      </c>
      <c r="M2" s="674" t="s">
        <v>100</v>
      </c>
      <c r="N2" s="675"/>
      <c r="O2" s="674" t="s">
        <v>99</v>
      </c>
      <c r="P2" s="675"/>
      <c r="Q2" s="676" t="s">
        <v>16</v>
      </c>
      <c r="R2" s="677"/>
      <c r="S2" s="293"/>
      <c r="T2" s="300"/>
      <c r="U2" s="373" t="s">
        <v>7</v>
      </c>
      <c r="V2" s="532">
        <f>B4</f>
        <v>42584</v>
      </c>
      <c r="W2" s="674" t="s">
        <v>100</v>
      </c>
      <c r="X2" s="675"/>
      <c r="Y2" s="674" t="s">
        <v>99</v>
      </c>
      <c r="Z2" s="675"/>
      <c r="AA2" s="676" t="s">
        <v>16</v>
      </c>
      <c r="AB2" s="677"/>
      <c r="AD2" s="300"/>
      <c r="AE2" s="373" t="s">
        <v>7</v>
      </c>
      <c r="AF2" s="532">
        <f>B5</f>
        <v>42585</v>
      </c>
      <c r="AG2" s="674" t="s">
        <v>100</v>
      </c>
      <c r="AH2" s="675"/>
      <c r="AI2" s="674" t="s">
        <v>99</v>
      </c>
      <c r="AJ2" s="675"/>
      <c r="AK2" s="676" t="s">
        <v>16</v>
      </c>
      <c r="AL2" s="677"/>
      <c r="AN2" s="300"/>
      <c r="AO2" s="373" t="s">
        <v>7</v>
      </c>
      <c r="AP2" s="532">
        <f>B6</f>
        <v>42586</v>
      </c>
      <c r="AQ2" s="674" t="s">
        <v>100</v>
      </c>
      <c r="AR2" s="675"/>
      <c r="AS2" s="674" t="s">
        <v>99</v>
      </c>
      <c r="AT2" s="675"/>
      <c r="AU2" s="676" t="s">
        <v>16</v>
      </c>
      <c r="AV2" s="677"/>
      <c r="AX2" s="300"/>
      <c r="AY2" s="373" t="s">
        <v>7</v>
      </c>
      <c r="AZ2" s="532">
        <f>B7</f>
        <v>42587</v>
      </c>
      <c r="BA2" s="674" t="s">
        <v>100</v>
      </c>
      <c r="BB2" s="675"/>
      <c r="BC2" s="674" t="s">
        <v>99</v>
      </c>
      <c r="BD2" s="675"/>
      <c r="BE2" s="676" t="s">
        <v>16</v>
      </c>
      <c r="BF2" s="677"/>
      <c r="BH2" s="300"/>
      <c r="BI2" s="373" t="s">
        <v>7</v>
      </c>
      <c r="BJ2" s="532">
        <f>B8</f>
        <v>42588</v>
      </c>
      <c r="BK2" s="674" t="s">
        <v>100</v>
      </c>
      <c r="BL2" s="675"/>
      <c r="BM2" s="674" t="s">
        <v>99</v>
      </c>
      <c r="BN2" s="675"/>
      <c r="BO2" s="676" t="s">
        <v>16</v>
      </c>
      <c r="BP2" s="677"/>
    </row>
    <row r="3" spans="2:68" ht="13.5" thickBot="1">
      <c r="B3" s="278">
        <v>42583</v>
      </c>
      <c r="G3" s="150">
        <f>C3+D3</f>
        <v>0</v>
      </c>
      <c r="H3" s="150">
        <f>E3+F3</f>
        <v>0</v>
      </c>
      <c r="K3" s="356"/>
      <c r="L3" s="355"/>
      <c r="M3" s="356"/>
      <c r="N3" s="357"/>
      <c r="O3" s="367"/>
      <c r="P3" s="368"/>
      <c r="Q3" s="369"/>
      <c r="R3" s="368"/>
      <c r="S3" s="156"/>
      <c r="T3" s="300"/>
      <c r="U3" s="356"/>
      <c r="V3" s="355"/>
      <c r="W3" s="356"/>
      <c r="X3" s="357"/>
      <c r="Y3" s="367"/>
      <c r="Z3" s="368"/>
      <c r="AA3" s="369"/>
      <c r="AB3" s="368"/>
      <c r="AD3" s="300"/>
      <c r="AE3" s="356"/>
      <c r="AF3" s="355"/>
      <c r="AG3" s="356"/>
      <c r="AH3" s="357"/>
      <c r="AI3" s="367"/>
      <c r="AJ3" s="368"/>
      <c r="AK3" s="369"/>
      <c r="AL3" s="368"/>
      <c r="AN3" s="300"/>
      <c r="AO3" s="356"/>
      <c r="AP3" s="355"/>
      <c r="AQ3" s="356"/>
      <c r="AR3" s="357"/>
      <c r="AS3" s="367"/>
      <c r="AT3" s="368"/>
      <c r="AU3" s="369"/>
      <c r="AV3" s="368"/>
      <c r="AX3" s="300"/>
      <c r="AY3" s="356"/>
      <c r="AZ3" s="355"/>
      <c r="BA3" s="356"/>
      <c r="BB3" s="357"/>
      <c r="BC3" s="367"/>
      <c r="BD3" s="368"/>
      <c r="BE3" s="369"/>
      <c r="BF3" s="368"/>
      <c r="BH3" s="300"/>
      <c r="BI3" s="356"/>
      <c r="BJ3" s="355"/>
      <c r="BK3" s="356"/>
      <c r="BL3" s="357"/>
      <c r="BM3" s="367"/>
      <c r="BN3" s="368"/>
      <c r="BO3" s="369"/>
      <c r="BP3" s="368"/>
    </row>
    <row r="4" spans="2:68" ht="16.5" thickBot="1">
      <c r="B4" s="278">
        <v>42584</v>
      </c>
      <c r="G4" s="150">
        <f t="shared" ref="G4:G32" si="0">C4+D4</f>
        <v>0</v>
      </c>
      <c r="H4" s="150">
        <f t="shared" ref="H4:H32" si="1">E4+F4</f>
        <v>0</v>
      </c>
      <c r="K4" s="356"/>
      <c r="L4" s="433" t="s">
        <v>155</v>
      </c>
      <c r="M4" s="358" t="s">
        <v>103</v>
      </c>
      <c r="N4" s="279"/>
      <c r="O4" s="358" t="s">
        <v>103</v>
      </c>
      <c r="P4" s="279"/>
      <c r="Q4" s="359" t="s">
        <v>103</v>
      </c>
      <c r="R4" s="370">
        <f>SUM(N4,P4)</f>
        <v>0</v>
      </c>
      <c r="S4" s="294"/>
      <c r="T4" s="300"/>
      <c r="U4" s="356"/>
      <c r="V4" s="433" t="s">
        <v>155</v>
      </c>
      <c r="W4" s="358" t="s">
        <v>103</v>
      </c>
      <c r="X4" s="279"/>
      <c r="Y4" s="358" t="s">
        <v>103</v>
      </c>
      <c r="Z4" s="279"/>
      <c r="AA4" s="359" t="s">
        <v>103</v>
      </c>
      <c r="AB4" s="370">
        <f>SUM(X4,Z4)</f>
        <v>0</v>
      </c>
      <c r="AD4" s="300"/>
      <c r="AE4" s="356"/>
      <c r="AF4" s="433" t="s">
        <v>155</v>
      </c>
      <c r="AG4" s="358" t="s">
        <v>103</v>
      </c>
      <c r="AH4" s="279"/>
      <c r="AI4" s="358" t="s">
        <v>103</v>
      </c>
      <c r="AJ4" s="279"/>
      <c r="AK4" s="359" t="s">
        <v>103</v>
      </c>
      <c r="AL4" s="370">
        <f>SUM(AH4,AJ4)</f>
        <v>0</v>
      </c>
      <c r="AN4" s="300"/>
      <c r="AO4" s="356"/>
      <c r="AP4" s="433" t="s">
        <v>155</v>
      </c>
      <c r="AQ4" s="358" t="s">
        <v>103</v>
      </c>
      <c r="AR4" s="279"/>
      <c r="AS4" s="358" t="s">
        <v>103</v>
      </c>
      <c r="AT4" s="279"/>
      <c r="AU4" s="359" t="s">
        <v>103</v>
      </c>
      <c r="AV4" s="370">
        <f>SUM(AR4,AT4)</f>
        <v>0</v>
      </c>
      <c r="AX4" s="300"/>
      <c r="AY4" s="356"/>
      <c r="AZ4" s="433" t="s">
        <v>155</v>
      </c>
      <c r="BA4" s="358" t="s">
        <v>103</v>
      </c>
      <c r="BB4" s="279"/>
      <c r="BC4" s="358" t="s">
        <v>103</v>
      </c>
      <c r="BD4" s="279"/>
      <c r="BE4" s="359" t="s">
        <v>103</v>
      </c>
      <c r="BF4" s="370">
        <f>SUM(BB4,BD4)</f>
        <v>0</v>
      </c>
      <c r="BH4" s="300"/>
      <c r="BI4" s="356"/>
      <c r="BJ4" s="433" t="s">
        <v>155</v>
      </c>
      <c r="BK4" s="358" t="s">
        <v>103</v>
      </c>
      <c r="BL4" s="279"/>
      <c r="BM4" s="358" t="s">
        <v>103</v>
      </c>
      <c r="BN4" s="279"/>
      <c r="BO4" s="359" t="s">
        <v>103</v>
      </c>
      <c r="BP4" s="370">
        <f>SUM(BL4,BN4)</f>
        <v>0</v>
      </c>
    </row>
    <row r="5" spans="2:68" ht="18.75" thickBot="1">
      <c r="B5" s="278">
        <v>42585</v>
      </c>
      <c r="G5" s="150">
        <f t="shared" si="0"/>
        <v>0</v>
      </c>
      <c r="H5" s="150">
        <f t="shared" si="1"/>
        <v>0</v>
      </c>
      <c r="K5" s="356"/>
      <c r="L5" s="289">
        <v>8</v>
      </c>
      <c r="M5" s="360" t="s">
        <v>5</v>
      </c>
      <c r="N5" s="361">
        <f>VLOOKUP(L2, $B$3:$E$109, 4, FALSE)</f>
        <v>0</v>
      </c>
      <c r="O5" s="358" t="s">
        <v>5</v>
      </c>
      <c r="P5" s="361">
        <f>VLOOKUP(L2, $B$3:$F$109, 5, FALSE)</f>
        <v>0</v>
      </c>
      <c r="Q5" s="359" t="s">
        <v>5</v>
      </c>
      <c r="R5" s="370">
        <f>SUM(N5,P5)</f>
        <v>0</v>
      </c>
      <c r="S5" s="294"/>
      <c r="T5" s="300"/>
      <c r="U5" s="356"/>
      <c r="V5" s="289">
        <v>8</v>
      </c>
      <c r="W5" s="360" t="s">
        <v>5</v>
      </c>
      <c r="X5" s="361">
        <f>VLOOKUP(V2, $B$3:$E$109, 4, FALSE)</f>
        <v>0</v>
      </c>
      <c r="Y5" s="358" t="s">
        <v>5</v>
      </c>
      <c r="Z5" s="361">
        <f>VLOOKUP(V2, $B$3:$F$109, 5, FALSE)</f>
        <v>0</v>
      </c>
      <c r="AA5" s="359" t="s">
        <v>5</v>
      </c>
      <c r="AB5" s="370">
        <f>SUM(X5,Z5)</f>
        <v>0</v>
      </c>
      <c r="AD5" s="300"/>
      <c r="AE5" s="356"/>
      <c r="AF5" s="289">
        <v>8</v>
      </c>
      <c r="AG5" s="360" t="s">
        <v>5</v>
      </c>
      <c r="AH5" s="361">
        <f>VLOOKUP(AF2, $B$3:$E$109, 4, FALSE)</f>
        <v>0</v>
      </c>
      <c r="AI5" s="358" t="s">
        <v>5</v>
      </c>
      <c r="AJ5" s="361">
        <f>VLOOKUP(AF2, $B$3:$F$109, 5, FALSE)</f>
        <v>0</v>
      </c>
      <c r="AK5" s="359" t="s">
        <v>5</v>
      </c>
      <c r="AL5" s="370">
        <f>SUM(AH5,AJ5)</f>
        <v>0</v>
      </c>
      <c r="AN5" s="300"/>
      <c r="AO5" s="356"/>
      <c r="AP5" s="289">
        <v>8</v>
      </c>
      <c r="AQ5" s="360" t="s">
        <v>5</v>
      </c>
      <c r="AR5" s="361">
        <f>VLOOKUP(AP2, $B$3:$E$109, 4, FALSE)</f>
        <v>0</v>
      </c>
      <c r="AS5" s="358" t="s">
        <v>5</v>
      </c>
      <c r="AT5" s="361">
        <f>VLOOKUP(AP2, $B$3:$F$109, 5, FALSE)</f>
        <v>0</v>
      </c>
      <c r="AU5" s="359" t="s">
        <v>5</v>
      </c>
      <c r="AV5" s="370">
        <f>SUM(AR5,AT5)</f>
        <v>0</v>
      </c>
      <c r="AX5" s="300"/>
      <c r="AY5" s="356"/>
      <c r="AZ5" s="289">
        <v>8</v>
      </c>
      <c r="BA5" s="360" t="s">
        <v>5</v>
      </c>
      <c r="BB5" s="361">
        <f>VLOOKUP(AZ2, $B$3:$E$109, 4, FALSE)</f>
        <v>0</v>
      </c>
      <c r="BC5" s="358" t="s">
        <v>5</v>
      </c>
      <c r="BD5" s="361">
        <f>VLOOKUP(AZ2, $B$3:$F$109, 5, FALSE)</f>
        <v>0</v>
      </c>
      <c r="BE5" s="359" t="s">
        <v>5</v>
      </c>
      <c r="BF5" s="370">
        <f>SUM(BB5,BD5)</f>
        <v>0</v>
      </c>
      <c r="BH5" s="300"/>
      <c r="BI5" s="356"/>
      <c r="BJ5" s="289">
        <v>8</v>
      </c>
      <c r="BK5" s="360" t="s">
        <v>5</v>
      </c>
      <c r="BL5" s="361">
        <f>VLOOKUP(BJ2, $B$3:$E$109, 4, FALSE)</f>
        <v>0</v>
      </c>
      <c r="BM5" s="358" t="s">
        <v>5</v>
      </c>
      <c r="BN5" s="361">
        <f>VLOOKUP(BJ2, $B$3:$F$109, 5, FALSE)</f>
        <v>0</v>
      </c>
      <c r="BO5" s="359" t="s">
        <v>5</v>
      </c>
      <c r="BP5" s="370">
        <f>SUM(BL5,BN5)</f>
        <v>0</v>
      </c>
    </row>
    <row r="6" spans="2:68" ht="15.75" customHeight="1">
      <c r="B6" s="278">
        <v>42586</v>
      </c>
      <c r="C6" s="2"/>
      <c r="D6" s="2"/>
      <c r="E6" s="2"/>
      <c r="F6" s="2"/>
      <c r="G6" s="2">
        <f t="shared" si="0"/>
        <v>0</v>
      </c>
      <c r="H6" s="2">
        <f t="shared" si="1"/>
        <v>0</v>
      </c>
      <c r="K6" s="356"/>
      <c r="L6" s="355"/>
      <c r="M6" s="672" t="s">
        <v>105</v>
      </c>
      <c r="N6" s="361">
        <f>VLOOKUP(L2, $B$3:$E$109, 2, FALSE)</f>
        <v>0</v>
      </c>
      <c r="O6" s="672" t="s">
        <v>105</v>
      </c>
      <c r="P6" s="361">
        <f>VLOOKUP(L2, $B$3:$E$109, 3, FALSE)</f>
        <v>0</v>
      </c>
      <c r="Q6" s="673" t="s">
        <v>105</v>
      </c>
      <c r="R6" s="370">
        <f>SUM(N6,P6)</f>
        <v>0</v>
      </c>
      <c r="S6" s="294"/>
      <c r="T6" s="300"/>
      <c r="U6" s="356"/>
      <c r="V6" s="355"/>
      <c r="W6" s="672" t="s">
        <v>105</v>
      </c>
      <c r="X6" s="361">
        <f>VLOOKUP(V2, $B$3:$E$109, 2, FALSE)</f>
        <v>0</v>
      </c>
      <c r="Y6" s="672" t="s">
        <v>105</v>
      </c>
      <c r="Z6" s="361">
        <f>VLOOKUP(V2, $B$3:$E$109, 3, FALSE)</f>
        <v>0</v>
      </c>
      <c r="AA6" s="673" t="s">
        <v>105</v>
      </c>
      <c r="AB6" s="370">
        <f>SUM(X6,Z6)</f>
        <v>0</v>
      </c>
      <c r="AD6" s="300"/>
      <c r="AE6" s="356"/>
      <c r="AF6" s="355"/>
      <c r="AG6" s="672" t="s">
        <v>105</v>
      </c>
      <c r="AH6" s="361">
        <f>VLOOKUP(AF2, $B$3:$E$109, 2, FALSE)</f>
        <v>0</v>
      </c>
      <c r="AI6" s="672" t="s">
        <v>105</v>
      </c>
      <c r="AJ6" s="361">
        <f>VLOOKUP(AF2, $B$3:$E$109, 3, FALSE)</f>
        <v>0</v>
      </c>
      <c r="AK6" s="673" t="s">
        <v>105</v>
      </c>
      <c r="AL6" s="370">
        <f>SUM(AH6,AJ6)</f>
        <v>0</v>
      </c>
      <c r="AN6" s="300"/>
      <c r="AO6" s="356"/>
      <c r="AP6" s="355"/>
      <c r="AQ6" s="672" t="s">
        <v>105</v>
      </c>
      <c r="AR6" s="361">
        <f>VLOOKUP(AP2, $B$3:$E$109, 2, FALSE)</f>
        <v>0</v>
      </c>
      <c r="AS6" s="672" t="s">
        <v>105</v>
      </c>
      <c r="AT6" s="361">
        <f>VLOOKUP(AP2, $B$3:$E$109, 3, FALSE)</f>
        <v>0</v>
      </c>
      <c r="AU6" s="673" t="s">
        <v>105</v>
      </c>
      <c r="AV6" s="370">
        <f>SUM(AR6,AT6)</f>
        <v>0</v>
      </c>
      <c r="AX6" s="300"/>
      <c r="AY6" s="356"/>
      <c r="AZ6" s="355"/>
      <c r="BA6" s="672" t="s">
        <v>105</v>
      </c>
      <c r="BB6" s="361">
        <f>VLOOKUP(AZ2, $B$3:$E$109, 2, FALSE)</f>
        <v>0</v>
      </c>
      <c r="BC6" s="672" t="s">
        <v>105</v>
      </c>
      <c r="BD6" s="361">
        <f>VLOOKUP(AZ2, $B$3:$E$109, 3, FALSE)</f>
        <v>0</v>
      </c>
      <c r="BE6" s="673" t="s">
        <v>105</v>
      </c>
      <c r="BF6" s="370">
        <f>SUM(BB6,BD6)</f>
        <v>0</v>
      </c>
      <c r="BH6" s="300"/>
      <c r="BI6" s="356"/>
      <c r="BJ6" s="355"/>
      <c r="BK6" s="672" t="s">
        <v>105</v>
      </c>
      <c r="BL6" s="361">
        <f>VLOOKUP(BJ2, $B$3:$E$109, 2, FALSE)</f>
        <v>0</v>
      </c>
      <c r="BM6" s="672" t="s">
        <v>105</v>
      </c>
      <c r="BN6" s="361">
        <f>VLOOKUP(BJ2, $B$3:$E$109, 3, FALSE)</f>
        <v>0</v>
      </c>
      <c r="BO6" s="673" t="s">
        <v>105</v>
      </c>
      <c r="BP6" s="370">
        <f>SUM(BL6,BN6)</f>
        <v>0</v>
      </c>
    </row>
    <row r="7" spans="2:68" ht="17.25" customHeight="1">
      <c r="B7" s="278">
        <v>42587</v>
      </c>
      <c r="C7" s="2"/>
      <c r="D7" s="337"/>
      <c r="E7" s="2"/>
      <c r="F7" s="2"/>
      <c r="G7" s="337">
        <f t="shared" si="0"/>
        <v>0</v>
      </c>
      <c r="H7" s="2">
        <f t="shared" si="1"/>
        <v>0</v>
      </c>
      <c r="K7" s="704" t="s">
        <v>157</v>
      </c>
      <c r="L7" s="705"/>
      <c r="M7" s="673"/>
      <c r="N7" s="357"/>
      <c r="O7" s="672"/>
      <c r="P7" s="368"/>
      <c r="Q7" s="673"/>
      <c r="R7" s="368"/>
      <c r="S7" s="156"/>
      <c r="T7" s="300"/>
      <c r="U7" s="704" t="s">
        <v>157</v>
      </c>
      <c r="V7" s="705"/>
      <c r="W7" s="673"/>
      <c r="X7" s="357"/>
      <c r="Y7" s="672"/>
      <c r="Z7" s="368"/>
      <c r="AA7" s="673"/>
      <c r="AB7" s="368"/>
      <c r="AD7" s="300"/>
      <c r="AE7" s="704" t="s">
        <v>157</v>
      </c>
      <c r="AF7" s="705"/>
      <c r="AG7" s="673"/>
      <c r="AH7" s="357"/>
      <c r="AI7" s="672"/>
      <c r="AJ7" s="368"/>
      <c r="AK7" s="673"/>
      <c r="AL7" s="368"/>
      <c r="AN7" s="300"/>
      <c r="AO7" s="704" t="s">
        <v>157</v>
      </c>
      <c r="AP7" s="705"/>
      <c r="AQ7" s="673"/>
      <c r="AR7" s="357"/>
      <c r="AS7" s="672"/>
      <c r="AT7" s="368"/>
      <c r="AU7" s="673"/>
      <c r="AV7" s="368"/>
      <c r="AX7" s="300"/>
      <c r="AY7" s="704" t="s">
        <v>157</v>
      </c>
      <c r="AZ7" s="705"/>
      <c r="BA7" s="673"/>
      <c r="BB7" s="357"/>
      <c r="BC7" s="672"/>
      <c r="BD7" s="368"/>
      <c r="BE7" s="673"/>
      <c r="BF7" s="368"/>
      <c r="BH7" s="300"/>
      <c r="BI7" s="704" t="s">
        <v>157</v>
      </c>
      <c r="BJ7" s="705"/>
      <c r="BK7" s="673"/>
      <c r="BL7" s="357"/>
      <c r="BM7" s="672"/>
      <c r="BN7" s="368"/>
      <c r="BO7" s="673"/>
      <c r="BP7" s="368"/>
    </row>
    <row r="8" spans="2:68" ht="15.75">
      <c r="B8" s="278">
        <v>42588</v>
      </c>
      <c r="G8" s="150">
        <f t="shared" si="0"/>
        <v>0</v>
      </c>
      <c r="H8" s="150">
        <f t="shared" si="1"/>
        <v>0</v>
      </c>
      <c r="K8" s="374"/>
      <c r="L8" s="372">
        <f>R4*13</f>
        <v>0</v>
      </c>
      <c r="M8" s="434"/>
      <c r="N8" s="357"/>
      <c r="O8" s="363"/>
      <c r="P8" s="357"/>
      <c r="Q8" s="435"/>
      <c r="R8" s="357"/>
      <c r="S8" s="156"/>
      <c r="T8" s="300"/>
      <c r="U8" s="374"/>
      <c r="V8" s="372">
        <f>AB4*13</f>
        <v>0</v>
      </c>
      <c r="W8" s="434"/>
      <c r="X8" s="357"/>
      <c r="Y8" s="363"/>
      <c r="Z8" s="357"/>
      <c r="AA8" s="435"/>
      <c r="AB8" s="357"/>
      <c r="AD8" s="300"/>
      <c r="AE8" s="374"/>
      <c r="AF8" s="372">
        <f>AL4*13</f>
        <v>0</v>
      </c>
      <c r="AG8" s="434"/>
      <c r="AH8" s="357"/>
      <c r="AI8" s="363"/>
      <c r="AJ8" s="357"/>
      <c r="AK8" s="435"/>
      <c r="AL8" s="357"/>
      <c r="AN8" s="300"/>
      <c r="AO8" s="374"/>
      <c r="AP8" s="372">
        <f>AV4*13</f>
        <v>0</v>
      </c>
      <c r="AQ8" s="434"/>
      <c r="AR8" s="357"/>
      <c r="AS8" s="363"/>
      <c r="AT8" s="357"/>
      <c r="AU8" s="435"/>
      <c r="AV8" s="357"/>
      <c r="AX8" s="300"/>
      <c r="AY8" s="374"/>
      <c r="AZ8" s="372">
        <f>BF4*13</f>
        <v>0</v>
      </c>
      <c r="BA8" s="434"/>
      <c r="BB8" s="357"/>
      <c r="BC8" s="363"/>
      <c r="BD8" s="357"/>
      <c r="BE8" s="435"/>
      <c r="BF8" s="357"/>
      <c r="BH8" s="300"/>
      <c r="BI8" s="374"/>
      <c r="BJ8" s="372">
        <f>BP4*13</f>
        <v>0</v>
      </c>
      <c r="BK8" s="434"/>
      <c r="BL8" s="357"/>
      <c r="BM8" s="363"/>
      <c r="BN8" s="357"/>
      <c r="BO8" s="435"/>
      <c r="BP8" s="357"/>
    </row>
    <row r="9" spans="2:68" ht="18.75">
      <c r="B9" s="278">
        <v>42589</v>
      </c>
      <c r="G9" s="150">
        <f t="shared" si="0"/>
        <v>0</v>
      </c>
      <c r="H9" s="150">
        <f t="shared" si="1"/>
        <v>0</v>
      </c>
      <c r="K9" s="356"/>
      <c r="L9" s="375"/>
      <c r="M9" s="286" t="s">
        <v>97</v>
      </c>
      <c r="N9" s="287" t="e">
        <f>N6/((N4*EFFICIENCY!$H$28))</f>
        <v>#DIV/0!</v>
      </c>
      <c r="O9" s="286" t="s">
        <v>97</v>
      </c>
      <c r="P9" s="287" t="e">
        <f>P6/(P4*EFFICIENCY!$H$28)</f>
        <v>#DIV/0!</v>
      </c>
      <c r="Q9" s="286" t="s">
        <v>97</v>
      </c>
      <c r="R9" s="287" t="e">
        <f>R6/(R4*EFFICIENCY!$H$28)</f>
        <v>#DIV/0!</v>
      </c>
      <c r="S9" s="295"/>
      <c r="T9" s="300"/>
      <c r="U9" s="356"/>
      <c r="V9" s="375"/>
      <c r="W9" s="286" t="s">
        <v>97</v>
      </c>
      <c r="X9" s="287" t="e">
        <f>X6/((X4*EFFICIENCY!$H$28))</f>
        <v>#DIV/0!</v>
      </c>
      <c r="Y9" s="286" t="s">
        <v>97</v>
      </c>
      <c r="Z9" s="287" t="e">
        <f>Z6/(Z4*EFFICIENCY!$H$28)</f>
        <v>#DIV/0!</v>
      </c>
      <c r="AA9" s="286" t="s">
        <v>97</v>
      </c>
      <c r="AB9" s="287" t="e">
        <f>AB6/(AB4*EFFICIENCY!$H$28)</f>
        <v>#DIV/0!</v>
      </c>
      <c r="AD9" s="300"/>
      <c r="AE9" s="356"/>
      <c r="AF9" s="375"/>
      <c r="AG9" s="286" t="s">
        <v>97</v>
      </c>
      <c r="AH9" s="287" t="e">
        <f>AH6/((AH4*EFFICIENCY!$H$28))</f>
        <v>#DIV/0!</v>
      </c>
      <c r="AI9" s="286" t="s">
        <v>97</v>
      </c>
      <c r="AJ9" s="287" t="e">
        <f>AJ6/(AJ4*EFFICIENCY!$H$28)</f>
        <v>#DIV/0!</v>
      </c>
      <c r="AK9" s="286" t="s">
        <v>97</v>
      </c>
      <c r="AL9" s="287" t="e">
        <f>AL6/(AL4*EFFICIENCY!$H$28)</f>
        <v>#DIV/0!</v>
      </c>
      <c r="AN9" s="300"/>
      <c r="AO9" s="356"/>
      <c r="AP9" s="375"/>
      <c r="AQ9" s="286" t="s">
        <v>97</v>
      </c>
      <c r="AR9" s="287" t="e">
        <f>AR6/((AR4*EFFICIENCY!$H$28))</f>
        <v>#DIV/0!</v>
      </c>
      <c r="AS9" s="286" t="s">
        <v>97</v>
      </c>
      <c r="AT9" s="287" t="e">
        <f>AT6/(AT4*EFFICIENCY!$H$28)</f>
        <v>#DIV/0!</v>
      </c>
      <c r="AU9" s="286" t="s">
        <v>97</v>
      </c>
      <c r="AV9" s="287" t="e">
        <f>AV6/(AV4*EFFICIENCY!$H$28)</f>
        <v>#DIV/0!</v>
      </c>
      <c r="AX9" s="300"/>
      <c r="AY9" s="356"/>
      <c r="AZ9" s="375"/>
      <c r="BA9" s="286" t="s">
        <v>97</v>
      </c>
      <c r="BB9" s="287" t="e">
        <f>BB6/((BB4*EFFICIENCY!$H$28))</f>
        <v>#DIV/0!</v>
      </c>
      <c r="BC9" s="286" t="s">
        <v>97</v>
      </c>
      <c r="BD9" s="287" t="e">
        <f>BD6/(BD4*EFFICIENCY!$H$28)</f>
        <v>#DIV/0!</v>
      </c>
      <c r="BE9" s="286" t="s">
        <v>97</v>
      </c>
      <c r="BF9" s="287" t="e">
        <f>BF6/(BF4*EFFICIENCY!$H$28)</f>
        <v>#DIV/0!</v>
      </c>
      <c r="BH9" s="300"/>
      <c r="BI9" s="356"/>
      <c r="BJ9" s="375"/>
      <c r="BK9" s="286" t="s">
        <v>97</v>
      </c>
      <c r="BL9" s="287" t="e">
        <f>BL6/((BL4*EFFICIENCY!$H$28))</f>
        <v>#DIV/0!</v>
      </c>
      <c r="BM9" s="286" t="s">
        <v>97</v>
      </c>
      <c r="BN9" s="287" t="e">
        <f>BN6/(BN4*EFFICIENCY!$H$28)</f>
        <v>#DIV/0!</v>
      </c>
      <c r="BO9" s="286" t="s">
        <v>97</v>
      </c>
      <c r="BP9" s="287" t="e">
        <f>BP6/(BP4*EFFICIENCY!$H$28)</f>
        <v>#DIV/0!</v>
      </c>
    </row>
    <row r="10" spans="2:68" ht="18.75" customHeight="1">
      <c r="B10" s="278">
        <v>42590</v>
      </c>
      <c r="G10" s="150">
        <f t="shared" si="0"/>
        <v>0</v>
      </c>
      <c r="H10" s="150">
        <f t="shared" si="1"/>
        <v>0</v>
      </c>
      <c r="K10" s="356"/>
      <c r="L10" s="355"/>
      <c r="M10" s="280" t="s">
        <v>96</v>
      </c>
      <c r="N10" s="281" t="e">
        <f>N6/(N4*EFFICIENCY!$I$28)</f>
        <v>#DIV/0!</v>
      </c>
      <c r="O10" s="280" t="s">
        <v>96</v>
      </c>
      <c r="P10" s="281" t="e">
        <f>P6/(P4*EFFICIENCY!$I$28)</f>
        <v>#DIV/0!</v>
      </c>
      <c r="Q10" s="280" t="s">
        <v>96</v>
      </c>
      <c r="R10" s="281" t="e">
        <f>R6/(R4*EFFICIENCY!$I$28)</f>
        <v>#DIV/0!</v>
      </c>
      <c r="S10" s="296"/>
      <c r="T10" s="300"/>
      <c r="U10" s="356"/>
      <c r="V10" s="355"/>
      <c r="W10" s="280" t="s">
        <v>96</v>
      </c>
      <c r="X10" s="281" t="e">
        <f>X6/(X4*EFFICIENCY!$I$28)</f>
        <v>#DIV/0!</v>
      </c>
      <c r="Y10" s="280" t="s">
        <v>96</v>
      </c>
      <c r="Z10" s="281" t="e">
        <f>Z6/(Z4*EFFICIENCY!$I$28)</f>
        <v>#DIV/0!</v>
      </c>
      <c r="AA10" s="280" t="s">
        <v>96</v>
      </c>
      <c r="AB10" s="281" t="e">
        <f>AB6/(AB4*EFFICIENCY!$I$28)</f>
        <v>#DIV/0!</v>
      </c>
      <c r="AD10" s="300"/>
      <c r="AE10" s="356"/>
      <c r="AF10" s="355"/>
      <c r="AG10" s="280" t="s">
        <v>96</v>
      </c>
      <c r="AH10" s="281" t="e">
        <f>AH6/(AH4*EFFICIENCY!$I$28)</f>
        <v>#DIV/0!</v>
      </c>
      <c r="AI10" s="280" t="s">
        <v>96</v>
      </c>
      <c r="AJ10" s="281" t="e">
        <f>AJ6/(AJ4*EFFICIENCY!$I$28)</f>
        <v>#DIV/0!</v>
      </c>
      <c r="AK10" s="280" t="s">
        <v>96</v>
      </c>
      <c r="AL10" s="281" t="e">
        <f>AL6/(AL4*EFFICIENCY!$I$28)</f>
        <v>#DIV/0!</v>
      </c>
      <c r="AN10" s="300"/>
      <c r="AO10" s="356"/>
      <c r="AP10" s="355"/>
      <c r="AQ10" s="280" t="s">
        <v>96</v>
      </c>
      <c r="AR10" s="281" t="e">
        <f>AR6/(AR4*EFFICIENCY!$I$28)</f>
        <v>#DIV/0!</v>
      </c>
      <c r="AS10" s="280" t="s">
        <v>96</v>
      </c>
      <c r="AT10" s="281" t="e">
        <f>AT6/(AT4*EFFICIENCY!$I$28)</f>
        <v>#DIV/0!</v>
      </c>
      <c r="AU10" s="280" t="s">
        <v>96</v>
      </c>
      <c r="AV10" s="281" t="e">
        <f>AV6/(AV4*EFFICIENCY!$I$28)</f>
        <v>#DIV/0!</v>
      </c>
      <c r="AX10" s="300"/>
      <c r="AY10" s="356"/>
      <c r="AZ10" s="355"/>
      <c r="BA10" s="280" t="s">
        <v>96</v>
      </c>
      <c r="BB10" s="281" t="e">
        <f>BB6/(BB4*EFFICIENCY!$I$28)</f>
        <v>#DIV/0!</v>
      </c>
      <c r="BC10" s="280" t="s">
        <v>96</v>
      </c>
      <c r="BD10" s="281" t="e">
        <f>BD6/(BD4*EFFICIENCY!$I$28)</f>
        <v>#DIV/0!</v>
      </c>
      <c r="BE10" s="280" t="s">
        <v>96</v>
      </c>
      <c r="BF10" s="281" t="e">
        <f>BF6/(BF4*EFFICIENCY!$I$28)</f>
        <v>#DIV/0!</v>
      </c>
      <c r="BH10" s="300"/>
      <c r="BI10" s="356"/>
      <c r="BJ10" s="355"/>
      <c r="BK10" s="280" t="s">
        <v>96</v>
      </c>
      <c r="BL10" s="281" t="e">
        <f>BL6/(BL4*EFFICIENCY!$I$28)</f>
        <v>#DIV/0!</v>
      </c>
      <c r="BM10" s="280" t="s">
        <v>96</v>
      </c>
      <c r="BN10" s="281" t="e">
        <f>BN6/(BN4*EFFICIENCY!$I$28)</f>
        <v>#DIV/0!</v>
      </c>
      <c r="BO10" s="280" t="s">
        <v>96</v>
      </c>
      <c r="BP10" s="281" t="e">
        <f>BP6/(BP4*EFFICIENCY!$I$28)</f>
        <v>#DIV/0!</v>
      </c>
    </row>
    <row r="11" spans="2:68" ht="17.25" customHeight="1" thickBot="1">
      <c r="B11" s="278">
        <v>42591</v>
      </c>
      <c r="G11" s="150">
        <f t="shared" si="0"/>
        <v>0</v>
      </c>
      <c r="H11" s="150">
        <f t="shared" si="1"/>
        <v>0</v>
      </c>
      <c r="K11" s="692" t="s">
        <v>156</v>
      </c>
      <c r="L11" s="693"/>
      <c r="M11" s="284" t="s">
        <v>94</v>
      </c>
      <c r="N11" s="285" t="e">
        <f>N6/((N4*EFFICIENCY!$K$28))</f>
        <v>#DIV/0!</v>
      </c>
      <c r="O11" s="288" t="s">
        <v>94</v>
      </c>
      <c r="P11" s="285" t="e">
        <f>P6/((P4*EFFICIENCY!$K$28))</f>
        <v>#DIV/0!</v>
      </c>
      <c r="Q11" s="284" t="s">
        <v>94</v>
      </c>
      <c r="R11" s="285" t="e">
        <f>R6/((R4*EFFICIENCY!$K$28))</f>
        <v>#DIV/0!</v>
      </c>
      <c r="S11" s="297"/>
      <c r="T11" s="300"/>
      <c r="U11" s="692" t="s">
        <v>156</v>
      </c>
      <c r="V11" s="693"/>
      <c r="W11" s="284" t="s">
        <v>94</v>
      </c>
      <c r="X11" s="285" t="e">
        <f>X6/((X4*EFFICIENCY!$K$28))</f>
        <v>#DIV/0!</v>
      </c>
      <c r="Y11" s="288" t="s">
        <v>94</v>
      </c>
      <c r="Z11" s="285" t="e">
        <f>Z6/((Z4*EFFICIENCY!$K$28))</f>
        <v>#DIV/0!</v>
      </c>
      <c r="AA11" s="284" t="s">
        <v>94</v>
      </c>
      <c r="AB11" s="285" t="e">
        <f>AB6/((AB4*EFFICIENCY!$K$28))</f>
        <v>#DIV/0!</v>
      </c>
      <c r="AD11" s="300"/>
      <c r="AE11" s="692" t="s">
        <v>156</v>
      </c>
      <c r="AF11" s="693"/>
      <c r="AG11" s="284" t="s">
        <v>94</v>
      </c>
      <c r="AH11" s="285" t="e">
        <f>AH6/((AH4*EFFICIENCY!$K$28))</f>
        <v>#DIV/0!</v>
      </c>
      <c r="AI11" s="288" t="s">
        <v>94</v>
      </c>
      <c r="AJ11" s="285" t="e">
        <f>AJ6/((AJ4*EFFICIENCY!$K$28))</f>
        <v>#DIV/0!</v>
      </c>
      <c r="AK11" s="284" t="s">
        <v>94</v>
      </c>
      <c r="AL11" s="285" t="e">
        <f>AL6/((AL4*EFFICIENCY!$K$28))</f>
        <v>#DIV/0!</v>
      </c>
      <c r="AN11" s="300"/>
      <c r="AO11" s="692" t="s">
        <v>156</v>
      </c>
      <c r="AP11" s="693"/>
      <c r="AQ11" s="284" t="s">
        <v>94</v>
      </c>
      <c r="AR11" s="285" t="e">
        <f>AR6/((AR4*EFFICIENCY!$K$28))</f>
        <v>#DIV/0!</v>
      </c>
      <c r="AS11" s="288" t="s">
        <v>94</v>
      </c>
      <c r="AT11" s="285" t="e">
        <f>AT6/((AT4*EFFICIENCY!$K$28))</f>
        <v>#DIV/0!</v>
      </c>
      <c r="AU11" s="284" t="s">
        <v>94</v>
      </c>
      <c r="AV11" s="285" t="e">
        <f>AV6/((AV4*EFFICIENCY!$K$28))</f>
        <v>#DIV/0!</v>
      </c>
      <c r="AX11" s="300"/>
      <c r="AY11" s="692" t="s">
        <v>156</v>
      </c>
      <c r="AZ11" s="693"/>
      <c r="BA11" s="284" t="s">
        <v>94</v>
      </c>
      <c r="BB11" s="285" t="e">
        <f>BB6/((BB4*EFFICIENCY!$K$28))</f>
        <v>#DIV/0!</v>
      </c>
      <c r="BC11" s="288" t="s">
        <v>94</v>
      </c>
      <c r="BD11" s="285" t="e">
        <f>BD6/((BD4*EFFICIENCY!$K$28))</f>
        <v>#DIV/0!</v>
      </c>
      <c r="BE11" s="284" t="s">
        <v>94</v>
      </c>
      <c r="BF11" s="285" t="e">
        <f>BF6/((BF4*EFFICIENCY!$K$28))</f>
        <v>#DIV/0!</v>
      </c>
      <c r="BH11" s="300"/>
      <c r="BI11" s="692" t="s">
        <v>156</v>
      </c>
      <c r="BJ11" s="693"/>
      <c r="BK11" s="284" t="s">
        <v>94</v>
      </c>
      <c r="BL11" s="285" t="e">
        <f>BL6/((BL4*EFFICIENCY!$K$28))</f>
        <v>#DIV/0!</v>
      </c>
      <c r="BM11" s="288" t="s">
        <v>94</v>
      </c>
      <c r="BN11" s="285" t="e">
        <f>BN6/((BN4*EFFICIENCY!$K$28))</f>
        <v>#DIV/0!</v>
      </c>
      <c r="BO11" s="284" t="s">
        <v>94</v>
      </c>
      <c r="BP11" s="285" t="e">
        <f>BP6/((BP4*EFFICIENCY!$K$28))</f>
        <v>#DIV/0!</v>
      </c>
    </row>
    <row r="12" spans="2:68" ht="16.5" thickBot="1">
      <c r="B12" s="278">
        <v>42592</v>
      </c>
      <c r="G12" s="150">
        <f t="shared" si="0"/>
        <v>0</v>
      </c>
      <c r="H12" s="150">
        <f t="shared" si="1"/>
        <v>0</v>
      </c>
      <c r="K12" s="376"/>
      <c r="L12" s="377" t="e">
        <f>R6/R4</f>
        <v>#DIV/0!</v>
      </c>
      <c r="M12" s="678" t="s">
        <v>153</v>
      </c>
      <c r="N12" s="679"/>
      <c r="O12" s="290"/>
      <c r="P12" s="431"/>
      <c r="Q12" s="431" t="s">
        <v>154</v>
      </c>
      <c r="R12" s="366"/>
      <c r="S12" s="298"/>
      <c r="T12" s="300"/>
      <c r="U12" s="376"/>
      <c r="V12" s="377" t="e">
        <f>AB6/AB4</f>
        <v>#DIV/0!</v>
      </c>
      <c r="W12" s="678" t="s">
        <v>153</v>
      </c>
      <c r="X12" s="679"/>
      <c r="Y12" s="290"/>
      <c r="Z12" s="431"/>
      <c r="AA12" s="431" t="s">
        <v>154</v>
      </c>
      <c r="AB12" s="366">
        <f>Y12-AB6</f>
        <v>0</v>
      </c>
      <c r="AD12" s="300"/>
      <c r="AE12" s="376"/>
      <c r="AF12" s="377" t="e">
        <f>AL6/AL4</f>
        <v>#DIV/0!</v>
      </c>
      <c r="AG12" s="678" t="s">
        <v>153</v>
      </c>
      <c r="AH12" s="679"/>
      <c r="AI12" s="290"/>
      <c r="AJ12" s="431"/>
      <c r="AK12" s="431" t="s">
        <v>154</v>
      </c>
      <c r="AL12" s="366">
        <f>AI12-AL6</f>
        <v>0</v>
      </c>
      <c r="AN12" s="300"/>
      <c r="AO12" s="376"/>
      <c r="AP12" s="377" t="e">
        <f>AV6/AV4</f>
        <v>#DIV/0!</v>
      </c>
      <c r="AQ12" s="678" t="s">
        <v>153</v>
      </c>
      <c r="AR12" s="679"/>
      <c r="AS12" s="290"/>
      <c r="AT12" s="431"/>
      <c r="AU12" s="431" t="s">
        <v>154</v>
      </c>
      <c r="AV12" s="366">
        <f>AS12-AV6</f>
        <v>0</v>
      </c>
      <c r="AX12" s="300"/>
      <c r="AY12" s="376"/>
      <c r="AZ12" s="377" t="e">
        <f>BF6/BF4</f>
        <v>#DIV/0!</v>
      </c>
      <c r="BA12" s="678" t="s">
        <v>153</v>
      </c>
      <c r="BB12" s="679"/>
      <c r="BC12" s="290"/>
      <c r="BD12" s="431"/>
      <c r="BE12" s="431" t="s">
        <v>154</v>
      </c>
      <c r="BF12" s="366">
        <f>BC12-BF6</f>
        <v>0</v>
      </c>
      <c r="BH12" s="300"/>
      <c r="BI12" s="376"/>
      <c r="BJ12" s="377" t="e">
        <f>BP6/BP4</f>
        <v>#DIV/0!</v>
      </c>
      <c r="BK12" s="678" t="s">
        <v>153</v>
      </c>
      <c r="BL12" s="679"/>
      <c r="BM12" s="290"/>
      <c r="BN12" s="431"/>
      <c r="BO12" s="431" t="s">
        <v>154</v>
      </c>
      <c r="BP12" s="366">
        <f>BM12-BP6</f>
        <v>0</v>
      </c>
    </row>
    <row r="13" spans="2:68" ht="15.75" customHeight="1">
      <c r="B13" s="278">
        <v>42593</v>
      </c>
      <c r="G13" s="150">
        <f t="shared" si="0"/>
        <v>0</v>
      </c>
      <c r="H13" s="150">
        <f t="shared" si="1"/>
        <v>0</v>
      </c>
      <c r="L13" s="154"/>
      <c r="T13" s="300"/>
      <c r="V13" s="154"/>
      <c r="AD13" s="300"/>
      <c r="AF13" s="154"/>
      <c r="AN13" s="300"/>
      <c r="AP13" s="154"/>
      <c r="AX13" s="300"/>
      <c r="AZ13" s="154"/>
      <c r="BH13" s="300"/>
      <c r="BJ13" s="154"/>
    </row>
    <row r="14" spans="2:68" ht="15" customHeight="1" thickBot="1">
      <c r="B14" s="278">
        <v>42594</v>
      </c>
      <c r="G14" s="150">
        <f t="shared" si="0"/>
        <v>0</v>
      </c>
      <c r="H14" s="150">
        <f t="shared" si="1"/>
        <v>0</v>
      </c>
      <c r="K14" s="291"/>
      <c r="L14" s="291"/>
      <c r="M14" s="291"/>
      <c r="N14" s="291"/>
      <c r="O14" s="291"/>
      <c r="P14" s="291"/>
      <c r="Q14" s="291"/>
      <c r="R14" s="291"/>
      <c r="S14" s="299"/>
      <c r="T14" s="301"/>
      <c r="U14" s="291"/>
      <c r="V14" s="291"/>
      <c r="W14" s="291"/>
      <c r="X14" s="291"/>
      <c r="Y14" s="291"/>
      <c r="Z14" s="291"/>
      <c r="AA14" s="291"/>
      <c r="AB14" s="291"/>
      <c r="AC14" s="291"/>
      <c r="AD14" s="301"/>
      <c r="AE14" s="291"/>
      <c r="AF14" s="291"/>
      <c r="AG14" s="291"/>
      <c r="AH14" s="291"/>
      <c r="AI14" s="291"/>
      <c r="AJ14" s="291"/>
      <c r="AK14" s="291"/>
      <c r="AL14" s="291"/>
      <c r="AM14" s="291"/>
      <c r="AN14" s="301"/>
      <c r="AO14" s="291"/>
      <c r="AP14" s="291"/>
      <c r="AQ14" s="291"/>
      <c r="AR14" s="291"/>
      <c r="AS14" s="291"/>
      <c r="AT14" s="291"/>
      <c r="AU14" s="291"/>
      <c r="AV14" s="291"/>
      <c r="AW14" s="291"/>
      <c r="AX14" s="301"/>
      <c r="AY14" s="291"/>
      <c r="AZ14" s="291"/>
      <c r="BA14" s="291"/>
      <c r="BB14" s="291"/>
      <c r="BC14" s="291"/>
      <c r="BD14" s="291"/>
      <c r="BE14" s="291"/>
      <c r="BF14" s="291"/>
      <c r="BG14" s="291"/>
      <c r="BH14" s="300"/>
      <c r="BI14" s="291"/>
      <c r="BJ14" s="291"/>
      <c r="BK14" s="291"/>
      <c r="BL14" s="291"/>
      <c r="BM14" s="291"/>
      <c r="BN14" s="291"/>
      <c r="BO14" s="291"/>
      <c r="BP14" s="291"/>
    </row>
    <row r="15" spans="2:68" ht="15.75" thickBot="1">
      <c r="B15" s="278">
        <v>42595</v>
      </c>
      <c r="G15" s="150">
        <f t="shared" si="0"/>
        <v>0</v>
      </c>
      <c r="H15" s="150">
        <f t="shared" si="1"/>
        <v>0</v>
      </c>
      <c r="K15" s="378" t="s">
        <v>7</v>
      </c>
      <c r="L15" s="533">
        <f>B10</f>
        <v>42590</v>
      </c>
      <c r="M15" s="663" t="s">
        <v>100</v>
      </c>
      <c r="N15" s="664"/>
      <c r="O15" s="665" t="s">
        <v>99</v>
      </c>
      <c r="P15" s="666"/>
      <c r="Q15" s="667" t="s">
        <v>16</v>
      </c>
      <c r="R15" s="668"/>
      <c r="S15" s="293"/>
      <c r="T15" s="302"/>
      <c r="U15" s="378" t="s">
        <v>7</v>
      </c>
      <c r="V15" s="533">
        <f>B11</f>
        <v>42591</v>
      </c>
      <c r="W15" s="663" t="s">
        <v>100</v>
      </c>
      <c r="X15" s="664"/>
      <c r="Y15" s="665" t="s">
        <v>99</v>
      </c>
      <c r="Z15" s="666"/>
      <c r="AA15" s="667" t="s">
        <v>16</v>
      </c>
      <c r="AB15" s="668"/>
      <c r="AD15" s="300"/>
      <c r="AE15" s="378" t="s">
        <v>7</v>
      </c>
      <c r="AF15" s="533">
        <f>B12</f>
        <v>42592</v>
      </c>
      <c r="AG15" s="663" t="s">
        <v>100</v>
      </c>
      <c r="AH15" s="664"/>
      <c r="AI15" s="665" t="s">
        <v>99</v>
      </c>
      <c r="AJ15" s="666"/>
      <c r="AK15" s="667" t="s">
        <v>16</v>
      </c>
      <c r="AL15" s="668"/>
      <c r="AN15" s="300"/>
      <c r="AO15" s="378" t="s">
        <v>7</v>
      </c>
      <c r="AP15" s="533">
        <f>B13</f>
        <v>42593</v>
      </c>
      <c r="AQ15" s="663" t="s">
        <v>100</v>
      </c>
      <c r="AR15" s="664"/>
      <c r="AS15" s="665" t="s">
        <v>99</v>
      </c>
      <c r="AT15" s="666"/>
      <c r="AU15" s="667" t="s">
        <v>16</v>
      </c>
      <c r="AV15" s="668"/>
      <c r="AX15" s="300"/>
      <c r="AY15" s="378" t="s">
        <v>7</v>
      </c>
      <c r="AZ15" s="533">
        <f>B14</f>
        <v>42594</v>
      </c>
      <c r="BA15" s="663" t="s">
        <v>100</v>
      </c>
      <c r="BB15" s="664"/>
      <c r="BC15" s="665" t="s">
        <v>99</v>
      </c>
      <c r="BD15" s="666"/>
      <c r="BE15" s="667" t="s">
        <v>16</v>
      </c>
      <c r="BF15" s="668"/>
      <c r="BH15" s="300"/>
      <c r="BI15" s="378" t="s">
        <v>7</v>
      </c>
      <c r="BJ15" s="533">
        <f>B15</f>
        <v>42595</v>
      </c>
      <c r="BK15" s="663" t="s">
        <v>100</v>
      </c>
      <c r="BL15" s="664"/>
      <c r="BM15" s="665" t="s">
        <v>99</v>
      </c>
      <c r="BN15" s="666"/>
      <c r="BO15" s="667" t="s">
        <v>16</v>
      </c>
      <c r="BP15" s="668"/>
    </row>
    <row r="16" spans="2:68" ht="13.5" thickBot="1">
      <c r="B16" s="278">
        <v>42596</v>
      </c>
      <c r="G16" s="150">
        <f t="shared" si="0"/>
        <v>0</v>
      </c>
      <c r="H16" s="150">
        <f t="shared" si="1"/>
        <v>0</v>
      </c>
      <c r="K16" s="339"/>
      <c r="L16" s="338"/>
      <c r="M16" s="339"/>
      <c r="N16" s="340"/>
      <c r="O16" s="339"/>
      <c r="P16" s="340"/>
      <c r="Q16" s="338"/>
      <c r="R16" s="340"/>
      <c r="S16" s="156"/>
      <c r="T16" s="302"/>
      <c r="U16" s="339"/>
      <c r="V16" s="338"/>
      <c r="W16" s="339"/>
      <c r="X16" s="340"/>
      <c r="Y16" s="339"/>
      <c r="Z16" s="340"/>
      <c r="AA16" s="338"/>
      <c r="AB16" s="340"/>
      <c r="AD16" s="300"/>
      <c r="AE16" s="339"/>
      <c r="AF16" s="338"/>
      <c r="AG16" s="339"/>
      <c r="AH16" s="340"/>
      <c r="AI16" s="339"/>
      <c r="AJ16" s="340"/>
      <c r="AK16" s="338"/>
      <c r="AL16" s="340"/>
      <c r="AN16" s="300"/>
      <c r="AO16" s="339"/>
      <c r="AP16" s="338"/>
      <c r="AQ16" s="339"/>
      <c r="AR16" s="340"/>
      <c r="AS16" s="339"/>
      <c r="AT16" s="340"/>
      <c r="AU16" s="338"/>
      <c r="AV16" s="340"/>
      <c r="AX16" s="300"/>
      <c r="AY16" s="339"/>
      <c r="AZ16" s="338"/>
      <c r="BA16" s="339"/>
      <c r="BB16" s="340"/>
      <c r="BC16" s="339"/>
      <c r="BD16" s="340"/>
      <c r="BE16" s="338"/>
      <c r="BF16" s="340"/>
      <c r="BH16" s="300"/>
      <c r="BI16" s="339"/>
      <c r="BJ16" s="338"/>
      <c r="BK16" s="339"/>
      <c r="BL16" s="340"/>
      <c r="BM16" s="339"/>
      <c r="BN16" s="340"/>
      <c r="BO16" s="338"/>
      <c r="BP16" s="340"/>
    </row>
    <row r="17" spans="2:68" ht="16.5" thickBot="1">
      <c r="B17" s="278">
        <v>42597</v>
      </c>
      <c r="G17" s="150">
        <f t="shared" si="0"/>
        <v>0</v>
      </c>
      <c r="H17" s="150">
        <f t="shared" si="1"/>
        <v>0</v>
      </c>
      <c r="K17" s="339"/>
      <c r="L17" s="432" t="s">
        <v>155</v>
      </c>
      <c r="M17" s="342" t="s">
        <v>103</v>
      </c>
      <c r="N17" s="279"/>
      <c r="O17" s="342" t="s">
        <v>103</v>
      </c>
      <c r="P17" s="279"/>
      <c r="Q17" s="343" t="s">
        <v>103</v>
      </c>
      <c r="R17" s="344">
        <f>SUM(N17,P17)</f>
        <v>0</v>
      </c>
      <c r="S17" s="294"/>
      <c r="T17" s="302"/>
      <c r="U17" s="339"/>
      <c r="V17" s="432" t="s">
        <v>155</v>
      </c>
      <c r="W17" s="342" t="s">
        <v>103</v>
      </c>
      <c r="X17" s="279"/>
      <c r="Y17" s="342" t="s">
        <v>103</v>
      </c>
      <c r="Z17" s="279"/>
      <c r="AA17" s="343" t="s">
        <v>103</v>
      </c>
      <c r="AB17" s="344">
        <f>SUM(X17,Z17)</f>
        <v>0</v>
      </c>
      <c r="AD17" s="300"/>
      <c r="AE17" s="339"/>
      <c r="AF17" s="432" t="s">
        <v>155</v>
      </c>
      <c r="AG17" s="342" t="s">
        <v>103</v>
      </c>
      <c r="AH17" s="279"/>
      <c r="AI17" s="342" t="s">
        <v>103</v>
      </c>
      <c r="AJ17" s="279"/>
      <c r="AK17" s="343" t="s">
        <v>103</v>
      </c>
      <c r="AL17" s="344">
        <f>SUM(AH17,AJ17)</f>
        <v>0</v>
      </c>
      <c r="AN17" s="300"/>
      <c r="AO17" s="339"/>
      <c r="AP17" s="432" t="s">
        <v>155</v>
      </c>
      <c r="AQ17" s="342" t="s">
        <v>103</v>
      </c>
      <c r="AR17" s="279"/>
      <c r="AS17" s="342" t="s">
        <v>103</v>
      </c>
      <c r="AT17" s="279"/>
      <c r="AU17" s="343" t="s">
        <v>103</v>
      </c>
      <c r="AV17" s="344">
        <f>SUM(AR17,AT17)</f>
        <v>0</v>
      </c>
      <c r="AX17" s="300"/>
      <c r="AY17" s="339"/>
      <c r="AZ17" s="432" t="s">
        <v>155</v>
      </c>
      <c r="BA17" s="342" t="s">
        <v>103</v>
      </c>
      <c r="BB17" s="279"/>
      <c r="BC17" s="342" t="s">
        <v>103</v>
      </c>
      <c r="BD17" s="279"/>
      <c r="BE17" s="343" t="s">
        <v>103</v>
      </c>
      <c r="BF17" s="344">
        <f>SUM(BB17,BD17)</f>
        <v>0</v>
      </c>
      <c r="BH17" s="300"/>
      <c r="BI17" s="339"/>
      <c r="BJ17" s="432" t="s">
        <v>155</v>
      </c>
      <c r="BK17" s="342" t="s">
        <v>103</v>
      </c>
      <c r="BL17" s="279"/>
      <c r="BM17" s="342" t="s">
        <v>103</v>
      </c>
      <c r="BN17" s="279"/>
      <c r="BO17" s="343" t="s">
        <v>103</v>
      </c>
      <c r="BP17" s="344">
        <f>SUM(BL17,BN17)</f>
        <v>0</v>
      </c>
    </row>
    <row r="18" spans="2:68" ht="18.75" thickBot="1">
      <c r="B18" s="278">
        <v>42598</v>
      </c>
      <c r="G18" s="150">
        <f t="shared" si="0"/>
        <v>0</v>
      </c>
      <c r="H18" s="150">
        <f t="shared" si="1"/>
        <v>0</v>
      </c>
      <c r="K18" s="339"/>
      <c r="L18" s="289">
        <v>8</v>
      </c>
      <c r="M18" s="345" t="s">
        <v>5</v>
      </c>
      <c r="N18" s="346">
        <f>VLOOKUP(L15, $B$3:$E$109, 4, FALSE)</f>
        <v>0</v>
      </c>
      <c r="O18" s="345" t="s">
        <v>5</v>
      </c>
      <c r="P18" s="347">
        <f>VLOOKUP(L15, $B$3:$F$109, 5, FALSE)</f>
        <v>0</v>
      </c>
      <c r="Q18" s="348" t="s">
        <v>5</v>
      </c>
      <c r="R18" s="344">
        <f>SUM(N18,P18)</f>
        <v>0</v>
      </c>
      <c r="S18" s="294"/>
      <c r="T18" s="302"/>
      <c r="U18" s="339"/>
      <c r="V18" s="289">
        <v>8</v>
      </c>
      <c r="W18" s="345" t="s">
        <v>5</v>
      </c>
      <c r="X18" s="346">
        <f>VLOOKUP(V15, $B$3:$E$109, 4, FALSE)</f>
        <v>0</v>
      </c>
      <c r="Y18" s="345" t="s">
        <v>5</v>
      </c>
      <c r="Z18" s="347">
        <f>VLOOKUP(V15, $B$3:$F$109, 5, FALSE)</f>
        <v>0</v>
      </c>
      <c r="AA18" s="348" t="s">
        <v>5</v>
      </c>
      <c r="AB18" s="344">
        <f>SUM(X18,Z18)</f>
        <v>0</v>
      </c>
      <c r="AD18" s="300"/>
      <c r="AE18" s="339"/>
      <c r="AF18" s="289">
        <v>8</v>
      </c>
      <c r="AG18" s="345" t="s">
        <v>5</v>
      </c>
      <c r="AH18" s="346">
        <f>VLOOKUP(AF15, $B$3:$E$109, 4, FALSE)</f>
        <v>0</v>
      </c>
      <c r="AI18" s="345" t="s">
        <v>5</v>
      </c>
      <c r="AJ18" s="347">
        <f>VLOOKUP(AF15, $B$3:$F$109, 5, FALSE)</f>
        <v>0</v>
      </c>
      <c r="AK18" s="348" t="s">
        <v>5</v>
      </c>
      <c r="AL18" s="344">
        <f>SUM(AH18,AJ18)</f>
        <v>0</v>
      </c>
      <c r="AN18" s="300"/>
      <c r="AO18" s="339"/>
      <c r="AP18" s="289">
        <v>8</v>
      </c>
      <c r="AQ18" s="345" t="s">
        <v>5</v>
      </c>
      <c r="AR18" s="346">
        <f>VLOOKUP(AP15, $B$3:$E$109, 4, FALSE)</f>
        <v>0</v>
      </c>
      <c r="AS18" s="345" t="s">
        <v>5</v>
      </c>
      <c r="AT18" s="347">
        <f>VLOOKUP(AP15, $B$3:$F$109, 5, FALSE)</f>
        <v>0</v>
      </c>
      <c r="AU18" s="348" t="s">
        <v>5</v>
      </c>
      <c r="AV18" s="344">
        <f>SUM(AR18,AT18)</f>
        <v>0</v>
      </c>
      <c r="AX18" s="300"/>
      <c r="AY18" s="339"/>
      <c r="AZ18" s="289">
        <v>8</v>
      </c>
      <c r="BA18" s="345" t="s">
        <v>5</v>
      </c>
      <c r="BB18" s="346">
        <f>VLOOKUP(AZ15, $B$3:$E$109, 4, FALSE)</f>
        <v>0</v>
      </c>
      <c r="BC18" s="345" t="s">
        <v>5</v>
      </c>
      <c r="BD18" s="347">
        <f>VLOOKUP(AZ15, $B$3:$F$109, 5, FALSE)</f>
        <v>0</v>
      </c>
      <c r="BE18" s="348" t="s">
        <v>5</v>
      </c>
      <c r="BF18" s="344">
        <f>SUM(BB18,BD18)</f>
        <v>0</v>
      </c>
      <c r="BH18" s="300"/>
      <c r="BI18" s="339"/>
      <c r="BJ18" s="289">
        <v>8</v>
      </c>
      <c r="BK18" s="345" t="s">
        <v>5</v>
      </c>
      <c r="BL18" s="346">
        <f>VLOOKUP(BJ15, $B$3:$E$109, 4, FALSE)</f>
        <v>0</v>
      </c>
      <c r="BM18" s="345" t="s">
        <v>5</v>
      </c>
      <c r="BN18" s="347">
        <f>VLOOKUP(BJ15, $B$3:$F$109, 5, FALSE)</f>
        <v>0</v>
      </c>
      <c r="BO18" s="348" t="s">
        <v>5</v>
      </c>
      <c r="BP18" s="344">
        <f>SUM(BL18,BN18)</f>
        <v>0</v>
      </c>
    </row>
    <row r="19" spans="2:68" ht="15.75" customHeight="1">
      <c r="B19" s="278">
        <v>42599</v>
      </c>
      <c r="G19" s="150">
        <f t="shared" si="0"/>
        <v>0</v>
      </c>
      <c r="H19" s="150">
        <f t="shared" si="1"/>
        <v>0</v>
      </c>
      <c r="K19" s="339"/>
      <c r="L19" s="338"/>
      <c r="M19" s="669" t="s">
        <v>105</v>
      </c>
      <c r="N19" s="346">
        <f>VLOOKUP(L15, $B$3:$E$109, 2, FALSE)</f>
        <v>0</v>
      </c>
      <c r="O19" s="669" t="s">
        <v>105</v>
      </c>
      <c r="P19" s="347">
        <f>VLOOKUP(L15, $B$3:$E$109, 3, FALSE)</f>
        <v>0</v>
      </c>
      <c r="Q19" s="670" t="s">
        <v>105</v>
      </c>
      <c r="R19" s="344">
        <f>SUM(N19,P19)</f>
        <v>0</v>
      </c>
      <c r="S19" s="294"/>
      <c r="T19" s="302"/>
      <c r="U19" s="339"/>
      <c r="V19" s="338"/>
      <c r="W19" s="669" t="s">
        <v>105</v>
      </c>
      <c r="X19" s="346">
        <f>VLOOKUP(V15, $B$3:$E$109, 2, FALSE)</f>
        <v>0</v>
      </c>
      <c r="Y19" s="669" t="s">
        <v>105</v>
      </c>
      <c r="Z19" s="347">
        <f>VLOOKUP(V15, $B$3:$E$109, 3, FALSE)</f>
        <v>0</v>
      </c>
      <c r="AA19" s="670" t="s">
        <v>105</v>
      </c>
      <c r="AB19" s="344">
        <f>SUM(X19,Z19)</f>
        <v>0</v>
      </c>
      <c r="AD19" s="300"/>
      <c r="AE19" s="339"/>
      <c r="AF19" s="338"/>
      <c r="AG19" s="669" t="s">
        <v>105</v>
      </c>
      <c r="AH19" s="346">
        <f>VLOOKUP(AF15, $B$3:$E$109, 2, FALSE)</f>
        <v>0</v>
      </c>
      <c r="AI19" s="669" t="s">
        <v>105</v>
      </c>
      <c r="AJ19" s="347">
        <f>VLOOKUP(AF15, $B$3:$E$109, 3, FALSE)</f>
        <v>0</v>
      </c>
      <c r="AK19" s="670" t="s">
        <v>105</v>
      </c>
      <c r="AL19" s="344">
        <f>SUM(AH19,AJ19)</f>
        <v>0</v>
      </c>
      <c r="AN19" s="300"/>
      <c r="AO19" s="339"/>
      <c r="AP19" s="338"/>
      <c r="AQ19" s="669" t="s">
        <v>105</v>
      </c>
      <c r="AR19" s="346">
        <f>VLOOKUP(AP15, $B$3:$E$109, 2, FALSE)</f>
        <v>0</v>
      </c>
      <c r="AS19" s="669" t="s">
        <v>105</v>
      </c>
      <c r="AT19" s="347">
        <f>VLOOKUP(AP15, $B$3:$E$109, 3, FALSE)</f>
        <v>0</v>
      </c>
      <c r="AU19" s="670" t="s">
        <v>105</v>
      </c>
      <c r="AV19" s="344">
        <f>SUM(AR19,AT19)</f>
        <v>0</v>
      </c>
      <c r="AX19" s="300"/>
      <c r="AY19" s="339"/>
      <c r="AZ19" s="338"/>
      <c r="BA19" s="669" t="s">
        <v>105</v>
      </c>
      <c r="BB19" s="346">
        <f>VLOOKUP(AZ15, $B$3:$E$109, 2, FALSE)</f>
        <v>0</v>
      </c>
      <c r="BC19" s="669" t="s">
        <v>105</v>
      </c>
      <c r="BD19" s="347">
        <f>VLOOKUP(AZ15, $B$3:$E$109, 3, FALSE)</f>
        <v>0</v>
      </c>
      <c r="BE19" s="670" t="s">
        <v>105</v>
      </c>
      <c r="BF19" s="344">
        <f>SUM(BB19,BD19)</f>
        <v>0</v>
      </c>
      <c r="BH19" s="300"/>
      <c r="BI19" s="339"/>
      <c r="BJ19" s="338"/>
      <c r="BK19" s="669" t="s">
        <v>105</v>
      </c>
      <c r="BL19" s="346">
        <f>VLOOKUP(BJ15, $B$3:$E$109, 2, FALSE)</f>
        <v>0</v>
      </c>
      <c r="BM19" s="669" t="s">
        <v>105</v>
      </c>
      <c r="BN19" s="347">
        <f>VLOOKUP(BJ15, $B$3:$E$109, 3, FALSE)</f>
        <v>0</v>
      </c>
      <c r="BO19" s="670" t="s">
        <v>105</v>
      </c>
      <c r="BP19" s="344">
        <f>SUM(BL19,BN19)</f>
        <v>0</v>
      </c>
    </row>
    <row r="20" spans="2:68" ht="12.75" customHeight="1">
      <c r="B20" s="278">
        <v>42600</v>
      </c>
      <c r="G20" s="150">
        <f t="shared" si="0"/>
        <v>0</v>
      </c>
      <c r="H20" s="150">
        <f t="shared" si="1"/>
        <v>0</v>
      </c>
      <c r="K20" s="698" t="s">
        <v>157</v>
      </c>
      <c r="L20" s="699"/>
      <c r="M20" s="670"/>
      <c r="N20" s="340"/>
      <c r="O20" s="669"/>
      <c r="P20" s="340"/>
      <c r="Q20" s="670"/>
      <c r="R20" s="340"/>
      <c r="S20" s="156"/>
      <c r="T20" s="302"/>
      <c r="U20" s="698" t="s">
        <v>157</v>
      </c>
      <c r="V20" s="699"/>
      <c r="W20" s="670"/>
      <c r="X20" s="340"/>
      <c r="Y20" s="669"/>
      <c r="Z20" s="340"/>
      <c r="AA20" s="670"/>
      <c r="AB20" s="340"/>
      <c r="AD20" s="300"/>
      <c r="AE20" s="698" t="s">
        <v>157</v>
      </c>
      <c r="AF20" s="699"/>
      <c r="AG20" s="670"/>
      <c r="AH20" s="340"/>
      <c r="AI20" s="669"/>
      <c r="AJ20" s="340"/>
      <c r="AK20" s="670"/>
      <c r="AL20" s="340"/>
      <c r="AN20" s="300"/>
      <c r="AO20" s="698" t="s">
        <v>157</v>
      </c>
      <c r="AP20" s="699"/>
      <c r="AQ20" s="670"/>
      <c r="AR20" s="340"/>
      <c r="AS20" s="669"/>
      <c r="AT20" s="340"/>
      <c r="AU20" s="670"/>
      <c r="AV20" s="340"/>
      <c r="AX20" s="300"/>
      <c r="AY20" s="698" t="s">
        <v>157</v>
      </c>
      <c r="AZ20" s="699"/>
      <c r="BA20" s="670"/>
      <c r="BB20" s="340"/>
      <c r="BC20" s="669"/>
      <c r="BD20" s="340"/>
      <c r="BE20" s="670"/>
      <c r="BF20" s="340"/>
      <c r="BH20" s="300"/>
      <c r="BI20" s="698" t="s">
        <v>157</v>
      </c>
      <c r="BJ20" s="699"/>
      <c r="BK20" s="670"/>
      <c r="BL20" s="340"/>
      <c r="BM20" s="669"/>
      <c r="BN20" s="340"/>
      <c r="BO20" s="670"/>
      <c r="BP20" s="340"/>
    </row>
    <row r="21" spans="2:68" ht="15.75">
      <c r="B21" s="278">
        <v>42601</v>
      </c>
      <c r="G21" s="150">
        <f t="shared" si="0"/>
        <v>0</v>
      </c>
      <c r="H21" s="150">
        <f t="shared" si="1"/>
        <v>0</v>
      </c>
      <c r="K21" s="379"/>
      <c r="L21" s="349">
        <f>R17*13</f>
        <v>0</v>
      </c>
      <c r="M21" s="429"/>
      <c r="N21" s="340"/>
      <c r="O21" s="351"/>
      <c r="P21" s="340"/>
      <c r="Q21" s="430"/>
      <c r="R21" s="340"/>
      <c r="S21" s="156"/>
      <c r="T21" s="302"/>
      <c r="U21" s="379"/>
      <c r="V21" s="349">
        <f>AB17*13</f>
        <v>0</v>
      </c>
      <c r="W21" s="429"/>
      <c r="X21" s="340"/>
      <c r="Y21" s="351"/>
      <c r="Z21" s="340"/>
      <c r="AA21" s="430"/>
      <c r="AB21" s="340"/>
      <c r="AD21" s="300"/>
      <c r="AE21" s="379"/>
      <c r="AF21" s="349">
        <f>AL17*13</f>
        <v>0</v>
      </c>
      <c r="AG21" s="429"/>
      <c r="AH21" s="340"/>
      <c r="AI21" s="351"/>
      <c r="AJ21" s="340"/>
      <c r="AK21" s="430"/>
      <c r="AL21" s="340"/>
      <c r="AN21" s="300"/>
      <c r="AO21" s="379"/>
      <c r="AP21" s="349">
        <f>AV17*13</f>
        <v>0</v>
      </c>
      <c r="AQ21" s="429"/>
      <c r="AR21" s="340"/>
      <c r="AS21" s="351"/>
      <c r="AT21" s="340"/>
      <c r="AU21" s="430"/>
      <c r="AV21" s="340"/>
      <c r="AX21" s="300"/>
      <c r="AY21" s="379"/>
      <c r="AZ21" s="349">
        <f>BF17*13</f>
        <v>0</v>
      </c>
      <c r="BA21" s="429"/>
      <c r="BB21" s="340"/>
      <c r="BC21" s="351"/>
      <c r="BD21" s="340"/>
      <c r="BE21" s="430"/>
      <c r="BF21" s="340"/>
      <c r="BH21" s="300"/>
      <c r="BI21" s="379"/>
      <c r="BJ21" s="349">
        <f>BP17*13</f>
        <v>0</v>
      </c>
      <c r="BK21" s="429"/>
      <c r="BL21" s="340"/>
      <c r="BM21" s="351"/>
      <c r="BN21" s="340"/>
      <c r="BO21" s="430"/>
      <c r="BP21" s="340"/>
    </row>
    <row r="22" spans="2:68" ht="18.75">
      <c r="B22" s="278">
        <v>42602</v>
      </c>
      <c r="G22" s="150">
        <f t="shared" si="0"/>
        <v>0</v>
      </c>
      <c r="H22" s="150">
        <f t="shared" si="1"/>
        <v>0</v>
      </c>
      <c r="K22" s="339"/>
      <c r="L22" s="380"/>
      <c r="M22" s="286" t="s">
        <v>97</v>
      </c>
      <c r="N22" s="287" t="e">
        <f>N19/((N17*EFFICIENCY!$H$28))</f>
        <v>#DIV/0!</v>
      </c>
      <c r="O22" s="286" t="s">
        <v>97</v>
      </c>
      <c r="P22" s="287" t="e">
        <f>P19/(P17*EFFICIENCY!$H$28)</f>
        <v>#DIV/0!</v>
      </c>
      <c r="Q22" s="286" t="s">
        <v>97</v>
      </c>
      <c r="R22" s="287" t="e">
        <f>R19/(R17*EFFICIENCY!$H$28)</f>
        <v>#DIV/0!</v>
      </c>
      <c r="S22" s="295"/>
      <c r="T22" s="302"/>
      <c r="U22" s="339"/>
      <c r="V22" s="380"/>
      <c r="W22" s="286" t="s">
        <v>97</v>
      </c>
      <c r="X22" s="287" t="e">
        <f>X19/((X17*EFFICIENCY!$H$28))</f>
        <v>#DIV/0!</v>
      </c>
      <c r="Y22" s="286" t="s">
        <v>97</v>
      </c>
      <c r="Z22" s="287" t="e">
        <f>Z19/(Z17*EFFICIENCY!$H$28)</f>
        <v>#DIV/0!</v>
      </c>
      <c r="AA22" s="286" t="s">
        <v>97</v>
      </c>
      <c r="AB22" s="287" t="e">
        <f>AB19/(AB17*EFFICIENCY!$H$28)</f>
        <v>#DIV/0!</v>
      </c>
      <c r="AD22" s="300"/>
      <c r="AE22" s="339"/>
      <c r="AF22" s="380"/>
      <c r="AG22" s="286" t="s">
        <v>97</v>
      </c>
      <c r="AH22" s="287" t="e">
        <f>AH19/((AH17*EFFICIENCY!$H$28))</f>
        <v>#DIV/0!</v>
      </c>
      <c r="AI22" s="286" t="s">
        <v>97</v>
      </c>
      <c r="AJ22" s="287" t="e">
        <f>AJ19/(AJ17*EFFICIENCY!$H$28)</f>
        <v>#DIV/0!</v>
      </c>
      <c r="AK22" s="286" t="s">
        <v>97</v>
      </c>
      <c r="AL22" s="287" t="e">
        <f>AL19/(AL17*EFFICIENCY!$H$28)</f>
        <v>#DIV/0!</v>
      </c>
      <c r="AN22" s="300"/>
      <c r="AO22" s="339"/>
      <c r="AP22" s="380"/>
      <c r="AQ22" s="286" t="s">
        <v>97</v>
      </c>
      <c r="AR22" s="287" t="e">
        <f>AR19/((AR17*EFFICIENCY!$H$28))</f>
        <v>#DIV/0!</v>
      </c>
      <c r="AS22" s="286" t="s">
        <v>97</v>
      </c>
      <c r="AT22" s="287" t="e">
        <f>AT19/(AT17*EFFICIENCY!$H$28)</f>
        <v>#DIV/0!</v>
      </c>
      <c r="AU22" s="286" t="s">
        <v>97</v>
      </c>
      <c r="AV22" s="287" t="e">
        <f>AV19/(AV17*EFFICIENCY!$H$28)</f>
        <v>#DIV/0!</v>
      </c>
      <c r="AX22" s="300"/>
      <c r="AY22" s="339"/>
      <c r="AZ22" s="380"/>
      <c r="BA22" s="286" t="s">
        <v>97</v>
      </c>
      <c r="BB22" s="287" t="e">
        <f>BB19/((BB17*EFFICIENCY!$H$28))</f>
        <v>#DIV/0!</v>
      </c>
      <c r="BC22" s="286" t="s">
        <v>97</v>
      </c>
      <c r="BD22" s="287" t="e">
        <f>BD19/(BD17*EFFICIENCY!$H$28)</f>
        <v>#DIV/0!</v>
      </c>
      <c r="BE22" s="286" t="s">
        <v>97</v>
      </c>
      <c r="BF22" s="287" t="e">
        <f>BF19/(BF17*EFFICIENCY!$H$28)</f>
        <v>#DIV/0!</v>
      </c>
      <c r="BH22" s="300"/>
      <c r="BI22" s="339"/>
      <c r="BJ22" s="380"/>
      <c r="BK22" s="286" t="s">
        <v>97</v>
      </c>
      <c r="BL22" s="287" t="e">
        <f>BL19/((BL17*EFFICIENCY!$H$28))</f>
        <v>#DIV/0!</v>
      </c>
      <c r="BM22" s="286" t="s">
        <v>97</v>
      </c>
      <c r="BN22" s="287" t="e">
        <f>BN19/(BN17*EFFICIENCY!$H$28)</f>
        <v>#DIV/0!</v>
      </c>
      <c r="BO22" s="286" t="s">
        <v>97</v>
      </c>
      <c r="BP22" s="287" t="e">
        <f>BP19/(BP17*EFFICIENCY!$H$28)</f>
        <v>#DIV/0!</v>
      </c>
    </row>
    <row r="23" spans="2:68" ht="18.75">
      <c r="B23" s="278">
        <v>42603</v>
      </c>
      <c r="G23" s="150">
        <f t="shared" si="0"/>
        <v>0</v>
      </c>
      <c r="H23" s="150">
        <f t="shared" si="1"/>
        <v>0</v>
      </c>
      <c r="K23" s="339"/>
      <c r="L23" s="338"/>
      <c r="M23" s="280" t="s">
        <v>96</v>
      </c>
      <c r="N23" s="281" t="e">
        <f>N19/(N17*EFFICIENCY!$I$28)</f>
        <v>#DIV/0!</v>
      </c>
      <c r="O23" s="280" t="s">
        <v>96</v>
      </c>
      <c r="P23" s="281" t="e">
        <f>P19/(P17*EFFICIENCY!$I$28)</f>
        <v>#DIV/0!</v>
      </c>
      <c r="Q23" s="280" t="s">
        <v>96</v>
      </c>
      <c r="R23" s="281" t="e">
        <f>R19/(R17*EFFICIENCY!$I$28)</f>
        <v>#DIV/0!</v>
      </c>
      <c r="S23" s="296"/>
      <c r="T23" s="302"/>
      <c r="U23" s="339"/>
      <c r="V23" s="338"/>
      <c r="W23" s="280" t="s">
        <v>96</v>
      </c>
      <c r="X23" s="281" t="e">
        <f>X19/(X17*EFFICIENCY!$I$28)</f>
        <v>#DIV/0!</v>
      </c>
      <c r="Y23" s="280" t="s">
        <v>96</v>
      </c>
      <c r="Z23" s="281" t="e">
        <f>Z19/(Z17*EFFICIENCY!$I$28)</f>
        <v>#DIV/0!</v>
      </c>
      <c r="AA23" s="280" t="s">
        <v>96</v>
      </c>
      <c r="AB23" s="281" t="e">
        <f>AB19/(AB17*EFFICIENCY!$I$28)</f>
        <v>#DIV/0!</v>
      </c>
      <c r="AD23" s="300"/>
      <c r="AE23" s="339"/>
      <c r="AF23" s="338"/>
      <c r="AG23" s="280" t="s">
        <v>96</v>
      </c>
      <c r="AH23" s="281" t="e">
        <f>AH19/(AH17*EFFICIENCY!$I$28)</f>
        <v>#DIV/0!</v>
      </c>
      <c r="AI23" s="280" t="s">
        <v>96</v>
      </c>
      <c r="AJ23" s="281" t="e">
        <f>AJ19/(AJ17*EFFICIENCY!$I$28)</f>
        <v>#DIV/0!</v>
      </c>
      <c r="AK23" s="280" t="s">
        <v>96</v>
      </c>
      <c r="AL23" s="281" t="e">
        <f>AL19/(AL17*EFFICIENCY!$I$28)</f>
        <v>#DIV/0!</v>
      </c>
      <c r="AN23" s="300"/>
      <c r="AO23" s="339"/>
      <c r="AP23" s="338"/>
      <c r="AQ23" s="280" t="s">
        <v>96</v>
      </c>
      <c r="AR23" s="281" t="e">
        <f>AR19/(AR17*EFFICIENCY!$I$28)</f>
        <v>#DIV/0!</v>
      </c>
      <c r="AS23" s="280" t="s">
        <v>96</v>
      </c>
      <c r="AT23" s="281" t="e">
        <f>AT19/(AT17*EFFICIENCY!$I$28)</f>
        <v>#DIV/0!</v>
      </c>
      <c r="AU23" s="280" t="s">
        <v>96</v>
      </c>
      <c r="AV23" s="281" t="e">
        <f>AV19/(AV17*EFFICIENCY!$I$28)</f>
        <v>#DIV/0!</v>
      </c>
      <c r="AX23" s="300"/>
      <c r="AY23" s="339"/>
      <c r="AZ23" s="338"/>
      <c r="BA23" s="280" t="s">
        <v>96</v>
      </c>
      <c r="BB23" s="281" t="e">
        <f>BB19/(BB17*EFFICIENCY!$I$28)</f>
        <v>#DIV/0!</v>
      </c>
      <c r="BC23" s="280" t="s">
        <v>96</v>
      </c>
      <c r="BD23" s="281" t="e">
        <f>BD19/(BD17*EFFICIENCY!$I$28)</f>
        <v>#DIV/0!</v>
      </c>
      <c r="BE23" s="280" t="s">
        <v>96</v>
      </c>
      <c r="BF23" s="281" t="e">
        <f>BF19/(BF17*EFFICIENCY!$I$28)</f>
        <v>#DIV/0!</v>
      </c>
      <c r="BH23" s="300"/>
      <c r="BI23" s="339"/>
      <c r="BJ23" s="338"/>
      <c r="BK23" s="280" t="s">
        <v>96</v>
      </c>
      <c r="BL23" s="281" t="e">
        <f>BL19/(BL17*EFFICIENCY!$I$28)</f>
        <v>#DIV/0!</v>
      </c>
      <c r="BM23" s="280" t="s">
        <v>96</v>
      </c>
      <c r="BN23" s="281" t="e">
        <f>BN19/(BN17*EFFICIENCY!$I$28)</f>
        <v>#DIV/0!</v>
      </c>
      <c r="BO23" s="280" t="s">
        <v>96</v>
      </c>
      <c r="BP23" s="281" t="e">
        <f>BP19/(BP17*EFFICIENCY!$I$28)</f>
        <v>#DIV/0!</v>
      </c>
    </row>
    <row r="24" spans="2:68" ht="19.5" customHeight="1" thickBot="1">
      <c r="B24" s="278">
        <v>42604</v>
      </c>
      <c r="G24" s="150">
        <f t="shared" si="0"/>
        <v>0</v>
      </c>
      <c r="H24" s="150">
        <f t="shared" si="1"/>
        <v>0</v>
      </c>
      <c r="K24" s="694" t="s">
        <v>156</v>
      </c>
      <c r="L24" s="695"/>
      <c r="M24" s="284" t="s">
        <v>94</v>
      </c>
      <c r="N24" s="285" t="e">
        <f>N19/((N17*EFFICIENCY!$K$28))</f>
        <v>#DIV/0!</v>
      </c>
      <c r="O24" s="288" t="s">
        <v>94</v>
      </c>
      <c r="P24" s="285" t="e">
        <f>P19/((P17*EFFICIENCY!$K$28))</f>
        <v>#DIV/0!</v>
      </c>
      <c r="Q24" s="284" t="s">
        <v>94</v>
      </c>
      <c r="R24" s="285" t="e">
        <f>R19/((R17*EFFICIENCY!$K$28))</f>
        <v>#DIV/0!</v>
      </c>
      <c r="S24" s="297"/>
      <c r="T24" s="302"/>
      <c r="U24" s="694" t="s">
        <v>156</v>
      </c>
      <c r="V24" s="695"/>
      <c r="W24" s="284" t="s">
        <v>94</v>
      </c>
      <c r="X24" s="285" t="e">
        <f>X19/((X17*EFFICIENCY!$K$28))</f>
        <v>#DIV/0!</v>
      </c>
      <c r="Y24" s="288" t="s">
        <v>94</v>
      </c>
      <c r="Z24" s="285" t="e">
        <f>Z19/((Z17*EFFICIENCY!$K$28))</f>
        <v>#DIV/0!</v>
      </c>
      <c r="AA24" s="284" t="s">
        <v>94</v>
      </c>
      <c r="AB24" s="285" t="e">
        <f>AB19/((AB17*EFFICIENCY!$K$28))</f>
        <v>#DIV/0!</v>
      </c>
      <c r="AD24" s="300"/>
      <c r="AE24" s="694" t="s">
        <v>156</v>
      </c>
      <c r="AF24" s="695"/>
      <c r="AG24" s="284" t="s">
        <v>94</v>
      </c>
      <c r="AH24" s="285" t="e">
        <f>AH19/((AH17*EFFICIENCY!$K$28))</f>
        <v>#DIV/0!</v>
      </c>
      <c r="AI24" s="288" t="s">
        <v>94</v>
      </c>
      <c r="AJ24" s="285" t="e">
        <f>AJ19/((AJ17*EFFICIENCY!$K$28))</f>
        <v>#DIV/0!</v>
      </c>
      <c r="AK24" s="284" t="s">
        <v>94</v>
      </c>
      <c r="AL24" s="285" t="e">
        <f>AL19/((AL17*EFFICIENCY!$K$28))</f>
        <v>#DIV/0!</v>
      </c>
      <c r="AN24" s="300"/>
      <c r="AO24" s="694" t="s">
        <v>156</v>
      </c>
      <c r="AP24" s="695"/>
      <c r="AQ24" s="284" t="s">
        <v>94</v>
      </c>
      <c r="AR24" s="285" t="e">
        <f>AR19/((AR17*EFFICIENCY!$K$28))</f>
        <v>#DIV/0!</v>
      </c>
      <c r="AS24" s="288" t="s">
        <v>94</v>
      </c>
      <c r="AT24" s="285" t="e">
        <f>AT19/((AT17*EFFICIENCY!$K$28))</f>
        <v>#DIV/0!</v>
      </c>
      <c r="AU24" s="284" t="s">
        <v>94</v>
      </c>
      <c r="AV24" s="285" t="e">
        <f>AV19/((AV17*EFFICIENCY!$K$28))</f>
        <v>#DIV/0!</v>
      </c>
      <c r="AX24" s="300"/>
      <c r="AY24" s="694" t="s">
        <v>156</v>
      </c>
      <c r="AZ24" s="695"/>
      <c r="BA24" s="284" t="s">
        <v>94</v>
      </c>
      <c r="BB24" s="285" t="e">
        <f>BB19/((BB17*EFFICIENCY!$K$28))</f>
        <v>#DIV/0!</v>
      </c>
      <c r="BC24" s="288" t="s">
        <v>94</v>
      </c>
      <c r="BD24" s="285" t="e">
        <f>BD19/((BD17*EFFICIENCY!$K$28))</f>
        <v>#DIV/0!</v>
      </c>
      <c r="BE24" s="284" t="s">
        <v>94</v>
      </c>
      <c r="BF24" s="285" t="e">
        <f>BF19/((BF17*EFFICIENCY!$K$28))</f>
        <v>#DIV/0!</v>
      </c>
      <c r="BH24" s="300"/>
      <c r="BI24" s="694" t="s">
        <v>156</v>
      </c>
      <c r="BJ24" s="695"/>
      <c r="BK24" s="284" t="s">
        <v>94</v>
      </c>
      <c r="BL24" s="285" t="e">
        <f>BL19/((BL17*EFFICIENCY!$K$28))</f>
        <v>#DIV/0!</v>
      </c>
      <c r="BM24" s="288" t="s">
        <v>94</v>
      </c>
      <c r="BN24" s="285" t="e">
        <f>BN19/((BN17*EFFICIENCY!$K$28))</f>
        <v>#DIV/0!</v>
      </c>
      <c r="BO24" s="284" t="s">
        <v>94</v>
      </c>
      <c r="BP24" s="285" t="e">
        <f>BP19/((BP17*EFFICIENCY!$K$28))</f>
        <v>#DIV/0!</v>
      </c>
    </row>
    <row r="25" spans="2:68" ht="16.5" thickBot="1">
      <c r="B25" s="278">
        <v>42605</v>
      </c>
      <c r="G25" s="150">
        <f t="shared" si="0"/>
        <v>0</v>
      </c>
      <c r="H25" s="150">
        <f t="shared" si="1"/>
        <v>0</v>
      </c>
      <c r="K25" s="381"/>
      <c r="L25" s="382" t="e">
        <f>R19/R17</f>
        <v>#DIV/0!</v>
      </c>
      <c r="M25" s="661" t="s">
        <v>153</v>
      </c>
      <c r="N25" s="662"/>
      <c r="O25" s="290"/>
      <c r="P25" s="427"/>
      <c r="Q25" s="427" t="s">
        <v>154</v>
      </c>
      <c r="R25" s="354">
        <f>O25-R19</f>
        <v>0</v>
      </c>
      <c r="S25" s="298"/>
      <c r="T25" s="300"/>
      <c r="U25" s="381"/>
      <c r="V25" s="382" t="e">
        <f>AB19/AB17</f>
        <v>#DIV/0!</v>
      </c>
      <c r="W25" s="661" t="s">
        <v>153</v>
      </c>
      <c r="X25" s="662"/>
      <c r="Y25" s="290"/>
      <c r="Z25" s="427"/>
      <c r="AA25" s="427" t="s">
        <v>154</v>
      </c>
      <c r="AB25" s="354">
        <f>Y25-AB19</f>
        <v>0</v>
      </c>
      <c r="AD25" s="300"/>
      <c r="AE25" s="381"/>
      <c r="AF25" s="382" t="e">
        <f>AL19/AL17</f>
        <v>#DIV/0!</v>
      </c>
      <c r="AG25" s="661" t="s">
        <v>153</v>
      </c>
      <c r="AH25" s="662"/>
      <c r="AI25" s="290"/>
      <c r="AJ25" s="427"/>
      <c r="AK25" s="427" t="s">
        <v>154</v>
      </c>
      <c r="AL25" s="354">
        <f>AI25-AL19</f>
        <v>0</v>
      </c>
      <c r="AN25" s="300"/>
      <c r="AO25" s="381"/>
      <c r="AP25" s="382" t="e">
        <f>AV19/AV17</f>
        <v>#DIV/0!</v>
      </c>
      <c r="AQ25" s="661" t="s">
        <v>153</v>
      </c>
      <c r="AR25" s="662"/>
      <c r="AS25" s="290"/>
      <c r="AT25" s="427"/>
      <c r="AU25" s="427" t="s">
        <v>154</v>
      </c>
      <c r="AV25" s="354">
        <f>AS25-AV19</f>
        <v>0</v>
      </c>
      <c r="AX25" s="300"/>
      <c r="AY25" s="381"/>
      <c r="AZ25" s="382" t="e">
        <f>BF19/BF17</f>
        <v>#DIV/0!</v>
      </c>
      <c r="BA25" s="661" t="s">
        <v>153</v>
      </c>
      <c r="BB25" s="662"/>
      <c r="BC25" s="290"/>
      <c r="BD25" s="427"/>
      <c r="BE25" s="427" t="s">
        <v>154</v>
      </c>
      <c r="BF25" s="354">
        <f>BC25-BF19</f>
        <v>0</v>
      </c>
      <c r="BH25" s="300"/>
      <c r="BI25" s="381"/>
      <c r="BJ25" s="382" t="e">
        <f>BP19/BP17</f>
        <v>#DIV/0!</v>
      </c>
      <c r="BK25" s="661" t="s">
        <v>153</v>
      </c>
      <c r="BL25" s="662"/>
      <c r="BM25" s="290"/>
      <c r="BN25" s="427"/>
      <c r="BO25" s="427" t="s">
        <v>154</v>
      </c>
      <c r="BP25" s="354">
        <f>BM25-BP19</f>
        <v>0</v>
      </c>
    </row>
    <row r="26" spans="2:68">
      <c r="B26" s="278">
        <v>42606</v>
      </c>
      <c r="G26" s="150">
        <f t="shared" si="0"/>
        <v>0</v>
      </c>
      <c r="H26" s="150">
        <f t="shared" si="1"/>
        <v>0</v>
      </c>
      <c r="T26" s="300"/>
      <c r="AD26" s="300"/>
      <c r="AN26" s="300"/>
      <c r="AX26" s="300"/>
      <c r="BH26" s="300"/>
    </row>
    <row r="27" spans="2:68" ht="13.5" thickBot="1">
      <c r="B27" s="278">
        <v>42607</v>
      </c>
      <c r="G27" s="150">
        <f t="shared" si="0"/>
        <v>0</v>
      </c>
      <c r="H27" s="150">
        <f t="shared" si="1"/>
        <v>0</v>
      </c>
      <c r="J27" s="291"/>
      <c r="K27" s="291"/>
      <c r="L27" s="291"/>
      <c r="M27" s="291"/>
      <c r="N27" s="291"/>
      <c r="O27" s="291"/>
      <c r="P27" s="291"/>
      <c r="Q27" s="291"/>
      <c r="R27" s="291"/>
      <c r="S27" s="299"/>
      <c r="T27" s="301"/>
      <c r="U27" s="291"/>
      <c r="V27" s="291"/>
      <c r="W27" s="291"/>
      <c r="X27" s="291"/>
      <c r="Y27" s="291"/>
      <c r="Z27" s="291"/>
      <c r="AA27" s="291"/>
      <c r="AB27" s="291"/>
      <c r="AC27" s="291"/>
      <c r="AD27" s="301"/>
      <c r="AE27" s="291"/>
      <c r="AF27" s="291"/>
      <c r="AG27" s="291"/>
      <c r="AH27" s="291"/>
      <c r="AI27" s="291"/>
      <c r="AJ27" s="291"/>
      <c r="AK27" s="291"/>
      <c r="AL27" s="291"/>
      <c r="AM27" s="291"/>
      <c r="AN27" s="301"/>
      <c r="AO27" s="291"/>
      <c r="AP27" s="291"/>
      <c r="AQ27" s="291"/>
      <c r="AR27" s="291"/>
      <c r="AS27" s="291"/>
      <c r="AT27" s="291"/>
      <c r="AU27" s="291"/>
      <c r="AV27" s="291"/>
      <c r="AW27" s="291"/>
      <c r="AX27" s="301"/>
      <c r="AY27" s="291"/>
      <c r="AZ27" s="291"/>
      <c r="BA27" s="291"/>
      <c r="BB27" s="291"/>
      <c r="BC27" s="291"/>
      <c r="BD27" s="291"/>
      <c r="BE27" s="291"/>
      <c r="BF27" s="291"/>
      <c r="BG27" s="291"/>
      <c r="BH27" s="301"/>
      <c r="BI27" s="291"/>
      <c r="BJ27" s="291"/>
      <c r="BK27" s="291"/>
      <c r="BL27" s="291"/>
      <c r="BM27" s="291"/>
      <c r="BN27" s="291"/>
      <c r="BO27" s="291"/>
      <c r="BP27" s="291"/>
    </row>
    <row r="28" spans="2:68" ht="15.75" thickBot="1">
      <c r="B28" s="278">
        <v>42608</v>
      </c>
      <c r="G28" s="150">
        <f t="shared" si="0"/>
        <v>0</v>
      </c>
      <c r="H28" s="150">
        <f t="shared" si="1"/>
        <v>0</v>
      </c>
      <c r="J28" s="154"/>
      <c r="K28" s="383" t="s">
        <v>7</v>
      </c>
      <c r="L28" s="534">
        <f>B17</f>
        <v>42597</v>
      </c>
      <c r="M28" s="680" t="s">
        <v>100</v>
      </c>
      <c r="N28" s="681"/>
      <c r="O28" s="682" t="s">
        <v>99</v>
      </c>
      <c r="P28" s="683"/>
      <c r="Q28" s="684" t="s">
        <v>16</v>
      </c>
      <c r="R28" s="685"/>
      <c r="S28" s="293"/>
      <c r="T28" s="300"/>
      <c r="U28" s="383" t="s">
        <v>7</v>
      </c>
      <c r="V28" s="534">
        <f>B18</f>
        <v>42598</v>
      </c>
      <c r="W28" s="680" t="s">
        <v>100</v>
      </c>
      <c r="X28" s="681"/>
      <c r="Y28" s="682" t="s">
        <v>99</v>
      </c>
      <c r="Z28" s="683"/>
      <c r="AA28" s="684" t="s">
        <v>16</v>
      </c>
      <c r="AB28" s="685"/>
      <c r="AC28" s="154"/>
      <c r="AD28" s="300"/>
      <c r="AE28" s="383" t="s">
        <v>7</v>
      </c>
      <c r="AF28" s="534">
        <f>B19</f>
        <v>42599</v>
      </c>
      <c r="AG28" s="680" t="s">
        <v>100</v>
      </c>
      <c r="AH28" s="681"/>
      <c r="AI28" s="682" t="s">
        <v>99</v>
      </c>
      <c r="AJ28" s="683"/>
      <c r="AK28" s="684" t="s">
        <v>16</v>
      </c>
      <c r="AL28" s="685"/>
      <c r="AM28" s="154"/>
      <c r="AN28" s="300"/>
      <c r="AO28" s="383" t="s">
        <v>7</v>
      </c>
      <c r="AP28" s="534">
        <f>B20</f>
        <v>42600</v>
      </c>
      <c r="AQ28" s="680" t="s">
        <v>100</v>
      </c>
      <c r="AR28" s="681"/>
      <c r="AS28" s="682" t="s">
        <v>99</v>
      </c>
      <c r="AT28" s="683"/>
      <c r="AU28" s="684" t="s">
        <v>16</v>
      </c>
      <c r="AV28" s="685"/>
      <c r="AW28" s="154"/>
      <c r="AX28" s="300"/>
      <c r="AY28" s="383" t="s">
        <v>7</v>
      </c>
      <c r="AZ28" s="534">
        <f>B21</f>
        <v>42601</v>
      </c>
      <c r="BA28" s="680" t="s">
        <v>100</v>
      </c>
      <c r="BB28" s="681"/>
      <c r="BC28" s="682" t="s">
        <v>99</v>
      </c>
      <c r="BD28" s="683"/>
      <c r="BE28" s="684" t="s">
        <v>16</v>
      </c>
      <c r="BF28" s="685"/>
      <c r="BG28" s="154"/>
      <c r="BH28" s="300"/>
      <c r="BI28" s="383" t="s">
        <v>7</v>
      </c>
      <c r="BJ28" s="534">
        <f>B22</f>
        <v>42602</v>
      </c>
      <c r="BK28" s="680" t="s">
        <v>100</v>
      </c>
      <c r="BL28" s="681"/>
      <c r="BM28" s="682" t="s">
        <v>99</v>
      </c>
      <c r="BN28" s="683"/>
      <c r="BO28" s="684" t="s">
        <v>16</v>
      </c>
      <c r="BP28" s="685"/>
    </row>
    <row r="29" spans="2:68" ht="13.5" thickBot="1">
      <c r="B29" s="278">
        <v>42609</v>
      </c>
      <c r="G29" s="150">
        <f t="shared" si="0"/>
        <v>0</v>
      </c>
      <c r="H29" s="150">
        <f t="shared" si="1"/>
        <v>0</v>
      </c>
      <c r="K29" s="304"/>
      <c r="L29" s="303"/>
      <c r="M29" s="304"/>
      <c r="N29" s="305"/>
      <c r="O29" s="304"/>
      <c r="P29" s="305"/>
      <c r="Q29" s="303"/>
      <c r="R29" s="305"/>
      <c r="S29" s="156"/>
      <c r="T29" s="300"/>
      <c r="U29" s="304"/>
      <c r="V29" s="303"/>
      <c r="W29" s="304"/>
      <c r="X29" s="305"/>
      <c r="Y29" s="304"/>
      <c r="Z29" s="305"/>
      <c r="AA29" s="303"/>
      <c r="AB29" s="305"/>
      <c r="AD29" s="300"/>
      <c r="AE29" s="304"/>
      <c r="AF29" s="303"/>
      <c r="AG29" s="304"/>
      <c r="AH29" s="305"/>
      <c r="AI29" s="304"/>
      <c r="AJ29" s="305"/>
      <c r="AK29" s="303"/>
      <c r="AL29" s="305"/>
      <c r="AN29" s="300"/>
      <c r="AO29" s="304"/>
      <c r="AP29" s="303"/>
      <c r="AQ29" s="304"/>
      <c r="AR29" s="305"/>
      <c r="AS29" s="304"/>
      <c r="AT29" s="305"/>
      <c r="AU29" s="303"/>
      <c r="AV29" s="305"/>
      <c r="AX29" s="300"/>
      <c r="AY29" s="304"/>
      <c r="AZ29" s="303"/>
      <c r="BA29" s="304"/>
      <c r="BB29" s="305"/>
      <c r="BC29" s="304"/>
      <c r="BD29" s="305"/>
      <c r="BE29" s="303"/>
      <c r="BF29" s="305"/>
      <c r="BH29" s="300"/>
      <c r="BI29" s="304"/>
      <c r="BJ29" s="303"/>
      <c r="BK29" s="304"/>
      <c r="BL29" s="305"/>
      <c r="BM29" s="304"/>
      <c r="BN29" s="305"/>
      <c r="BO29" s="303"/>
      <c r="BP29" s="305"/>
    </row>
    <row r="30" spans="2:68" ht="16.5" thickBot="1">
      <c r="B30" s="278">
        <v>42610</v>
      </c>
      <c r="G30" s="150">
        <f t="shared" si="0"/>
        <v>0</v>
      </c>
      <c r="H30" s="150">
        <f t="shared" si="1"/>
        <v>0</v>
      </c>
      <c r="K30" s="304"/>
      <c r="L30" s="428" t="s">
        <v>155</v>
      </c>
      <c r="M30" s="307" t="s">
        <v>103</v>
      </c>
      <c r="N30" s="279"/>
      <c r="O30" s="307" t="s">
        <v>103</v>
      </c>
      <c r="P30" s="279"/>
      <c r="Q30" s="308" t="s">
        <v>103</v>
      </c>
      <c r="R30" s="309">
        <f>SUM(N30,P30)</f>
        <v>0</v>
      </c>
      <c r="S30" s="294"/>
      <c r="T30" s="300"/>
      <c r="U30" s="304"/>
      <c r="V30" s="428" t="s">
        <v>155</v>
      </c>
      <c r="W30" s="307" t="s">
        <v>103</v>
      </c>
      <c r="X30" s="279"/>
      <c r="Y30" s="307" t="s">
        <v>103</v>
      </c>
      <c r="Z30" s="279"/>
      <c r="AA30" s="308" t="s">
        <v>103</v>
      </c>
      <c r="AB30" s="309">
        <f>SUM(X30,Z30)</f>
        <v>0</v>
      </c>
      <c r="AD30" s="300"/>
      <c r="AE30" s="304"/>
      <c r="AF30" s="428" t="s">
        <v>155</v>
      </c>
      <c r="AG30" s="307" t="s">
        <v>103</v>
      </c>
      <c r="AH30" s="279"/>
      <c r="AI30" s="307" t="s">
        <v>103</v>
      </c>
      <c r="AJ30" s="279"/>
      <c r="AK30" s="308" t="s">
        <v>103</v>
      </c>
      <c r="AL30" s="309">
        <f>SUM(AH30,AJ30)</f>
        <v>0</v>
      </c>
      <c r="AN30" s="300"/>
      <c r="AO30" s="304"/>
      <c r="AP30" s="428" t="s">
        <v>155</v>
      </c>
      <c r="AQ30" s="307" t="s">
        <v>103</v>
      </c>
      <c r="AR30" s="279"/>
      <c r="AS30" s="307" t="s">
        <v>103</v>
      </c>
      <c r="AT30" s="279"/>
      <c r="AU30" s="308" t="s">
        <v>103</v>
      </c>
      <c r="AV30" s="309">
        <f>SUM(AR30,AT30)</f>
        <v>0</v>
      </c>
      <c r="AX30" s="300"/>
      <c r="AY30" s="304"/>
      <c r="AZ30" s="428" t="s">
        <v>155</v>
      </c>
      <c r="BA30" s="307" t="s">
        <v>103</v>
      </c>
      <c r="BB30" s="279"/>
      <c r="BC30" s="307" t="s">
        <v>103</v>
      </c>
      <c r="BD30" s="279"/>
      <c r="BE30" s="308" t="s">
        <v>103</v>
      </c>
      <c r="BF30" s="309">
        <f>SUM(BB30,BD30)</f>
        <v>0</v>
      </c>
      <c r="BH30" s="300"/>
      <c r="BI30" s="304"/>
      <c r="BJ30" s="428" t="s">
        <v>155</v>
      </c>
      <c r="BK30" s="307" t="s">
        <v>103</v>
      </c>
      <c r="BL30" s="279"/>
      <c r="BM30" s="307" t="s">
        <v>103</v>
      </c>
      <c r="BN30" s="279"/>
      <c r="BO30" s="308" t="s">
        <v>103</v>
      </c>
      <c r="BP30" s="309">
        <f>SUM(BL30,BN30)</f>
        <v>0</v>
      </c>
    </row>
    <row r="31" spans="2:68" ht="18.75" thickBot="1">
      <c r="B31" s="278">
        <v>42611</v>
      </c>
      <c r="G31" s="150">
        <f t="shared" si="0"/>
        <v>0</v>
      </c>
      <c r="H31" s="150">
        <f t="shared" si="1"/>
        <v>0</v>
      </c>
      <c r="K31" s="304"/>
      <c r="L31" s="289">
        <v>8</v>
      </c>
      <c r="M31" s="310" t="s">
        <v>5</v>
      </c>
      <c r="N31" s="311">
        <f>VLOOKUP(L28, $B$3:$E$109, 4, FALSE)</f>
        <v>0</v>
      </c>
      <c r="O31" s="310" t="s">
        <v>5</v>
      </c>
      <c r="P31" s="312">
        <f>VLOOKUP(L28, $B$3:$F$109, 5, FALSE)</f>
        <v>0</v>
      </c>
      <c r="Q31" s="313" t="s">
        <v>5</v>
      </c>
      <c r="R31" s="309">
        <f>SUM(N31,P31)</f>
        <v>0</v>
      </c>
      <c r="S31" s="294"/>
      <c r="T31" s="300"/>
      <c r="U31" s="304"/>
      <c r="V31" s="289">
        <v>8</v>
      </c>
      <c r="W31" s="310" t="s">
        <v>5</v>
      </c>
      <c r="X31" s="311">
        <f>VLOOKUP(V28, $B$3:$E$109, 4, FALSE)</f>
        <v>0</v>
      </c>
      <c r="Y31" s="310" t="s">
        <v>5</v>
      </c>
      <c r="Z31" s="312">
        <f>VLOOKUP(V28, $B$3:$F$109, 5, FALSE)</f>
        <v>0</v>
      </c>
      <c r="AA31" s="313" t="s">
        <v>5</v>
      </c>
      <c r="AB31" s="309">
        <f>SUM(X31,Z31)</f>
        <v>0</v>
      </c>
      <c r="AD31" s="300"/>
      <c r="AE31" s="304"/>
      <c r="AF31" s="289">
        <v>8</v>
      </c>
      <c r="AG31" s="310" t="s">
        <v>5</v>
      </c>
      <c r="AH31" s="311">
        <f>VLOOKUP(AF28, $B$3:$E$109, 4, FALSE)</f>
        <v>0</v>
      </c>
      <c r="AI31" s="310" t="s">
        <v>5</v>
      </c>
      <c r="AJ31" s="312">
        <f>VLOOKUP(AF28, $B$3:$F$109, 5, FALSE)</f>
        <v>0</v>
      </c>
      <c r="AK31" s="313" t="s">
        <v>5</v>
      </c>
      <c r="AL31" s="309">
        <f>SUM(AH31,AJ31)</f>
        <v>0</v>
      </c>
      <c r="AN31" s="300"/>
      <c r="AO31" s="304"/>
      <c r="AP31" s="289">
        <v>8</v>
      </c>
      <c r="AQ31" s="310" t="s">
        <v>5</v>
      </c>
      <c r="AR31" s="311">
        <f>VLOOKUP(AP28, $B$3:$E$109, 4, FALSE)</f>
        <v>0</v>
      </c>
      <c r="AS31" s="310" t="s">
        <v>5</v>
      </c>
      <c r="AT31" s="312">
        <f>VLOOKUP(AP28, $B$3:$F$109, 5, FALSE)</f>
        <v>0</v>
      </c>
      <c r="AU31" s="313" t="s">
        <v>5</v>
      </c>
      <c r="AV31" s="309">
        <f>SUM(AR31,AT31)</f>
        <v>0</v>
      </c>
      <c r="AX31" s="300"/>
      <c r="AY31" s="304"/>
      <c r="AZ31" s="289">
        <v>8</v>
      </c>
      <c r="BA31" s="310" t="s">
        <v>5</v>
      </c>
      <c r="BB31" s="311">
        <f>VLOOKUP(AZ28, $B$3:$E$109, 4, FALSE)</f>
        <v>0</v>
      </c>
      <c r="BC31" s="310" t="s">
        <v>5</v>
      </c>
      <c r="BD31" s="312">
        <f>VLOOKUP(AZ28, $B$3:$F$109, 5, FALSE)</f>
        <v>0</v>
      </c>
      <c r="BE31" s="313" t="s">
        <v>5</v>
      </c>
      <c r="BF31" s="309">
        <f>SUM(BB31,BD31)</f>
        <v>0</v>
      </c>
      <c r="BH31" s="300"/>
      <c r="BI31" s="304"/>
      <c r="BJ31" s="289">
        <v>8</v>
      </c>
      <c r="BK31" s="310" t="s">
        <v>5</v>
      </c>
      <c r="BL31" s="311">
        <f>VLOOKUP(BJ28, $B$3:$E$109, 4, FALSE)</f>
        <v>0</v>
      </c>
      <c r="BM31" s="310" t="s">
        <v>5</v>
      </c>
      <c r="BN31" s="312">
        <f>VLOOKUP(BJ28, $B$3:$F$109, 5, FALSE)</f>
        <v>0</v>
      </c>
      <c r="BO31" s="313" t="s">
        <v>5</v>
      </c>
      <c r="BP31" s="309">
        <f>SUM(BL31,BN31)</f>
        <v>0</v>
      </c>
    </row>
    <row r="32" spans="2:68" ht="15.75" customHeight="1">
      <c r="B32" s="278">
        <v>42612</v>
      </c>
      <c r="G32" s="150">
        <f t="shared" si="0"/>
        <v>0</v>
      </c>
      <c r="H32" s="150">
        <f t="shared" si="1"/>
        <v>0</v>
      </c>
      <c r="K32" s="304"/>
      <c r="L32" s="303"/>
      <c r="M32" s="659" t="s">
        <v>105</v>
      </c>
      <c r="N32" s="311">
        <f>VLOOKUP(L28, $B$3:$E$109, 2, FALSE)</f>
        <v>0</v>
      </c>
      <c r="O32" s="659" t="s">
        <v>105</v>
      </c>
      <c r="P32" s="312">
        <f>VLOOKUP(L28, $B$3:$E$109, 3, FALSE)</f>
        <v>0</v>
      </c>
      <c r="Q32" s="660" t="s">
        <v>105</v>
      </c>
      <c r="R32" s="309">
        <f>SUM(N32,P32)</f>
        <v>0</v>
      </c>
      <c r="S32" s="294"/>
      <c r="T32" s="300"/>
      <c r="U32" s="304"/>
      <c r="V32" s="303"/>
      <c r="W32" s="659" t="s">
        <v>105</v>
      </c>
      <c r="X32" s="311">
        <f>VLOOKUP(V28, $B$3:$E$109, 2, FALSE)</f>
        <v>0</v>
      </c>
      <c r="Y32" s="659" t="s">
        <v>105</v>
      </c>
      <c r="Z32" s="312">
        <f>VLOOKUP(V28, $B$3:$E$109, 3, FALSE)</f>
        <v>0</v>
      </c>
      <c r="AA32" s="660" t="s">
        <v>105</v>
      </c>
      <c r="AB32" s="309">
        <f>SUM(X32,Z32)</f>
        <v>0</v>
      </c>
      <c r="AD32" s="300"/>
      <c r="AE32" s="304"/>
      <c r="AF32" s="303"/>
      <c r="AG32" s="659" t="s">
        <v>105</v>
      </c>
      <c r="AH32" s="311">
        <f>VLOOKUP(AF28, $B$3:$E$109, 2, FALSE)</f>
        <v>0</v>
      </c>
      <c r="AI32" s="659" t="s">
        <v>105</v>
      </c>
      <c r="AJ32" s="312">
        <f>VLOOKUP(AF28, $B$3:$E$109, 3, FALSE)</f>
        <v>0</v>
      </c>
      <c r="AK32" s="660" t="s">
        <v>105</v>
      </c>
      <c r="AL32" s="309">
        <f>SUM(AH32,AJ32)</f>
        <v>0</v>
      </c>
      <c r="AN32" s="300"/>
      <c r="AO32" s="304"/>
      <c r="AP32" s="303"/>
      <c r="AQ32" s="659" t="s">
        <v>105</v>
      </c>
      <c r="AR32" s="311">
        <f>VLOOKUP(AP28, $B$3:$E$109, 2, FALSE)</f>
        <v>0</v>
      </c>
      <c r="AS32" s="659" t="s">
        <v>105</v>
      </c>
      <c r="AT32" s="312">
        <f>VLOOKUP(AP28, $B$3:$E$109, 3, FALSE)</f>
        <v>0</v>
      </c>
      <c r="AU32" s="660" t="s">
        <v>105</v>
      </c>
      <c r="AV32" s="309">
        <f>SUM(AR32,AT32)</f>
        <v>0</v>
      </c>
      <c r="AX32" s="300"/>
      <c r="AY32" s="304"/>
      <c r="AZ32" s="303"/>
      <c r="BA32" s="659" t="s">
        <v>105</v>
      </c>
      <c r="BB32" s="311">
        <f>VLOOKUP(AZ28, $B$3:$E$109, 2, FALSE)</f>
        <v>0</v>
      </c>
      <c r="BC32" s="659" t="s">
        <v>105</v>
      </c>
      <c r="BD32" s="312">
        <f>VLOOKUP(AZ28, $B$3:$E$109, 3, FALSE)</f>
        <v>0</v>
      </c>
      <c r="BE32" s="660" t="s">
        <v>105</v>
      </c>
      <c r="BF32" s="309">
        <f>SUM(BB32,BD32)</f>
        <v>0</v>
      </c>
      <c r="BH32" s="300"/>
      <c r="BI32" s="304"/>
      <c r="BJ32" s="303"/>
      <c r="BK32" s="659" t="s">
        <v>105</v>
      </c>
      <c r="BL32" s="311">
        <f>VLOOKUP(BJ28, $B$3:$E$109, 2, FALSE)</f>
        <v>0</v>
      </c>
      <c r="BM32" s="659" t="s">
        <v>105</v>
      </c>
      <c r="BN32" s="312">
        <f>VLOOKUP(BJ28, $B$3:$E$109, 3, FALSE)</f>
        <v>0</v>
      </c>
      <c r="BO32" s="660" t="s">
        <v>105</v>
      </c>
      <c r="BP32" s="309">
        <f>SUM(BL32,BN32)</f>
        <v>0</v>
      </c>
    </row>
    <row r="33" spans="2:68" ht="12.75" customHeight="1">
      <c r="B33" s="278">
        <v>42613</v>
      </c>
      <c r="G33" s="150">
        <f>C33+D33</f>
        <v>0</v>
      </c>
      <c r="H33" s="150">
        <f>E33+F33</f>
        <v>0</v>
      </c>
      <c r="K33" s="700" t="s">
        <v>157</v>
      </c>
      <c r="L33" s="701"/>
      <c r="M33" s="660"/>
      <c r="N33" s="305"/>
      <c r="O33" s="659"/>
      <c r="P33" s="305"/>
      <c r="Q33" s="660"/>
      <c r="R33" s="305"/>
      <c r="S33" s="156"/>
      <c r="T33" s="300"/>
      <c r="U33" s="700" t="s">
        <v>157</v>
      </c>
      <c r="V33" s="701"/>
      <c r="W33" s="660"/>
      <c r="X33" s="305"/>
      <c r="Y33" s="659"/>
      <c r="Z33" s="305"/>
      <c r="AA33" s="660"/>
      <c r="AB33" s="305"/>
      <c r="AD33" s="300"/>
      <c r="AE33" s="700" t="s">
        <v>157</v>
      </c>
      <c r="AF33" s="701"/>
      <c r="AG33" s="660"/>
      <c r="AH33" s="305"/>
      <c r="AI33" s="659"/>
      <c r="AJ33" s="305"/>
      <c r="AK33" s="660"/>
      <c r="AL33" s="305"/>
      <c r="AN33" s="300"/>
      <c r="AO33" s="700" t="s">
        <v>157</v>
      </c>
      <c r="AP33" s="701"/>
      <c r="AQ33" s="660"/>
      <c r="AR33" s="305"/>
      <c r="AS33" s="659"/>
      <c r="AT33" s="305"/>
      <c r="AU33" s="660"/>
      <c r="AV33" s="305"/>
      <c r="AX33" s="300"/>
      <c r="AY33" s="700" t="s">
        <v>157</v>
      </c>
      <c r="AZ33" s="701"/>
      <c r="BA33" s="660"/>
      <c r="BB33" s="305"/>
      <c r="BC33" s="659"/>
      <c r="BD33" s="305"/>
      <c r="BE33" s="660"/>
      <c r="BF33" s="305"/>
      <c r="BH33" s="300"/>
      <c r="BI33" s="700" t="s">
        <v>157</v>
      </c>
      <c r="BJ33" s="701"/>
      <c r="BK33" s="660"/>
      <c r="BL33" s="305"/>
      <c r="BM33" s="659"/>
      <c r="BN33" s="305"/>
      <c r="BO33" s="660"/>
      <c r="BP33" s="305"/>
    </row>
    <row r="34" spans="2:68" ht="15.75">
      <c r="B34" s="278">
        <v>42614</v>
      </c>
      <c r="G34" s="150">
        <f>C34+D34</f>
        <v>0</v>
      </c>
      <c r="H34" s="150">
        <f>E34+F34</f>
        <v>0</v>
      </c>
      <c r="K34" s="384"/>
      <c r="L34" s="314">
        <f>R30*13</f>
        <v>0</v>
      </c>
      <c r="M34" s="425"/>
      <c r="N34" s="305"/>
      <c r="O34" s="316"/>
      <c r="P34" s="305"/>
      <c r="Q34" s="426"/>
      <c r="R34" s="305"/>
      <c r="S34" s="156"/>
      <c r="T34" s="300"/>
      <c r="U34" s="384"/>
      <c r="V34" s="314">
        <f>AB30*13</f>
        <v>0</v>
      </c>
      <c r="W34" s="425"/>
      <c r="X34" s="305"/>
      <c r="Y34" s="316"/>
      <c r="Z34" s="305"/>
      <c r="AA34" s="426"/>
      <c r="AB34" s="305"/>
      <c r="AD34" s="300"/>
      <c r="AE34" s="384"/>
      <c r="AF34" s="314">
        <f>AL30*13</f>
        <v>0</v>
      </c>
      <c r="AG34" s="425"/>
      <c r="AH34" s="305"/>
      <c r="AI34" s="316"/>
      <c r="AJ34" s="305"/>
      <c r="AK34" s="426"/>
      <c r="AL34" s="305"/>
      <c r="AN34" s="300"/>
      <c r="AO34" s="384"/>
      <c r="AP34" s="314">
        <f>AV30*13</f>
        <v>0</v>
      </c>
      <c r="AQ34" s="425"/>
      <c r="AR34" s="305"/>
      <c r="AS34" s="316"/>
      <c r="AT34" s="305"/>
      <c r="AU34" s="426"/>
      <c r="AV34" s="305"/>
      <c r="AX34" s="300"/>
      <c r="AY34" s="384"/>
      <c r="AZ34" s="314">
        <f>BF30*13</f>
        <v>0</v>
      </c>
      <c r="BA34" s="425"/>
      <c r="BB34" s="305"/>
      <c r="BC34" s="316"/>
      <c r="BD34" s="305"/>
      <c r="BE34" s="426"/>
      <c r="BF34" s="305"/>
      <c r="BH34" s="300"/>
      <c r="BI34" s="384"/>
      <c r="BJ34" s="314">
        <f>BP30*13</f>
        <v>0</v>
      </c>
      <c r="BK34" s="425"/>
      <c r="BL34" s="305"/>
      <c r="BM34" s="316"/>
      <c r="BN34" s="305"/>
      <c r="BO34" s="426"/>
      <c r="BP34" s="305"/>
    </row>
    <row r="35" spans="2:68" ht="18.75">
      <c r="B35" s="278">
        <v>42615</v>
      </c>
      <c r="G35" s="150">
        <f>C35+D35</f>
        <v>0</v>
      </c>
      <c r="H35" s="150">
        <f>E35+F35</f>
        <v>0</v>
      </c>
      <c r="K35" s="304"/>
      <c r="L35" s="385"/>
      <c r="M35" s="286" t="s">
        <v>97</v>
      </c>
      <c r="N35" s="287" t="e">
        <f>N32/((N30*EFFICIENCY!$H$28))</f>
        <v>#DIV/0!</v>
      </c>
      <c r="O35" s="286" t="s">
        <v>97</v>
      </c>
      <c r="P35" s="287" t="e">
        <f>P32/(P30*EFFICIENCY!$H$28)</f>
        <v>#DIV/0!</v>
      </c>
      <c r="Q35" s="286" t="s">
        <v>97</v>
      </c>
      <c r="R35" s="287" t="e">
        <f>R32/(R30*EFFICIENCY!$H$28)</f>
        <v>#DIV/0!</v>
      </c>
      <c r="S35" s="295"/>
      <c r="T35" s="300"/>
      <c r="U35" s="304"/>
      <c r="V35" s="385"/>
      <c r="W35" s="286" t="s">
        <v>97</v>
      </c>
      <c r="X35" s="287" t="e">
        <f>X32/((X30*EFFICIENCY!$H$28))</f>
        <v>#DIV/0!</v>
      </c>
      <c r="Y35" s="286" t="s">
        <v>97</v>
      </c>
      <c r="Z35" s="287" t="e">
        <f>Z32/(Z30*EFFICIENCY!$H$28)</f>
        <v>#DIV/0!</v>
      </c>
      <c r="AA35" s="286" t="s">
        <v>97</v>
      </c>
      <c r="AB35" s="287" t="e">
        <f>AB32/(AB30*EFFICIENCY!$H$28)</f>
        <v>#DIV/0!</v>
      </c>
      <c r="AD35" s="300"/>
      <c r="AE35" s="304"/>
      <c r="AF35" s="385"/>
      <c r="AG35" s="286" t="s">
        <v>97</v>
      </c>
      <c r="AH35" s="287" t="e">
        <f>AH32/((AH30*EFFICIENCY!$H$28))</f>
        <v>#DIV/0!</v>
      </c>
      <c r="AI35" s="286" t="s">
        <v>97</v>
      </c>
      <c r="AJ35" s="287" t="e">
        <f>AJ32/(AJ30*EFFICIENCY!$H$28)</f>
        <v>#DIV/0!</v>
      </c>
      <c r="AK35" s="286" t="s">
        <v>97</v>
      </c>
      <c r="AL35" s="287" t="e">
        <f>AL32/(AL30*EFFICIENCY!$H$28)</f>
        <v>#DIV/0!</v>
      </c>
      <c r="AN35" s="300"/>
      <c r="AO35" s="304"/>
      <c r="AP35" s="385"/>
      <c r="AQ35" s="286" t="s">
        <v>97</v>
      </c>
      <c r="AR35" s="287" t="e">
        <f>AR32/((AR30*EFFICIENCY!$H$28))</f>
        <v>#DIV/0!</v>
      </c>
      <c r="AS35" s="286" t="s">
        <v>97</v>
      </c>
      <c r="AT35" s="287" t="e">
        <f>AT32/(AT30*EFFICIENCY!$H$28)</f>
        <v>#DIV/0!</v>
      </c>
      <c r="AU35" s="286" t="s">
        <v>97</v>
      </c>
      <c r="AV35" s="287" t="e">
        <f>AV32/(AV30*EFFICIENCY!$H$28)</f>
        <v>#DIV/0!</v>
      </c>
      <c r="AX35" s="300"/>
      <c r="AY35" s="304"/>
      <c r="AZ35" s="385"/>
      <c r="BA35" s="286" t="s">
        <v>97</v>
      </c>
      <c r="BB35" s="287" t="e">
        <f>BB32/((BB30*EFFICIENCY!$H$28))</f>
        <v>#DIV/0!</v>
      </c>
      <c r="BC35" s="286" t="s">
        <v>97</v>
      </c>
      <c r="BD35" s="287" t="e">
        <f>BD32/(BD30*EFFICIENCY!$H$28)</f>
        <v>#DIV/0!</v>
      </c>
      <c r="BE35" s="286" t="s">
        <v>97</v>
      </c>
      <c r="BF35" s="287" t="e">
        <f>BF32/(BF30*EFFICIENCY!$H$28)</f>
        <v>#DIV/0!</v>
      </c>
      <c r="BH35" s="300"/>
      <c r="BI35" s="304"/>
      <c r="BJ35" s="385"/>
      <c r="BK35" s="286" t="s">
        <v>97</v>
      </c>
      <c r="BL35" s="287" t="e">
        <f>BL32/((BL30*EFFICIENCY!$H$28))</f>
        <v>#DIV/0!</v>
      </c>
      <c r="BM35" s="286" t="s">
        <v>97</v>
      </c>
      <c r="BN35" s="287" t="e">
        <f>BN32/(BN30*EFFICIENCY!$H$28)</f>
        <v>#DIV/0!</v>
      </c>
      <c r="BO35" s="286" t="s">
        <v>97</v>
      </c>
      <c r="BP35" s="287" t="e">
        <f>BP32/(BP30*EFFICIENCY!$H$28)</f>
        <v>#DIV/0!</v>
      </c>
    </row>
    <row r="36" spans="2:68" ht="18.75">
      <c r="B36" s="278">
        <v>42616</v>
      </c>
      <c r="G36" s="150">
        <f>C36+D36</f>
        <v>0</v>
      </c>
      <c r="H36" s="150">
        <f>E36+F36</f>
        <v>0</v>
      </c>
      <c r="K36" s="304"/>
      <c r="L36" s="303"/>
      <c r="M36" s="280" t="s">
        <v>96</v>
      </c>
      <c r="N36" s="281" t="e">
        <f>N32/(N30*EFFICIENCY!$I$28)</f>
        <v>#DIV/0!</v>
      </c>
      <c r="O36" s="280" t="s">
        <v>96</v>
      </c>
      <c r="P36" s="281" t="e">
        <f>P32/(P30*EFFICIENCY!$I$28)</f>
        <v>#DIV/0!</v>
      </c>
      <c r="Q36" s="280" t="s">
        <v>96</v>
      </c>
      <c r="R36" s="281" t="e">
        <f>R32/(R30*EFFICIENCY!$I$28)</f>
        <v>#DIV/0!</v>
      </c>
      <c r="S36" s="296"/>
      <c r="T36" s="300"/>
      <c r="U36" s="304"/>
      <c r="V36" s="303"/>
      <c r="W36" s="280" t="s">
        <v>96</v>
      </c>
      <c r="X36" s="281" t="e">
        <f>X32/(X30*EFFICIENCY!$I$28)</f>
        <v>#DIV/0!</v>
      </c>
      <c r="Y36" s="280" t="s">
        <v>96</v>
      </c>
      <c r="Z36" s="281" t="e">
        <f>Z32/(Z30*EFFICIENCY!$I$28)</f>
        <v>#DIV/0!</v>
      </c>
      <c r="AA36" s="280" t="s">
        <v>96</v>
      </c>
      <c r="AB36" s="281" t="e">
        <f>AB32/(AB30*EFFICIENCY!$I$28)</f>
        <v>#DIV/0!</v>
      </c>
      <c r="AD36" s="300"/>
      <c r="AE36" s="304"/>
      <c r="AF36" s="303"/>
      <c r="AG36" s="280" t="s">
        <v>96</v>
      </c>
      <c r="AH36" s="281" t="e">
        <f>AH32/(AH30*EFFICIENCY!$I$28)</f>
        <v>#DIV/0!</v>
      </c>
      <c r="AI36" s="280" t="s">
        <v>96</v>
      </c>
      <c r="AJ36" s="281" t="e">
        <f>AJ32/(AJ30*EFFICIENCY!$I$28)</f>
        <v>#DIV/0!</v>
      </c>
      <c r="AK36" s="280" t="s">
        <v>96</v>
      </c>
      <c r="AL36" s="281" t="e">
        <f>AL32/(AL30*EFFICIENCY!$I$28)</f>
        <v>#DIV/0!</v>
      </c>
      <c r="AN36" s="300"/>
      <c r="AO36" s="304"/>
      <c r="AP36" s="303"/>
      <c r="AQ36" s="280" t="s">
        <v>96</v>
      </c>
      <c r="AR36" s="281" t="e">
        <f>AR32/(AR30*EFFICIENCY!$I$28)</f>
        <v>#DIV/0!</v>
      </c>
      <c r="AS36" s="280" t="s">
        <v>96</v>
      </c>
      <c r="AT36" s="281" t="e">
        <f>AT32/(AT30*EFFICIENCY!$I$28)</f>
        <v>#DIV/0!</v>
      </c>
      <c r="AU36" s="280" t="s">
        <v>96</v>
      </c>
      <c r="AV36" s="281" t="e">
        <f>AV32/(AV30*EFFICIENCY!$I$28)</f>
        <v>#DIV/0!</v>
      </c>
      <c r="AX36" s="300"/>
      <c r="AY36" s="304"/>
      <c r="AZ36" s="303"/>
      <c r="BA36" s="280" t="s">
        <v>96</v>
      </c>
      <c r="BB36" s="281" t="e">
        <f>BB32/(BB30*EFFICIENCY!$I$28)</f>
        <v>#DIV/0!</v>
      </c>
      <c r="BC36" s="280" t="s">
        <v>96</v>
      </c>
      <c r="BD36" s="281" t="e">
        <f>BD32/(BD30*EFFICIENCY!$I$28)</f>
        <v>#DIV/0!</v>
      </c>
      <c r="BE36" s="280" t="s">
        <v>96</v>
      </c>
      <c r="BF36" s="281" t="e">
        <f>BF32/(BF30*EFFICIENCY!$I$28)</f>
        <v>#DIV/0!</v>
      </c>
      <c r="BH36" s="300"/>
      <c r="BI36" s="304"/>
      <c r="BJ36" s="303"/>
      <c r="BK36" s="280" t="s">
        <v>96</v>
      </c>
      <c r="BL36" s="281" t="e">
        <f>BL32/(BL30*EFFICIENCY!$I$28)</f>
        <v>#DIV/0!</v>
      </c>
      <c r="BM36" s="280" t="s">
        <v>96</v>
      </c>
      <c r="BN36" s="281" t="e">
        <f>BN32/(BN30*EFFICIENCY!$I$28)</f>
        <v>#DIV/0!</v>
      </c>
      <c r="BO36" s="280" t="s">
        <v>96</v>
      </c>
      <c r="BP36" s="281" t="e">
        <f>BP32/(BP30*EFFICIENCY!$I$28)</f>
        <v>#DIV/0!</v>
      </c>
    </row>
    <row r="37" spans="2:68" ht="19.5" customHeight="1" thickBot="1">
      <c r="B37" s="278"/>
      <c r="K37" s="696" t="s">
        <v>156</v>
      </c>
      <c r="L37" s="697"/>
      <c r="M37" s="284" t="s">
        <v>94</v>
      </c>
      <c r="N37" s="285" t="e">
        <f>N32/((N30*EFFICIENCY!$K$28))</f>
        <v>#DIV/0!</v>
      </c>
      <c r="O37" s="288" t="s">
        <v>94</v>
      </c>
      <c r="P37" s="285" t="e">
        <f>P32/((P30*EFFICIENCY!$K$28))</f>
        <v>#DIV/0!</v>
      </c>
      <c r="Q37" s="284" t="s">
        <v>94</v>
      </c>
      <c r="R37" s="285" t="e">
        <f>R32/((R30*EFFICIENCY!$K$28))</f>
        <v>#DIV/0!</v>
      </c>
      <c r="S37" s="297"/>
      <c r="T37" s="300"/>
      <c r="U37" s="696" t="s">
        <v>156</v>
      </c>
      <c r="V37" s="697"/>
      <c r="W37" s="284" t="s">
        <v>94</v>
      </c>
      <c r="X37" s="285" t="e">
        <f>X32/((X30*EFFICIENCY!$K$28))</f>
        <v>#DIV/0!</v>
      </c>
      <c r="Y37" s="288" t="s">
        <v>94</v>
      </c>
      <c r="Z37" s="285" t="e">
        <f>Z32/((Z30*EFFICIENCY!$K$28))</f>
        <v>#DIV/0!</v>
      </c>
      <c r="AA37" s="284" t="s">
        <v>94</v>
      </c>
      <c r="AB37" s="285" t="e">
        <f>AB32/((AB30*EFFICIENCY!$K$28))</f>
        <v>#DIV/0!</v>
      </c>
      <c r="AD37" s="300"/>
      <c r="AE37" s="696" t="s">
        <v>156</v>
      </c>
      <c r="AF37" s="697"/>
      <c r="AG37" s="284" t="s">
        <v>94</v>
      </c>
      <c r="AH37" s="285" t="e">
        <f>AH32/((AH30*EFFICIENCY!$K$28))</f>
        <v>#DIV/0!</v>
      </c>
      <c r="AI37" s="288" t="s">
        <v>94</v>
      </c>
      <c r="AJ37" s="285" t="e">
        <f>AJ32/((AJ30*EFFICIENCY!$K$28))</f>
        <v>#DIV/0!</v>
      </c>
      <c r="AK37" s="284" t="s">
        <v>94</v>
      </c>
      <c r="AL37" s="285" t="e">
        <f>AL32/((AL30*EFFICIENCY!$K$28))</f>
        <v>#DIV/0!</v>
      </c>
      <c r="AN37" s="300"/>
      <c r="AO37" s="696" t="s">
        <v>156</v>
      </c>
      <c r="AP37" s="697"/>
      <c r="AQ37" s="284" t="s">
        <v>94</v>
      </c>
      <c r="AR37" s="285" t="e">
        <f>AR32/((AR30*EFFICIENCY!$K$28))</f>
        <v>#DIV/0!</v>
      </c>
      <c r="AS37" s="288" t="s">
        <v>94</v>
      </c>
      <c r="AT37" s="285" t="e">
        <f>AT32/((AT30*EFFICIENCY!$K$28))</f>
        <v>#DIV/0!</v>
      </c>
      <c r="AU37" s="284" t="s">
        <v>94</v>
      </c>
      <c r="AV37" s="285" t="e">
        <f>AV32/((AV30*EFFICIENCY!$K$28))</f>
        <v>#DIV/0!</v>
      </c>
      <c r="AX37" s="300"/>
      <c r="AY37" s="696" t="s">
        <v>156</v>
      </c>
      <c r="AZ37" s="697"/>
      <c r="BA37" s="284" t="s">
        <v>94</v>
      </c>
      <c r="BB37" s="285" t="e">
        <f>BB32/((BB30*EFFICIENCY!$K$28))</f>
        <v>#DIV/0!</v>
      </c>
      <c r="BC37" s="288" t="s">
        <v>94</v>
      </c>
      <c r="BD37" s="285" t="e">
        <f>BD32/((BD30*EFFICIENCY!$K$28))</f>
        <v>#DIV/0!</v>
      </c>
      <c r="BE37" s="284" t="s">
        <v>94</v>
      </c>
      <c r="BF37" s="285" t="e">
        <f>BF32/((BF30*EFFICIENCY!$K$28))</f>
        <v>#DIV/0!</v>
      </c>
      <c r="BH37" s="300"/>
      <c r="BI37" s="696" t="s">
        <v>156</v>
      </c>
      <c r="BJ37" s="697"/>
      <c r="BK37" s="284" t="s">
        <v>94</v>
      </c>
      <c r="BL37" s="285" t="e">
        <f>BL32/((BL30*EFFICIENCY!$K$28))</f>
        <v>#DIV/0!</v>
      </c>
      <c r="BM37" s="288" t="s">
        <v>94</v>
      </c>
      <c r="BN37" s="285" t="e">
        <f>BN32/((BN30*EFFICIENCY!$K$28))</f>
        <v>#DIV/0!</v>
      </c>
      <c r="BO37" s="284" t="s">
        <v>94</v>
      </c>
      <c r="BP37" s="285" t="e">
        <f>BP32/((BP30*EFFICIENCY!$K$28))</f>
        <v>#DIV/0!</v>
      </c>
    </row>
    <row r="38" spans="2:68" ht="16.5" thickBot="1">
      <c r="K38" s="386"/>
      <c r="L38" s="387" t="e">
        <f>R32/R30</f>
        <v>#DIV/0!</v>
      </c>
      <c r="M38" s="637" t="s">
        <v>153</v>
      </c>
      <c r="N38" s="638"/>
      <c r="O38" s="290"/>
      <c r="P38" s="421"/>
      <c r="Q38" s="421" t="s">
        <v>154</v>
      </c>
      <c r="R38" s="319">
        <f>O38-R32</f>
        <v>0</v>
      </c>
      <c r="S38" s="298"/>
      <c r="T38" s="300"/>
      <c r="U38" s="386"/>
      <c r="V38" s="387" t="e">
        <f>AB32/AB30</f>
        <v>#DIV/0!</v>
      </c>
      <c r="W38" s="637" t="s">
        <v>153</v>
      </c>
      <c r="X38" s="638"/>
      <c r="Y38" s="290"/>
      <c r="Z38" s="421"/>
      <c r="AA38" s="421" t="s">
        <v>154</v>
      </c>
      <c r="AB38" s="319">
        <f>Y38-AB32</f>
        <v>0</v>
      </c>
      <c r="AD38" s="300"/>
      <c r="AE38" s="386"/>
      <c r="AF38" s="387" t="e">
        <f>AL32/AL30</f>
        <v>#DIV/0!</v>
      </c>
      <c r="AG38" s="637" t="s">
        <v>153</v>
      </c>
      <c r="AH38" s="638"/>
      <c r="AI38" s="290"/>
      <c r="AJ38" s="421"/>
      <c r="AK38" s="421" t="s">
        <v>154</v>
      </c>
      <c r="AL38" s="319">
        <f>AI38-AL32</f>
        <v>0</v>
      </c>
      <c r="AN38" s="300"/>
      <c r="AO38" s="386"/>
      <c r="AP38" s="387" t="e">
        <f>AV32/AV30</f>
        <v>#DIV/0!</v>
      </c>
      <c r="AQ38" s="637" t="s">
        <v>153</v>
      </c>
      <c r="AR38" s="638"/>
      <c r="AS38" s="290"/>
      <c r="AT38" s="421"/>
      <c r="AU38" s="421" t="s">
        <v>154</v>
      </c>
      <c r="AV38" s="319">
        <f>AS38-AV32</f>
        <v>0</v>
      </c>
      <c r="AX38" s="300"/>
      <c r="AY38" s="386"/>
      <c r="AZ38" s="387" t="e">
        <f>BF32/BF30</f>
        <v>#DIV/0!</v>
      </c>
      <c r="BA38" s="637" t="s">
        <v>153</v>
      </c>
      <c r="BB38" s="638"/>
      <c r="BC38" s="290"/>
      <c r="BD38" s="421"/>
      <c r="BE38" s="421" t="s">
        <v>154</v>
      </c>
      <c r="BF38" s="319">
        <f>BC38-BF32</f>
        <v>0</v>
      </c>
      <c r="BH38" s="300"/>
      <c r="BI38" s="386"/>
      <c r="BJ38" s="387" t="e">
        <f>BP32/BP30</f>
        <v>#DIV/0!</v>
      </c>
      <c r="BK38" s="637" t="s">
        <v>153</v>
      </c>
      <c r="BL38" s="638"/>
      <c r="BM38" s="290"/>
      <c r="BN38" s="421"/>
      <c r="BO38" s="421" t="s">
        <v>154</v>
      </c>
      <c r="BP38" s="319">
        <f>BM38-BP32</f>
        <v>0</v>
      </c>
    </row>
    <row r="39" spans="2:68">
      <c r="T39" s="300"/>
      <c r="AD39" s="300"/>
      <c r="AN39" s="300"/>
      <c r="AX39" s="300"/>
      <c r="BH39" s="300"/>
    </row>
    <row r="40" spans="2:68" ht="13.5" thickBot="1">
      <c r="K40" s="291"/>
      <c r="L40" s="291"/>
      <c r="M40" s="291"/>
      <c r="N40" s="291"/>
      <c r="O40" s="291"/>
      <c r="P40" s="291"/>
      <c r="Q40" s="291"/>
      <c r="R40" s="291"/>
      <c r="S40" s="299"/>
      <c r="T40" s="301"/>
      <c r="U40" s="291"/>
      <c r="V40" s="291"/>
      <c r="W40" s="291"/>
      <c r="X40" s="291"/>
      <c r="Y40" s="291"/>
      <c r="Z40" s="291"/>
      <c r="AA40" s="291"/>
      <c r="AB40" s="291"/>
      <c r="AC40" s="291"/>
      <c r="AD40" s="301"/>
      <c r="AE40" s="291"/>
      <c r="AF40" s="291"/>
      <c r="AG40" s="291"/>
      <c r="AH40" s="291"/>
      <c r="AI40" s="291"/>
      <c r="AJ40" s="291"/>
      <c r="AK40" s="291"/>
      <c r="AL40" s="291"/>
      <c r="AM40" s="291"/>
      <c r="AN40" s="301"/>
      <c r="AO40" s="291"/>
      <c r="AP40" s="291"/>
      <c r="AQ40" s="291"/>
      <c r="AR40" s="291"/>
      <c r="AS40" s="291"/>
      <c r="AT40" s="291"/>
      <c r="AU40" s="291"/>
      <c r="AV40" s="291"/>
      <c r="AW40" s="291"/>
      <c r="AX40" s="301"/>
      <c r="AY40" s="291"/>
      <c r="AZ40" s="291"/>
      <c r="BA40" s="291"/>
      <c r="BB40" s="291"/>
      <c r="BC40" s="291"/>
      <c r="BD40" s="291"/>
      <c r="BE40" s="291"/>
      <c r="BF40" s="291"/>
      <c r="BG40" s="291"/>
      <c r="BH40" s="301"/>
      <c r="BI40" s="291"/>
      <c r="BJ40" s="291"/>
      <c r="BK40" s="291"/>
      <c r="BL40" s="291"/>
      <c r="BM40" s="291"/>
      <c r="BN40" s="291"/>
      <c r="BO40" s="291"/>
      <c r="BP40" s="291"/>
    </row>
    <row r="41" spans="2:68" ht="15.75" thickBot="1">
      <c r="K41" s="388" t="s">
        <v>7</v>
      </c>
      <c r="L41" s="535">
        <f>B24</f>
        <v>42604</v>
      </c>
      <c r="M41" s="639" t="s">
        <v>100</v>
      </c>
      <c r="N41" s="640"/>
      <c r="O41" s="641" t="s">
        <v>99</v>
      </c>
      <c r="P41" s="642"/>
      <c r="Q41" s="643" t="s">
        <v>16</v>
      </c>
      <c r="R41" s="644"/>
      <c r="S41" s="293"/>
      <c r="T41" s="300"/>
      <c r="U41" s="388" t="s">
        <v>7</v>
      </c>
      <c r="V41" s="535">
        <f>B25</f>
        <v>42605</v>
      </c>
      <c r="W41" s="639" t="s">
        <v>100</v>
      </c>
      <c r="X41" s="640"/>
      <c r="Y41" s="641" t="s">
        <v>99</v>
      </c>
      <c r="Z41" s="642"/>
      <c r="AA41" s="643" t="s">
        <v>16</v>
      </c>
      <c r="AB41" s="644"/>
      <c r="AC41" s="154"/>
      <c r="AD41" s="300"/>
      <c r="AE41" s="388" t="s">
        <v>7</v>
      </c>
      <c r="AF41" s="535">
        <f>B26</f>
        <v>42606</v>
      </c>
      <c r="AG41" s="639" t="s">
        <v>100</v>
      </c>
      <c r="AH41" s="640"/>
      <c r="AI41" s="641" t="s">
        <v>99</v>
      </c>
      <c r="AJ41" s="642"/>
      <c r="AK41" s="643" t="s">
        <v>16</v>
      </c>
      <c r="AL41" s="644"/>
      <c r="AM41" s="154"/>
      <c r="AN41" s="300"/>
      <c r="AO41" s="388" t="s">
        <v>7</v>
      </c>
      <c r="AP41" s="535">
        <f>B27</f>
        <v>42607</v>
      </c>
      <c r="AQ41" s="639" t="s">
        <v>100</v>
      </c>
      <c r="AR41" s="640"/>
      <c r="AS41" s="641" t="s">
        <v>99</v>
      </c>
      <c r="AT41" s="642"/>
      <c r="AU41" s="643" t="s">
        <v>16</v>
      </c>
      <c r="AV41" s="644"/>
      <c r="AW41" s="154"/>
      <c r="AX41" s="300"/>
      <c r="AY41" s="388" t="s">
        <v>7</v>
      </c>
      <c r="AZ41" s="535">
        <f>B28</f>
        <v>42608</v>
      </c>
      <c r="BA41" s="639" t="s">
        <v>100</v>
      </c>
      <c r="BB41" s="640"/>
      <c r="BC41" s="641" t="s">
        <v>99</v>
      </c>
      <c r="BD41" s="642"/>
      <c r="BE41" s="643" t="s">
        <v>16</v>
      </c>
      <c r="BF41" s="644"/>
      <c r="BG41" s="154"/>
      <c r="BH41" s="300"/>
      <c r="BI41" s="388" t="s">
        <v>7</v>
      </c>
      <c r="BJ41" s="535">
        <f>B29</f>
        <v>42609</v>
      </c>
      <c r="BK41" s="639" t="s">
        <v>100</v>
      </c>
      <c r="BL41" s="640"/>
      <c r="BM41" s="641" t="s">
        <v>99</v>
      </c>
      <c r="BN41" s="642"/>
      <c r="BO41" s="643" t="s">
        <v>16</v>
      </c>
      <c r="BP41" s="644"/>
    </row>
    <row r="42" spans="2:68" ht="13.5" thickBot="1">
      <c r="K42" s="321"/>
      <c r="L42" s="320"/>
      <c r="M42" s="321"/>
      <c r="N42" s="322"/>
      <c r="O42" s="321"/>
      <c r="P42" s="322"/>
      <c r="Q42" s="320"/>
      <c r="R42" s="322"/>
      <c r="S42" s="156"/>
      <c r="T42" s="300"/>
      <c r="U42" s="321"/>
      <c r="V42" s="320"/>
      <c r="W42" s="321"/>
      <c r="X42" s="322"/>
      <c r="Y42" s="321"/>
      <c r="Z42" s="322"/>
      <c r="AA42" s="320"/>
      <c r="AB42" s="322"/>
      <c r="AC42" s="154"/>
      <c r="AD42" s="300"/>
      <c r="AE42" s="321"/>
      <c r="AF42" s="320"/>
      <c r="AG42" s="321"/>
      <c r="AH42" s="322"/>
      <c r="AI42" s="321"/>
      <c r="AJ42" s="322"/>
      <c r="AK42" s="320"/>
      <c r="AL42" s="322"/>
      <c r="AM42" s="154"/>
      <c r="AN42" s="300"/>
      <c r="AO42" s="321"/>
      <c r="AP42" s="320"/>
      <c r="AQ42" s="321"/>
      <c r="AR42" s="322"/>
      <c r="AS42" s="321"/>
      <c r="AT42" s="322"/>
      <c r="AU42" s="320"/>
      <c r="AV42" s="322"/>
      <c r="AW42" s="154"/>
      <c r="AX42" s="300"/>
      <c r="AY42" s="321"/>
      <c r="AZ42" s="320"/>
      <c r="BA42" s="321"/>
      <c r="BB42" s="322"/>
      <c r="BC42" s="321"/>
      <c r="BD42" s="322"/>
      <c r="BE42" s="320"/>
      <c r="BF42" s="322"/>
      <c r="BG42" s="154"/>
      <c r="BH42" s="300"/>
      <c r="BI42" s="321"/>
      <c r="BJ42" s="320"/>
      <c r="BK42" s="321"/>
      <c r="BL42" s="322"/>
      <c r="BM42" s="321"/>
      <c r="BN42" s="322"/>
      <c r="BO42" s="320"/>
      <c r="BP42" s="322"/>
    </row>
    <row r="43" spans="2:68" ht="16.5" thickBot="1">
      <c r="K43" s="321"/>
      <c r="L43" s="422" t="s">
        <v>155</v>
      </c>
      <c r="M43" s="324" t="s">
        <v>103</v>
      </c>
      <c r="N43" s="279"/>
      <c r="O43" s="324" t="s">
        <v>103</v>
      </c>
      <c r="P43" s="279"/>
      <c r="Q43" s="325" t="s">
        <v>103</v>
      </c>
      <c r="R43" s="326">
        <f>SUM(N43,P43)</f>
        <v>0</v>
      </c>
      <c r="S43" s="294"/>
      <c r="T43" s="300"/>
      <c r="U43" s="321"/>
      <c r="V43" s="422" t="s">
        <v>155</v>
      </c>
      <c r="W43" s="324" t="s">
        <v>103</v>
      </c>
      <c r="X43" s="279"/>
      <c r="Y43" s="324" t="s">
        <v>103</v>
      </c>
      <c r="Z43" s="279"/>
      <c r="AA43" s="325" t="s">
        <v>103</v>
      </c>
      <c r="AB43" s="326">
        <f>SUM(X43,Z43)</f>
        <v>0</v>
      </c>
      <c r="AD43" s="300"/>
      <c r="AE43" s="321"/>
      <c r="AF43" s="422" t="s">
        <v>155</v>
      </c>
      <c r="AG43" s="324" t="s">
        <v>103</v>
      </c>
      <c r="AH43" s="279"/>
      <c r="AI43" s="324" t="s">
        <v>103</v>
      </c>
      <c r="AJ43" s="279"/>
      <c r="AK43" s="325" t="s">
        <v>103</v>
      </c>
      <c r="AL43" s="326">
        <f>SUM(AH43,AJ43)</f>
        <v>0</v>
      </c>
      <c r="AN43" s="300"/>
      <c r="AO43" s="321"/>
      <c r="AP43" s="422" t="s">
        <v>155</v>
      </c>
      <c r="AQ43" s="324" t="s">
        <v>103</v>
      </c>
      <c r="AR43" s="279"/>
      <c r="AS43" s="324" t="s">
        <v>103</v>
      </c>
      <c r="AT43" s="279"/>
      <c r="AU43" s="325" t="s">
        <v>103</v>
      </c>
      <c r="AV43" s="326">
        <f>SUM(AR43,AT43)</f>
        <v>0</v>
      </c>
      <c r="AX43" s="300"/>
      <c r="AY43" s="321"/>
      <c r="AZ43" s="422" t="s">
        <v>155</v>
      </c>
      <c r="BA43" s="324" t="s">
        <v>103</v>
      </c>
      <c r="BB43" s="279"/>
      <c r="BC43" s="324" t="s">
        <v>103</v>
      </c>
      <c r="BD43" s="279"/>
      <c r="BE43" s="325" t="s">
        <v>103</v>
      </c>
      <c r="BF43" s="326">
        <f>SUM(BB43,BD43)</f>
        <v>0</v>
      </c>
      <c r="BH43" s="300"/>
      <c r="BI43" s="321"/>
      <c r="BJ43" s="422" t="s">
        <v>155</v>
      </c>
      <c r="BK43" s="324" t="s">
        <v>103</v>
      </c>
      <c r="BL43" s="279"/>
      <c r="BM43" s="324" t="s">
        <v>103</v>
      </c>
      <c r="BN43" s="279"/>
      <c r="BO43" s="325" t="s">
        <v>103</v>
      </c>
      <c r="BP43" s="326">
        <f>SUM(BL43,BN43)</f>
        <v>0</v>
      </c>
    </row>
    <row r="44" spans="2:68" ht="18.75" thickBot="1">
      <c r="K44" s="321"/>
      <c r="L44" s="289">
        <v>8</v>
      </c>
      <c r="M44" s="327" t="s">
        <v>5</v>
      </c>
      <c r="N44" s="328">
        <f>VLOOKUP(L41, $B$3:$E$109, 4, FALSE)</f>
        <v>0</v>
      </c>
      <c r="O44" s="327" t="s">
        <v>5</v>
      </c>
      <c r="P44" s="329">
        <f>VLOOKUP(L41, $B$3:$F$109, 5, FALSE)</f>
        <v>0</v>
      </c>
      <c r="Q44" s="330" t="s">
        <v>5</v>
      </c>
      <c r="R44" s="326">
        <f>SUM(N44,P44)</f>
        <v>0</v>
      </c>
      <c r="S44" s="294"/>
      <c r="T44" s="300"/>
      <c r="U44" s="321"/>
      <c r="V44" s="289">
        <v>8</v>
      </c>
      <c r="W44" s="327" t="s">
        <v>5</v>
      </c>
      <c r="X44" s="328">
        <f>VLOOKUP(V41, $B$3:$E$109, 4, FALSE)</f>
        <v>0</v>
      </c>
      <c r="Y44" s="327" t="s">
        <v>5</v>
      </c>
      <c r="Z44" s="329">
        <f>VLOOKUP(V41, $B$3:$F$109, 5, FALSE)</f>
        <v>0</v>
      </c>
      <c r="AA44" s="330" t="s">
        <v>5</v>
      </c>
      <c r="AB44" s="326">
        <f>SUM(X44,Z44)</f>
        <v>0</v>
      </c>
      <c r="AD44" s="300"/>
      <c r="AE44" s="321"/>
      <c r="AF44" s="289">
        <v>8</v>
      </c>
      <c r="AG44" s="327" t="s">
        <v>5</v>
      </c>
      <c r="AH44" s="328">
        <f>VLOOKUP(AF41, $B$3:$E$109, 4, FALSE)</f>
        <v>0</v>
      </c>
      <c r="AI44" s="327" t="s">
        <v>5</v>
      </c>
      <c r="AJ44" s="329">
        <f>VLOOKUP(AF41, $B$3:$F$109, 5, FALSE)</f>
        <v>0</v>
      </c>
      <c r="AK44" s="330" t="s">
        <v>5</v>
      </c>
      <c r="AL44" s="326">
        <f>SUM(AH44,AJ44)</f>
        <v>0</v>
      </c>
      <c r="AN44" s="300"/>
      <c r="AO44" s="321"/>
      <c r="AP44" s="289">
        <v>8</v>
      </c>
      <c r="AQ44" s="327" t="s">
        <v>5</v>
      </c>
      <c r="AR44" s="328">
        <f>VLOOKUP(AP41, $B$3:$E$109, 4, FALSE)</f>
        <v>0</v>
      </c>
      <c r="AS44" s="327" t="s">
        <v>5</v>
      </c>
      <c r="AT44" s="329">
        <f>VLOOKUP(AP41, $B$3:$F$109, 5, FALSE)</f>
        <v>0</v>
      </c>
      <c r="AU44" s="330" t="s">
        <v>5</v>
      </c>
      <c r="AV44" s="326">
        <f>SUM(AR44,AT44)</f>
        <v>0</v>
      </c>
      <c r="AX44" s="300"/>
      <c r="AY44" s="321"/>
      <c r="AZ44" s="289">
        <v>8</v>
      </c>
      <c r="BA44" s="327" t="s">
        <v>5</v>
      </c>
      <c r="BB44" s="328">
        <f>VLOOKUP(AZ41, $B$3:$E$109, 4, FALSE)</f>
        <v>0</v>
      </c>
      <c r="BC44" s="327" t="s">
        <v>5</v>
      </c>
      <c r="BD44" s="329">
        <f>VLOOKUP(AZ41, $B$3:$F$109, 5, FALSE)</f>
        <v>0</v>
      </c>
      <c r="BE44" s="330" t="s">
        <v>5</v>
      </c>
      <c r="BF44" s="326">
        <f>SUM(BB44,BD44)</f>
        <v>0</v>
      </c>
      <c r="BH44" s="300"/>
      <c r="BI44" s="321"/>
      <c r="BJ44" s="289">
        <v>8</v>
      </c>
      <c r="BK44" s="327" t="s">
        <v>5</v>
      </c>
      <c r="BL44" s="328">
        <f>VLOOKUP(BJ41, $B$3:$E$109, 4, FALSE)</f>
        <v>0</v>
      </c>
      <c r="BM44" s="327" t="s">
        <v>5</v>
      </c>
      <c r="BN44" s="329">
        <f>VLOOKUP(BJ41, $B$3:$F$109, 5, FALSE)</f>
        <v>0</v>
      </c>
      <c r="BO44" s="330" t="s">
        <v>5</v>
      </c>
      <c r="BP44" s="326">
        <f>SUM(BL44,BN44)</f>
        <v>0</v>
      </c>
    </row>
    <row r="45" spans="2:68" ht="15.75" customHeight="1">
      <c r="K45" s="321"/>
      <c r="L45" s="320"/>
      <c r="M45" s="645" t="s">
        <v>105</v>
      </c>
      <c r="N45" s="328">
        <f>VLOOKUP(L41, $B$3:$E$109, 2, FALSE)</f>
        <v>0</v>
      </c>
      <c r="O45" s="645" t="s">
        <v>105</v>
      </c>
      <c r="P45" s="329">
        <f>VLOOKUP(L41, $B$3:$E$109, 3, FALSE)</f>
        <v>0</v>
      </c>
      <c r="Q45" s="646" t="s">
        <v>105</v>
      </c>
      <c r="R45" s="326">
        <f>SUM(N45,P45)</f>
        <v>0</v>
      </c>
      <c r="S45" s="294"/>
      <c r="T45" s="300"/>
      <c r="U45" s="321"/>
      <c r="V45" s="320"/>
      <c r="W45" s="645" t="s">
        <v>105</v>
      </c>
      <c r="X45" s="328">
        <f>VLOOKUP(V41, $B$3:$E$109, 2, FALSE)</f>
        <v>0</v>
      </c>
      <c r="Y45" s="645" t="s">
        <v>105</v>
      </c>
      <c r="Z45" s="329">
        <f>VLOOKUP(V41, $B$3:$E$109, 3, FALSE)</f>
        <v>0</v>
      </c>
      <c r="AA45" s="646" t="s">
        <v>105</v>
      </c>
      <c r="AB45" s="326">
        <f>SUM(X45,Z45)</f>
        <v>0</v>
      </c>
      <c r="AD45" s="300"/>
      <c r="AE45" s="321"/>
      <c r="AF45" s="320"/>
      <c r="AG45" s="645" t="s">
        <v>105</v>
      </c>
      <c r="AH45" s="328">
        <f>VLOOKUP(AF41, $B$3:$E$109, 2, FALSE)</f>
        <v>0</v>
      </c>
      <c r="AI45" s="645" t="s">
        <v>105</v>
      </c>
      <c r="AJ45" s="329">
        <f>VLOOKUP(AF41, $B$3:$E$109, 3, FALSE)</f>
        <v>0</v>
      </c>
      <c r="AK45" s="646" t="s">
        <v>105</v>
      </c>
      <c r="AL45" s="326">
        <f>SUM(AH45,AJ45)</f>
        <v>0</v>
      </c>
      <c r="AN45" s="300"/>
      <c r="AO45" s="321"/>
      <c r="AP45" s="320"/>
      <c r="AQ45" s="645" t="s">
        <v>105</v>
      </c>
      <c r="AR45" s="328">
        <f>VLOOKUP(AP41, $B$3:$E$109, 2, FALSE)</f>
        <v>0</v>
      </c>
      <c r="AS45" s="645" t="s">
        <v>105</v>
      </c>
      <c r="AT45" s="329">
        <f>VLOOKUP(AP41, $B$3:$E$109, 3, FALSE)</f>
        <v>0</v>
      </c>
      <c r="AU45" s="646" t="s">
        <v>105</v>
      </c>
      <c r="AV45" s="326">
        <f>SUM(AR45,AT45)</f>
        <v>0</v>
      </c>
      <c r="AX45" s="300"/>
      <c r="AY45" s="321"/>
      <c r="AZ45" s="320"/>
      <c r="BA45" s="645" t="s">
        <v>105</v>
      </c>
      <c r="BB45" s="328">
        <f>VLOOKUP(AZ41, $B$3:$E$109, 2, FALSE)</f>
        <v>0</v>
      </c>
      <c r="BC45" s="645" t="s">
        <v>105</v>
      </c>
      <c r="BD45" s="329">
        <f>VLOOKUP(AZ41, $B$3:$E$109, 3, FALSE)</f>
        <v>0</v>
      </c>
      <c r="BE45" s="646" t="s">
        <v>105</v>
      </c>
      <c r="BF45" s="326">
        <f>SUM(BB45,BD45)</f>
        <v>0</v>
      </c>
      <c r="BH45" s="300"/>
      <c r="BI45" s="321"/>
      <c r="BJ45" s="320"/>
      <c r="BK45" s="645" t="s">
        <v>105</v>
      </c>
      <c r="BL45" s="328">
        <f>VLOOKUP(BJ41, $B$3:$E$109, 2, FALSE)</f>
        <v>0</v>
      </c>
      <c r="BM45" s="645" t="s">
        <v>105</v>
      </c>
      <c r="BN45" s="329">
        <f>VLOOKUP(BJ41, $B$3:$E$109, 3, FALSE)</f>
        <v>0</v>
      </c>
      <c r="BO45" s="646" t="s">
        <v>105</v>
      </c>
      <c r="BP45" s="326">
        <f>SUM(BL45,BN45)</f>
        <v>0</v>
      </c>
    </row>
    <row r="46" spans="2:68" ht="12.75" customHeight="1">
      <c r="K46" s="702" t="s">
        <v>157</v>
      </c>
      <c r="L46" s="703"/>
      <c r="M46" s="646"/>
      <c r="N46" s="322"/>
      <c r="O46" s="645"/>
      <c r="P46" s="322"/>
      <c r="Q46" s="646"/>
      <c r="R46" s="322"/>
      <c r="S46" s="156"/>
      <c r="T46" s="300"/>
      <c r="U46" s="702" t="s">
        <v>157</v>
      </c>
      <c r="V46" s="703"/>
      <c r="W46" s="646"/>
      <c r="X46" s="322"/>
      <c r="Y46" s="645"/>
      <c r="Z46" s="322"/>
      <c r="AA46" s="646"/>
      <c r="AB46" s="322"/>
      <c r="AD46" s="300"/>
      <c r="AE46" s="702" t="s">
        <v>157</v>
      </c>
      <c r="AF46" s="703"/>
      <c r="AG46" s="646"/>
      <c r="AH46" s="322"/>
      <c r="AI46" s="645"/>
      <c r="AJ46" s="322"/>
      <c r="AK46" s="646"/>
      <c r="AL46" s="322"/>
      <c r="AN46" s="300"/>
      <c r="AO46" s="702" t="s">
        <v>157</v>
      </c>
      <c r="AP46" s="703"/>
      <c r="AQ46" s="646"/>
      <c r="AR46" s="322"/>
      <c r="AS46" s="645"/>
      <c r="AT46" s="322"/>
      <c r="AU46" s="646"/>
      <c r="AV46" s="322"/>
      <c r="AX46" s="300"/>
      <c r="AY46" s="702" t="s">
        <v>157</v>
      </c>
      <c r="AZ46" s="703"/>
      <c r="BA46" s="646"/>
      <c r="BB46" s="322"/>
      <c r="BC46" s="645"/>
      <c r="BD46" s="322"/>
      <c r="BE46" s="646"/>
      <c r="BF46" s="322"/>
      <c r="BH46" s="300"/>
      <c r="BI46" s="702" t="s">
        <v>157</v>
      </c>
      <c r="BJ46" s="703"/>
      <c r="BK46" s="646"/>
      <c r="BL46" s="322"/>
      <c r="BM46" s="645"/>
      <c r="BN46" s="322"/>
      <c r="BO46" s="646"/>
      <c r="BP46" s="322"/>
    </row>
    <row r="47" spans="2:68" ht="15.75">
      <c r="K47" s="389"/>
      <c r="L47" s="331">
        <f>R43*13</f>
        <v>0</v>
      </c>
      <c r="M47" s="423"/>
      <c r="N47" s="322"/>
      <c r="O47" s="333"/>
      <c r="P47" s="322"/>
      <c r="Q47" s="424"/>
      <c r="R47" s="322"/>
      <c r="S47" s="156"/>
      <c r="T47" s="300"/>
      <c r="U47" s="389"/>
      <c r="V47" s="331">
        <f>AB43*13</f>
        <v>0</v>
      </c>
      <c r="W47" s="423"/>
      <c r="X47" s="322"/>
      <c r="Y47" s="333"/>
      <c r="Z47" s="322"/>
      <c r="AA47" s="424"/>
      <c r="AB47" s="322"/>
      <c r="AD47" s="300"/>
      <c r="AE47" s="389"/>
      <c r="AF47" s="331">
        <f>AL43*13</f>
        <v>0</v>
      </c>
      <c r="AG47" s="423"/>
      <c r="AH47" s="322"/>
      <c r="AI47" s="333"/>
      <c r="AJ47" s="322"/>
      <c r="AK47" s="424"/>
      <c r="AL47" s="322"/>
      <c r="AN47" s="300"/>
      <c r="AO47" s="389"/>
      <c r="AP47" s="331">
        <f>AV43*13</f>
        <v>0</v>
      </c>
      <c r="AQ47" s="423"/>
      <c r="AR47" s="322"/>
      <c r="AS47" s="333"/>
      <c r="AT47" s="322"/>
      <c r="AU47" s="424"/>
      <c r="AV47" s="322"/>
      <c r="AX47" s="300"/>
      <c r="AY47" s="389"/>
      <c r="AZ47" s="331">
        <f>BF43*13</f>
        <v>0</v>
      </c>
      <c r="BA47" s="423"/>
      <c r="BB47" s="322"/>
      <c r="BC47" s="333"/>
      <c r="BD47" s="322"/>
      <c r="BE47" s="424"/>
      <c r="BF47" s="322"/>
      <c r="BH47" s="300"/>
      <c r="BI47" s="389"/>
      <c r="BJ47" s="331">
        <f>BP43*13</f>
        <v>0</v>
      </c>
      <c r="BK47" s="423"/>
      <c r="BL47" s="322"/>
      <c r="BM47" s="333"/>
      <c r="BN47" s="322"/>
      <c r="BO47" s="424"/>
      <c r="BP47" s="322"/>
    </row>
    <row r="48" spans="2:68" ht="18.75">
      <c r="K48" s="321"/>
      <c r="L48" s="390"/>
      <c r="M48" s="286" t="s">
        <v>97</v>
      </c>
      <c r="N48" s="287" t="e">
        <f>N45/((N43*EFFICIENCY!$H$28))</f>
        <v>#DIV/0!</v>
      </c>
      <c r="O48" s="286" t="s">
        <v>97</v>
      </c>
      <c r="P48" s="287" t="e">
        <f>P45/(P43*EFFICIENCY!$H$28)</f>
        <v>#DIV/0!</v>
      </c>
      <c r="Q48" s="286" t="s">
        <v>97</v>
      </c>
      <c r="R48" s="287" t="e">
        <f>R45/(R43*EFFICIENCY!$H$28)</f>
        <v>#DIV/0!</v>
      </c>
      <c r="S48" s="295"/>
      <c r="T48" s="300"/>
      <c r="U48" s="321"/>
      <c r="V48" s="390"/>
      <c r="W48" s="286" t="s">
        <v>97</v>
      </c>
      <c r="X48" s="287" t="e">
        <f>X45/((X43*EFFICIENCY!$H$28))</f>
        <v>#DIV/0!</v>
      </c>
      <c r="Y48" s="286" t="s">
        <v>97</v>
      </c>
      <c r="Z48" s="287" t="e">
        <f>Z45/(Z43*EFFICIENCY!$H$28)</f>
        <v>#DIV/0!</v>
      </c>
      <c r="AA48" s="286" t="s">
        <v>97</v>
      </c>
      <c r="AB48" s="287" t="e">
        <f>AB45/(AB43*EFFICIENCY!$H$28)</f>
        <v>#DIV/0!</v>
      </c>
      <c r="AD48" s="300"/>
      <c r="AE48" s="321"/>
      <c r="AF48" s="390"/>
      <c r="AG48" s="286" t="s">
        <v>97</v>
      </c>
      <c r="AH48" s="287" t="e">
        <f>AH45/((AH43*EFFICIENCY!$H$28))</f>
        <v>#DIV/0!</v>
      </c>
      <c r="AI48" s="286" t="s">
        <v>97</v>
      </c>
      <c r="AJ48" s="287" t="e">
        <f>AJ45/(AJ43*EFFICIENCY!$H$28)</f>
        <v>#DIV/0!</v>
      </c>
      <c r="AK48" s="286" t="s">
        <v>97</v>
      </c>
      <c r="AL48" s="287" t="e">
        <f>AL45/(AL43*EFFICIENCY!$H$28)</f>
        <v>#DIV/0!</v>
      </c>
      <c r="AN48" s="300"/>
      <c r="AO48" s="321"/>
      <c r="AP48" s="390"/>
      <c r="AQ48" s="286" t="s">
        <v>97</v>
      </c>
      <c r="AR48" s="287" t="e">
        <f>AR45/((AR43*EFFICIENCY!$H$28))</f>
        <v>#DIV/0!</v>
      </c>
      <c r="AS48" s="286" t="s">
        <v>97</v>
      </c>
      <c r="AT48" s="287" t="e">
        <f>AT45/(AT43*EFFICIENCY!$H$28)</f>
        <v>#DIV/0!</v>
      </c>
      <c r="AU48" s="286" t="s">
        <v>97</v>
      </c>
      <c r="AV48" s="287" t="e">
        <f>AV45/(AV43*EFFICIENCY!$H$28)</f>
        <v>#DIV/0!</v>
      </c>
      <c r="AX48" s="300"/>
      <c r="AY48" s="321"/>
      <c r="AZ48" s="390"/>
      <c r="BA48" s="286" t="s">
        <v>97</v>
      </c>
      <c r="BB48" s="287" t="e">
        <f>BB45/((BB43*EFFICIENCY!$H$28))</f>
        <v>#DIV/0!</v>
      </c>
      <c r="BC48" s="286" t="s">
        <v>97</v>
      </c>
      <c r="BD48" s="287" t="e">
        <f>BD45/(BD43*EFFICIENCY!$H$28)</f>
        <v>#DIV/0!</v>
      </c>
      <c r="BE48" s="286" t="s">
        <v>97</v>
      </c>
      <c r="BF48" s="287" t="e">
        <f>BF45/(BF43*EFFICIENCY!$H$28)</f>
        <v>#DIV/0!</v>
      </c>
      <c r="BH48" s="300"/>
      <c r="BI48" s="321"/>
      <c r="BJ48" s="390"/>
      <c r="BK48" s="286" t="s">
        <v>97</v>
      </c>
      <c r="BL48" s="287" t="e">
        <f>BL45/((BL43*EFFICIENCY!$H$28))</f>
        <v>#DIV/0!</v>
      </c>
      <c r="BM48" s="286" t="s">
        <v>97</v>
      </c>
      <c r="BN48" s="287" t="e">
        <f>BN45/(BN43*EFFICIENCY!$H$28)</f>
        <v>#DIV/0!</v>
      </c>
      <c r="BO48" s="286" t="s">
        <v>97</v>
      </c>
      <c r="BP48" s="287" t="e">
        <f>BP45/(BP43*EFFICIENCY!$H$28)</f>
        <v>#DIV/0!</v>
      </c>
    </row>
    <row r="49" spans="10:68" ht="18.75">
      <c r="K49" s="321"/>
      <c r="L49" s="320"/>
      <c r="M49" s="280" t="s">
        <v>96</v>
      </c>
      <c r="N49" s="281" t="e">
        <f>N45/(N43*EFFICIENCY!$I$28)</f>
        <v>#DIV/0!</v>
      </c>
      <c r="O49" s="280" t="s">
        <v>96</v>
      </c>
      <c r="P49" s="281" t="e">
        <f>P45/(P43*EFFICIENCY!$I$28)</f>
        <v>#DIV/0!</v>
      </c>
      <c r="Q49" s="280" t="s">
        <v>96</v>
      </c>
      <c r="R49" s="281" t="e">
        <f>R45/(R43*EFFICIENCY!$I$28)</f>
        <v>#DIV/0!</v>
      </c>
      <c r="S49" s="296"/>
      <c r="T49" s="300"/>
      <c r="U49" s="321"/>
      <c r="V49" s="320"/>
      <c r="W49" s="280" t="s">
        <v>96</v>
      </c>
      <c r="X49" s="281" t="e">
        <f>X45/(X43*EFFICIENCY!$I$28)</f>
        <v>#DIV/0!</v>
      </c>
      <c r="Y49" s="280" t="s">
        <v>96</v>
      </c>
      <c r="Z49" s="281" t="e">
        <f>Z45/(Z43*EFFICIENCY!$I$28)</f>
        <v>#DIV/0!</v>
      </c>
      <c r="AA49" s="280" t="s">
        <v>96</v>
      </c>
      <c r="AB49" s="281" t="e">
        <f>AB45/(AB43*EFFICIENCY!$I$28)</f>
        <v>#DIV/0!</v>
      </c>
      <c r="AD49" s="300"/>
      <c r="AE49" s="321"/>
      <c r="AF49" s="320"/>
      <c r="AG49" s="280" t="s">
        <v>96</v>
      </c>
      <c r="AH49" s="281" t="e">
        <f>AH45/(AH43*EFFICIENCY!$I$28)</f>
        <v>#DIV/0!</v>
      </c>
      <c r="AI49" s="280" t="s">
        <v>96</v>
      </c>
      <c r="AJ49" s="281" t="e">
        <f>AJ45/(AJ43*EFFICIENCY!$I$28)</f>
        <v>#DIV/0!</v>
      </c>
      <c r="AK49" s="280" t="s">
        <v>96</v>
      </c>
      <c r="AL49" s="281" t="e">
        <f>AL45/(AL43*EFFICIENCY!$I$28)</f>
        <v>#DIV/0!</v>
      </c>
      <c r="AN49" s="300"/>
      <c r="AO49" s="321"/>
      <c r="AP49" s="320"/>
      <c r="AQ49" s="280" t="s">
        <v>96</v>
      </c>
      <c r="AR49" s="281" t="e">
        <f>AR45/(AR43*EFFICIENCY!$I$28)</f>
        <v>#DIV/0!</v>
      </c>
      <c r="AS49" s="280" t="s">
        <v>96</v>
      </c>
      <c r="AT49" s="281" t="e">
        <f>AT45/(AT43*EFFICIENCY!$I$28)</f>
        <v>#DIV/0!</v>
      </c>
      <c r="AU49" s="280" t="s">
        <v>96</v>
      </c>
      <c r="AV49" s="281" t="e">
        <f>AV45/(AV43*EFFICIENCY!$I$28)</f>
        <v>#DIV/0!</v>
      </c>
      <c r="AX49" s="300"/>
      <c r="AY49" s="321"/>
      <c r="AZ49" s="320"/>
      <c r="BA49" s="280" t="s">
        <v>96</v>
      </c>
      <c r="BB49" s="281" t="e">
        <f>BB45/(BB43*EFFICIENCY!$I$28)</f>
        <v>#DIV/0!</v>
      </c>
      <c r="BC49" s="280" t="s">
        <v>96</v>
      </c>
      <c r="BD49" s="281" t="e">
        <f>BD45/(BD43*EFFICIENCY!$I$28)</f>
        <v>#DIV/0!</v>
      </c>
      <c r="BE49" s="280" t="s">
        <v>96</v>
      </c>
      <c r="BF49" s="281" t="e">
        <f>BF45/(BF43*EFFICIENCY!$I$28)</f>
        <v>#DIV/0!</v>
      </c>
      <c r="BH49" s="300"/>
      <c r="BI49" s="321"/>
      <c r="BJ49" s="320"/>
      <c r="BK49" s="280" t="s">
        <v>96</v>
      </c>
      <c r="BL49" s="281" t="e">
        <f>BL45/(BL43*EFFICIENCY!$I$28)</f>
        <v>#DIV/0!</v>
      </c>
      <c r="BM49" s="280" t="s">
        <v>96</v>
      </c>
      <c r="BN49" s="281" t="e">
        <f>BN45/(BN43*EFFICIENCY!$I$28)</f>
        <v>#DIV/0!</v>
      </c>
      <c r="BO49" s="280" t="s">
        <v>96</v>
      </c>
      <c r="BP49" s="281" t="e">
        <f>BP45/(BP43*EFFICIENCY!$I$28)</f>
        <v>#DIV/0!</v>
      </c>
    </row>
    <row r="50" spans="10:68" ht="19.5" customHeight="1" thickBot="1">
      <c r="K50" s="686" t="s">
        <v>156</v>
      </c>
      <c r="L50" s="687"/>
      <c r="M50" s="284" t="s">
        <v>94</v>
      </c>
      <c r="N50" s="285" t="e">
        <f>N45/((N43*EFFICIENCY!$K$28))</f>
        <v>#DIV/0!</v>
      </c>
      <c r="O50" s="288" t="s">
        <v>94</v>
      </c>
      <c r="P50" s="285" t="e">
        <f>P45/((P43*EFFICIENCY!$K$28))</f>
        <v>#DIV/0!</v>
      </c>
      <c r="Q50" s="284" t="s">
        <v>94</v>
      </c>
      <c r="R50" s="285" t="e">
        <f>R45/((R43*EFFICIENCY!$K$28))</f>
        <v>#DIV/0!</v>
      </c>
      <c r="S50" s="297"/>
      <c r="T50" s="300"/>
      <c r="U50" s="686" t="s">
        <v>156</v>
      </c>
      <c r="V50" s="687"/>
      <c r="W50" s="284" t="s">
        <v>94</v>
      </c>
      <c r="X50" s="285" t="e">
        <f>X45/((X43*EFFICIENCY!$K$28))</f>
        <v>#DIV/0!</v>
      </c>
      <c r="Y50" s="288" t="s">
        <v>94</v>
      </c>
      <c r="Z50" s="285" t="e">
        <f>Z45/((Z43*EFFICIENCY!$K$28))</f>
        <v>#DIV/0!</v>
      </c>
      <c r="AA50" s="284" t="s">
        <v>94</v>
      </c>
      <c r="AB50" s="285" t="e">
        <f>AB45/((AB43*EFFICIENCY!$K$28))</f>
        <v>#DIV/0!</v>
      </c>
      <c r="AD50" s="300"/>
      <c r="AE50" s="686" t="s">
        <v>156</v>
      </c>
      <c r="AF50" s="687"/>
      <c r="AG50" s="284" t="s">
        <v>94</v>
      </c>
      <c r="AH50" s="285" t="e">
        <f>AH45/((AH43*EFFICIENCY!$K$28))</f>
        <v>#DIV/0!</v>
      </c>
      <c r="AI50" s="288" t="s">
        <v>94</v>
      </c>
      <c r="AJ50" s="285" t="e">
        <f>AJ45/((AJ43*EFFICIENCY!$K$28))</f>
        <v>#DIV/0!</v>
      </c>
      <c r="AK50" s="284" t="s">
        <v>94</v>
      </c>
      <c r="AL50" s="285" t="e">
        <f>AL45/((AL43*EFFICIENCY!$K$28))</f>
        <v>#DIV/0!</v>
      </c>
      <c r="AN50" s="300"/>
      <c r="AO50" s="686" t="s">
        <v>156</v>
      </c>
      <c r="AP50" s="687"/>
      <c r="AQ50" s="284" t="s">
        <v>94</v>
      </c>
      <c r="AR50" s="285" t="e">
        <f>AR45/((AR43*EFFICIENCY!$K$28))</f>
        <v>#DIV/0!</v>
      </c>
      <c r="AS50" s="288" t="s">
        <v>94</v>
      </c>
      <c r="AT50" s="285" t="e">
        <f>AT45/((AT43*EFFICIENCY!$K$28))</f>
        <v>#DIV/0!</v>
      </c>
      <c r="AU50" s="284" t="s">
        <v>94</v>
      </c>
      <c r="AV50" s="285" t="e">
        <f>AV45/((AV43*EFFICIENCY!$K$28))</f>
        <v>#DIV/0!</v>
      </c>
      <c r="AX50" s="300"/>
      <c r="AY50" s="686" t="s">
        <v>156</v>
      </c>
      <c r="AZ50" s="687"/>
      <c r="BA50" s="284" t="s">
        <v>94</v>
      </c>
      <c r="BB50" s="285" t="e">
        <f>BB45/((BB43*EFFICIENCY!$K$28))</f>
        <v>#DIV/0!</v>
      </c>
      <c r="BC50" s="288" t="s">
        <v>94</v>
      </c>
      <c r="BD50" s="285" t="e">
        <f>BD45/((BD43*EFFICIENCY!$K$28))</f>
        <v>#DIV/0!</v>
      </c>
      <c r="BE50" s="284" t="s">
        <v>94</v>
      </c>
      <c r="BF50" s="285" t="e">
        <f>BF45/((BF43*EFFICIENCY!$K$28))</f>
        <v>#DIV/0!</v>
      </c>
      <c r="BH50" s="300"/>
      <c r="BI50" s="686" t="s">
        <v>156</v>
      </c>
      <c r="BJ50" s="687"/>
      <c r="BK50" s="284" t="s">
        <v>94</v>
      </c>
      <c r="BL50" s="285" t="e">
        <f>BL45/((BL43*EFFICIENCY!$K$28))</f>
        <v>#DIV/0!</v>
      </c>
      <c r="BM50" s="288" t="s">
        <v>94</v>
      </c>
      <c r="BN50" s="285" t="e">
        <f>BN45/((BN43*EFFICIENCY!$K$28))</f>
        <v>#DIV/0!</v>
      </c>
      <c r="BO50" s="284" t="s">
        <v>94</v>
      </c>
      <c r="BP50" s="285" t="e">
        <f>BP45/((BP43*EFFICIENCY!$K$28))</f>
        <v>#DIV/0!</v>
      </c>
    </row>
    <row r="51" spans="10:68" ht="16.5" thickBot="1">
      <c r="K51" s="391"/>
      <c r="L51" s="392" t="e">
        <f>R45/R43</f>
        <v>#DIV/0!</v>
      </c>
      <c r="M51" s="649" t="s">
        <v>153</v>
      </c>
      <c r="N51" s="650"/>
      <c r="O51" s="290"/>
      <c r="P51" s="420"/>
      <c r="Q51" s="420" t="s">
        <v>154</v>
      </c>
      <c r="R51" s="336">
        <f>O51-R45</f>
        <v>0</v>
      </c>
      <c r="S51" s="298"/>
      <c r="T51" s="300"/>
      <c r="U51" s="391"/>
      <c r="V51" s="392" t="e">
        <f>AB45/AB43</f>
        <v>#DIV/0!</v>
      </c>
      <c r="W51" s="649" t="s">
        <v>153</v>
      </c>
      <c r="X51" s="650"/>
      <c r="Y51" s="290"/>
      <c r="Z51" s="420"/>
      <c r="AA51" s="420" t="s">
        <v>154</v>
      </c>
      <c r="AB51" s="336">
        <f>Y51-AB45</f>
        <v>0</v>
      </c>
      <c r="AD51" s="300"/>
      <c r="AE51" s="391"/>
      <c r="AF51" s="392" t="e">
        <f>AL45/AL43</f>
        <v>#DIV/0!</v>
      </c>
      <c r="AG51" s="649" t="s">
        <v>153</v>
      </c>
      <c r="AH51" s="650"/>
      <c r="AI51" s="290"/>
      <c r="AJ51" s="420"/>
      <c r="AK51" s="420" t="s">
        <v>154</v>
      </c>
      <c r="AL51" s="336">
        <f>AI51-AL45</f>
        <v>0</v>
      </c>
      <c r="AN51" s="300"/>
      <c r="AO51" s="391"/>
      <c r="AP51" s="392" t="e">
        <f>AV45/AV43</f>
        <v>#DIV/0!</v>
      </c>
      <c r="AQ51" s="649" t="s">
        <v>153</v>
      </c>
      <c r="AR51" s="650"/>
      <c r="AS51" s="290"/>
      <c r="AT51" s="420"/>
      <c r="AU51" s="420" t="s">
        <v>154</v>
      </c>
      <c r="AV51" s="336">
        <f>AS51-AV45</f>
        <v>0</v>
      </c>
      <c r="AX51" s="300"/>
      <c r="AY51" s="391"/>
      <c r="AZ51" s="392" t="e">
        <f>BF45/BF43</f>
        <v>#DIV/0!</v>
      </c>
      <c r="BA51" s="649" t="s">
        <v>153</v>
      </c>
      <c r="BB51" s="650"/>
      <c r="BC51" s="290"/>
      <c r="BD51" s="420"/>
      <c r="BE51" s="420" t="s">
        <v>154</v>
      </c>
      <c r="BF51" s="336">
        <f>BC51-BF45</f>
        <v>0</v>
      </c>
      <c r="BH51" s="300"/>
      <c r="BI51" s="391"/>
      <c r="BJ51" s="392" t="e">
        <f>BP45/BP43</f>
        <v>#DIV/0!</v>
      </c>
      <c r="BK51" s="649" t="s">
        <v>153</v>
      </c>
      <c r="BL51" s="650"/>
      <c r="BM51" s="290"/>
      <c r="BN51" s="420"/>
      <c r="BO51" s="420" t="s">
        <v>154</v>
      </c>
      <c r="BP51" s="336">
        <f>BM51-BP45</f>
        <v>0</v>
      </c>
    </row>
    <row r="52" spans="10:68">
      <c r="T52" s="300"/>
      <c r="AD52" s="300"/>
      <c r="AN52" s="300"/>
      <c r="AX52" s="300"/>
      <c r="BH52" s="300"/>
    </row>
    <row r="53" spans="10:68" ht="13.5" thickBot="1">
      <c r="J53" s="291"/>
      <c r="K53" s="291"/>
      <c r="L53" s="291"/>
      <c r="M53" s="291"/>
      <c r="N53" s="291"/>
      <c r="O53" s="291"/>
      <c r="P53" s="291"/>
      <c r="Q53" s="291"/>
      <c r="R53" s="291"/>
      <c r="S53" s="299"/>
      <c r="T53" s="301"/>
      <c r="U53" s="291"/>
      <c r="V53" s="291"/>
      <c r="W53" s="291"/>
      <c r="X53" s="291"/>
      <c r="Y53" s="291"/>
      <c r="Z53" s="291"/>
      <c r="AA53" s="291"/>
      <c r="AB53" s="291"/>
      <c r="AC53" s="291"/>
      <c r="AD53" s="301"/>
      <c r="AE53" s="291"/>
      <c r="AF53" s="291"/>
      <c r="AG53" s="291"/>
      <c r="AH53" s="291"/>
      <c r="AI53" s="291"/>
      <c r="AJ53" s="291"/>
      <c r="AK53" s="291"/>
      <c r="AL53" s="291"/>
      <c r="AM53" s="291"/>
      <c r="AN53" s="301"/>
      <c r="AO53" s="291"/>
      <c r="AP53" s="291"/>
      <c r="AQ53" s="291"/>
      <c r="AR53" s="291"/>
      <c r="AS53" s="291"/>
      <c r="AT53" s="291"/>
      <c r="AU53" s="291"/>
      <c r="AV53" s="291"/>
      <c r="AW53" s="291"/>
      <c r="AX53" s="301"/>
      <c r="AY53" s="291"/>
      <c r="AZ53" s="291"/>
      <c r="BA53" s="291"/>
      <c r="BB53" s="291"/>
      <c r="BC53" s="291"/>
      <c r="BD53" s="291"/>
      <c r="BE53" s="291"/>
      <c r="BF53" s="291"/>
      <c r="BG53" s="291"/>
      <c r="BH53" s="301"/>
      <c r="BI53" s="291"/>
      <c r="BJ53" s="291"/>
      <c r="BK53" s="291"/>
      <c r="BL53" s="291"/>
      <c r="BM53" s="291"/>
      <c r="BN53" s="291"/>
      <c r="BO53" s="291"/>
      <c r="BP53" s="291"/>
    </row>
    <row r="54" spans="10:68" ht="15.75" thickBot="1">
      <c r="J54" s="154"/>
      <c r="K54" s="409" t="s">
        <v>7</v>
      </c>
      <c r="L54" s="536">
        <f>B31</f>
        <v>42611</v>
      </c>
      <c r="M54" s="651" t="s">
        <v>100</v>
      </c>
      <c r="N54" s="652"/>
      <c r="O54" s="653" t="s">
        <v>99</v>
      </c>
      <c r="P54" s="654"/>
      <c r="Q54" s="655" t="s">
        <v>16</v>
      </c>
      <c r="R54" s="656"/>
      <c r="S54" s="293"/>
      <c r="T54" s="300"/>
      <c r="U54" s="409" t="s">
        <v>7</v>
      </c>
      <c r="V54" s="536">
        <f>B32</f>
        <v>42612</v>
      </c>
      <c r="W54" s="651" t="s">
        <v>100</v>
      </c>
      <c r="X54" s="652"/>
      <c r="Y54" s="653" t="s">
        <v>99</v>
      </c>
      <c r="Z54" s="654"/>
      <c r="AA54" s="655" t="s">
        <v>16</v>
      </c>
      <c r="AB54" s="656"/>
      <c r="AC54" s="154"/>
      <c r="AD54" s="300"/>
      <c r="AE54" s="409" t="s">
        <v>7</v>
      </c>
      <c r="AF54" s="536">
        <f>B33</f>
        <v>42613</v>
      </c>
      <c r="AG54" s="651" t="s">
        <v>100</v>
      </c>
      <c r="AH54" s="652"/>
      <c r="AI54" s="653" t="s">
        <v>99</v>
      </c>
      <c r="AJ54" s="654"/>
      <c r="AK54" s="655" t="s">
        <v>16</v>
      </c>
      <c r="AL54" s="656"/>
      <c r="AM54" s="154"/>
      <c r="AN54" s="300"/>
      <c r="AO54" s="409" t="s">
        <v>7</v>
      </c>
      <c r="AP54" s="410">
        <f>B34</f>
        <v>42614</v>
      </c>
      <c r="AQ54" s="651" t="s">
        <v>100</v>
      </c>
      <c r="AR54" s="652"/>
      <c r="AS54" s="653" t="s">
        <v>99</v>
      </c>
      <c r="AT54" s="654"/>
      <c r="AU54" s="655" t="s">
        <v>16</v>
      </c>
      <c r="AV54" s="656"/>
      <c r="AW54" s="154"/>
      <c r="AX54" s="300"/>
      <c r="AY54" s="409" t="s">
        <v>7</v>
      </c>
      <c r="AZ54" s="536">
        <f>B35</f>
        <v>42615</v>
      </c>
      <c r="BA54" s="651" t="s">
        <v>100</v>
      </c>
      <c r="BB54" s="652"/>
      <c r="BC54" s="653" t="s">
        <v>99</v>
      </c>
      <c r="BD54" s="654"/>
      <c r="BE54" s="655" t="s">
        <v>16</v>
      </c>
      <c r="BF54" s="656"/>
      <c r="BG54" s="154"/>
      <c r="BH54" s="300"/>
      <c r="BI54" s="409" t="s">
        <v>7</v>
      </c>
      <c r="BJ54" s="536">
        <f>B36</f>
        <v>42616</v>
      </c>
      <c r="BK54" s="651" t="s">
        <v>100</v>
      </c>
      <c r="BL54" s="652"/>
      <c r="BM54" s="653" t="s">
        <v>99</v>
      </c>
      <c r="BN54" s="654"/>
      <c r="BO54" s="655" t="s">
        <v>16</v>
      </c>
      <c r="BP54" s="656"/>
    </row>
    <row r="55" spans="10:68" ht="13.5" thickBot="1">
      <c r="J55" s="154"/>
      <c r="K55" s="394"/>
      <c r="L55" s="393"/>
      <c r="M55" s="394"/>
      <c r="N55" s="395"/>
      <c r="O55" s="394"/>
      <c r="P55" s="395"/>
      <c r="Q55" s="393"/>
      <c r="R55" s="395"/>
      <c r="S55" s="156"/>
      <c r="T55" s="300"/>
      <c r="U55" s="394"/>
      <c r="V55" s="393"/>
      <c r="W55" s="394"/>
      <c r="X55" s="395"/>
      <c r="Y55" s="394"/>
      <c r="Z55" s="395"/>
      <c r="AA55" s="393"/>
      <c r="AB55" s="395"/>
      <c r="AC55" s="154"/>
      <c r="AD55" s="300"/>
      <c r="AE55" s="394"/>
      <c r="AF55" s="393"/>
      <c r="AG55" s="394"/>
      <c r="AH55" s="395"/>
      <c r="AI55" s="394"/>
      <c r="AJ55" s="395"/>
      <c r="AK55" s="393"/>
      <c r="AL55" s="395"/>
      <c r="AM55" s="154"/>
      <c r="AN55" s="300"/>
      <c r="AO55" s="394"/>
      <c r="AP55" s="537"/>
      <c r="AQ55" s="394"/>
      <c r="AR55" s="395"/>
      <c r="AS55" s="394"/>
      <c r="AT55" s="395"/>
      <c r="AU55" s="393"/>
      <c r="AV55" s="395"/>
      <c r="AW55" s="154"/>
      <c r="AX55" s="300"/>
      <c r="AY55" s="394"/>
      <c r="AZ55" s="393"/>
      <c r="BA55" s="394"/>
      <c r="BB55" s="395"/>
      <c r="BC55" s="394"/>
      <c r="BD55" s="395"/>
      <c r="BE55" s="393"/>
      <c r="BF55" s="395"/>
      <c r="BG55" s="154"/>
      <c r="BH55" s="300"/>
      <c r="BI55" s="394"/>
      <c r="BJ55" s="393"/>
      <c r="BK55" s="394"/>
      <c r="BL55" s="395"/>
      <c r="BM55" s="394"/>
      <c r="BN55" s="395"/>
      <c r="BO55" s="393"/>
      <c r="BP55" s="395"/>
    </row>
    <row r="56" spans="10:68" ht="16.5" thickBot="1">
      <c r="J56" s="154"/>
      <c r="K56" s="394"/>
      <c r="L56" s="417" t="s">
        <v>155</v>
      </c>
      <c r="M56" s="397" t="s">
        <v>103</v>
      </c>
      <c r="N56" s="279"/>
      <c r="O56" s="397" t="s">
        <v>103</v>
      </c>
      <c r="P56" s="279"/>
      <c r="Q56" s="398" t="s">
        <v>103</v>
      </c>
      <c r="R56" s="399">
        <f>SUM(N56,P56)</f>
        <v>0</v>
      </c>
      <c r="S56" s="294"/>
      <c r="T56" s="300"/>
      <c r="U56" s="394"/>
      <c r="V56" s="417" t="s">
        <v>155</v>
      </c>
      <c r="W56" s="397" t="s">
        <v>103</v>
      </c>
      <c r="X56" s="279"/>
      <c r="Y56" s="397" t="s">
        <v>103</v>
      </c>
      <c r="Z56" s="279"/>
      <c r="AA56" s="398" t="s">
        <v>103</v>
      </c>
      <c r="AB56" s="399">
        <f>SUM(X56,Z56)</f>
        <v>0</v>
      </c>
      <c r="AC56" s="154"/>
      <c r="AD56" s="300"/>
      <c r="AE56" s="394"/>
      <c r="AF56" s="417" t="s">
        <v>155</v>
      </c>
      <c r="AG56" s="397" t="s">
        <v>103</v>
      </c>
      <c r="AH56" s="279"/>
      <c r="AI56" s="397" t="s">
        <v>103</v>
      </c>
      <c r="AJ56" s="279"/>
      <c r="AK56" s="398" t="s">
        <v>103</v>
      </c>
      <c r="AL56" s="399">
        <f>SUM(AH56,AJ56)</f>
        <v>0</v>
      </c>
      <c r="AM56" s="154"/>
      <c r="AN56" s="300"/>
      <c r="AO56" s="394"/>
      <c r="AP56" s="417" t="s">
        <v>155</v>
      </c>
      <c r="AQ56" s="397" t="s">
        <v>103</v>
      </c>
      <c r="AR56" s="279"/>
      <c r="AS56" s="397" t="s">
        <v>103</v>
      </c>
      <c r="AT56" s="279"/>
      <c r="AU56" s="398" t="s">
        <v>103</v>
      </c>
      <c r="AV56" s="399">
        <f>SUM(AR56,AT56)</f>
        <v>0</v>
      </c>
      <c r="AW56" s="154"/>
      <c r="AX56" s="300"/>
      <c r="AY56" s="394"/>
      <c r="AZ56" s="417" t="s">
        <v>155</v>
      </c>
      <c r="BA56" s="397" t="s">
        <v>103</v>
      </c>
      <c r="BB56" s="279"/>
      <c r="BC56" s="397" t="s">
        <v>103</v>
      </c>
      <c r="BD56" s="279"/>
      <c r="BE56" s="398" t="s">
        <v>103</v>
      </c>
      <c r="BF56" s="399">
        <f>SUM(BB56,BD56)</f>
        <v>0</v>
      </c>
      <c r="BG56" s="154"/>
      <c r="BH56" s="300"/>
      <c r="BI56" s="394"/>
      <c r="BJ56" s="417" t="s">
        <v>155</v>
      </c>
      <c r="BK56" s="397" t="s">
        <v>103</v>
      </c>
      <c r="BL56" s="279"/>
      <c r="BM56" s="397" t="s">
        <v>103</v>
      </c>
      <c r="BN56" s="279"/>
      <c r="BO56" s="398" t="s">
        <v>103</v>
      </c>
      <c r="BP56" s="399">
        <f>SUM(BL56,BN56)</f>
        <v>0</v>
      </c>
    </row>
    <row r="57" spans="10:68" ht="18.75" thickBot="1">
      <c r="K57" s="394"/>
      <c r="L57" s="289">
        <v>8</v>
      </c>
      <c r="M57" s="400" t="s">
        <v>5</v>
      </c>
      <c r="N57" s="401">
        <f>VLOOKUP(L54, $B$3:$E$109, 4, FALSE)</f>
        <v>0</v>
      </c>
      <c r="O57" s="400" t="s">
        <v>5</v>
      </c>
      <c r="P57" s="402">
        <f>VLOOKUP(L54, $B$3:$F$109, 5, FALSE)</f>
        <v>0</v>
      </c>
      <c r="Q57" s="403" t="s">
        <v>5</v>
      </c>
      <c r="R57" s="399">
        <f>SUM(N57,P57)</f>
        <v>0</v>
      </c>
      <c r="S57" s="294"/>
      <c r="T57" s="300"/>
      <c r="U57" s="394"/>
      <c r="V57" s="289">
        <v>8</v>
      </c>
      <c r="W57" s="400" t="s">
        <v>5</v>
      </c>
      <c r="X57" s="401">
        <f>VLOOKUP(V54, $B$3:$E$109, 4, FALSE)</f>
        <v>0</v>
      </c>
      <c r="Y57" s="400" t="s">
        <v>5</v>
      </c>
      <c r="Z57" s="402">
        <f>VLOOKUP(V54, $B$3:$F$109, 5, FALSE)</f>
        <v>0</v>
      </c>
      <c r="AA57" s="403" t="s">
        <v>5</v>
      </c>
      <c r="AB57" s="399">
        <f>SUM(X57,Z57)</f>
        <v>0</v>
      </c>
      <c r="AD57" s="300"/>
      <c r="AE57" s="394"/>
      <c r="AF57" s="289">
        <v>8</v>
      </c>
      <c r="AG57" s="400" t="s">
        <v>5</v>
      </c>
      <c r="AH57" s="401">
        <f>VLOOKUP(AF54, $B$3:$E$109, 4, FALSE)</f>
        <v>0</v>
      </c>
      <c r="AI57" s="400" t="s">
        <v>5</v>
      </c>
      <c r="AJ57" s="402">
        <f>VLOOKUP(AF54, $B$3:$F$109, 5, FALSE)</f>
        <v>0</v>
      </c>
      <c r="AK57" s="403" t="s">
        <v>5</v>
      </c>
      <c r="AL57" s="399">
        <f>SUM(AH57,AJ57)</f>
        <v>0</v>
      </c>
      <c r="AN57" s="300"/>
      <c r="AO57" s="394"/>
      <c r="AP57" s="289">
        <v>8</v>
      </c>
      <c r="AQ57" s="400" t="s">
        <v>5</v>
      </c>
      <c r="AR57" s="401">
        <f>VLOOKUP(AP54, $B$3:$E$109, 4, FALSE)</f>
        <v>0</v>
      </c>
      <c r="AS57" s="400" t="s">
        <v>5</v>
      </c>
      <c r="AT57" s="402">
        <f>VLOOKUP(AP54, $B$3:$F$109, 5, FALSE)</f>
        <v>0</v>
      </c>
      <c r="AU57" s="403" t="s">
        <v>5</v>
      </c>
      <c r="AV57" s="399">
        <f>SUM(AR57,AT57)</f>
        <v>0</v>
      </c>
      <c r="AX57" s="300"/>
      <c r="AY57" s="394"/>
      <c r="AZ57" s="289">
        <v>8</v>
      </c>
      <c r="BA57" s="400" t="s">
        <v>5</v>
      </c>
      <c r="BB57" s="401">
        <f>VLOOKUP(AZ54, $B$3:$E$109, 4, FALSE)</f>
        <v>0</v>
      </c>
      <c r="BC57" s="400" t="s">
        <v>5</v>
      </c>
      <c r="BD57" s="402">
        <f>VLOOKUP(AZ54, $B$3:$F$109, 5, FALSE)</f>
        <v>0</v>
      </c>
      <c r="BE57" s="403" t="s">
        <v>5</v>
      </c>
      <c r="BF57" s="399">
        <f>SUM(BB57,BD57)</f>
        <v>0</v>
      </c>
      <c r="BH57" s="300"/>
      <c r="BI57" s="394"/>
      <c r="BJ57" s="289">
        <v>8</v>
      </c>
      <c r="BK57" s="400" t="s">
        <v>5</v>
      </c>
      <c r="BL57" s="401">
        <f>VLOOKUP(BJ54, $B$3:$E$109, 4, FALSE)</f>
        <v>0</v>
      </c>
      <c r="BM57" s="400" t="s">
        <v>5</v>
      </c>
      <c r="BN57" s="402">
        <f>VLOOKUP(BJ54, $B$3:$F$109, 5, FALSE)</f>
        <v>0</v>
      </c>
      <c r="BO57" s="403" t="s">
        <v>5</v>
      </c>
      <c r="BP57" s="399">
        <f>SUM(BL57,BN57)</f>
        <v>0</v>
      </c>
    </row>
    <row r="58" spans="10:68" ht="15.75" customHeight="1">
      <c r="K58" s="394"/>
      <c r="L58" s="393"/>
      <c r="M58" s="657" t="s">
        <v>105</v>
      </c>
      <c r="N58" s="401">
        <f>VLOOKUP(L54, $B$3:$E$109, 2, FALSE)</f>
        <v>0</v>
      </c>
      <c r="O58" s="657" t="s">
        <v>105</v>
      </c>
      <c r="P58" s="402">
        <f>VLOOKUP(L54, $B$3:$E$109, 3, FALSE)</f>
        <v>0</v>
      </c>
      <c r="Q58" s="658" t="s">
        <v>105</v>
      </c>
      <c r="R58" s="399">
        <f>SUM(N58,P58)</f>
        <v>0</v>
      </c>
      <c r="S58" s="294"/>
      <c r="T58" s="300"/>
      <c r="U58" s="394"/>
      <c r="V58" s="393"/>
      <c r="W58" s="657" t="s">
        <v>105</v>
      </c>
      <c r="X58" s="401">
        <f>VLOOKUP(V54, $B$3:$E$109, 2, FALSE)</f>
        <v>0</v>
      </c>
      <c r="Y58" s="657" t="s">
        <v>105</v>
      </c>
      <c r="Z58" s="402">
        <f>VLOOKUP(V54, $B$3:$E$109, 3, FALSE)</f>
        <v>0</v>
      </c>
      <c r="AA58" s="658" t="s">
        <v>105</v>
      </c>
      <c r="AB58" s="399">
        <f>SUM(X58,Z58)</f>
        <v>0</v>
      </c>
      <c r="AD58" s="300"/>
      <c r="AE58" s="394"/>
      <c r="AF58" s="393"/>
      <c r="AG58" s="657" t="s">
        <v>105</v>
      </c>
      <c r="AH58" s="401">
        <f>VLOOKUP(AF54, $B$3:$E$109, 2, FALSE)</f>
        <v>0</v>
      </c>
      <c r="AI58" s="657" t="s">
        <v>105</v>
      </c>
      <c r="AJ58" s="402">
        <f>VLOOKUP(AF54, $B$3:$E$109, 3, FALSE)</f>
        <v>0</v>
      </c>
      <c r="AK58" s="658" t="s">
        <v>105</v>
      </c>
      <c r="AL58" s="399">
        <f>SUM(AH58,AJ58)</f>
        <v>0</v>
      </c>
      <c r="AN58" s="300"/>
      <c r="AO58" s="394"/>
      <c r="AP58" s="393"/>
      <c r="AQ58" s="657" t="s">
        <v>105</v>
      </c>
      <c r="AR58" s="401">
        <f>VLOOKUP(AP54, $B$3:$E$109, 2, FALSE)</f>
        <v>0</v>
      </c>
      <c r="AS58" s="657" t="s">
        <v>105</v>
      </c>
      <c r="AT58" s="402">
        <f>VLOOKUP(AP54, $B$3:$E$109, 3, FALSE)</f>
        <v>0</v>
      </c>
      <c r="AU58" s="658" t="s">
        <v>105</v>
      </c>
      <c r="AV58" s="399">
        <f>SUM(AR58,AT58)</f>
        <v>0</v>
      </c>
      <c r="AX58" s="300"/>
      <c r="AY58" s="394"/>
      <c r="AZ58" s="393"/>
      <c r="BA58" s="657" t="s">
        <v>105</v>
      </c>
      <c r="BB58" s="401">
        <f>VLOOKUP(AZ54, $B$3:$E$109, 2, FALSE)</f>
        <v>0</v>
      </c>
      <c r="BC58" s="657" t="s">
        <v>105</v>
      </c>
      <c r="BD58" s="402">
        <f>VLOOKUP(AZ54, $B$3:$E$109, 3, FALSE)</f>
        <v>0</v>
      </c>
      <c r="BE58" s="658" t="s">
        <v>105</v>
      </c>
      <c r="BF58" s="399">
        <f>SUM(BB58,BD58)</f>
        <v>0</v>
      </c>
      <c r="BH58" s="300"/>
      <c r="BI58" s="394"/>
      <c r="BJ58" s="393"/>
      <c r="BK58" s="657" t="s">
        <v>105</v>
      </c>
      <c r="BL58" s="401">
        <f>VLOOKUP(BJ54, $B$3:$E$109, 2, FALSE)</f>
        <v>0</v>
      </c>
      <c r="BM58" s="657" t="s">
        <v>105</v>
      </c>
      <c r="BN58" s="402">
        <f>VLOOKUP(BJ54, $B$3:$E$109, 3, FALSE)</f>
        <v>0</v>
      </c>
      <c r="BO58" s="658" t="s">
        <v>105</v>
      </c>
      <c r="BP58" s="399">
        <f>SUM(BL58,BN58)</f>
        <v>0</v>
      </c>
    </row>
    <row r="59" spans="10:68" ht="12.75" customHeight="1">
      <c r="K59" s="688" t="s">
        <v>157</v>
      </c>
      <c r="L59" s="689"/>
      <c r="M59" s="658"/>
      <c r="N59" s="395"/>
      <c r="O59" s="657"/>
      <c r="P59" s="395"/>
      <c r="Q59" s="658"/>
      <c r="R59" s="395"/>
      <c r="S59" s="156"/>
      <c r="T59" s="300"/>
      <c r="U59" s="688" t="s">
        <v>157</v>
      </c>
      <c r="V59" s="689"/>
      <c r="W59" s="658"/>
      <c r="X59" s="395"/>
      <c r="Y59" s="657"/>
      <c r="Z59" s="395"/>
      <c r="AA59" s="658"/>
      <c r="AB59" s="395"/>
      <c r="AD59" s="300"/>
      <c r="AE59" s="688" t="s">
        <v>157</v>
      </c>
      <c r="AF59" s="689"/>
      <c r="AG59" s="658"/>
      <c r="AH59" s="395"/>
      <c r="AI59" s="657"/>
      <c r="AJ59" s="395"/>
      <c r="AK59" s="658"/>
      <c r="AL59" s="395"/>
      <c r="AN59" s="300"/>
      <c r="AO59" s="688" t="s">
        <v>157</v>
      </c>
      <c r="AP59" s="689"/>
      <c r="AQ59" s="658"/>
      <c r="AR59" s="395"/>
      <c r="AS59" s="657"/>
      <c r="AT59" s="395"/>
      <c r="AU59" s="658"/>
      <c r="AV59" s="395"/>
      <c r="AX59" s="300"/>
      <c r="AY59" s="688" t="s">
        <v>157</v>
      </c>
      <c r="AZ59" s="689"/>
      <c r="BA59" s="658"/>
      <c r="BB59" s="395"/>
      <c r="BC59" s="657"/>
      <c r="BD59" s="395"/>
      <c r="BE59" s="658"/>
      <c r="BF59" s="395"/>
      <c r="BH59" s="300"/>
      <c r="BI59" s="688" t="s">
        <v>157</v>
      </c>
      <c r="BJ59" s="689"/>
      <c r="BK59" s="658"/>
      <c r="BL59" s="395"/>
      <c r="BM59" s="657"/>
      <c r="BN59" s="395"/>
      <c r="BO59" s="658"/>
      <c r="BP59" s="395"/>
    </row>
    <row r="60" spans="10:68" ht="15.75">
      <c r="K60" s="411"/>
      <c r="L60" s="404">
        <f>R56*13</f>
        <v>0</v>
      </c>
      <c r="M60" s="418"/>
      <c r="N60" s="395"/>
      <c r="O60" s="406"/>
      <c r="P60" s="395"/>
      <c r="Q60" s="419"/>
      <c r="R60" s="395"/>
      <c r="S60" s="156"/>
      <c r="T60" s="300"/>
      <c r="U60" s="411"/>
      <c r="V60" s="404">
        <f>AB56*13</f>
        <v>0</v>
      </c>
      <c r="W60" s="418"/>
      <c r="X60" s="395"/>
      <c r="Y60" s="406"/>
      <c r="Z60" s="395"/>
      <c r="AA60" s="419"/>
      <c r="AB60" s="395"/>
      <c r="AD60" s="300"/>
      <c r="AE60" s="411"/>
      <c r="AF60" s="404">
        <f>AL56*13</f>
        <v>0</v>
      </c>
      <c r="AG60" s="418"/>
      <c r="AH60" s="395"/>
      <c r="AI60" s="406"/>
      <c r="AJ60" s="395"/>
      <c r="AK60" s="419"/>
      <c r="AL60" s="395"/>
      <c r="AN60" s="300"/>
      <c r="AO60" s="411"/>
      <c r="AP60" s="404">
        <f>AV56*13</f>
        <v>0</v>
      </c>
      <c r="AQ60" s="418"/>
      <c r="AR60" s="395"/>
      <c r="AS60" s="406"/>
      <c r="AT60" s="395"/>
      <c r="AU60" s="419"/>
      <c r="AV60" s="395"/>
      <c r="AX60" s="300"/>
      <c r="AY60" s="411"/>
      <c r="AZ60" s="404">
        <f>BF56*13</f>
        <v>0</v>
      </c>
      <c r="BA60" s="418"/>
      <c r="BB60" s="395"/>
      <c r="BC60" s="406"/>
      <c r="BD60" s="395"/>
      <c r="BE60" s="419"/>
      <c r="BF60" s="395"/>
      <c r="BH60" s="300"/>
      <c r="BI60" s="411"/>
      <c r="BJ60" s="404">
        <f>BP56*13</f>
        <v>0</v>
      </c>
      <c r="BK60" s="418"/>
      <c r="BL60" s="395"/>
      <c r="BM60" s="406"/>
      <c r="BN60" s="395"/>
      <c r="BO60" s="419"/>
      <c r="BP60" s="395"/>
    </row>
    <row r="61" spans="10:68" ht="18.75">
      <c r="K61" s="394"/>
      <c r="L61" s="412"/>
      <c r="M61" s="286" t="s">
        <v>97</v>
      </c>
      <c r="N61" s="287" t="e">
        <f>N58/((N56*EFFICIENCY!$H$28))</f>
        <v>#DIV/0!</v>
      </c>
      <c r="O61" s="286" t="s">
        <v>97</v>
      </c>
      <c r="P61" s="287" t="e">
        <f>P58/(P56*EFFICIENCY!$H$28)</f>
        <v>#DIV/0!</v>
      </c>
      <c r="Q61" s="286" t="s">
        <v>97</v>
      </c>
      <c r="R61" s="287" t="e">
        <f>R58/(R56*EFFICIENCY!$H$28)</f>
        <v>#DIV/0!</v>
      </c>
      <c r="S61" s="295"/>
      <c r="T61" s="300"/>
      <c r="U61" s="394"/>
      <c r="V61" s="412"/>
      <c r="W61" s="286" t="s">
        <v>97</v>
      </c>
      <c r="X61" s="287" t="e">
        <f>X58/((X56*EFFICIENCY!$H$28))</f>
        <v>#DIV/0!</v>
      </c>
      <c r="Y61" s="286" t="s">
        <v>97</v>
      </c>
      <c r="Z61" s="287" t="e">
        <f>Z58/(Z56*EFFICIENCY!$H$28)</f>
        <v>#DIV/0!</v>
      </c>
      <c r="AA61" s="286" t="s">
        <v>97</v>
      </c>
      <c r="AB61" s="287" t="e">
        <f>AB58/(AB56*EFFICIENCY!$H$28)</f>
        <v>#DIV/0!</v>
      </c>
      <c r="AD61" s="300"/>
      <c r="AE61" s="394"/>
      <c r="AF61" s="412"/>
      <c r="AG61" s="286" t="s">
        <v>97</v>
      </c>
      <c r="AH61" s="287" t="e">
        <f>AH58/((AH56*EFFICIENCY!$H$28))</f>
        <v>#DIV/0!</v>
      </c>
      <c r="AI61" s="286" t="s">
        <v>97</v>
      </c>
      <c r="AJ61" s="287" t="e">
        <f>AJ58/(AJ56*EFFICIENCY!$H$28)</f>
        <v>#DIV/0!</v>
      </c>
      <c r="AK61" s="286" t="s">
        <v>97</v>
      </c>
      <c r="AL61" s="287" t="e">
        <f>AL58/(AL56*EFFICIENCY!$H$28)</f>
        <v>#DIV/0!</v>
      </c>
      <c r="AN61" s="300"/>
      <c r="AO61" s="394"/>
      <c r="AP61" s="412"/>
      <c r="AQ61" s="286" t="s">
        <v>97</v>
      </c>
      <c r="AR61" s="287" t="e">
        <f>AR58/((AR56*EFFICIENCY!$H$28))</f>
        <v>#DIV/0!</v>
      </c>
      <c r="AS61" s="286" t="s">
        <v>97</v>
      </c>
      <c r="AT61" s="287" t="e">
        <f>AT58/(AT56*EFFICIENCY!$H$28)</f>
        <v>#DIV/0!</v>
      </c>
      <c r="AU61" s="286" t="s">
        <v>97</v>
      </c>
      <c r="AV61" s="287" t="e">
        <f>AV58/(AV56*EFFICIENCY!$H$28)</f>
        <v>#DIV/0!</v>
      </c>
      <c r="AX61" s="300"/>
      <c r="AY61" s="394"/>
      <c r="AZ61" s="412"/>
      <c r="BA61" s="286" t="s">
        <v>97</v>
      </c>
      <c r="BB61" s="287" t="e">
        <f>BB58/((BB56*EFFICIENCY!$H$28))</f>
        <v>#DIV/0!</v>
      </c>
      <c r="BC61" s="286" t="s">
        <v>97</v>
      </c>
      <c r="BD61" s="287" t="e">
        <f>BD58/(BD56*EFFICIENCY!$H$28)</f>
        <v>#DIV/0!</v>
      </c>
      <c r="BE61" s="286" t="s">
        <v>97</v>
      </c>
      <c r="BF61" s="287" t="e">
        <f>BF58/(BF56*EFFICIENCY!$H$28)</f>
        <v>#DIV/0!</v>
      </c>
      <c r="BH61" s="300"/>
      <c r="BI61" s="394"/>
      <c r="BJ61" s="412"/>
      <c r="BK61" s="286" t="s">
        <v>97</v>
      </c>
      <c r="BL61" s="287" t="e">
        <f>BL58/((BL56*EFFICIENCY!$H$28))</f>
        <v>#DIV/0!</v>
      </c>
      <c r="BM61" s="286" t="s">
        <v>97</v>
      </c>
      <c r="BN61" s="287" t="e">
        <f>BN58/(BN56*EFFICIENCY!$H$28)</f>
        <v>#DIV/0!</v>
      </c>
      <c r="BO61" s="286" t="s">
        <v>97</v>
      </c>
      <c r="BP61" s="287" t="e">
        <f>BP58/(BP56*EFFICIENCY!$H$28)</f>
        <v>#DIV/0!</v>
      </c>
    </row>
    <row r="62" spans="10:68" ht="18.75">
      <c r="K62" s="394"/>
      <c r="L62" s="393"/>
      <c r="M62" s="280" t="s">
        <v>96</v>
      </c>
      <c r="N62" s="281" t="e">
        <f>N58/(N56*EFFICIENCY!$I$28)</f>
        <v>#DIV/0!</v>
      </c>
      <c r="O62" s="280" t="s">
        <v>96</v>
      </c>
      <c r="P62" s="281" t="e">
        <f>P58/(P56*EFFICIENCY!$I$28)</f>
        <v>#DIV/0!</v>
      </c>
      <c r="Q62" s="280" t="s">
        <v>96</v>
      </c>
      <c r="R62" s="281" t="e">
        <f>R58/(R56*EFFICIENCY!$I$28)</f>
        <v>#DIV/0!</v>
      </c>
      <c r="S62" s="296"/>
      <c r="T62" s="300"/>
      <c r="U62" s="394"/>
      <c r="V62" s="393"/>
      <c r="W62" s="280" t="s">
        <v>96</v>
      </c>
      <c r="X62" s="281" t="e">
        <f>X58/(X56*EFFICIENCY!$I$28)</f>
        <v>#DIV/0!</v>
      </c>
      <c r="Y62" s="280" t="s">
        <v>96</v>
      </c>
      <c r="Z62" s="281" t="e">
        <f>Z58/(Z56*EFFICIENCY!$I$28)</f>
        <v>#DIV/0!</v>
      </c>
      <c r="AA62" s="280" t="s">
        <v>96</v>
      </c>
      <c r="AB62" s="281" t="e">
        <f>AB58/(AB56*EFFICIENCY!$I$28)</f>
        <v>#DIV/0!</v>
      </c>
      <c r="AD62" s="300"/>
      <c r="AE62" s="394"/>
      <c r="AF62" s="393"/>
      <c r="AG62" s="280" t="s">
        <v>96</v>
      </c>
      <c r="AH62" s="281" t="e">
        <f>AH58/(AH56*EFFICIENCY!$I$28)</f>
        <v>#DIV/0!</v>
      </c>
      <c r="AI62" s="280" t="s">
        <v>96</v>
      </c>
      <c r="AJ62" s="281" t="e">
        <f>AJ58/(AJ56*EFFICIENCY!$I$28)</f>
        <v>#DIV/0!</v>
      </c>
      <c r="AK62" s="280" t="s">
        <v>96</v>
      </c>
      <c r="AL62" s="281" t="e">
        <f>AL58/(AL56*EFFICIENCY!$I$28)</f>
        <v>#DIV/0!</v>
      </c>
      <c r="AN62" s="300"/>
      <c r="AO62" s="394"/>
      <c r="AP62" s="393"/>
      <c r="AQ62" s="280" t="s">
        <v>96</v>
      </c>
      <c r="AR62" s="281" t="e">
        <f>AR58/(AR56*EFFICIENCY!$I$28)</f>
        <v>#DIV/0!</v>
      </c>
      <c r="AS62" s="280" t="s">
        <v>96</v>
      </c>
      <c r="AT62" s="281" t="e">
        <f>AT58/(AT56*EFFICIENCY!$I$28)</f>
        <v>#DIV/0!</v>
      </c>
      <c r="AU62" s="280" t="s">
        <v>96</v>
      </c>
      <c r="AV62" s="281" t="e">
        <f>AV58/(AV56*EFFICIENCY!$I$28)</f>
        <v>#DIV/0!</v>
      </c>
      <c r="AX62" s="300"/>
      <c r="AY62" s="394"/>
      <c r="AZ62" s="393"/>
      <c r="BA62" s="280" t="s">
        <v>96</v>
      </c>
      <c r="BB62" s="281" t="e">
        <f>BB58/(BB56*EFFICIENCY!$I$28)</f>
        <v>#DIV/0!</v>
      </c>
      <c r="BC62" s="280" t="s">
        <v>96</v>
      </c>
      <c r="BD62" s="281" t="e">
        <f>BD58/(BD56*EFFICIENCY!$I$28)</f>
        <v>#DIV/0!</v>
      </c>
      <c r="BE62" s="280" t="s">
        <v>96</v>
      </c>
      <c r="BF62" s="281" t="e">
        <f>BF58/(BF56*EFFICIENCY!$I$28)</f>
        <v>#DIV/0!</v>
      </c>
      <c r="BH62" s="300"/>
      <c r="BI62" s="394"/>
      <c r="BJ62" s="393"/>
      <c r="BK62" s="280" t="s">
        <v>96</v>
      </c>
      <c r="BL62" s="281" t="e">
        <f>BL58/(BL56*EFFICIENCY!$I$28)</f>
        <v>#DIV/0!</v>
      </c>
      <c r="BM62" s="280" t="s">
        <v>96</v>
      </c>
      <c r="BN62" s="281" t="e">
        <f>BN58/(BN56*EFFICIENCY!$I$28)</f>
        <v>#DIV/0!</v>
      </c>
      <c r="BO62" s="280" t="s">
        <v>96</v>
      </c>
      <c r="BP62" s="281" t="e">
        <f>BP58/(BP56*EFFICIENCY!$I$28)</f>
        <v>#DIV/0!</v>
      </c>
    </row>
    <row r="63" spans="10:68" ht="19.5" customHeight="1" thickBot="1">
      <c r="K63" s="690" t="s">
        <v>156</v>
      </c>
      <c r="L63" s="691"/>
      <c r="M63" s="284" t="s">
        <v>94</v>
      </c>
      <c r="N63" s="285" t="e">
        <f>N58/((N56*EFFICIENCY!$K$28))</f>
        <v>#DIV/0!</v>
      </c>
      <c r="O63" s="288" t="s">
        <v>94</v>
      </c>
      <c r="P63" s="285" t="e">
        <f>P58/((P56*EFFICIENCY!$K$28))</f>
        <v>#DIV/0!</v>
      </c>
      <c r="Q63" s="284" t="s">
        <v>94</v>
      </c>
      <c r="R63" s="285" t="e">
        <f>R58/((R56*EFFICIENCY!$K$28))</f>
        <v>#DIV/0!</v>
      </c>
      <c r="S63" s="297"/>
      <c r="T63" s="300"/>
      <c r="U63" s="690" t="s">
        <v>156</v>
      </c>
      <c r="V63" s="691"/>
      <c r="W63" s="284" t="s">
        <v>94</v>
      </c>
      <c r="X63" s="285" t="e">
        <f>X58/((X56*EFFICIENCY!$K$28))</f>
        <v>#DIV/0!</v>
      </c>
      <c r="Y63" s="288" t="s">
        <v>94</v>
      </c>
      <c r="Z63" s="285" t="e">
        <f>Z58/((Z56*EFFICIENCY!$K$28))</f>
        <v>#DIV/0!</v>
      </c>
      <c r="AA63" s="284" t="s">
        <v>94</v>
      </c>
      <c r="AB63" s="285" t="e">
        <f>AB58/((AB56*EFFICIENCY!$K$28))</f>
        <v>#DIV/0!</v>
      </c>
      <c r="AD63" s="300"/>
      <c r="AE63" s="690" t="s">
        <v>156</v>
      </c>
      <c r="AF63" s="691"/>
      <c r="AG63" s="284" t="s">
        <v>94</v>
      </c>
      <c r="AH63" s="285" t="e">
        <f>AH58/((AH56*EFFICIENCY!$K$28))</f>
        <v>#DIV/0!</v>
      </c>
      <c r="AI63" s="288" t="s">
        <v>94</v>
      </c>
      <c r="AJ63" s="285" t="e">
        <f>AJ58/((AJ56*EFFICIENCY!$K$28))</f>
        <v>#DIV/0!</v>
      </c>
      <c r="AK63" s="284" t="s">
        <v>94</v>
      </c>
      <c r="AL63" s="285" t="e">
        <f>AL58/((AL56*EFFICIENCY!$K$28))</f>
        <v>#DIV/0!</v>
      </c>
      <c r="AN63" s="300"/>
      <c r="AO63" s="690" t="s">
        <v>156</v>
      </c>
      <c r="AP63" s="691"/>
      <c r="AQ63" s="284" t="s">
        <v>94</v>
      </c>
      <c r="AR63" s="285" t="e">
        <f>AR58/((AR56*EFFICIENCY!$K$28))</f>
        <v>#DIV/0!</v>
      </c>
      <c r="AS63" s="288" t="s">
        <v>94</v>
      </c>
      <c r="AT63" s="285" t="e">
        <f>AT58/((AT56*EFFICIENCY!$K$28))</f>
        <v>#DIV/0!</v>
      </c>
      <c r="AU63" s="284" t="s">
        <v>94</v>
      </c>
      <c r="AV63" s="285" t="e">
        <f>AV58/((AV56*EFFICIENCY!$K$28))</f>
        <v>#DIV/0!</v>
      </c>
      <c r="AX63" s="300"/>
      <c r="AY63" s="690" t="s">
        <v>156</v>
      </c>
      <c r="AZ63" s="691"/>
      <c r="BA63" s="284" t="s">
        <v>94</v>
      </c>
      <c r="BB63" s="285" t="e">
        <f>BB58/((BB56*EFFICIENCY!$K$28))</f>
        <v>#DIV/0!</v>
      </c>
      <c r="BC63" s="288" t="s">
        <v>94</v>
      </c>
      <c r="BD63" s="285" t="e">
        <f>BD58/((BD56*EFFICIENCY!$K$28))</f>
        <v>#DIV/0!</v>
      </c>
      <c r="BE63" s="284" t="s">
        <v>94</v>
      </c>
      <c r="BF63" s="285" t="e">
        <f>BF58/((BF56*EFFICIENCY!$K$28))</f>
        <v>#DIV/0!</v>
      </c>
      <c r="BH63" s="300"/>
      <c r="BI63" s="690" t="s">
        <v>156</v>
      </c>
      <c r="BJ63" s="691"/>
      <c r="BK63" s="284" t="s">
        <v>94</v>
      </c>
      <c r="BL63" s="285" t="e">
        <f>BL58/((BL56*EFFICIENCY!$K$28))</f>
        <v>#DIV/0!</v>
      </c>
      <c r="BM63" s="288" t="s">
        <v>94</v>
      </c>
      <c r="BN63" s="285" t="e">
        <f>BN58/((BN56*EFFICIENCY!$K$28))</f>
        <v>#DIV/0!</v>
      </c>
      <c r="BO63" s="284" t="s">
        <v>94</v>
      </c>
      <c r="BP63" s="285" t="e">
        <f>BP58/((BP56*EFFICIENCY!$K$28))</f>
        <v>#DIV/0!</v>
      </c>
    </row>
    <row r="64" spans="10:68" ht="16.5" thickBot="1">
      <c r="K64" s="413"/>
      <c r="L64" s="414" t="e">
        <f>R58/R56</f>
        <v>#DIV/0!</v>
      </c>
      <c r="M64" s="647" t="s">
        <v>153</v>
      </c>
      <c r="N64" s="648"/>
      <c r="O64" s="290"/>
      <c r="P64" s="416"/>
      <c r="Q64" s="416" t="s">
        <v>154</v>
      </c>
      <c r="R64" s="415">
        <f>O64-R58</f>
        <v>0</v>
      </c>
      <c r="S64" s="298"/>
      <c r="T64" s="300"/>
      <c r="U64" s="413"/>
      <c r="V64" s="414" t="e">
        <f>AB58/AB56</f>
        <v>#DIV/0!</v>
      </c>
      <c r="W64" s="647" t="s">
        <v>153</v>
      </c>
      <c r="X64" s="648"/>
      <c r="Y64" s="290"/>
      <c r="Z64" s="416"/>
      <c r="AA64" s="416" t="s">
        <v>154</v>
      </c>
      <c r="AB64" s="415">
        <f>Y64-AB58</f>
        <v>0</v>
      </c>
      <c r="AD64" s="300"/>
      <c r="AE64" s="413"/>
      <c r="AF64" s="414" t="e">
        <f>AL58/AL56</f>
        <v>#DIV/0!</v>
      </c>
      <c r="AG64" s="647" t="s">
        <v>153</v>
      </c>
      <c r="AH64" s="648"/>
      <c r="AI64" s="290"/>
      <c r="AJ64" s="416"/>
      <c r="AK64" s="416" t="s">
        <v>154</v>
      </c>
      <c r="AL64" s="415">
        <f>AI64-AL58</f>
        <v>0</v>
      </c>
      <c r="AN64" s="300"/>
      <c r="AO64" s="413"/>
      <c r="AP64" s="414" t="e">
        <f>AV58/AV56</f>
        <v>#DIV/0!</v>
      </c>
      <c r="AQ64" s="647" t="s">
        <v>153</v>
      </c>
      <c r="AR64" s="648"/>
      <c r="AS64" s="290"/>
      <c r="AT64" s="416"/>
      <c r="AU64" s="416" t="s">
        <v>154</v>
      </c>
      <c r="AV64" s="415">
        <f>AS64-AV58</f>
        <v>0</v>
      </c>
      <c r="AX64" s="300"/>
      <c r="AY64" s="413"/>
      <c r="AZ64" s="414" t="e">
        <f>BF58/BF56</f>
        <v>#DIV/0!</v>
      </c>
      <c r="BA64" s="647" t="s">
        <v>153</v>
      </c>
      <c r="BB64" s="648"/>
      <c r="BC64" s="290"/>
      <c r="BD64" s="416"/>
      <c r="BE64" s="416" t="s">
        <v>154</v>
      </c>
      <c r="BF64" s="415">
        <f>BC64-BF58</f>
        <v>0</v>
      </c>
      <c r="BH64" s="300"/>
      <c r="BI64" s="413"/>
      <c r="BJ64" s="414" t="e">
        <f>BP58/BP56</f>
        <v>#DIV/0!</v>
      </c>
      <c r="BK64" s="647" t="s">
        <v>153</v>
      </c>
      <c r="BL64" s="648"/>
      <c r="BM64" s="290"/>
      <c r="BN64" s="416"/>
      <c r="BO64" s="416" t="s">
        <v>154</v>
      </c>
      <c r="BP64" s="415">
        <f>BM64-BP58</f>
        <v>0</v>
      </c>
    </row>
    <row r="65" spans="20:60">
      <c r="T65" s="300"/>
      <c r="AD65" s="300"/>
      <c r="AN65" s="300"/>
      <c r="AX65" s="300"/>
      <c r="BH65" s="300"/>
    </row>
    <row r="66" spans="20:60">
      <c r="T66" s="300"/>
      <c r="BH66" s="300"/>
    </row>
    <row r="67" spans="20:60">
      <c r="T67" s="300"/>
      <c r="BH67" s="300"/>
    </row>
    <row r="68" spans="20:60">
      <c r="T68" s="300"/>
      <c r="BH68" s="300"/>
    </row>
    <row r="69" spans="20:60">
      <c r="T69" s="300"/>
      <c r="BH69" s="300"/>
    </row>
    <row r="70" spans="20:60">
      <c r="T70" s="300"/>
      <c r="BH70" s="300"/>
    </row>
  </sheetData>
  <mergeCells count="276">
    <mergeCell ref="M64:N64"/>
    <mergeCell ref="W64:X64"/>
    <mergeCell ref="AG64:AH64"/>
    <mergeCell ref="AQ64:AR64"/>
    <mergeCell ref="BA64:BB64"/>
    <mergeCell ref="BK64:BL64"/>
    <mergeCell ref="K63:L63"/>
    <mergeCell ref="U63:V63"/>
    <mergeCell ref="AE63:AF63"/>
    <mergeCell ref="AO63:AP63"/>
    <mergeCell ref="AY63:AZ63"/>
    <mergeCell ref="BI63:BJ63"/>
    <mergeCell ref="K59:L59"/>
    <mergeCell ref="U59:V59"/>
    <mergeCell ref="AE59:AF59"/>
    <mergeCell ref="AO59:AP59"/>
    <mergeCell ref="AY59:AZ59"/>
    <mergeCell ref="BI59:BJ59"/>
    <mergeCell ref="BA58:BA59"/>
    <mergeCell ref="BC58:BC59"/>
    <mergeCell ref="BE58:BE59"/>
    <mergeCell ref="M58:M59"/>
    <mergeCell ref="O58:O59"/>
    <mergeCell ref="Q58:Q59"/>
    <mergeCell ref="W58:W59"/>
    <mergeCell ref="Y58:Y59"/>
    <mergeCell ref="AA58:AA59"/>
    <mergeCell ref="BK58:BK59"/>
    <mergeCell ref="BM58:BM59"/>
    <mergeCell ref="BO58:BO59"/>
    <mergeCell ref="AG58:AG59"/>
    <mergeCell ref="AI58:AI59"/>
    <mergeCell ref="AK58:AK59"/>
    <mergeCell ref="AQ58:AQ59"/>
    <mergeCell ref="AS58:AS59"/>
    <mergeCell ref="AU58:AU59"/>
    <mergeCell ref="BA54:BB54"/>
    <mergeCell ref="BC54:BD54"/>
    <mergeCell ref="BE54:BF54"/>
    <mergeCell ref="BK54:BL54"/>
    <mergeCell ref="BM54:BN54"/>
    <mergeCell ref="BO54:BP54"/>
    <mergeCell ref="AG54:AH54"/>
    <mergeCell ref="AI54:AJ54"/>
    <mergeCell ref="AK54:AL54"/>
    <mergeCell ref="AQ54:AR54"/>
    <mergeCell ref="AS54:AT54"/>
    <mergeCell ref="AU54:AV54"/>
    <mergeCell ref="M54:N54"/>
    <mergeCell ref="O54:P54"/>
    <mergeCell ref="Q54:R54"/>
    <mergeCell ref="W54:X54"/>
    <mergeCell ref="Y54:Z54"/>
    <mergeCell ref="AA54:AB54"/>
    <mergeCell ref="M51:N51"/>
    <mergeCell ref="W51:X51"/>
    <mergeCell ref="AG51:AH51"/>
    <mergeCell ref="AQ51:AR51"/>
    <mergeCell ref="BA51:BB51"/>
    <mergeCell ref="BK51:BL51"/>
    <mergeCell ref="K50:L50"/>
    <mergeCell ref="U50:V50"/>
    <mergeCell ref="AE50:AF50"/>
    <mergeCell ref="AO50:AP50"/>
    <mergeCell ref="AY50:AZ50"/>
    <mergeCell ref="BI50:BJ50"/>
    <mergeCell ref="K46:L46"/>
    <mergeCell ref="U46:V46"/>
    <mergeCell ref="AE46:AF46"/>
    <mergeCell ref="AO46:AP46"/>
    <mergeCell ref="AY46:AZ46"/>
    <mergeCell ref="BI46:BJ46"/>
    <mergeCell ref="BA45:BA46"/>
    <mergeCell ref="BC45:BC46"/>
    <mergeCell ref="BE45:BE46"/>
    <mergeCell ref="M45:M46"/>
    <mergeCell ref="O45:O46"/>
    <mergeCell ref="Q45:Q46"/>
    <mergeCell ref="W45:W46"/>
    <mergeCell ref="Y45:Y46"/>
    <mergeCell ref="AA45:AA46"/>
    <mergeCell ref="BK45:BK46"/>
    <mergeCell ref="BM45:BM46"/>
    <mergeCell ref="BO45:BO46"/>
    <mergeCell ref="AG45:AG46"/>
    <mergeCell ref="AI45:AI46"/>
    <mergeCell ref="AK45:AK46"/>
    <mergeCell ref="AQ45:AQ46"/>
    <mergeCell ref="AS45:AS46"/>
    <mergeCell ref="AU45:AU46"/>
    <mergeCell ref="BA41:BB41"/>
    <mergeCell ref="BC41:BD41"/>
    <mergeCell ref="BE41:BF41"/>
    <mergeCell ref="BK41:BL41"/>
    <mergeCell ref="BM41:BN41"/>
    <mergeCell ref="BO41:BP41"/>
    <mergeCell ref="AG41:AH41"/>
    <mergeCell ref="AI41:AJ41"/>
    <mergeCell ref="AK41:AL41"/>
    <mergeCell ref="AQ41:AR41"/>
    <mergeCell ref="AS41:AT41"/>
    <mergeCell ref="AU41:AV41"/>
    <mergeCell ref="M41:N41"/>
    <mergeCell ref="O41:P41"/>
    <mergeCell ref="Q41:R41"/>
    <mergeCell ref="W41:X41"/>
    <mergeCell ref="Y41:Z41"/>
    <mergeCell ref="AA41:AB41"/>
    <mergeCell ref="M38:N38"/>
    <mergeCell ref="W38:X38"/>
    <mergeCell ref="AG38:AH38"/>
    <mergeCell ref="AQ38:AR38"/>
    <mergeCell ref="BA38:BB38"/>
    <mergeCell ref="BK38:BL38"/>
    <mergeCell ref="K37:L37"/>
    <mergeCell ref="U37:V37"/>
    <mergeCell ref="AE37:AF37"/>
    <mergeCell ref="AO37:AP37"/>
    <mergeCell ref="AY37:AZ37"/>
    <mergeCell ref="BI37:BJ37"/>
    <mergeCell ref="K33:L33"/>
    <mergeCell ref="U33:V33"/>
    <mergeCell ref="AE33:AF33"/>
    <mergeCell ref="AO33:AP33"/>
    <mergeCell ref="AY33:AZ33"/>
    <mergeCell ref="BI33:BJ33"/>
    <mergeCell ref="BA32:BA33"/>
    <mergeCell ref="BC32:BC33"/>
    <mergeCell ref="BE32:BE33"/>
    <mergeCell ref="M32:M33"/>
    <mergeCell ref="O32:O33"/>
    <mergeCell ref="Q32:Q33"/>
    <mergeCell ref="W32:W33"/>
    <mergeCell ref="Y32:Y33"/>
    <mergeCell ref="AA32:AA33"/>
    <mergeCell ref="BK32:BK33"/>
    <mergeCell ref="BM32:BM33"/>
    <mergeCell ref="BO32:BO33"/>
    <mergeCell ref="AG32:AG33"/>
    <mergeCell ref="AI32:AI33"/>
    <mergeCell ref="AK32:AK33"/>
    <mergeCell ref="AQ32:AQ33"/>
    <mergeCell ref="AS32:AS33"/>
    <mergeCell ref="AU32:AU33"/>
    <mergeCell ref="BA28:BB28"/>
    <mergeCell ref="BC28:BD28"/>
    <mergeCell ref="BE28:BF28"/>
    <mergeCell ref="BK28:BL28"/>
    <mergeCell ref="BM28:BN28"/>
    <mergeCell ref="BO28:BP28"/>
    <mergeCell ref="AG28:AH28"/>
    <mergeCell ref="AI28:AJ28"/>
    <mergeCell ref="AK28:AL28"/>
    <mergeCell ref="AQ28:AR28"/>
    <mergeCell ref="AS28:AT28"/>
    <mergeCell ref="AU28:AV28"/>
    <mergeCell ref="M28:N28"/>
    <mergeCell ref="O28:P28"/>
    <mergeCell ref="Q28:R28"/>
    <mergeCell ref="W28:X28"/>
    <mergeCell ref="Y28:Z28"/>
    <mergeCell ref="AA28:AB28"/>
    <mergeCell ref="M25:N25"/>
    <mergeCell ref="W25:X25"/>
    <mergeCell ref="AG25:AH25"/>
    <mergeCell ref="AQ25:AR25"/>
    <mergeCell ref="BA25:BB25"/>
    <mergeCell ref="BK25:BL25"/>
    <mergeCell ref="K24:L24"/>
    <mergeCell ref="U24:V24"/>
    <mergeCell ref="AE24:AF24"/>
    <mergeCell ref="AO24:AP24"/>
    <mergeCell ref="AY24:AZ24"/>
    <mergeCell ref="BI24:BJ24"/>
    <mergeCell ref="K20:L20"/>
    <mergeCell ref="U20:V20"/>
    <mergeCell ref="AE20:AF20"/>
    <mergeCell ref="AO20:AP20"/>
    <mergeCell ref="AY20:AZ20"/>
    <mergeCell ref="BI20:BJ20"/>
    <mergeCell ref="BA19:BA20"/>
    <mergeCell ref="BC19:BC20"/>
    <mergeCell ref="BE19:BE20"/>
    <mergeCell ref="M19:M20"/>
    <mergeCell ref="O19:O20"/>
    <mergeCell ref="Q19:Q20"/>
    <mergeCell ref="W19:W20"/>
    <mergeCell ref="Y19:Y20"/>
    <mergeCell ref="AA19:AA20"/>
    <mergeCell ref="BK19:BK20"/>
    <mergeCell ref="BM19:BM20"/>
    <mergeCell ref="BO19:BO20"/>
    <mergeCell ref="AG19:AG20"/>
    <mergeCell ref="AI19:AI20"/>
    <mergeCell ref="AK19:AK20"/>
    <mergeCell ref="AQ19:AQ20"/>
    <mergeCell ref="AS19:AS20"/>
    <mergeCell ref="AU19:AU20"/>
    <mergeCell ref="BA15:BB15"/>
    <mergeCell ref="BC15:BD15"/>
    <mergeCell ref="BE15:BF15"/>
    <mergeCell ref="BK15:BL15"/>
    <mergeCell ref="BM15:BN15"/>
    <mergeCell ref="BO15:BP15"/>
    <mergeCell ref="AG15:AH15"/>
    <mergeCell ref="AI15:AJ15"/>
    <mergeCell ref="AK15:AL15"/>
    <mergeCell ref="AQ15:AR15"/>
    <mergeCell ref="AS15:AT15"/>
    <mergeCell ref="AU15:AV15"/>
    <mergeCell ref="M15:N15"/>
    <mergeCell ref="O15:P15"/>
    <mergeCell ref="Q15:R15"/>
    <mergeCell ref="W15:X15"/>
    <mergeCell ref="Y15:Z15"/>
    <mergeCell ref="AA15:AB15"/>
    <mergeCell ref="M12:N12"/>
    <mergeCell ref="W12:X12"/>
    <mergeCell ref="AG12:AH12"/>
    <mergeCell ref="AQ12:AR12"/>
    <mergeCell ref="BA12:BB12"/>
    <mergeCell ref="BK12:BL12"/>
    <mergeCell ref="K11:L11"/>
    <mergeCell ref="U11:V11"/>
    <mergeCell ref="AE11:AF11"/>
    <mergeCell ref="AO11:AP11"/>
    <mergeCell ref="AY11:AZ11"/>
    <mergeCell ref="BI11:BJ11"/>
    <mergeCell ref="K7:L7"/>
    <mergeCell ref="U7:V7"/>
    <mergeCell ref="AE7:AF7"/>
    <mergeCell ref="AO7:AP7"/>
    <mergeCell ref="AY7:AZ7"/>
    <mergeCell ref="BI7:BJ7"/>
    <mergeCell ref="BA6:BA7"/>
    <mergeCell ref="BC6:BC7"/>
    <mergeCell ref="BE6:BE7"/>
    <mergeCell ref="M6:M7"/>
    <mergeCell ref="O6:O7"/>
    <mergeCell ref="Q6:Q7"/>
    <mergeCell ref="W6:W7"/>
    <mergeCell ref="Y6:Y7"/>
    <mergeCell ref="AA6:AA7"/>
    <mergeCell ref="BM2:BN2"/>
    <mergeCell ref="BO2:BP2"/>
    <mergeCell ref="AG2:AH2"/>
    <mergeCell ref="AI2:AJ2"/>
    <mergeCell ref="AK2:AL2"/>
    <mergeCell ref="AQ2:AR2"/>
    <mergeCell ref="AS2:AT2"/>
    <mergeCell ref="AU2:AV2"/>
    <mergeCell ref="BK6:BK7"/>
    <mergeCell ref="BM6:BM7"/>
    <mergeCell ref="BO6:BO7"/>
    <mergeCell ref="AG6:AG7"/>
    <mergeCell ref="AI6:AI7"/>
    <mergeCell ref="AK6:AK7"/>
    <mergeCell ref="AQ6:AQ7"/>
    <mergeCell ref="AS6:AS7"/>
    <mergeCell ref="AU6:AU7"/>
    <mergeCell ref="AQ1:AR1"/>
    <mergeCell ref="BA1:BB1"/>
    <mergeCell ref="BK1:BL1"/>
    <mergeCell ref="M2:N2"/>
    <mergeCell ref="O2:P2"/>
    <mergeCell ref="Q2:R2"/>
    <mergeCell ref="W2:X2"/>
    <mergeCell ref="Y2:Z2"/>
    <mergeCell ref="AA2:AB2"/>
    <mergeCell ref="M1:N1"/>
    <mergeCell ref="W1:X1"/>
    <mergeCell ref="AG1:AH1"/>
    <mergeCell ref="BA2:BB2"/>
    <mergeCell ref="BC2:BD2"/>
    <mergeCell ref="BE2:BF2"/>
    <mergeCell ref="BK2:BL2"/>
  </mergeCells>
  <dataValidations count="1">
    <dataValidation type="list" allowBlank="1" showInputMessage="1" showErrorMessage="1" sqref="L5 L18 L31 L44 L57 V5 V18 V31 V44 V57 AF5 AF18 AF31 AF44 AF57 AP5 AP18 AP31 AP44 AP57 AZ5 AZ18 AZ31 AZ44 AZ57 BJ5 BJ18 BJ31 BJ44 BJ57" xr:uid="{00000000-0002-0000-0D00-000000000000}">
      <formula1>"8, 10, 12"</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dimension ref="B1:BP70"/>
  <sheetViews>
    <sheetView zoomScale="85" zoomScaleNormal="85" workbookViewId="0">
      <selection activeCell="C5" sqref="C5"/>
    </sheetView>
  </sheetViews>
  <sheetFormatPr defaultRowHeight="12.75"/>
  <cols>
    <col min="1" max="11" width="9.140625" style="150"/>
    <col min="12" max="12" width="11.140625" style="150" customWidth="1"/>
    <col min="13" max="13" width="10.5703125" style="150" customWidth="1"/>
    <col min="14" max="14" width="11.28515625" style="150" customWidth="1"/>
    <col min="15" max="15" width="10.5703125" style="150" customWidth="1"/>
    <col min="16" max="16" width="10.28515625" style="150" customWidth="1"/>
    <col min="17" max="17" width="10.140625" style="150" customWidth="1"/>
    <col min="18" max="18" width="10" style="150" bestFit="1" customWidth="1"/>
    <col min="19" max="19" width="7.42578125" style="151" customWidth="1"/>
    <col min="20" max="20" width="7" style="150" customWidth="1"/>
    <col min="21" max="21" width="9.140625" style="150"/>
    <col min="22" max="22" width="11.140625" style="150" customWidth="1"/>
    <col min="23" max="23" width="10.5703125" style="150" customWidth="1"/>
    <col min="24" max="24" width="11.28515625" style="150" customWidth="1"/>
    <col min="25" max="25" width="10.5703125" style="150" customWidth="1"/>
    <col min="26" max="26" width="10.28515625" style="150" customWidth="1"/>
    <col min="27" max="27" width="10.140625" style="150" customWidth="1"/>
    <col min="28" max="28" width="10" style="150" bestFit="1" customWidth="1"/>
    <col min="29" max="31" width="9.140625" style="150"/>
    <col min="32" max="32" width="11.140625" style="150" customWidth="1"/>
    <col min="33" max="33" width="10.5703125" style="150" customWidth="1"/>
    <col min="34" max="34" width="11.28515625" style="150" customWidth="1"/>
    <col min="35" max="35" width="10.5703125" style="150" customWidth="1"/>
    <col min="36" max="36" width="10.28515625" style="150" customWidth="1"/>
    <col min="37" max="37" width="10.140625" style="150" customWidth="1"/>
    <col min="38" max="38" width="10" style="150" bestFit="1" customWidth="1"/>
    <col min="39" max="41" width="9.140625" style="150"/>
    <col min="42" max="42" width="11.140625" style="150" customWidth="1"/>
    <col min="43" max="43" width="10.5703125" style="150" customWidth="1"/>
    <col min="44" max="44" width="11.28515625" style="150" customWidth="1"/>
    <col min="45" max="45" width="10.5703125" style="150" customWidth="1"/>
    <col min="46" max="46" width="10.28515625" style="150" customWidth="1"/>
    <col min="47" max="47" width="10.140625" style="150" customWidth="1"/>
    <col min="48" max="48" width="10" style="150" bestFit="1" customWidth="1"/>
    <col min="49" max="51" width="9.140625" style="150"/>
    <col min="52" max="52" width="11.140625" style="150" customWidth="1"/>
    <col min="53" max="53" width="10.5703125" style="150" customWidth="1"/>
    <col min="54" max="54" width="11.28515625" style="150" customWidth="1"/>
    <col min="55" max="55" width="10.5703125" style="150" customWidth="1"/>
    <col min="56" max="56" width="10.28515625" style="150" customWidth="1"/>
    <col min="57" max="57" width="10.140625" style="150" customWidth="1"/>
    <col min="58" max="58" width="10" style="150" bestFit="1" customWidth="1"/>
    <col min="59" max="61" width="9.140625" style="150"/>
    <col min="62" max="62" width="11.140625" style="150" customWidth="1"/>
    <col min="63" max="63" width="10.5703125" style="150" customWidth="1"/>
    <col min="64" max="64" width="11.28515625" style="150" customWidth="1"/>
    <col min="65" max="65" width="10.5703125" style="150" customWidth="1"/>
    <col min="66" max="66" width="10.28515625" style="150" customWidth="1"/>
    <col min="67" max="67" width="10.140625" style="150" customWidth="1"/>
    <col min="68" max="68" width="10" style="150" bestFit="1" customWidth="1"/>
    <col min="69" max="16384" width="9.140625" style="150"/>
  </cols>
  <sheetData>
    <row r="1" spans="2:68" ht="13.5" thickBot="1">
      <c r="L1" s="154"/>
      <c r="M1" s="671"/>
      <c r="N1" s="671"/>
      <c r="O1" s="154"/>
      <c r="P1" s="154"/>
      <c r="Q1" s="228">
        <v>13</v>
      </c>
      <c r="R1" s="228">
        <v>15</v>
      </c>
      <c r="S1" s="292"/>
      <c r="T1" s="228">
        <v>18</v>
      </c>
      <c r="V1" s="154"/>
      <c r="W1" s="671"/>
      <c r="X1" s="671"/>
      <c r="Y1" s="154"/>
      <c r="Z1" s="154"/>
      <c r="AA1" s="228"/>
      <c r="AB1" s="228"/>
      <c r="AD1" s="300"/>
      <c r="AF1" s="154"/>
      <c r="AG1" s="671"/>
      <c r="AH1" s="671"/>
      <c r="AI1" s="154"/>
      <c r="AJ1" s="154"/>
      <c r="AK1" s="228"/>
      <c r="AL1" s="228"/>
      <c r="AN1" s="300"/>
      <c r="AP1" s="154"/>
      <c r="AQ1" s="671"/>
      <c r="AR1" s="671"/>
      <c r="AS1" s="154"/>
      <c r="AT1" s="154"/>
      <c r="AU1" s="228"/>
      <c r="AV1" s="228"/>
      <c r="AX1" s="300"/>
      <c r="AZ1" s="154"/>
      <c r="BA1" s="671"/>
      <c r="BB1" s="671"/>
      <c r="BC1" s="154"/>
      <c r="BD1" s="154"/>
      <c r="BE1" s="228"/>
      <c r="BF1" s="228"/>
      <c r="BH1" s="300"/>
      <c r="BJ1" s="154"/>
      <c r="BK1" s="671"/>
      <c r="BL1" s="671"/>
      <c r="BM1" s="154"/>
      <c r="BN1" s="154"/>
      <c r="BO1" s="228"/>
      <c r="BP1" s="228"/>
    </row>
    <row r="2" spans="2:68" ht="15.75" thickBot="1">
      <c r="K2" s="203"/>
      <c r="L2" s="443"/>
      <c r="M2" s="444"/>
      <c r="N2" s="444"/>
      <c r="O2" s="444"/>
      <c r="P2" s="444"/>
      <c r="Q2" s="444"/>
      <c r="R2" s="444"/>
      <c r="S2" s="293"/>
      <c r="T2" s="156"/>
      <c r="U2" s="203"/>
      <c r="V2" s="443"/>
      <c r="W2" s="444"/>
      <c r="X2" s="444"/>
      <c r="Y2" s="444"/>
      <c r="Z2" s="444"/>
      <c r="AA2" s="444"/>
      <c r="AB2" s="444"/>
      <c r="AC2" s="156"/>
      <c r="AD2" s="156"/>
      <c r="AE2" s="203"/>
      <c r="AF2" s="443"/>
      <c r="AG2" s="444"/>
      <c r="AH2" s="444"/>
      <c r="AI2" s="444"/>
      <c r="AJ2" s="444"/>
      <c r="AK2" s="444"/>
      <c r="AL2" s="444"/>
      <c r="AN2" s="300"/>
      <c r="AO2" s="373" t="s">
        <v>7</v>
      </c>
      <c r="AP2" s="532">
        <f>B5</f>
        <v>42614</v>
      </c>
      <c r="AQ2" s="674" t="s">
        <v>100</v>
      </c>
      <c r="AR2" s="675"/>
      <c r="AS2" s="674" t="s">
        <v>99</v>
      </c>
      <c r="AT2" s="675"/>
      <c r="AU2" s="709" t="s">
        <v>16</v>
      </c>
      <c r="AV2" s="677"/>
      <c r="AX2" s="300"/>
      <c r="AY2" s="373" t="s">
        <v>7</v>
      </c>
      <c r="AZ2" s="532">
        <f>B6</f>
        <v>42615</v>
      </c>
      <c r="BA2" s="674" t="s">
        <v>100</v>
      </c>
      <c r="BB2" s="675"/>
      <c r="BC2" s="674" t="s">
        <v>99</v>
      </c>
      <c r="BD2" s="675"/>
      <c r="BE2" s="709" t="s">
        <v>16</v>
      </c>
      <c r="BF2" s="677"/>
      <c r="BH2" s="300"/>
      <c r="BI2" s="373" t="s">
        <v>7</v>
      </c>
      <c r="BJ2" s="532">
        <f>B7</f>
        <v>42616</v>
      </c>
      <c r="BK2" s="674" t="s">
        <v>100</v>
      </c>
      <c r="BL2" s="675"/>
      <c r="BM2" s="674" t="s">
        <v>99</v>
      </c>
      <c r="BN2" s="675"/>
      <c r="BO2" s="676" t="s">
        <v>16</v>
      </c>
      <c r="BP2" s="677"/>
    </row>
    <row r="3" spans="2:68" ht="13.5" thickBot="1">
      <c r="C3" s="277" t="s">
        <v>149</v>
      </c>
      <c r="D3" s="277" t="s">
        <v>149</v>
      </c>
      <c r="E3" s="150" t="s">
        <v>5</v>
      </c>
      <c r="F3" s="150" t="s">
        <v>5</v>
      </c>
      <c r="G3" s="277" t="s">
        <v>149</v>
      </c>
      <c r="H3" s="150" t="s">
        <v>5</v>
      </c>
      <c r="K3" s="156"/>
      <c r="L3" s="156"/>
      <c r="M3" s="156"/>
      <c r="N3" s="156"/>
      <c r="O3" s="224"/>
      <c r="P3" s="224"/>
      <c r="Q3" s="224"/>
      <c r="R3" s="224"/>
      <c r="S3" s="156"/>
      <c r="T3" s="156"/>
      <c r="U3" s="156"/>
      <c r="V3" s="156"/>
      <c r="W3" s="156"/>
      <c r="X3" s="156"/>
      <c r="Y3" s="224"/>
      <c r="Z3" s="224"/>
      <c r="AA3" s="224"/>
      <c r="AB3" s="224"/>
      <c r="AC3" s="156"/>
      <c r="AD3" s="156"/>
      <c r="AE3" s="156"/>
      <c r="AF3" s="156"/>
      <c r="AG3" s="156"/>
      <c r="AH3" s="156"/>
      <c r="AI3" s="224"/>
      <c r="AJ3" s="224"/>
      <c r="AK3" s="224"/>
      <c r="AL3" s="224"/>
      <c r="AN3" s="300"/>
      <c r="AO3" s="356"/>
      <c r="AP3" s="355"/>
      <c r="AQ3" s="356"/>
      <c r="AR3" s="357"/>
      <c r="AS3" s="367"/>
      <c r="AT3" s="368"/>
      <c r="AU3" s="369"/>
      <c r="AV3" s="368"/>
      <c r="AX3" s="300"/>
      <c r="AY3" s="356"/>
      <c r="AZ3" s="355"/>
      <c r="BA3" s="356"/>
      <c r="BB3" s="357"/>
      <c r="BC3" s="367"/>
      <c r="BD3" s="368"/>
      <c r="BE3" s="369"/>
      <c r="BF3" s="368"/>
      <c r="BH3" s="300"/>
      <c r="BI3" s="356"/>
      <c r="BJ3" s="355"/>
      <c r="BK3" s="356"/>
      <c r="BL3" s="357"/>
      <c r="BM3" s="367"/>
      <c r="BN3" s="368"/>
      <c r="BO3" s="369"/>
      <c r="BP3" s="368"/>
    </row>
    <row r="4" spans="2:68" ht="16.5" thickBot="1">
      <c r="B4" s="277" t="s">
        <v>150</v>
      </c>
      <c r="C4" s="277" t="s">
        <v>151</v>
      </c>
      <c r="D4" s="277" t="s">
        <v>137</v>
      </c>
      <c r="E4" s="277" t="s">
        <v>151</v>
      </c>
      <c r="F4" s="277" t="s">
        <v>137</v>
      </c>
      <c r="G4" s="277" t="s">
        <v>152</v>
      </c>
      <c r="H4" s="277" t="s">
        <v>152</v>
      </c>
      <c r="K4" s="156"/>
      <c r="L4" s="445"/>
      <c r="M4" s="439"/>
      <c r="N4" s="446"/>
      <c r="O4" s="439"/>
      <c r="P4" s="446"/>
      <c r="Q4" s="439"/>
      <c r="R4" s="447"/>
      <c r="S4" s="294"/>
      <c r="T4" s="156"/>
      <c r="U4" s="156"/>
      <c r="V4" s="445"/>
      <c r="W4" s="439"/>
      <c r="X4" s="446"/>
      <c r="Y4" s="439"/>
      <c r="Z4" s="446"/>
      <c r="AA4" s="439"/>
      <c r="AB4" s="447"/>
      <c r="AC4" s="156"/>
      <c r="AD4" s="156"/>
      <c r="AE4" s="156"/>
      <c r="AF4" s="445"/>
      <c r="AG4" s="439"/>
      <c r="AH4" s="446"/>
      <c r="AI4" s="439"/>
      <c r="AJ4" s="446"/>
      <c r="AK4" s="439"/>
      <c r="AL4" s="447"/>
      <c r="AN4" s="300"/>
      <c r="AO4" s="356"/>
      <c r="AP4" s="433" t="s">
        <v>155</v>
      </c>
      <c r="AQ4" s="358" t="s">
        <v>103</v>
      </c>
      <c r="AR4" s="279"/>
      <c r="AS4" s="358" t="s">
        <v>103</v>
      </c>
      <c r="AT4" s="279"/>
      <c r="AU4" s="359" t="s">
        <v>103</v>
      </c>
      <c r="AV4" s="370">
        <f>SUM(AR4,AT4)</f>
        <v>0</v>
      </c>
      <c r="AX4" s="300"/>
      <c r="AY4" s="356"/>
      <c r="AZ4" s="433" t="s">
        <v>155</v>
      </c>
      <c r="BA4" s="358" t="s">
        <v>103</v>
      </c>
      <c r="BB4" s="279"/>
      <c r="BC4" s="358" t="s">
        <v>103</v>
      </c>
      <c r="BD4" s="279"/>
      <c r="BE4" s="359" t="s">
        <v>103</v>
      </c>
      <c r="BF4" s="370">
        <f>SUM(BB4,BD4)</f>
        <v>0</v>
      </c>
      <c r="BH4" s="300"/>
      <c r="BI4" s="356"/>
      <c r="BJ4" s="433" t="s">
        <v>155</v>
      </c>
      <c r="BK4" s="358" t="s">
        <v>103</v>
      </c>
      <c r="BL4" s="279"/>
      <c r="BM4" s="358" t="s">
        <v>103</v>
      </c>
      <c r="BN4" s="279"/>
      <c r="BO4" s="359" t="s">
        <v>103</v>
      </c>
      <c r="BP4" s="370">
        <f>SUM(BL4,BN4)</f>
        <v>0</v>
      </c>
    </row>
    <row r="5" spans="2:68" ht="18.75" thickBot="1">
      <c r="B5" s="278">
        <v>42614</v>
      </c>
      <c r="D5" s="2"/>
      <c r="E5" s="2"/>
      <c r="F5" s="2"/>
      <c r="G5" s="2">
        <f t="shared" ref="G5:G35" si="0">C5+D5</f>
        <v>0</v>
      </c>
      <c r="H5" s="2">
        <f t="shared" ref="H5:H35" si="1">E5+F5</f>
        <v>0</v>
      </c>
      <c r="K5" s="156"/>
      <c r="L5" s="448"/>
      <c r="M5" s="449"/>
      <c r="N5" s="450"/>
      <c r="O5" s="439"/>
      <c r="P5" s="450"/>
      <c r="Q5" s="439"/>
      <c r="R5" s="447"/>
      <c r="S5" s="294"/>
      <c r="T5" s="156"/>
      <c r="U5" s="156"/>
      <c r="V5" s="448"/>
      <c r="W5" s="449"/>
      <c r="X5" s="450"/>
      <c r="Y5" s="439"/>
      <c r="Z5" s="450"/>
      <c r="AA5" s="439"/>
      <c r="AB5" s="447"/>
      <c r="AC5" s="156"/>
      <c r="AD5" s="156"/>
      <c r="AE5" s="156"/>
      <c r="AF5" s="448"/>
      <c r="AG5" s="449"/>
      <c r="AH5" s="450"/>
      <c r="AI5" s="439"/>
      <c r="AJ5" s="450"/>
      <c r="AK5" s="439"/>
      <c r="AL5" s="447"/>
      <c r="AN5" s="300"/>
      <c r="AO5" s="356"/>
      <c r="AP5" s="289">
        <v>8</v>
      </c>
      <c r="AQ5" s="360" t="s">
        <v>5</v>
      </c>
      <c r="AR5" s="361">
        <f>VLOOKUP(AP2, $B$3:$E$109, 4, FALSE)</f>
        <v>0</v>
      </c>
      <c r="AS5" s="358" t="s">
        <v>5</v>
      </c>
      <c r="AT5" s="361">
        <f>VLOOKUP(AP2, $B$3:$F$109, 5, FALSE)</f>
        <v>0</v>
      </c>
      <c r="AU5" s="359" t="s">
        <v>5</v>
      </c>
      <c r="AV5" s="370">
        <f>SUM(AR5,AT5)</f>
        <v>0</v>
      </c>
      <c r="AX5" s="300"/>
      <c r="AY5" s="356"/>
      <c r="AZ5" s="289">
        <v>8</v>
      </c>
      <c r="BA5" s="360" t="s">
        <v>5</v>
      </c>
      <c r="BB5" s="361">
        <f>VLOOKUP(AZ2, $B$3:$E$109, 4, FALSE)</f>
        <v>0</v>
      </c>
      <c r="BC5" s="358" t="s">
        <v>5</v>
      </c>
      <c r="BD5" s="361">
        <f>VLOOKUP(AZ2, $B$3:$F$109, 5, FALSE)</f>
        <v>0</v>
      </c>
      <c r="BE5" s="359" t="s">
        <v>5</v>
      </c>
      <c r="BF5" s="370">
        <f>SUM(BB5,BD5)</f>
        <v>0</v>
      </c>
      <c r="BH5" s="300"/>
      <c r="BI5" s="356"/>
      <c r="BJ5" s="289">
        <v>8</v>
      </c>
      <c r="BK5" s="360" t="s">
        <v>5</v>
      </c>
      <c r="BL5" s="361">
        <f>VLOOKUP(BJ2, $B$3:$E$109, 4, FALSE)</f>
        <v>0</v>
      </c>
      <c r="BM5" s="358" t="s">
        <v>5</v>
      </c>
      <c r="BN5" s="361">
        <f>VLOOKUP(BJ2, $B$3:$F$109, 5, FALSE)</f>
        <v>0</v>
      </c>
      <c r="BO5" s="359" t="s">
        <v>5</v>
      </c>
      <c r="BP5" s="370">
        <f>SUM(BL5,BN5)</f>
        <v>0</v>
      </c>
    </row>
    <row r="6" spans="2:68" ht="15.75" customHeight="1">
      <c r="B6" s="278">
        <v>42615</v>
      </c>
      <c r="C6" s="2"/>
      <c r="D6" s="337"/>
      <c r="E6" s="2"/>
      <c r="F6" s="2"/>
      <c r="G6" s="337">
        <f t="shared" si="0"/>
        <v>0</v>
      </c>
      <c r="H6" s="2">
        <f t="shared" si="1"/>
        <v>0</v>
      </c>
      <c r="K6" s="156"/>
      <c r="L6" s="156"/>
      <c r="M6" s="440"/>
      <c r="N6" s="450"/>
      <c r="O6" s="440"/>
      <c r="P6" s="450"/>
      <c r="Q6" s="440"/>
      <c r="R6" s="447"/>
      <c r="S6" s="294"/>
      <c r="T6" s="156"/>
      <c r="U6" s="156"/>
      <c r="V6" s="156"/>
      <c r="W6" s="440"/>
      <c r="X6" s="450"/>
      <c r="Y6" s="440"/>
      <c r="Z6" s="450"/>
      <c r="AA6" s="440"/>
      <c r="AB6" s="447"/>
      <c r="AC6" s="156"/>
      <c r="AD6" s="156"/>
      <c r="AE6" s="156"/>
      <c r="AF6" s="156"/>
      <c r="AG6" s="440"/>
      <c r="AH6" s="450"/>
      <c r="AI6" s="440"/>
      <c r="AJ6" s="450"/>
      <c r="AK6" s="440"/>
      <c r="AL6" s="447"/>
      <c r="AN6" s="300"/>
      <c r="AO6" s="356"/>
      <c r="AP6" s="355"/>
      <c r="AQ6" s="673" t="s">
        <v>105</v>
      </c>
      <c r="AR6" s="361">
        <f>VLOOKUP(AP2, $B$3:$E$109, 2, FALSE)</f>
        <v>0</v>
      </c>
      <c r="AS6" s="672" t="s">
        <v>105</v>
      </c>
      <c r="AT6" s="361">
        <f>VLOOKUP(AP2, $B$3:$E$109, 3, FALSE)</f>
        <v>0</v>
      </c>
      <c r="AU6" s="672" t="s">
        <v>105</v>
      </c>
      <c r="AV6" s="370">
        <f>SUM(AR6,AT6)</f>
        <v>0</v>
      </c>
      <c r="AX6" s="300"/>
      <c r="AY6" s="356"/>
      <c r="AZ6" s="355"/>
      <c r="BA6" s="673" t="s">
        <v>105</v>
      </c>
      <c r="BB6" s="361">
        <f>VLOOKUP(AZ2, $B$3:$E$109, 2, FALSE)</f>
        <v>0</v>
      </c>
      <c r="BC6" s="672" t="s">
        <v>105</v>
      </c>
      <c r="BD6" s="361">
        <f>VLOOKUP(AZ2, $B$3:$E$109, 3, FALSE)</f>
        <v>0</v>
      </c>
      <c r="BE6" s="672" t="s">
        <v>105</v>
      </c>
      <c r="BF6" s="370">
        <f>SUM(BB6,BD6)</f>
        <v>0</v>
      </c>
      <c r="BH6" s="300"/>
      <c r="BI6" s="356"/>
      <c r="BJ6" s="355"/>
      <c r="BK6" s="672" t="s">
        <v>105</v>
      </c>
      <c r="BL6" s="361">
        <f>VLOOKUP(BJ2, $B$3:$E$109, 2, FALSE)</f>
        <v>0</v>
      </c>
      <c r="BM6" s="672" t="s">
        <v>105</v>
      </c>
      <c r="BN6" s="361">
        <f>VLOOKUP(BJ2, $B$3:$E$109, 3, FALSE)</f>
        <v>0</v>
      </c>
      <c r="BO6" s="673" t="s">
        <v>105</v>
      </c>
      <c r="BP6" s="370">
        <f>SUM(BL6,BN6)</f>
        <v>0</v>
      </c>
    </row>
    <row r="7" spans="2:68" ht="17.25" customHeight="1">
      <c r="B7" s="278">
        <v>42616</v>
      </c>
      <c r="C7" s="2"/>
      <c r="G7" s="150">
        <f t="shared" si="0"/>
        <v>0</v>
      </c>
      <c r="H7" s="150">
        <f t="shared" si="1"/>
        <v>0</v>
      </c>
      <c r="K7" s="451"/>
      <c r="L7" s="451"/>
      <c r="M7" s="440"/>
      <c r="N7" s="156"/>
      <c r="O7" s="440"/>
      <c r="P7" s="224"/>
      <c r="Q7" s="440"/>
      <c r="R7" s="224"/>
      <c r="S7" s="156"/>
      <c r="T7" s="156"/>
      <c r="U7" s="451"/>
      <c r="V7" s="451"/>
      <c r="W7" s="440"/>
      <c r="X7" s="156"/>
      <c r="Y7" s="440"/>
      <c r="Z7" s="224"/>
      <c r="AA7" s="440"/>
      <c r="AB7" s="224"/>
      <c r="AC7" s="156"/>
      <c r="AD7" s="156"/>
      <c r="AE7" s="451"/>
      <c r="AF7" s="451"/>
      <c r="AG7" s="440"/>
      <c r="AH7" s="156"/>
      <c r="AI7" s="440"/>
      <c r="AJ7" s="224"/>
      <c r="AK7" s="440"/>
      <c r="AL7" s="224"/>
      <c r="AN7" s="300"/>
      <c r="AO7" s="704" t="s">
        <v>157</v>
      </c>
      <c r="AP7" s="705"/>
      <c r="AQ7" s="673"/>
      <c r="AR7" s="357"/>
      <c r="AS7" s="672"/>
      <c r="AT7" s="368"/>
      <c r="AU7" s="672"/>
      <c r="AV7" s="368"/>
      <c r="AX7" s="300"/>
      <c r="AY7" s="704" t="s">
        <v>157</v>
      </c>
      <c r="AZ7" s="705"/>
      <c r="BA7" s="673"/>
      <c r="BB7" s="357"/>
      <c r="BC7" s="672"/>
      <c r="BD7" s="368"/>
      <c r="BE7" s="672"/>
      <c r="BF7" s="368"/>
      <c r="BH7" s="300"/>
      <c r="BI7" s="704" t="s">
        <v>157</v>
      </c>
      <c r="BJ7" s="705"/>
      <c r="BK7" s="673"/>
      <c r="BL7" s="357"/>
      <c r="BM7" s="672"/>
      <c r="BN7" s="368"/>
      <c r="BO7" s="673"/>
      <c r="BP7" s="368"/>
    </row>
    <row r="8" spans="2:68" ht="15.75">
      <c r="B8" s="278">
        <v>42617</v>
      </c>
      <c r="G8" s="150">
        <f t="shared" si="0"/>
        <v>0</v>
      </c>
      <c r="H8" s="150">
        <f t="shared" si="1"/>
        <v>0</v>
      </c>
      <c r="K8" s="451"/>
      <c r="L8" s="441"/>
      <c r="M8" s="442"/>
      <c r="N8" s="156"/>
      <c r="O8" s="440"/>
      <c r="P8" s="156"/>
      <c r="Q8" s="442"/>
      <c r="R8" s="156"/>
      <c r="S8" s="156"/>
      <c r="T8" s="156"/>
      <c r="U8" s="451"/>
      <c r="V8" s="441"/>
      <c r="W8" s="442"/>
      <c r="X8" s="156"/>
      <c r="Y8" s="440"/>
      <c r="Z8" s="156"/>
      <c r="AA8" s="442"/>
      <c r="AB8" s="156"/>
      <c r="AC8" s="156"/>
      <c r="AD8" s="156"/>
      <c r="AE8" s="451"/>
      <c r="AF8" s="441"/>
      <c r="AG8" s="442"/>
      <c r="AH8" s="156"/>
      <c r="AI8" s="440"/>
      <c r="AJ8" s="156"/>
      <c r="AK8" s="442"/>
      <c r="AL8" s="156"/>
      <c r="AN8" s="300"/>
      <c r="AO8" s="374"/>
      <c r="AP8" s="372">
        <f>AV4*13</f>
        <v>0</v>
      </c>
      <c r="AQ8" s="434"/>
      <c r="AR8" s="357"/>
      <c r="AS8" s="363"/>
      <c r="AT8" s="357"/>
      <c r="AU8" s="435"/>
      <c r="AV8" s="357"/>
      <c r="AX8" s="300"/>
      <c r="AY8" s="374"/>
      <c r="AZ8" s="372">
        <f>BF4*13</f>
        <v>0</v>
      </c>
      <c r="BA8" s="434"/>
      <c r="BB8" s="357"/>
      <c r="BC8" s="363"/>
      <c r="BD8" s="357"/>
      <c r="BE8" s="435"/>
      <c r="BF8" s="357"/>
      <c r="BH8" s="300"/>
      <c r="BI8" s="374"/>
      <c r="BJ8" s="372">
        <f>BP4*13</f>
        <v>0</v>
      </c>
      <c r="BK8" s="434"/>
      <c r="BL8" s="357"/>
      <c r="BM8" s="363"/>
      <c r="BN8" s="357"/>
      <c r="BO8" s="435"/>
      <c r="BP8" s="357"/>
    </row>
    <row r="9" spans="2:68" ht="18.75">
      <c r="B9" s="278">
        <v>42618</v>
      </c>
      <c r="G9" s="150">
        <f t="shared" si="0"/>
        <v>0</v>
      </c>
      <c r="H9" s="150">
        <f t="shared" si="1"/>
        <v>0</v>
      </c>
      <c r="K9" s="156"/>
      <c r="L9" s="98"/>
      <c r="M9" s="452"/>
      <c r="N9" s="295"/>
      <c r="O9" s="452"/>
      <c r="P9" s="295"/>
      <c r="Q9" s="452"/>
      <c r="R9" s="295"/>
      <c r="S9" s="295"/>
      <c r="T9" s="156"/>
      <c r="U9" s="156"/>
      <c r="V9" s="98"/>
      <c r="W9" s="452"/>
      <c r="X9" s="295"/>
      <c r="Y9" s="452"/>
      <c r="Z9" s="295"/>
      <c r="AA9" s="452"/>
      <c r="AB9" s="295"/>
      <c r="AC9" s="156"/>
      <c r="AD9" s="156"/>
      <c r="AE9" s="156"/>
      <c r="AF9" s="98"/>
      <c r="AG9" s="452"/>
      <c r="AH9" s="295"/>
      <c r="AI9" s="452"/>
      <c r="AJ9" s="295"/>
      <c r="AK9" s="452"/>
      <c r="AL9" s="295"/>
      <c r="AN9" s="300"/>
      <c r="AO9" s="356"/>
      <c r="AP9" s="375"/>
      <c r="AQ9" s="286" t="s">
        <v>97</v>
      </c>
      <c r="AR9" s="287" t="e">
        <f>AR6/((AR4*EFFICIENCY!$H$28))</f>
        <v>#DIV/0!</v>
      </c>
      <c r="AS9" s="286" t="s">
        <v>97</v>
      </c>
      <c r="AT9" s="287" t="e">
        <f>AT6/(AT4*EFFICIENCY!$H$28)</f>
        <v>#DIV/0!</v>
      </c>
      <c r="AU9" s="286" t="s">
        <v>97</v>
      </c>
      <c r="AV9" s="287" t="e">
        <f>AV6/(AV4*EFFICIENCY!$H$28)</f>
        <v>#DIV/0!</v>
      </c>
      <c r="AX9" s="300"/>
      <c r="AY9" s="356"/>
      <c r="AZ9" s="375"/>
      <c r="BA9" s="286" t="s">
        <v>97</v>
      </c>
      <c r="BB9" s="287" t="e">
        <f>BB6/((BB4*EFFICIENCY!$H$28))</f>
        <v>#DIV/0!</v>
      </c>
      <c r="BC9" s="286" t="s">
        <v>97</v>
      </c>
      <c r="BD9" s="287" t="e">
        <f>BD6/(BD4*EFFICIENCY!$H$28)</f>
        <v>#DIV/0!</v>
      </c>
      <c r="BE9" s="286" t="s">
        <v>97</v>
      </c>
      <c r="BF9" s="287" t="e">
        <f>BF6/(BF4*EFFICIENCY!$H$28)</f>
        <v>#DIV/0!</v>
      </c>
      <c r="BH9" s="300"/>
      <c r="BI9" s="356"/>
      <c r="BJ9" s="375"/>
      <c r="BK9" s="286" t="s">
        <v>97</v>
      </c>
      <c r="BL9" s="287" t="e">
        <f>BL6/((BL4*EFFICIENCY!$H$28))</f>
        <v>#DIV/0!</v>
      </c>
      <c r="BM9" s="286" t="s">
        <v>97</v>
      </c>
      <c r="BN9" s="287" t="e">
        <f>BN6/(BN4*EFFICIENCY!$H$28)</f>
        <v>#DIV/0!</v>
      </c>
      <c r="BO9" s="286" t="s">
        <v>97</v>
      </c>
      <c r="BP9" s="287" t="e">
        <f>BP6/(BP4*EFFICIENCY!$H$28)</f>
        <v>#DIV/0!</v>
      </c>
    </row>
    <row r="10" spans="2:68" ht="18.75" customHeight="1">
      <c r="B10" s="278">
        <v>42619</v>
      </c>
      <c r="G10" s="150">
        <f t="shared" si="0"/>
        <v>0</v>
      </c>
      <c r="H10" s="150">
        <f t="shared" si="1"/>
        <v>0</v>
      </c>
      <c r="K10" s="156"/>
      <c r="L10" s="156"/>
      <c r="M10" s="453"/>
      <c r="N10" s="296"/>
      <c r="O10" s="453"/>
      <c r="P10" s="296"/>
      <c r="Q10" s="453"/>
      <c r="R10" s="296"/>
      <c r="S10" s="296"/>
      <c r="T10" s="156"/>
      <c r="U10" s="156"/>
      <c r="V10" s="156"/>
      <c r="W10" s="453"/>
      <c r="X10" s="296"/>
      <c r="Y10" s="453"/>
      <c r="Z10" s="296"/>
      <c r="AA10" s="453"/>
      <c r="AB10" s="296"/>
      <c r="AC10" s="156"/>
      <c r="AD10" s="156"/>
      <c r="AE10" s="156"/>
      <c r="AF10" s="156"/>
      <c r="AG10" s="453"/>
      <c r="AH10" s="296"/>
      <c r="AI10" s="453"/>
      <c r="AJ10" s="296"/>
      <c r="AK10" s="453"/>
      <c r="AL10" s="296"/>
      <c r="AN10" s="300"/>
      <c r="AO10" s="356"/>
      <c r="AP10" s="355"/>
      <c r="AQ10" s="280" t="s">
        <v>96</v>
      </c>
      <c r="AR10" s="281" t="e">
        <f>AR6/(AR4*EFFICIENCY!$I$28)</f>
        <v>#DIV/0!</v>
      </c>
      <c r="AS10" s="280" t="s">
        <v>96</v>
      </c>
      <c r="AT10" s="281" t="e">
        <f>AT6/(AT4*EFFICIENCY!$I$28)</f>
        <v>#DIV/0!</v>
      </c>
      <c r="AU10" s="280" t="s">
        <v>96</v>
      </c>
      <c r="AV10" s="281" t="e">
        <f>AV6/(AV4*EFFICIENCY!$I$28)</f>
        <v>#DIV/0!</v>
      </c>
      <c r="AX10" s="300"/>
      <c r="AY10" s="356"/>
      <c r="AZ10" s="355"/>
      <c r="BA10" s="280" t="s">
        <v>96</v>
      </c>
      <c r="BB10" s="281" t="e">
        <f>BB6/(BB4*EFFICIENCY!$I$28)</f>
        <v>#DIV/0!</v>
      </c>
      <c r="BC10" s="280" t="s">
        <v>96</v>
      </c>
      <c r="BD10" s="281" t="e">
        <f>BD6/(BD4*EFFICIENCY!$I$28)</f>
        <v>#DIV/0!</v>
      </c>
      <c r="BE10" s="280" t="s">
        <v>96</v>
      </c>
      <c r="BF10" s="281" t="e">
        <f>BF6/(BF4*EFFICIENCY!$I$28)</f>
        <v>#DIV/0!</v>
      </c>
      <c r="BH10" s="300"/>
      <c r="BI10" s="356"/>
      <c r="BJ10" s="355"/>
      <c r="BK10" s="280" t="s">
        <v>96</v>
      </c>
      <c r="BL10" s="281" t="e">
        <f>BL6/(BL4*EFFICIENCY!$I$28)</f>
        <v>#DIV/0!</v>
      </c>
      <c r="BM10" s="280" t="s">
        <v>96</v>
      </c>
      <c r="BN10" s="281" t="e">
        <f>BN6/(BN4*EFFICIENCY!$I$28)</f>
        <v>#DIV/0!</v>
      </c>
      <c r="BO10" s="280" t="s">
        <v>96</v>
      </c>
      <c r="BP10" s="281" t="e">
        <f>BP6/(BP4*EFFICIENCY!$I$28)</f>
        <v>#DIV/0!</v>
      </c>
    </row>
    <row r="11" spans="2:68" ht="17.25" customHeight="1" thickBot="1">
      <c r="B11" s="278">
        <v>42620</v>
      </c>
      <c r="G11" s="150">
        <f t="shared" si="0"/>
        <v>0</v>
      </c>
      <c r="H11" s="150">
        <f t="shared" si="1"/>
        <v>0</v>
      </c>
      <c r="K11" s="454"/>
      <c r="L11" s="454"/>
      <c r="M11" s="455"/>
      <c r="N11" s="297"/>
      <c r="O11" s="455"/>
      <c r="P11" s="297"/>
      <c r="Q11" s="455"/>
      <c r="R11" s="297"/>
      <c r="S11" s="297"/>
      <c r="T11" s="156"/>
      <c r="U11" s="454"/>
      <c r="V11" s="454"/>
      <c r="W11" s="455"/>
      <c r="X11" s="297"/>
      <c r="Y11" s="455"/>
      <c r="Z11" s="297"/>
      <c r="AA11" s="455"/>
      <c r="AB11" s="297"/>
      <c r="AC11" s="156"/>
      <c r="AD11" s="156"/>
      <c r="AE11" s="454"/>
      <c r="AF11" s="454"/>
      <c r="AG11" s="455"/>
      <c r="AH11" s="297"/>
      <c r="AI11" s="455"/>
      <c r="AJ11" s="297"/>
      <c r="AK11" s="455"/>
      <c r="AL11" s="297"/>
      <c r="AN11" s="300"/>
      <c r="AO11" s="692" t="s">
        <v>156</v>
      </c>
      <c r="AP11" s="708"/>
      <c r="AQ11" s="284" t="s">
        <v>94</v>
      </c>
      <c r="AR11" s="285" t="e">
        <f>AR6/((AR4*EFFICIENCY!$K$28))</f>
        <v>#DIV/0!</v>
      </c>
      <c r="AS11" s="288" t="s">
        <v>94</v>
      </c>
      <c r="AT11" s="285" t="e">
        <f>AT6/((AT4*EFFICIENCY!$K$28))</f>
        <v>#DIV/0!</v>
      </c>
      <c r="AU11" s="284" t="s">
        <v>94</v>
      </c>
      <c r="AV11" s="285" t="e">
        <f>AV6/((AV4*EFFICIENCY!$K$28))</f>
        <v>#DIV/0!</v>
      </c>
      <c r="AX11" s="300"/>
      <c r="AY11" s="692" t="s">
        <v>156</v>
      </c>
      <c r="AZ11" s="708"/>
      <c r="BA11" s="284" t="s">
        <v>94</v>
      </c>
      <c r="BB11" s="285" t="e">
        <f>BB6/((BB4*EFFICIENCY!$K$28))</f>
        <v>#DIV/0!</v>
      </c>
      <c r="BC11" s="288" t="s">
        <v>94</v>
      </c>
      <c r="BD11" s="285" t="e">
        <f>BD6/((BD4*EFFICIENCY!$K$28))</f>
        <v>#DIV/0!</v>
      </c>
      <c r="BE11" s="284" t="s">
        <v>94</v>
      </c>
      <c r="BF11" s="285" t="e">
        <f>BF6/((BF4*EFFICIENCY!$K$28))</f>
        <v>#DIV/0!</v>
      </c>
      <c r="BH11" s="300"/>
      <c r="BI11" s="692" t="s">
        <v>156</v>
      </c>
      <c r="BJ11" s="693"/>
      <c r="BK11" s="284" t="s">
        <v>94</v>
      </c>
      <c r="BL11" s="285" t="e">
        <f>BL6/((BL4*EFFICIENCY!$K$28))</f>
        <v>#DIV/0!</v>
      </c>
      <c r="BM11" s="288" t="s">
        <v>94</v>
      </c>
      <c r="BN11" s="285" t="e">
        <f>BN6/((BN4*EFFICIENCY!$K$28))</f>
        <v>#DIV/0!</v>
      </c>
      <c r="BO11" s="284" t="s">
        <v>94</v>
      </c>
      <c r="BP11" s="285" t="e">
        <f>BP6/((BP4*EFFICIENCY!$K$28))</f>
        <v>#DIV/0!</v>
      </c>
    </row>
    <row r="12" spans="2:68" ht="16.5" thickBot="1">
      <c r="B12" s="278">
        <v>42621</v>
      </c>
      <c r="G12" s="150">
        <f t="shared" si="0"/>
        <v>0</v>
      </c>
      <c r="H12" s="150">
        <f t="shared" si="1"/>
        <v>0</v>
      </c>
      <c r="K12" s="156"/>
      <c r="L12" s="441"/>
      <c r="M12" s="456"/>
      <c r="N12" s="456"/>
      <c r="O12" s="457"/>
      <c r="P12" s="458"/>
      <c r="Q12" s="458"/>
      <c r="R12" s="298"/>
      <c r="S12" s="298"/>
      <c r="T12" s="156"/>
      <c r="U12" s="156"/>
      <c r="V12" s="441"/>
      <c r="W12" s="456"/>
      <c r="X12" s="456"/>
      <c r="Y12" s="457"/>
      <c r="Z12" s="458"/>
      <c r="AA12" s="458"/>
      <c r="AB12" s="298"/>
      <c r="AC12" s="156"/>
      <c r="AD12" s="156"/>
      <c r="AE12" s="156"/>
      <c r="AF12" s="441"/>
      <c r="AG12" s="456"/>
      <c r="AH12" s="456"/>
      <c r="AI12" s="457"/>
      <c r="AJ12" s="458"/>
      <c r="AK12" s="458"/>
      <c r="AL12" s="298"/>
      <c r="AN12" s="300"/>
      <c r="AO12" s="376"/>
      <c r="AP12" s="377" t="e">
        <f>AV6/AV4</f>
        <v>#DIV/0!</v>
      </c>
      <c r="AQ12" s="706" t="s">
        <v>153</v>
      </c>
      <c r="AR12" s="707"/>
      <c r="AS12" s="290"/>
      <c r="AT12" s="431"/>
      <c r="AU12" s="431" t="s">
        <v>154</v>
      </c>
      <c r="AV12" s="366">
        <f>AS12-AV6</f>
        <v>0</v>
      </c>
      <c r="AX12" s="300"/>
      <c r="AY12" s="376"/>
      <c r="AZ12" s="377" t="e">
        <f>BF6/BF4</f>
        <v>#DIV/0!</v>
      </c>
      <c r="BA12" s="706" t="s">
        <v>153</v>
      </c>
      <c r="BB12" s="707"/>
      <c r="BC12" s="290"/>
      <c r="BD12" s="431"/>
      <c r="BE12" s="431" t="s">
        <v>154</v>
      </c>
      <c r="BF12" s="366">
        <f>BC12-BF6</f>
        <v>0</v>
      </c>
      <c r="BH12" s="300"/>
      <c r="BI12" s="376"/>
      <c r="BJ12" s="377" t="e">
        <f>BP6/BP4</f>
        <v>#DIV/0!</v>
      </c>
      <c r="BK12" s="678" t="s">
        <v>153</v>
      </c>
      <c r="BL12" s="679"/>
      <c r="BM12" s="290"/>
      <c r="BN12" s="431"/>
      <c r="BO12" s="431" t="s">
        <v>154</v>
      </c>
      <c r="BP12" s="366">
        <f>BM12-BP6</f>
        <v>0</v>
      </c>
    </row>
    <row r="13" spans="2:68" ht="15.75" customHeight="1">
      <c r="B13" s="278">
        <v>42622</v>
      </c>
      <c r="G13" s="150">
        <f t="shared" si="0"/>
        <v>0</v>
      </c>
      <c r="H13" s="150">
        <f t="shared" si="1"/>
        <v>0</v>
      </c>
      <c r="L13" s="154"/>
      <c r="T13" s="300"/>
      <c r="V13" s="154"/>
      <c r="AD13" s="300"/>
      <c r="AF13" s="154"/>
      <c r="AN13" s="300"/>
      <c r="AP13" s="154"/>
      <c r="AX13" s="300"/>
      <c r="AZ13" s="154"/>
      <c r="BH13" s="300"/>
      <c r="BJ13" s="154"/>
    </row>
    <row r="14" spans="2:68" ht="15" customHeight="1" thickBot="1">
      <c r="B14" s="278">
        <v>42623</v>
      </c>
      <c r="G14" s="150">
        <f t="shared" si="0"/>
        <v>0</v>
      </c>
      <c r="H14" s="150">
        <f t="shared" si="1"/>
        <v>0</v>
      </c>
      <c r="K14" s="291"/>
      <c r="L14" s="291"/>
      <c r="M14" s="291"/>
      <c r="N14" s="291"/>
      <c r="O14" s="291"/>
      <c r="P14" s="291"/>
      <c r="Q14" s="291"/>
      <c r="R14" s="291"/>
      <c r="S14" s="299"/>
      <c r="T14" s="301"/>
      <c r="U14" s="291"/>
      <c r="V14" s="291"/>
      <c r="W14" s="291"/>
      <c r="X14" s="291"/>
      <c r="Y14" s="291"/>
      <c r="Z14" s="291"/>
      <c r="AA14" s="291"/>
      <c r="AB14" s="291"/>
      <c r="AC14" s="291"/>
      <c r="AD14" s="301"/>
      <c r="AE14" s="291"/>
      <c r="AF14" s="291"/>
      <c r="AG14" s="291"/>
      <c r="AH14" s="291"/>
      <c r="AI14" s="291"/>
      <c r="AJ14" s="291"/>
      <c r="AK14" s="291"/>
      <c r="AL14" s="291"/>
      <c r="AM14" s="291"/>
      <c r="AN14" s="301"/>
      <c r="AO14" s="291"/>
      <c r="AP14" s="291"/>
      <c r="AQ14" s="291"/>
      <c r="AR14" s="291"/>
      <c r="AS14" s="291"/>
      <c r="AT14" s="291"/>
      <c r="AU14" s="291"/>
      <c r="AV14" s="291"/>
      <c r="AW14" s="291"/>
      <c r="AX14" s="301"/>
      <c r="AY14" s="291"/>
      <c r="AZ14" s="291"/>
      <c r="BA14" s="291"/>
      <c r="BB14" s="291"/>
      <c r="BC14" s="291"/>
      <c r="BD14" s="291"/>
      <c r="BE14" s="291"/>
      <c r="BF14" s="291"/>
      <c r="BG14" s="291"/>
      <c r="BH14" s="300"/>
      <c r="BI14" s="291"/>
      <c r="BJ14" s="291"/>
      <c r="BK14" s="291"/>
      <c r="BL14" s="291"/>
      <c r="BM14" s="291"/>
      <c r="BN14" s="291"/>
      <c r="BO14" s="291"/>
      <c r="BP14" s="291"/>
    </row>
    <row r="15" spans="2:68" ht="15.75" thickBot="1">
      <c r="B15" s="278">
        <v>42624</v>
      </c>
      <c r="G15" s="150">
        <f t="shared" si="0"/>
        <v>0</v>
      </c>
      <c r="H15" s="150">
        <f t="shared" si="1"/>
        <v>0</v>
      </c>
      <c r="K15" s="378" t="s">
        <v>7</v>
      </c>
      <c r="L15" s="533">
        <f>B9</f>
        <v>42618</v>
      </c>
      <c r="M15" s="663" t="s">
        <v>100</v>
      </c>
      <c r="N15" s="664"/>
      <c r="O15" s="665" t="s">
        <v>99</v>
      </c>
      <c r="P15" s="666"/>
      <c r="Q15" s="667" t="s">
        <v>16</v>
      </c>
      <c r="R15" s="668"/>
      <c r="S15" s="293"/>
      <c r="T15" s="302"/>
      <c r="U15" s="378" t="s">
        <v>7</v>
      </c>
      <c r="V15" s="533">
        <f>B10</f>
        <v>42619</v>
      </c>
      <c r="W15" s="663" t="s">
        <v>100</v>
      </c>
      <c r="X15" s="664"/>
      <c r="Y15" s="665" t="s">
        <v>99</v>
      </c>
      <c r="Z15" s="666"/>
      <c r="AA15" s="667" t="s">
        <v>16</v>
      </c>
      <c r="AB15" s="668"/>
      <c r="AD15" s="300"/>
      <c r="AE15" s="378" t="s">
        <v>7</v>
      </c>
      <c r="AF15" s="533">
        <f>B11</f>
        <v>42620</v>
      </c>
      <c r="AG15" s="663" t="s">
        <v>100</v>
      </c>
      <c r="AH15" s="664"/>
      <c r="AI15" s="665" t="s">
        <v>99</v>
      </c>
      <c r="AJ15" s="666"/>
      <c r="AK15" s="667" t="s">
        <v>16</v>
      </c>
      <c r="AL15" s="668"/>
      <c r="AN15" s="300"/>
      <c r="AO15" s="378" t="s">
        <v>7</v>
      </c>
      <c r="AP15" s="533">
        <f>B12</f>
        <v>42621</v>
      </c>
      <c r="AQ15" s="663" t="s">
        <v>100</v>
      </c>
      <c r="AR15" s="664"/>
      <c r="AS15" s="665" t="s">
        <v>99</v>
      </c>
      <c r="AT15" s="666"/>
      <c r="AU15" s="667" t="s">
        <v>16</v>
      </c>
      <c r="AV15" s="668"/>
      <c r="AX15" s="300"/>
      <c r="AY15" s="378" t="s">
        <v>7</v>
      </c>
      <c r="AZ15" s="533">
        <f>B13</f>
        <v>42622</v>
      </c>
      <c r="BA15" s="663" t="s">
        <v>100</v>
      </c>
      <c r="BB15" s="664"/>
      <c r="BC15" s="665" t="s">
        <v>99</v>
      </c>
      <c r="BD15" s="666"/>
      <c r="BE15" s="667" t="s">
        <v>16</v>
      </c>
      <c r="BF15" s="668"/>
      <c r="BH15" s="300"/>
      <c r="BI15" s="378" t="s">
        <v>7</v>
      </c>
      <c r="BJ15" s="533">
        <f>B14</f>
        <v>42623</v>
      </c>
      <c r="BK15" s="663" t="s">
        <v>100</v>
      </c>
      <c r="BL15" s="664"/>
      <c r="BM15" s="665" t="s">
        <v>99</v>
      </c>
      <c r="BN15" s="666"/>
      <c r="BO15" s="667" t="s">
        <v>16</v>
      </c>
      <c r="BP15" s="668"/>
    </row>
    <row r="16" spans="2:68" ht="13.5" thickBot="1">
      <c r="B16" s="278">
        <v>42625</v>
      </c>
      <c r="G16" s="150">
        <f t="shared" si="0"/>
        <v>0</v>
      </c>
      <c r="H16" s="150">
        <f t="shared" si="1"/>
        <v>0</v>
      </c>
      <c r="K16" s="339"/>
      <c r="L16" s="338"/>
      <c r="M16" s="339"/>
      <c r="N16" s="340"/>
      <c r="O16" s="339"/>
      <c r="P16" s="340"/>
      <c r="Q16" s="338"/>
      <c r="R16" s="340"/>
      <c r="S16" s="156"/>
      <c r="T16" s="302"/>
      <c r="U16" s="339"/>
      <c r="V16" s="338"/>
      <c r="W16" s="339"/>
      <c r="X16" s="340"/>
      <c r="Y16" s="339"/>
      <c r="Z16" s="340"/>
      <c r="AA16" s="338"/>
      <c r="AB16" s="340"/>
      <c r="AD16" s="300"/>
      <c r="AE16" s="339"/>
      <c r="AF16" s="338"/>
      <c r="AG16" s="339"/>
      <c r="AH16" s="340"/>
      <c r="AI16" s="339"/>
      <c r="AJ16" s="340"/>
      <c r="AK16" s="338"/>
      <c r="AL16" s="340"/>
      <c r="AN16" s="300"/>
      <c r="AO16" s="339"/>
      <c r="AP16" s="338"/>
      <c r="AQ16" s="339"/>
      <c r="AR16" s="340"/>
      <c r="AS16" s="339"/>
      <c r="AT16" s="340"/>
      <c r="AU16" s="338"/>
      <c r="AV16" s="340"/>
      <c r="AX16" s="300"/>
      <c r="AY16" s="339"/>
      <c r="AZ16" s="338"/>
      <c r="BA16" s="339"/>
      <c r="BB16" s="340"/>
      <c r="BC16" s="339"/>
      <c r="BD16" s="340"/>
      <c r="BE16" s="338"/>
      <c r="BF16" s="340"/>
      <c r="BH16" s="300"/>
      <c r="BI16" s="339"/>
      <c r="BJ16" s="338"/>
      <c r="BK16" s="339"/>
      <c r="BL16" s="340"/>
      <c r="BM16" s="339"/>
      <c r="BN16" s="340"/>
      <c r="BO16" s="338"/>
      <c r="BP16" s="340"/>
    </row>
    <row r="17" spans="2:68" ht="16.5" thickBot="1">
      <c r="B17" s="278">
        <v>42626</v>
      </c>
      <c r="G17" s="150">
        <f t="shared" si="0"/>
        <v>0</v>
      </c>
      <c r="H17" s="150">
        <f t="shared" si="1"/>
        <v>0</v>
      </c>
      <c r="K17" s="339"/>
      <c r="L17" s="432" t="s">
        <v>155</v>
      </c>
      <c r="M17" s="342" t="s">
        <v>103</v>
      </c>
      <c r="N17" s="279"/>
      <c r="O17" s="342" t="s">
        <v>103</v>
      </c>
      <c r="P17" s="279"/>
      <c r="Q17" s="343" t="s">
        <v>103</v>
      </c>
      <c r="R17" s="344">
        <f>SUM(N17,P17)</f>
        <v>0</v>
      </c>
      <c r="S17" s="294"/>
      <c r="T17" s="302"/>
      <c r="U17" s="339"/>
      <c r="V17" s="432" t="s">
        <v>155</v>
      </c>
      <c r="W17" s="342" t="s">
        <v>103</v>
      </c>
      <c r="X17" s="279"/>
      <c r="Y17" s="342" t="s">
        <v>103</v>
      </c>
      <c r="Z17" s="279"/>
      <c r="AA17" s="343" t="s">
        <v>103</v>
      </c>
      <c r="AB17" s="344">
        <f>SUM(X17,Z17)</f>
        <v>0</v>
      </c>
      <c r="AD17" s="300"/>
      <c r="AE17" s="339"/>
      <c r="AF17" s="432" t="s">
        <v>155</v>
      </c>
      <c r="AG17" s="342" t="s">
        <v>103</v>
      </c>
      <c r="AH17" s="279"/>
      <c r="AI17" s="342" t="s">
        <v>103</v>
      </c>
      <c r="AJ17" s="279"/>
      <c r="AK17" s="343" t="s">
        <v>103</v>
      </c>
      <c r="AL17" s="344">
        <f>SUM(AH17,AJ17)</f>
        <v>0</v>
      </c>
      <c r="AN17" s="300"/>
      <c r="AO17" s="339"/>
      <c r="AP17" s="432" t="s">
        <v>155</v>
      </c>
      <c r="AQ17" s="342" t="s">
        <v>103</v>
      </c>
      <c r="AR17" s="279"/>
      <c r="AS17" s="342" t="s">
        <v>103</v>
      </c>
      <c r="AT17" s="279"/>
      <c r="AU17" s="343" t="s">
        <v>103</v>
      </c>
      <c r="AV17" s="344">
        <f>SUM(AR17,AT17)</f>
        <v>0</v>
      </c>
      <c r="AX17" s="300"/>
      <c r="AY17" s="339"/>
      <c r="AZ17" s="432" t="s">
        <v>155</v>
      </c>
      <c r="BA17" s="342" t="s">
        <v>103</v>
      </c>
      <c r="BB17" s="279"/>
      <c r="BC17" s="342" t="s">
        <v>103</v>
      </c>
      <c r="BD17" s="279"/>
      <c r="BE17" s="343" t="s">
        <v>103</v>
      </c>
      <c r="BF17" s="344">
        <f>SUM(BB17,BD17)</f>
        <v>0</v>
      </c>
      <c r="BH17" s="300"/>
      <c r="BI17" s="339"/>
      <c r="BJ17" s="432" t="s">
        <v>155</v>
      </c>
      <c r="BK17" s="342" t="s">
        <v>103</v>
      </c>
      <c r="BL17" s="279"/>
      <c r="BM17" s="342" t="s">
        <v>103</v>
      </c>
      <c r="BN17" s="279"/>
      <c r="BO17" s="343" t="s">
        <v>103</v>
      </c>
      <c r="BP17" s="344">
        <f>SUM(BL17,BN17)</f>
        <v>0</v>
      </c>
    </row>
    <row r="18" spans="2:68" ht="18.75" thickBot="1">
      <c r="B18" s="278">
        <v>42627</v>
      </c>
      <c r="G18" s="150">
        <f t="shared" si="0"/>
        <v>0</v>
      </c>
      <c r="H18" s="150">
        <f t="shared" si="1"/>
        <v>0</v>
      </c>
      <c r="K18" s="339"/>
      <c r="L18" s="289">
        <v>8</v>
      </c>
      <c r="M18" s="345" t="s">
        <v>5</v>
      </c>
      <c r="N18" s="346">
        <f>VLOOKUP(L15, $B$3:$E$109, 4, FALSE)</f>
        <v>0</v>
      </c>
      <c r="O18" s="345" t="s">
        <v>5</v>
      </c>
      <c r="P18" s="347">
        <f>VLOOKUP(L15, $B$3:$F$109, 5, FALSE)</f>
        <v>0</v>
      </c>
      <c r="Q18" s="348" t="s">
        <v>5</v>
      </c>
      <c r="R18" s="344">
        <f>SUM(N18,P18)</f>
        <v>0</v>
      </c>
      <c r="S18" s="294"/>
      <c r="T18" s="302"/>
      <c r="U18" s="339"/>
      <c r="V18" s="289">
        <v>8</v>
      </c>
      <c r="W18" s="345" t="s">
        <v>5</v>
      </c>
      <c r="X18" s="346">
        <f>VLOOKUP(V15, $B$3:$E$109, 4, FALSE)</f>
        <v>0</v>
      </c>
      <c r="Y18" s="345" t="s">
        <v>5</v>
      </c>
      <c r="Z18" s="347">
        <f>VLOOKUP(V15, $B$3:$F$109, 5, FALSE)</f>
        <v>0</v>
      </c>
      <c r="AA18" s="348" t="s">
        <v>5</v>
      </c>
      <c r="AB18" s="344">
        <f>SUM(X18,Z18)</f>
        <v>0</v>
      </c>
      <c r="AD18" s="300"/>
      <c r="AE18" s="339"/>
      <c r="AF18" s="289">
        <v>8</v>
      </c>
      <c r="AG18" s="345" t="s">
        <v>5</v>
      </c>
      <c r="AH18" s="346">
        <f>VLOOKUP(AF15, $B$3:$E$109, 4, FALSE)</f>
        <v>0</v>
      </c>
      <c r="AI18" s="345" t="s">
        <v>5</v>
      </c>
      <c r="AJ18" s="347">
        <f>VLOOKUP(AF15, $B$3:$F$109, 5, FALSE)</f>
        <v>0</v>
      </c>
      <c r="AK18" s="348" t="s">
        <v>5</v>
      </c>
      <c r="AL18" s="344">
        <f>SUM(AH18,AJ18)</f>
        <v>0</v>
      </c>
      <c r="AN18" s="300"/>
      <c r="AO18" s="339"/>
      <c r="AP18" s="289">
        <v>8</v>
      </c>
      <c r="AQ18" s="345" t="s">
        <v>5</v>
      </c>
      <c r="AR18" s="346">
        <f>VLOOKUP(AP15, $B$3:$E$109, 4, FALSE)</f>
        <v>0</v>
      </c>
      <c r="AS18" s="345" t="s">
        <v>5</v>
      </c>
      <c r="AT18" s="347">
        <f>VLOOKUP(AP15, $B$3:$F$109, 5, FALSE)</f>
        <v>0</v>
      </c>
      <c r="AU18" s="348" t="s">
        <v>5</v>
      </c>
      <c r="AV18" s="344">
        <f>SUM(AR18,AT18)</f>
        <v>0</v>
      </c>
      <c r="AX18" s="300"/>
      <c r="AY18" s="339"/>
      <c r="AZ18" s="289">
        <v>8</v>
      </c>
      <c r="BA18" s="345" t="s">
        <v>5</v>
      </c>
      <c r="BB18" s="346">
        <f>VLOOKUP(AZ15, $B$3:$E$109, 4, FALSE)</f>
        <v>0</v>
      </c>
      <c r="BC18" s="345" t="s">
        <v>5</v>
      </c>
      <c r="BD18" s="347">
        <f>VLOOKUP(AZ15, $B$3:$F$109, 5, FALSE)</f>
        <v>0</v>
      </c>
      <c r="BE18" s="348" t="s">
        <v>5</v>
      </c>
      <c r="BF18" s="344">
        <f>SUM(BB18,BD18)</f>
        <v>0</v>
      </c>
      <c r="BH18" s="300"/>
      <c r="BI18" s="339"/>
      <c r="BJ18" s="289">
        <v>8</v>
      </c>
      <c r="BK18" s="345" t="s">
        <v>5</v>
      </c>
      <c r="BL18" s="346">
        <f>VLOOKUP(BJ15, $B$3:$E$109, 4, FALSE)</f>
        <v>0</v>
      </c>
      <c r="BM18" s="345" t="s">
        <v>5</v>
      </c>
      <c r="BN18" s="347">
        <f>VLOOKUP(BJ15, $B$3:$F$109, 5, FALSE)</f>
        <v>0</v>
      </c>
      <c r="BO18" s="348" t="s">
        <v>5</v>
      </c>
      <c r="BP18" s="344">
        <f>SUM(BL18,BN18)</f>
        <v>0</v>
      </c>
    </row>
    <row r="19" spans="2:68" ht="15.75" customHeight="1">
      <c r="B19" s="278">
        <v>42628</v>
      </c>
      <c r="G19" s="150">
        <f t="shared" si="0"/>
        <v>0</v>
      </c>
      <c r="H19" s="150">
        <f t="shared" si="1"/>
        <v>0</v>
      </c>
      <c r="K19" s="339"/>
      <c r="L19" s="338"/>
      <c r="M19" s="669" t="s">
        <v>105</v>
      </c>
      <c r="N19" s="346">
        <f>VLOOKUP(L15, $B$3:$E$109, 2, FALSE)</f>
        <v>0</v>
      </c>
      <c r="O19" s="669" t="s">
        <v>105</v>
      </c>
      <c r="P19" s="347">
        <f>VLOOKUP(L15, $B$3:$E$109, 3, FALSE)</f>
        <v>0</v>
      </c>
      <c r="Q19" s="670" t="s">
        <v>105</v>
      </c>
      <c r="R19" s="344">
        <f>SUM(N19,P19)</f>
        <v>0</v>
      </c>
      <c r="S19" s="294"/>
      <c r="T19" s="302"/>
      <c r="U19" s="339"/>
      <c r="V19" s="338"/>
      <c r="W19" s="669" t="s">
        <v>105</v>
      </c>
      <c r="X19" s="346">
        <f>VLOOKUP(V15, $B$3:$E$109, 2, FALSE)</f>
        <v>0</v>
      </c>
      <c r="Y19" s="669" t="s">
        <v>105</v>
      </c>
      <c r="Z19" s="347">
        <f>VLOOKUP(V15, $B$3:$E$109, 3, FALSE)</f>
        <v>0</v>
      </c>
      <c r="AA19" s="670" t="s">
        <v>105</v>
      </c>
      <c r="AB19" s="344">
        <f>SUM(X19,Z19)</f>
        <v>0</v>
      </c>
      <c r="AD19" s="300"/>
      <c r="AE19" s="339"/>
      <c r="AF19" s="338"/>
      <c r="AG19" s="669" t="s">
        <v>105</v>
      </c>
      <c r="AH19" s="346">
        <f>VLOOKUP(AF15, $B$3:$E$109, 2, FALSE)</f>
        <v>0</v>
      </c>
      <c r="AI19" s="669" t="s">
        <v>105</v>
      </c>
      <c r="AJ19" s="347">
        <f>VLOOKUP(AF15, $B$3:$E$109, 3, FALSE)</f>
        <v>0</v>
      </c>
      <c r="AK19" s="670" t="s">
        <v>105</v>
      </c>
      <c r="AL19" s="344">
        <f>SUM(AH19,AJ19)</f>
        <v>0</v>
      </c>
      <c r="AN19" s="300"/>
      <c r="AO19" s="339"/>
      <c r="AP19" s="338"/>
      <c r="AQ19" s="669" t="s">
        <v>105</v>
      </c>
      <c r="AR19" s="346">
        <f>VLOOKUP(AP15, $B$3:$E$109, 2, FALSE)</f>
        <v>0</v>
      </c>
      <c r="AS19" s="669" t="s">
        <v>105</v>
      </c>
      <c r="AT19" s="347">
        <f>VLOOKUP(AP15, $B$3:$E$109, 3, FALSE)</f>
        <v>0</v>
      </c>
      <c r="AU19" s="670" t="s">
        <v>105</v>
      </c>
      <c r="AV19" s="344">
        <f>SUM(AR19,AT19)</f>
        <v>0</v>
      </c>
      <c r="AX19" s="300"/>
      <c r="AY19" s="339"/>
      <c r="AZ19" s="338"/>
      <c r="BA19" s="669" t="s">
        <v>105</v>
      </c>
      <c r="BB19" s="346">
        <f>VLOOKUP(AZ15, $B$3:$E$109, 2, FALSE)</f>
        <v>0</v>
      </c>
      <c r="BC19" s="669" t="s">
        <v>105</v>
      </c>
      <c r="BD19" s="347">
        <f>VLOOKUP(AZ15, $B$3:$E$109, 3, FALSE)</f>
        <v>0</v>
      </c>
      <c r="BE19" s="670" t="s">
        <v>105</v>
      </c>
      <c r="BF19" s="344">
        <f>SUM(BB19,BD19)</f>
        <v>0</v>
      </c>
      <c r="BH19" s="300"/>
      <c r="BI19" s="339"/>
      <c r="BJ19" s="338"/>
      <c r="BK19" s="669" t="s">
        <v>105</v>
      </c>
      <c r="BL19" s="346">
        <f>VLOOKUP(BJ15, $B$3:$E$109, 2, FALSE)</f>
        <v>0</v>
      </c>
      <c r="BM19" s="669" t="s">
        <v>105</v>
      </c>
      <c r="BN19" s="347">
        <f>VLOOKUP(BJ15, $B$3:$E$109, 3, FALSE)</f>
        <v>0</v>
      </c>
      <c r="BO19" s="670" t="s">
        <v>105</v>
      </c>
      <c r="BP19" s="344">
        <f>SUM(BL19,BN19)</f>
        <v>0</v>
      </c>
    </row>
    <row r="20" spans="2:68" ht="12.75" customHeight="1">
      <c r="B20" s="278">
        <v>42629</v>
      </c>
      <c r="G20" s="150">
        <f t="shared" si="0"/>
        <v>0</v>
      </c>
      <c r="H20" s="150">
        <f t="shared" si="1"/>
        <v>0</v>
      </c>
      <c r="K20" s="698" t="s">
        <v>157</v>
      </c>
      <c r="L20" s="699"/>
      <c r="M20" s="670"/>
      <c r="N20" s="340"/>
      <c r="O20" s="669"/>
      <c r="P20" s="340"/>
      <c r="Q20" s="670"/>
      <c r="R20" s="340"/>
      <c r="S20" s="156"/>
      <c r="T20" s="302"/>
      <c r="U20" s="698" t="s">
        <v>157</v>
      </c>
      <c r="V20" s="699"/>
      <c r="W20" s="670"/>
      <c r="X20" s="340"/>
      <c r="Y20" s="669"/>
      <c r="Z20" s="340"/>
      <c r="AA20" s="670"/>
      <c r="AB20" s="340"/>
      <c r="AD20" s="300"/>
      <c r="AE20" s="698" t="s">
        <v>157</v>
      </c>
      <c r="AF20" s="699"/>
      <c r="AG20" s="670"/>
      <c r="AH20" s="340"/>
      <c r="AI20" s="669"/>
      <c r="AJ20" s="340"/>
      <c r="AK20" s="670"/>
      <c r="AL20" s="340"/>
      <c r="AN20" s="300"/>
      <c r="AO20" s="698" t="s">
        <v>157</v>
      </c>
      <c r="AP20" s="699"/>
      <c r="AQ20" s="670"/>
      <c r="AR20" s="340"/>
      <c r="AS20" s="669"/>
      <c r="AT20" s="340"/>
      <c r="AU20" s="670"/>
      <c r="AV20" s="340"/>
      <c r="AX20" s="300"/>
      <c r="AY20" s="698" t="s">
        <v>157</v>
      </c>
      <c r="AZ20" s="699"/>
      <c r="BA20" s="670"/>
      <c r="BB20" s="340"/>
      <c r="BC20" s="669"/>
      <c r="BD20" s="340"/>
      <c r="BE20" s="670"/>
      <c r="BF20" s="340"/>
      <c r="BH20" s="300"/>
      <c r="BI20" s="698" t="s">
        <v>157</v>
      </c>
      <c r="BJ20" s="699"/>
      <c r="BK20" s="670"/>
      <c r="BL20" s="340"/>
      <c r="BM20" s="669"/>
      <c r="BN20" s="340"/>
      <c r="BO20" s="670"/>
      <c r="BP20" s="340"/>
    </row>
    <row r="21" spans="2:68" ht="15.75">
      <c r="B21" s="278">
        <v>42630</v>
      </c>
      <c r="G21" s="150">
        <f t="shared" si="0"/>
        <v>0</v>
      </c>
      <c r="H21" s="150">
        <f t="shared" si="1"/>
        <v>0</v>
      </c>
      <c r="K21" s="379"/>
      <c r="L21" s="349">
        <f>R17*13</f>
        <v>0</v>
      </c>
      <c r="M21" s="429"/>
      <c r="N21" s="340"/>
      <c r="O21" s="351"/>
      <c r="P21" s="340"/>
      <c r="Q21" s="430"/>
      <c r="R21" s="340"/>
      <c r="S21" s="156"/>
      <c r="T21" s="302"/>
      <c r="U21" s="379"/>
      <c r="V21" s="349">
        <f>AB17*13</f>
        <v>0</v>
      </c>
      <c r="W21" s="429"/>
      <c r="X21" s="340"/>
      <c r="Y21" s="351"/>
      <c r="Z21" s="340"/>
      <c r="AA21" s="430"/>
      <c r="AB21" s="340"/>
      <c r="AD21" s="300"/>
      <c r="AE21" s="379"/>
      <c r="AF21" s="349">
        <f>AL17*13</f>
        <v>0</v>
      </c>
      <c r="AG21" s="429"/>
      <c r="AH21" s="340"/>
      <c r="AI21" s="351"/>
      <c r="AJ21" s="340"/>
      <c r="AK21" s="430"/>
      <c r="AL21" s="340"/>
      <c r="AN21" s="300"/>
      <c r="AO21" s="379"/>
      <c r="AP21" s="349">
        <f>AV17*13</f>
        <v>0</v>
      </c>
      <c r="AQ21" s="429"/>
      <c r="AR21" s="340"/>
      <c r="AS21" s="351"/>
      <c r="AT21" s="340"/>
      <c r="AU21" s="430"/>
      <c r="AV21" s="340"/>
      <c r="AX21" s="300"/>
      <c r="AY21" s="379"/>
      <c r="AZ21" s="349">
        <f>BF17*13</f>
        <v>0</v>
      </c>
      <c r="BA21" s="429"/>
      <c r="BB21" s="340"/>
      <c r="BC21" s="351"/>
      <c r="BD21" s="340"/>
      <c r="BE21" s="430"/>
      <c r="BF21" s="340"/>
      <c r="BH21" s="300"/>
      <c r="BI21" s="379"/>
      <c r="BJ21" s="349">
        <f>BP17*13</f>
        <v>0</v>
      </c>
      <c r="BK21" s="429"/>
      <c r="BL21" s="340"/>
      <c r="BM21" s="351"/>
      <c r="BN21" s="340"/>
      <c r="BO21" s="430"/>
      <c r="BP21" s="340"/>
    </row>
    <row r="22" spans="2:68" ht="18.75">
      <c r="B22" s="278">
        <v>42631</v>
      </c>
      <c r="G22" s="150">
        <f t="shared" si="0"/>
        <v>0</v>
      </c>
      <c r="H22" s="150">
        <f t="shared" si="1"/>
        <v>0</v>
      </c>
      <c r="K22" s="339"/>
      <c r="L22" s="380"/>
      <c r="M22" s="286" t="s">
        <v>97</v>
      </c>
      <c r="N22" s="287" t="e">
        <f>N19/((N17*EFFICIENCY!$H$28))</f>
        <v>#DIV/0!</v>
      </c>
      <c r="O22" s="286" t="s">
        <v>97</v>
      </c>
      <c r="P22" s="287" t="e">
        <f>P19/(P17*EFFICIENCY!$H$28)</f>
        <v>#DIV/0!</v>
      </c>
      <c r="Q22" s="286" t="s">
        <v>97</v>
      </c>
      <c r="R22" s="287" t="e">
        <f>R19/(R17*EFFICIENCY!$H$28)</f>
        <v>#DIV/0!</v>
      </c>
      <c r="S22" s="295"/>
      <c r="T22" s="302"/>
      <c r="U22" s="339"/>
      <c r="V22" s="380"/>
      <c r="W22" s="286" t="s">
        <v>97</v>
      </c>
      <c r="X22" s="287" t="e">
        <f>X19/((X17*EFFICIENCY!$H$28))</f>
        <v>#DIV/0!</v>
      </c>
      <c r="Y22" s="286" t="s">
        <v>97</v>
      </c>
      <c r="Z22" s="287" t="e">
        <f>Z19/(Z17*EFFICIENCY!$H$28)</f>
        <v>#DIV/0!</v>
      </c>
      <c r="AA22" s="286" t="s">
        <v>97</v>
      </c>
      <c r="AB22" s="287" t="e">
        <f>AB19/(AB17*EFFICIENCY!$H$28)</f>
        <v>#DIV/0!</v>
      </c>
      <c r="AD22" s="300"/>
      <c r="AE22" s="339"/>
      <c r="AF22" s="380"/>
      <c r="AG22" s="286" t="s">
        <v>97</v>
      </c>
      <c r="AH22" s="287" t="e">
        <f>AH19/((AH17*EFFICIENCY!$H$28))</f>
        <v>#DIV/0!</v>
      </c>
      <c r="AI22" s="286" t="s">
        <v>97</v>
      </c>
      <c r="AJ22" s="287" t="e">
        <f>AJ19/(AJ17*EFFICIENCY!$H$28)</f>
        <v>#DIV/0!</v>
      </c>
      <c r="AK22" s="286" t="s">
        <v>97</v>
      </c>
      <c r="AL22" s="287" t="e">
        <f>AL19/(AL17*EFFICIENCY!$H$28)</f>
        <v>#DIV/0!</v>
      </c>
      <c r="AN22" s="300"/>
      <c r="AO22" s="339"/>
      <c r="AP22" s="380"/>
      <c r="AQ22" s="286" t="s">
        <v>97</v>
      </c>
      <c r="AR22" s="287" t="e">
        <f>AR19/((AR17*EFFICIENCY!$H$28))</f>
        <v>#DIV/0!</v>
      </c>
      <c r="AS22" s="286" t="s">
        <v>97</v>
      </c>
      <c r="AT22" s="287" t="e">
        <f>AT19/(AT17*EFFICIENCY!$H$28)</f>
        <v>#DIV/0!</v>
      </c>
      <c r="AU22" s="286" t="s">
        <v>97</v>
      </c>
      <c r="AV22" s="287" t="e">
        <f>AV19/(AV17*EFFICIENCY!$H$28)</f>
        <v>#DIV/0!</v>
      </c>
      <c r="AX22" s="300"/>
      <c r="AY22" s="339"/>
      <c r="AZ22" s="380"/>
      <c r="BA22" s="286" t="s">
        <v>97</v>
      </c>
      <c r="BB22" s="287" t="e">
        <f>BB19/((BB17*EFFICIENCY!$H$28))</f>
        <v>#DIV/0!</v>
      </c>
      <c r="BC22" s="286" t="s">
        <v>97</v>
      </c>
      <c r="BD22" s="287" t="e">
        <f>BD19/(BD17*EFFICIENCY!$H$28)</f>
        <v>#DIV/0!</v>
      </c>
      <c r="BE22" s="286" t="s">
        <v>97</v>
      </c>
      <c r="BF22" s="287" t="e">
        <f>BF19/(BF17*EFFICIENCY!$H$28)</f>
        <v>#DIV/0!</v>
      </c>
      <c r="BH22" s="300"/>
      <c r="BI22" s="339"/>
      <c r="BJ22" s="380"/>
      <c r="BK22" s="286" t="s">
        <v>97</v>
      </c>
      <c r="BL22" s="287" t="e">
        <f>BL19/((BL17*EFFICIENCY!$H$28))</f>
        <v>#DIV/0!</v>
      </c>
      <c r="BM22" s="286" t="s">
        <v>97</v>
      </c>
      <c r="BN22" s="287" t="e">
        <f>BN19/(BN17*EFFICIENCY!$H$28)</f>
        <v>#DIV/0!</v>
      </c>
      <c r="BO22" s="286" t="s">
        <v>97</v>
      </c>
      <c r="BP22" s="287" t="e">
        <f>BP19/(BP17*EFFICIENCY!$H$28)</f>
        <v>#DIV/0!</v>
      </c>
    </row>
    <row r="23" spans="2:68" ht="18.75">
      <c r="B23" s="278">
        <v>42632</v>
      </c>
      <c r="G23" s="150">
        <f t="shared" si="0"/>
        <v>0</v>
      </c>
      <c r="H23" s="150">
        <f t="shared" si="1"/>
        <v>0</v>
      </c>
      <c r="K23" s="339"/>
      <c r="L23" s="338"/>
      <c r="M23" s="280" t="s">
        <v>96</v>
      </c>
      <c r="N23" s="281" t="e">
        <f>N19/(N17*EFFICIENCY!$I$28)</f>
        <v>#DIV/0!</v>
      </c>
      <c r="O23" s="280" t="s">
        <v>96</v>
      </c>
      <c r="P23" s="281" t="e">
        <f>P19/(P17*EFFICIENCY!$I$28)</f>
        <v>#DIV/0!</v>
      </c>
      <c r="Q23" s="280" t="s">
        <v>96</v>
      </c>
      <c r="R23" s="281" t="e">
        <f>R19/(R17*EFFICIENCY!$I$28)</f>
        <v>#DIV/0!</v>
      </c>
      <c r="S23" s="296"/>
      <c r="T23" s="302"/>
      <c r="U23" s="339"/>
      <c r="V23" s="338"/>
      <c r="W23" s="280" t="s">
        <v>96</v>
      </c>
      <c r="X23" s="281" t="e">
        <f>X19/(X17*EFFICIENCY!$I$28)</f>
        <v>#DIV/0!</v>
      </c>
      <c r="Y23" s="280" t="s">
        <v>96</v>
      </c>
      <c r="Z23" s="281" t="e">
        <f>Z19/(Z17*EFFICIENCY!$I$28)</f>
        <v>#DIV/0!</v>
      </c>
      <c r="AA23" s="280" t="s">
        <v>96</v>
      </c>
      <c r="AB23" s="281" t="e">
        <f>AB19/(AB17*EFFICIENCY!$I$28)</f>
        <v>#DIV/0!</v>
      </c>
      <c r="AD23" s="300"/>
      <c r="AE23" s="339"/>
      <c r="AF23" s="338"/>
      <c r="AG23" s="280" t="s">
        <v>96</v>
      </c>
      <c r="AH23" s="281" t="e">
        <f>AH19/(AH17*EFFICIENCY!$I$28)</f>
        <v>#DIV/0!</v>
      </c>
      <c r="AI23" s="280" t="s">
        <v>96</v>
      </c>
      <c r="AJ23" s="281" t="e">
        <f>AJ19/(AJ17*EFFICIENCY!$I$28)</f>
        <v>#DIV/0!</v>
      </c>
      <c r="AK23" s="280" t="s">
        <v>96</v>
      </c>
      <c r="AL23" s="281" t="e">
        <f>AL19/(AL17*EFFICIENCY!$I$28)</f>
        <v>#DIV/0!</v>
      </c>
      <c r="AN23" s="300"/>
      <c r="AO23" s="339"/>
      <c r="AP23" s="338"/>
      <c r="AQ23" s="280" t="s">
        <v>96</v>
      </c>
      <c r="AR23" s="281" t="e">
        <f>AR19/(AR17*EFFICIENCY!$I$28)</f>
        <v>#DIV/0!</v>
      </c>
      <c r="AS23" s="280" t="s">
        <v>96</v>
      </c>
      <c r="AT23" s="281" t="e">
        <f>AT19/(AT17*EFFICIENCY!$I$28)</f>
        <v>#DIV/0!</v>
      </c>
      <c r="AU23" s="280" t="s">
        <v>96</v>
      </c>
      <c r="AV23" s="281" t="e">
        <f>AV19/(AV17*EFFICIENCY!$I$28)</f>
        <v>#DIV/0!</v>
      </c>
      <c r="AX23" s="300"/>
      <c r="AY23" s="339"/>
      <c r="AZ23" s="338"/>
      <c r="BA23" s="280" t="s">
        <v>96</v>
      </c>
      <c r="BB23" s="281" t="e">
        <f>BB19/(BB17*EFFICIENCY!$I$28)</f>
        <v>#DIV/0!</v>
      </c>
      <c r="BC23" s="280" t="s">
        <v>96</v>
      </c>
      <c r="BD23" s="281" t="e">
        <f>BD19/(BD17*EFFICIENCY!$I$28)</f>
        <v>#DIV/0!</v>
      </c>
      <c r="BE23" s="280" t="s">
        <v>96</v>
      </c>
      <c r="BF23" s="281" t="e">
        <f>BF19/(BF17*EFFICIENCY!$I$28)</f>
        <v>#DIV/0!</v>
      </c>
      <c r="BH23" s="300"/>
      <c r="BI23" s="339"/>
      <c r="BJ23" s="338"/>
      <c r="BK23" s="280" t="s">
        <v>96</v>
      </c>
      <c r="BL23" s="281" t="e">
        <f>BL19/(BL17*EFFICIENCY!$I$28)</f>
        <v>#DIV/0!</v>
      </c>
      <c r="BM23" s="280" t="s">
        <v>96</v>
      </c>
      <c r="BN23" s="281" t="e">
        <f>BN19/(BN17*EFFICIENCY!$I$28)</f>
        <v>#DIV/0!</v>
      </c>
      <c r="BO23" s="280" t="s">
        <v>96</v>
      </c>
      <c r="BP23" s="281" t="e">
        <f>BP19/(BP17*EFFICIENCY!$I$28)</f>
        <v>#DIV/0!</v>
      </c>
    </row>
    <row r="24" spans="2:68" ht="19.5" customHeight="1" thickBot="1">
      <c r="B24" s="278">
        <v>42633</v>
      </c>
      <c r="G24" s="150">
        <f t="shared" si="0"/>
        <v>0</v>
      </c>
      <c r="H24" s="150">
        <f t="shared" si="1"/>
        <v>0</v>
      </c>
      <c r="K24" s="694" t="s">
        <v>156</v>
      </c>
      <c r="L24" s="695"/>
      <c r="M24" s="284" t="s">
        <v>94</v>
      </c>
      <c r="N24" s="285" t="e">
        <f>N19/((N17*EFFICIENCY!$K$28))</f>
        <v>#DIV/0!</v>
      </c>
      <c r="O24" s="288" t="s">
        <v>94</v>
      </c>
      <c r="P24" s="285" t="e">
        <f>P19/((P17*EFFICIENCY!$K$28))</f>
        <v>#DIV/0!</v>
      </c>
      <c r="Q24" s="284" t="s">
        <v>94</v>
      </c>
      <c r="R24" s="285" t="e">
        <f>R19/((R17*EFFICIENCY!$K$28))</f>
        <v>#DIV/0!</v>
      </c>
      <c r="S24" s="297"/>
      <c r="T24" s="302"/>
      <c r="U24" s="694" t="s">
        <v>156</v>
      </c>
      <c r="V24" s="695"/>
      <c r="W24" s="284" t="s">
        <v>94</v>
      </c>
      <c r="X24" s="285" t="e">
        <f>X19/((X17*EFFICIENCY!$K$28))</f>
        <v>#DIV/0!</v>
      </c>
      <c r="Y24" s="288" t="s">
        <v>94</v>
      </c>
      <c r="Z24" s="285" t="e">
        <f>Z19/((Z17*EFFICIENCY!$K$28))</f>
        <v>#DIV/0!</v>
      </c>
      <c r="AA24" s="284" t="s">
        <v>94</v>
      </c>
      <c r="AB24" s="285" t="e">
        <f>AB19/((AB17*EFFICIENCY!$K$28))</f>
        <v>#DIV/0!</v>
      </c>
      <c r="AD24" s="300"/>
      <c r="AE24" s="694" t="s">
        <v>156</v>
      </c>
      <c r="AF24" s="695"/>
      <c r="AG24" s="284" t="s">
        <v>94</v>
      </c>
      <c r="AH24" s="285" t="e">
        <f>AH19/((AH17*EFFICIENCY!$K$28))</f>
        <v>#DIV/0!</v>
      </c>
      <c r="AI24" s="288" t="s">
        <v>94</v>
      </c>
      <c r="AJ24" s="285" t="e">
        <f>AJ19/((AJ17*EFFICIENCY!$K$28))</f>
        <v>#DIV/0!</v>
      </c>
      <c r="AK24" s="284" t="s">
        <v>94</v>
      </c>
      <c r="AL24" s="285" t="e">
        <f>AL19/((AL17*EFFICIENCY!$K$28))</f>
        <v>#DIV/0!</v>
      </c>
      <c r="AN24" s="300"/>
      <c r="AO24" s="694" t="s">
        <v>156</v>
      </c>
      <c r="AP24" s="695"/>
      <c r="AQ24" s="284" t="s">
        <v>94</v>
      </c>
      <c r="AR24" s="285" t="e">
        <f>AR19/((AR17*EFFICIENCY!$K$28))</f>
        <v>#DIV/0!</v>
      </c>
      <c r="AS24" s="288" t="s">
        <v>94</v>
      </c>
      <c r="AT24" s="285" t="e">
        <f>AT19/((AT17*EFFICIENCY!$K$28))</f>
        <v>#DIV/0!</v>
      </c>
      <c r="AU24" s="284" t="s">
        <v>94</v>
      </c>
      <c r="AV24" s="285" t="e">
        <f>AV19/((AV17*EFFICIENCY!$K$28))</f>
        <v>#DIV/0!</v>
      </c>
      <c r="AX24" s="300"/>
      <c r="AY24" s="694" t="s">
        <v>156</v>
      </c>
      <c r="AZ24" s="695"/>
      <c r="BA24" s="284" t="s">
        <v>94</v>
      </c>
      <c r="BB24" s="285" t="e">
        <f>BB19/((BB17*EFFICIENCY!$K$28))</f>
        <v>#DIV/0!</v>
      </c>
      <c r="BC24" s="288" t="s">
        <v>94</v>
      </c>
      <c r="BD24" s="285" t="e">
        <f>BD19/((BD17*EFFICIENCY!$K$28))</f>
        <v>#DIV/0!</v>
      </c>
      <c r="BE24" s="284" t="s">
        <v>94</v>
      </c>
      <c r="BF24" s="285" t="e">
        <f>BF19/((BF17*EFFICIENCY!$K$28))</f>
        <v>#DIV/0!</v>
      </c>
      <c r="BH24" s="300"/>
      <c r="BI24" s="694" t="s">
        <v>156</v>
      </c>
      <c r="BJ24" s="695"/>
      <c r="BK24" s="284" t="s">
        <v>94</v>
      </c>
      <c r="BL24" s="285" t="e">
        <f>BL19/((BL17*EFFICIENCY!$K$28))</f>
        <v>#DIV/0!</v>
      </c>
      <c r="BM24" s="288" t="s">
        <v>94</v>
      </c>
      <c r="BN24" s="285" t="e">
        <f>BN19/((BN17*EFFICIENCY!$K$28))</f>
        <v>#DIV/0!</v>
      </c>
      <c r="BO24" s="284" t="s">
        <v>94</v>
      </c>
      <c r="BP24" s="285" t="e">
        <f>BP19/((BP17*EFFICIENCY!$K$28))</f>
        <v>#DIV/0!</v>
      </c>
    </row>
    <row r="25" spans="2:68" ht="16.5" thickBot="1">
      <c r="B25" s="278">
        <v>42634</v>
      </c>
      <c r="G25" s="150">
        <f t="shared" si="0"/>
        <v>0</v>
      </c>
      <c r="H25" s="150">
        <f t="shared" si="1"/>
        <v>0</v>
      </c>
      <c r="K25" s="381"/>
      <c r="L25" s="382" t="e">
        <f>R19/R17</f>
        <v>#DIV/0!</v>
      </c>
      <c r="M25" s="661" t="s">
        <v>153</v>
      </c>
      <c r="N25" s="662"/>
      <c r="O25" s="290"/>
      <c r="P25" s="427"/>
      <c r="Q25" s="427" t="s">
        <v>154</v>
      </c>
      <c r="R25" s="354">
        <f>O25-R19</f>
        <v>0</v>
      </c>
      <c r="S25" s="298"/>
      <c r="T25" s="300"/>
      <c r="U25" s="381"/>
      <c r="V25" s="382" t="e">
        <f>AB19/AB17</f>
        <v>#DIV/0!</v>
      </c>
      <c r="W25" s="661" t="s">
        <v>153</v>
      </c>
      <c r="X25" s="662"/>
      <c r="Y25" s="290"/>
      <c r="Z25" s="427"/>
      <c r="AA25" s="427" t="s">
        <v>154</v>
      </c>
      <c r="AB25" s="354">
        <f>Y25-AB19</f>
        <v>0</v>
      </c>
      <c r="AD25" s="300"/>
      <c r="AE25" s="381"/>
      <c r="AF25" s="382" t="e">
        <f>AL19/AL17</f>
        <v>#DIV/0!</v>
      </c>
      <c r="AG25" s="661" t="s">
        <v>153</v>
      </c>
      <c r="AH25" s="662"/>
      <c r="AI25" s="290"/>
      <c r="AJ25" s="427"/>
      <c r="AK25" s="427" t="s">
        <v>154</v>
      </c>
      <c r="AL25" s="354">
        <f>AI25-AL19</f>
        <v>0</v>
      </c>
      <c r="AN25" s="300"/>
      <c r="AO25" s="381"/>
      <c r="AP25" s="382" t="e">
        <f>AV19/AV17</f>
        <v>#DIV/0!</v>
      </c>
      <c r="AQ25" s="661" t="s">
        <v>153</v>
      </c>
      <c r="AR25" s="662"/>
      <c r="AS25" s="290"/>
      <c r="AT25" s="427"/>
      <c r="AU25" s="427" t="s">
        <v>154</v>
      </c>
      <c r="AV25" s="354">
        <f>AS25-AV19</f>
        <v>0</v>
      </c>
      <c r="AX25" s="300"/>
      <c r="AY25" s="381"/>
      <c r="AZ25" s="382" t="e">
        <f>BF19/BF17</f>
        <v>#DIV/0!</v>
      </c>
      <c r="BA25" s="661" t="s">
        <v>153</v>
      </c>
      <c r="BB25" s="662"/>
      <c r="BC25" s="290"/>
      <c r="BD25" s="427"/>
      <c r="BE25" s="427" t="s">
        <v>154</v>
      </c>
      <c r="BF25" s="354">
        <f>BC25-BF19</f>
        <v>0</v>
      </c>
      <c r="BH25" s="300"/>
      <c r="BI25" s="381"/>
      <c r="BJ25" s="382" t="e">
        <f>BP19/BP17</f>
        <v>#DIV/0!</v>
      </c>
      <c r="BK25" s="661" t="s">
        <v>153</v>
      </c>
      <c r="BL25" s="662"/>
      <c r="BM25" s="290"/>
      <c r="BN25" s="427"/>
      <c r="BO25" s="427" t="s">
        <v>154</v>
      </c>
      <c r="BP25" s="354">
        <f>BM25-BP19</f>
        <v>0</v>
      </c>
    </row>
    <row r="26" spans="2:68">
      <c r="B26" s="278">
        <v>42635</v>
      </c>
      <c r="G26" s="150">
        <f t="shared" si="0"/>
        <v>0</v>
      </c>
      <c r="H26" s="150">
        <f t="shared" si="1"/>
        <v>0</v>
      </c>
      <c r="T26" s="300"/>
      <c r="AD26" s="300"/>
      <c r="AN26" s="300"/>
      <c r="AX26" s="300"/>
      <c r="BH26" s="300"/>
    </row>
    <row r="27" spans="2:68" ht="13.5" thickBot="1">
      <c r="B27" s="278">
        <v>42636</v>
      </c>
      <c r="G27" s="150">
        <f t="shared" si="0"/>
        <v>0</v>
      </c>
      <c r="H27" s="150">
        <f t="shared" si="1"/>
        <v>0</v>
      </c>
      <c r="J27" s="291"/>
      <c r="K27" s="291"/>
      <c r="L27" s="291"/>
      <c r="M27" s="291"/>
      <c r="N27" s="291"/>
      <c r="O27" s="291"/>
      <c r="P27" s="291"/>
      <c r="Q27" s="291"/>
      <c r="R27" s="291"/>
      <c r="S27" s="299"/>
      <c r="T27" s="301"/>
      <c r="U27" s="291"/>
      <c r="V27" s="291"/>
      <c r="W27" s="291"/>
      <c r="X27" s="291"/>
      <c r="Y27" s="291"/>
      <c r="Z27" s="291"/>
      <c r="AA27" s="291"/>
      <c r="AB27" s="291"/>
      <c r="AC27" s="291"/>
      <c r="AD27" s="301"/>
      <c r="AE27" s="291"/>
      <c r="AF27" s="291"/>
      <c r="AG27" s="291"/>
      <c r="AH27" s="291"/>
      <c r="AI27" s="291"/>
      <c r="AJ27" s="291"/>
      <c r="AK27" s="291"/>
      <c r="AL27" s="291"/>
      <c r="AM27" s="291"/>
      <c r="AN27" s="301"/>
      <c r="AO27" s="291"/>
      <c r="AP27" s="291"/>
      <c r="AQ27" s="291"/>
      <c r="AR27" s="291"/>
      <c r="AS27" s="291"/>
      <c r="AT27" s="291"/>
      <c r="AU27" s="291"/>
      <c r="AV27" s="291"/>
      <c r="AW27" s="291"/>
      <c r="AX27" s="301"/>
      <c r="AY27" s="291"/>
      <c r="AZ27" s="291"/>
      <c r="BA27" s="291"/>
      <c r="BB27" s="291"/>
      <c r="BC27" s="291"/>
      <c r="BD27" s="291"/>
      <c r="BE27" s="291"/>
      <c r="BF27" s="291"/>
      <c r="BG27" s="291"/>
      <c r="BH27" s="301"/>
      <c r="BI27" s="291"/>
      <c r="BJ27" s="291"/>
      <c r="BK27" s="291"/>
      <c r="BL27" s="291"/>
      <c r="BM27" s="291"/>
      <c r="BN27" s="291"/>
      <c r="BO27" s="291"/>
      <c r="BP27" s="291"/>
    </row>
    <row r="28" spans="2:68" ht="15.75" thickBot="1">
      <c r="B28" s="278">
        <v>42637</v>
      </c>
      <c r="G28" s="150">
        <f t="shared" si="0"/>
        <v>0</v>
      </c>
      <c r="H28" s="150">
        <f t="shared" si="1"/>
        <v>0</v>
      </c>
      <c r="J28" s="154"/>
      <c r="K28" s="383" t="s">
        <v>7</v>
      </c>
      <c r="L28" s="534">
        <f>B16</f>
        <v>42625</v>
      </c>
      <c r="M28" s="680" t="s">
        <v>100</v>
      </c>
      <c r="N28" s="681"/>
      <c r="O28" s="682" t="s">
        <v>99</v>
      </c>
      <c r="P28" s="683"/>
      <c r="Q28" s="684" t="s">
        <v>16</v>
      </c>
      <c r="R28" s="685"/>
      <c r="S28" s="293"/>
      <c r="T28" s="300"/>
      <c r="U28" s="383" t="s">
        <v>7</v>
      </c>
      <c r="V28" s="534">
        <f>B17</f>
        <v>42626</v>
      </c>
      <c r="W28" s="680" t="s">
        <v>100</v>
      </c>
      <c r="X28" s="681"/>
      <c r="Y28" s="682" t="s">
        <v>99</v>
      </c>
      <c r="Z28" s="683"/>
      <c r="AA28" s="684" t="s">
        <v>16</v>
      </c>
      <c r="AB28" s="685"/>
      <c r="AC28" s="154"/>
      <c r="AD28" s="300"/>
      <c r="AE28" s="383" t="s">
        <v>7</v>
      </c>
      <c r="AF28" s="534">
        <f>B18</f>
        <v>42627</v>
      </c>
      <c r="AG28" s="680" t="s">
        <v>100</v>
      </c>
      <c r="AH28" s="681"/>
      <c r="AI28" s="682" t="s">
        <v>99</v>
      </c>
      <c r="AJ28" s="683"/>
      <c r="AK28" s="684" t="s">
        <v>16</v>
      </c>
      <c r="AL28" s="685"/>
      <c r="AM28" s="154"/>
      <c r="AN28" s="300"/>
      <c r="AO28" s="383" t="s">
        <v>7</v>
      </c>
      <c r="AP28" s="534">
        <f>B19</f>
        <v>42628</v>
      </c>
      <c r="AQ28" s="680" t="s">
        <v>100</v>
      </c>
      <c r="AR28" s="681"/>
      <c r="AS28" s="682" t="s">
        <v>99</v>
      </c>
      <c r="AT28" s="683"/>
      <c r="AU28" s="684" t="s">
        <v>16</v>
      </c>
      <c r="AV28" s="685"/>
      <c r="AW28" s="154"/>
      <c r="AX28" s="300"/>
      <c r="AY28" s="383" t="s">
        <v>7</v>
      </c>
      <c r="AZ28" s="534">
        <f>B20</f>
        <v>42629</v>
      </c>
      <c r="BA28" s="680" t="s">
        <v>100</v>
      </c>
      <c r="BB28" s="681"/>
      <c r="BC28" s="682" t="s">
        <v>99</v>
      </c>
      <c r="BD28" s="683"/>
      <c r="BE28" s="684" t="s">
        <v>16</v>
      </c>
      <c r="BF28" s="685"/>
      <c r="BG28" s="154"/>
      <c r="BH28" s="300"/>
      <c r="BI28" s="383" t="s">
        <v>7</v>
      </c>
      <c r="BJ28" s="534">
        <f>B21</f>
        <v>42630</v>
      </c>
      <c r="BK28" s="680" t="s">
        <v>100</v>
      </c>
      <c r="BL28" s="681"/>
      <c r="BM28" s="682" t="s">
        <v>99</v>
      </c>
      <c r="BN28" s="683"/>
      <c r="BO28" s="684" t="s">
        <v>16</v>
      </c>
      <c r="BP28" s="685"/>
    </row>
    <row r="29" spans="2:68" ht="13.5" thickBot="1">
      <c r="B29" s="278">
        <v>42638</v>
      </c>
      <c r="G29" s="150">
        <f t="shared" si="0"/>
        <v>0</v>
      </c>
      <c r="H29" s="150">
        <f t="shared" si="1"/>
        <v>0</v>
      </c>
      <c r="K29" s="304"/>
      <c r="L29" s="303"/>
      <c r="M29" s="304"/>
      <c r="N29" s="305"/>
      <c r="O29" s="304"/>
      <c r="P29" s="305"/>
      <c r="Q29" s="303"/>
      <c r="R29" s="305"/>
      <c r="S29" s="156"/>
      <c r="T29" s="300"/>
      <c r="U29" s="304"/>
      <c r="V29" s="303"/>
      <c r="W29" s="304"/>
      <c r="X29" s="305"/>
      <c r="Y29" s="304"/>
      <c r="Z29" s="305"/>
      <c r="AA29" s="303"/>
      <c r="AB29" s="305"/>
      <c r="AD29" s="300"/>
      <c r="AE29" s="304"/>
      <c r="AF29" s="303"/>
      <c r="AG29" s="304"/>
      <c r="AH29" s="305"/>
      <c r="AI29" s="304"/>
      <c r="AJ29" s="305"/>
      <c r="AK29" s="303"/>
      <c r="AL29" s="305"/>
      <c r="AN29" s="300"/>
      <c r="AO29" s="304"/>
      <c r="AP29" s="303"/>
      <c r="AQ29" s="304"/>
      <c r="AR29" s="305"/>
      <c r="AS29" s="304"/>
      <c r="AT29" s="305"/>
      <c r="AU29" s="303"/>
      <c r="AV29" s="305"/>
      <c r="AX29" s="300"/>
      <c r="AY29" s="304"/>
      <c r="AZ29" s="303"/>
      <c r="BA29" s="304"/>
      <c r="BB29" s="305"/>
      <c r="BC29" s="304"/>
      <c r="BD29" s="305"/>
      <c r="BE29" s="303"/>
      <c r="BF29" s="305"/>
      <c r="BH29" s="300"/>
      <c r="BI29" s="304"/>
      <c r="BJ29" s="303"/>
      <c r="BK29" s="304"/>
      <c r="BL29" s="305"/>
      <c r="BM29" s="304"/>
      <c r="BN29" s="305"/>
      <c r="BO29" s="303"/>
      <c r="BP29" s="305"/>
    </row>
    <row r="30" spans="2:68" ht="16.5" thickBot="1">
      <c r="B30" s="278">
        <v>42639</v>
      </c>
      <c r="G30" s="150">
        <f t="shared" si="0"/>
        <v>0</v>
      </c>
      <c r="H30" s="150">
        <f t="shared" si="1"/>
        <v>0</v>
      </c>
      <c r="K30" s="304"/>
      <c r="L30" s="428" t="s">
        <v>155</v>
      </c>
      <c r="M30" s="307" t="s">
        <v>103</v>
      </c>
      <c r="N30" s="279"/>
      <c r="O30" s="307" t="s">
        <v>103</v>
      </c>
      <c r="P30" s="279"/>
      <c r="Q30" s="308" t="s">
        <v>103</v>
      </c>
      <c r="R30" s="309">
        <f>SUM(N30,P30)</f>
        <v>0</v>
      </c>
      <c r="S30" s="294"/>
      <c r="T30" s="300"/>
      <c r="U30" s="304"/>
      <c r="V30" s="428" t="s">
        <v>155</v>
      </c>
      <c r="W30" s="307" t="s">
        <v>103</v>
      </c>
      <c r="X30" s="279"/>
      <c r="Y30" s="307" t="s">
        <v>103</v>
      </c>
      <c r="Z30" s="279"/>
      <c r="AA30" s="308" t="s">
        <v>103</v>
      </c>
      <c r="AB30" s="309">
        <f>SUM(X30,Z30)</f>
        <v>0</v>
      </c>
      <c r="AD30" s="300"/>
      <c r="AE30" s="304"/>
      <c r="AF30" s="428" t="s">
        <v>155</v>
      </c>
      <c r="AG30" s="307" t="s">
        <v>103</v>
      </c>
      <c r="AH30" s="279"/>
      <c r="AI30" s="307" t="s">
        <v>103</v>
      </c>
      <c r="AJ30" s="279"/>
      <c r="AK30" s="308" t="s">
        <v>103</v>
      </c>
      <c r="AL30" s="309">
        <f>SUM(AH30,AJ30)</f>
        <v>0</v>
      </c>
      <c r="AN30" s="300"/>
      <c r="AO30" s="304"/>
      <c r="AP30" s="428" t="s">
        <v>155</v>
      </c>
      <c r="AQ30" s="307" t="s">
        <v>103</v>
      </c>
      <c r="AR30" s="279"/>
      <c r="AS30" s="307" t="s">
        <v>103</v>
      </c>
      <c r="AT30" s="279"/>
      <c r="AU30" s="308" t="s">
        <v>103</v>
      </c>
      <c r="AV30" s="309">
        <f>SUM(AR30,AT30)</f>
        <v>0</v>
      </c>
      <c r="AX30" s="300"/>
      <c r="AY30" s="304"/>
      <c r="AZ30" s="428" t="s">
        <v>155</v>
      </c>
      <c r="BA30" s="307" t="s">
        <v>103</v>
      </c>
      <c r="BB30" s="279"/>
      <c r="BC30" s="307" t="s">
        <v>103</v>
      </c>
      <c r="BD30" s="279"/>
      <c r="BE30" s="308" t="s">
        <v>103</v>
      </c>
      <c r="BF30" s="309">
        <f>SUM(BB30,BD30)</f>
        <v>0</v>
      </c>
      <c r="BH30" s="300"/>
      <c r="BI30" s="304"/>
      <c r="BJ30" s="428" t="s">
        <v>155</v>
      </c>
      <c r="BK30" s="307" t="s">
        <v>103</v>
      </c>
      <c r="BL30" s="279"/>
      <c r="BM30" s="307" t="s">
        <v>103</v>
      </c>
      <c r="BN30" s="279"/>
      <c r="BO30" s="308" t="s">
        <v>103</v>
      </c>
      <c r="BP30" s="309">
        <f>SUM(BL30,BN30)</f>
        <v>0</v>
      </c>
    </row>
    <row r="31" spans="2:68" ht="18.75" thickBot="1">
      <c r="B31" s="278">
        <v>42640</v>
      </c>
      <c r="G31" s="150">
        <f t="shared" si="0"/>
        <v>0</v>
      </c>
      <c r="H31" s="150">
        <f t="shared" si="1"/>
        <v>0</v>
      </c>
      <c r="K31" s="304"/>
      <c r="L31" s="289">
        <v>8</v>
      </c>
      <c r="M31" s="310" t="s">
        <v>5</v>
      </c>
      <c r="N31" s="311">
        <f>VLOOKUP(L28, $B$3:$E$109, 4, FALSE)</f>
        <v>0</v>
      </c>
      <c r="O31" s="310" t="s">
        <v>5</v>
      </c>
      <c r="P31" s="312">
        <f>VLOOKUP(L28, $B$3:$F$109, 5, FALSE)</f>
        <v>0</v>
      </c>
      <c r="Q31" s="313" t="s">
        <v>5</v>
      </c>
      <c r="R31" s="309">
        <f>SUM(N31,P31)</f>
        <v>0</v>
      </c>
      <c r="S31" s="294"/>
      <c r="T31" s="300"/>
      <c r="U31" s="304"/>
      <c r="V31" s="289">
        <v>8</v>
      </c>
      <c r="W31" s="310" t="s">
        <v>5</v>
      </c>
      <c r="X31" s="311">
        <f>VLOOKUP(V28, $B$3:$E$109, 4, FALSE)</f>
        <v>0</v>
      </c>
      <c r="Y31" s="310" t="s">
        <v>5</v>
      </c>
      <c r="Z31" s="312">
        <f>VLOOKUP(V28, $B$3:$F$109, 5, FALSE)</f>
        <v>0</v>
      </c>
      <c r="AA31" s="313" t="s">
        <v>5</v>
      </c>
      <c r="AB31" s="309">
        <f>SUM(X31,Z31)</f>
        <v>0</v>
      </c>
      <c r="AD31" s="300"/>
      <c r="AE31" s="304"/>
      <c r="AF31" s="289">
        <v>8</v>
      </c>
      <c r="AG31" s="310" t="s">
        <v>5</v>
      </c>
      <c r="AH31" s="311">
        <f>VLOOKUP(AF28, $B$3:$E$109, 4, FALSE)</f>
        <v>0</v>
      </c>
      <c r="AI31" s="310" t="s">
        <v>5</v>
      </c>
      <c r="AJ31" s="312">
        <f>VLOOKUP(AF28, $B$3:$F$109, 5, FALSE)</f>
        <v>0</v>
      </c>
      <c r="AK31" s="313" t="s">
        <v>5</v>
      </c>
      <c r="AL31" s="309">
        <f>SUM(AH31,AJ31)</f>
        <v>0</v>
      </c>
      <c r="AN31" s="300"/>
      <c r="AO31" s="304"/>
      <c r="AP31" s="289">
        <v>8</v>
      </c>
      <c r="AQ31" s="310" t="s">
        <v>5</v>
      </c>
      <c r="AR31" s="311">
        <f>VLOOKUP(AP28, $B$3:$E$109, 4, FALSE)</f>
        <v>0</v>
      </c>
      <c r="AS31" s="310" t="s">
        <v>5</v>
      </c>
      <c r="AT31" s="312">
        <f>VLOOKUP(AP28, $B$3:$F$109, 5, FALSE)</f>
        <v>0</v>
      </c>
      <c r="AU31" s="313" t="s">
        <v>5</v>
      </c>
      <c r="AV31" s="309">
        <f>SUM(AR31,AT31)</f>
        <v>0</v>
      </c>
      <c r="AX31" s="300"/>
      <c r="AY31" s="304"/>
      <c r="AZ31" s="289">
        <v>8</v>
      </c>
      <c r="BA31" s="310" t="s">
        <v>5</v>
      </c>
      <c r="BB31" s="311">
        <f>VLOOKUP(AZ28, $B$3:$E$109, 4, FALSE)</f>
        <v>0</v>
      </c>
      <c r="BC31" s="310" t="s">
        <v>5</v>
      </c>
      <c r="BD31" s="312">
        <f>VLOOKUP(AZ28, $B$3:$F$109, 5, FALSE)</f>
        <v>0</v>
      </c>
      <c r="BE31" s="313" t="s">
        <v>5</v>
      </c>
      <c r="BF31" s="309">
        <f>SUM(BB31,BD31)</f>
        <v>0</v>
      </c>
      <c r="BH31" s="300"/>
      <c r="BI31" s="304"/>
      <c r="BJ31" s="289">
        <v>8</v>
      </c>
      <c r="BK31" s="310" t="s">
        <v>5</v>
      </c>
      <c r="BL31" s="311">
        <f>VLOOKUP(BJ28, $B$3:$E$109, 4, FALSE)</f>
        <v>0</v>
      </c>
      <c r="BM31" s="310" t="s">
        <v>5</v>
      </c>
      <c r="BN31" s="312">
        <f>VLOOKUP(BJ28, $B$3:$F$109, 5, FALSE)</f>
        <v>0</v>
      </c>
      <c r="BO31" s="313" t="s">
        <v>5</v>
      </c>
      <c r="BP31" s="309">
        <f>SUM(BL31,BN31)</f>
        <v>0</v>
      </c>
    </row>
    <row r="32" spans="2:68" ht="15.75" customHeight="1">
      <c r="B32" s="278">
        <v>42641</v>
      </c>
      <c r="G32" s="150">
        <f t="shared" si="0"/>
        <v>0</v>
      </c>
      <c r="H32" s="150">
        <f t="shared" si="1"/>
        <v>0</v>
      </c>
      <c r="K32" s="304"/>
      <c r="L32" s="303"/>
      <c r="M32" s="659" t="s">
        <v>105</v>
      </c>
      <c r="N32" s="311">
        <f>VLOOKUP(L28, $B$3:$E$109, 2, FALSE)</f>
        <v>0</v>
      </c>
      <c r="O32" s="659" t="s">
        <v>105</v>
      </c>
      <c r="P32" s="312">
        <f>VLOOKUP(L28, $B$3:$E$109, 3, FALSE)</f>
        <v>0</v>
      </c>
      <c r="Q32" s="660" t="s">
        <v>105</v>
      </c>
      <c r="R32" s="309">
        <f>SUM(N32,P32)</f>
        <v>0</v>
      </c>
      <c r="S32" s="294"/>
      <c r="T32" s="300"/>
      <c r="U32" s="304"/>
      <c r="V32" s="303"/>
      <c r="W32" s="659" t="s">
        <v>105</v>
      </c>
      <c r="X32" s="311">
        <f>VLOOKUP(V28, $B$3:$E$109, 2, FALSE)</f>
        <v>0</v>
      </c>
      <c r="Y32" s="659" t="s">
        <v>105</v>
      </c>
      <c r="Z32" s="312">
        <f>VLOOKUP(V28, $B$3:$E$109, 3, FALSE)</f>
        <v>0</v>
      </c>
      <c r="AA32" s="660" t="s">
        <v>105</v>
      </c>
      <c r="AB32" s="309">
        <f>SUM(X32,Z32)</f>
        <v>0</v>
      </c>
      <c r="AD32" s="300"/>
      <c r="AE32" s="304"/>
      <c r="AF32" s="303"/>
      <c r="AG32" s="659" t="s">
        <v>105</v>
      </c>
      <c r="AH32" s="311">
        <f>VLOOKUP(AF28, $B$3:$E$109, 2, FALSE)</f>
        <v>0</v>
      </c>
      <c r="AI32" s="659" t="s">
        <v>105</v>
      </c>
      <c r="AJ32" s="312">
        <f>VLOOKUP(AF28, $B$3:$E$109, 3, FALSE)</f>
        <v>0</v>
      </c>
      <c r="AK32" s="660" t="s">
        <v>105</v>
      </c>
      <c r="AL32" s="309">
        <f>SUM(AH32,AJ32)</f>
        <v>0</v>
      </c>
      <c r="AN32" s="300"/>
      <c r="AO32" s="304"/>
      <c r="AP32" s="303"/>
      <c r="AQ32" s="659" t="s">
        <v>105</v>
      </c>
      <c r="AR32" s="311">
        <f>VLOOKUP(AP28, $B$3:$E$109, 2, FALSE)</f>
        <v>0</v>
      </c>
      <c r="AS32" s="659" t="s">
        <v>105</v>
      </c>
      <c r="AT32" s="312">
        <f>VLOOKUP(AP28, $B$3:$E$109, 3, FALSE)</f>
        <v>0</v>
      </c>
      <c r="AU32" s="660" t="s">
        <v>105</v>
      </c>
      <c r="AV32" s="309">
        <f>SUM(AR32,AT32)</f>
        <v>0</v>
      </c>
      <c r="AX32" s="300"/>
      <c r="AY32" s="304"/>
      <c r="AZ32" s="303"/>
      <c r="BA32" s="659" t="s">
        <v>105</v>
      </c>
      <c r="BB32" s="311">
        <f>VLOOKUP(AZ28, $B$3:$E$109, 2, FALSE)</f>
        <v>0</v>
      </c>
      <c r="BC32" s="659" t="s">
        <v>105</v>
      </c>
      <c r="BD32" s="312">
        <f>VLOOKUP(AZ28, $B$3:$E$109, 3, FALSE)</f>
        <v>0</v>
      </c>
      <c r="BE32" s="660" t="s">
        <v>105</v>
      </c>
      <c r="BF32" s="309">
        <f>SUM(BB32,BD32)</f>
        <v>0</v>
      </c>
      <c r="BH32" s="300"/>
      <c r="BI32" s="304"/>
      <c r="BJ32" s="303"/>
      <c r="BK32" s="659" t="s">
        <v>105</v>
      </c>
      <c r="BL32" s="311">
        <f>VLOOKUP(BJ28, $B$3:$E$109, 2, FALSE)</f>
        <v>0</v>
      </c>
      <c r="BM32" s="659" t="s">
        <v>105</v>
      </c>
      <c r="BN32" s="312">
        <f>VLOOKUP(BJ28, $B$3:$E$109, 3, FALSE)</f>
        <v>0</v>
      </c>
      <c r="BO32" s="660" t="s">
        <v>105</v>
      </c>
      <c r="BP32" s="309">
        <f>SUM(BL32,BN32)</f>
        <v>0</v>
      </c>
    </row>
    <row r="33" spans="2:68" ht="12.75" customHeight="1">
      <c r="B33" s="278">
        <v>42642</v>
      </c>
      <c r="G33" s="150">
        <f t="shared" si="0"/>
        <v>0</v>
      </c>
      <c r="H33" s="150">
        <f t="shared" si="1"/>
        <v>0</v>
      </c>
      <c r="K33" s="700" t="s">
        <v>157</v>
      </c>
      <c r="L33" s="701"/>
      <c r="M33" s="660"/>
      <c r="N33" s="305"/>
      <c r="O33" s="659"/>
      <c r="P33" s="305"/>
      <c r="Q33" s="660"/>
      <c r="R33" s="305"/>
      <c r="S33" s="156"/>
      <c r="T33" s="300"/>
      <c r="U33" s="700" t="s">
        <v>157</v>
      </c>
      <c r="V33" s="701"/>
      <c r="W33" s="660"/>
      <c r="X33" s="305"/>
      <c r="Y33" s="659"/>
      <c r="Z33" s="305"/>
      <c r="AA33" s="660"/>
      <c r="AB33" s="305"/>
      <c r="AD33" s="300"/>
      <c r="AE33" s="700" t="s">
        <v>157</v>
      </c>
      <c r="AF33" s="701"/>
      <c r="AG33" s="660"/>
      <c r="AH33" s="305"/>
      <c r="AI33" s="659"/>
      <c r="AJ33" s="305"/>
      <c r="AK33" s="660"/>
      <c r="AL33" s="305"/>
      <c r="AN33" s="300"/>
      <c r="AO33" s="700" t="s">
        <v>157</v>
      </c>
      <c r="AP33" s="701"/>
      <c r="AQ33" s="660"/>
      <c r="AR33" s="305"/>
      <c r="AS33" s="659"/>
      <c r="AT33" s="305"/>
      <c r="AU33" s="660"/>
      <c r="AV33" s="305"/>
      <c r="AX33" s="300"/>
      <c r="AY33" s="700" t="s">
        <v>157</v>
      </c>
      <c r="AZ33" s="701"/>
      <c r="BA33" s="660"/>
      <c r="BB33" s="305"/>
      <c r="BC33" s="659"/>
      <c r="BD33" s="305"/>
      <c r="BE33" s="660"/>
      <c r="BF33" s="305"/>
      <c r="BH33" s="300"/>
      <c r="BI33" s="700" t="s">
        <v>157</v>
      </c>
      <c r="BJ33" s="701"/>
      <c r="BK33" s="660"/>
      <c r="BL33" s="305"/>
      <c r="BM33" s="659"/>
      <c r="BN33" s="305"/>
      <c r="BO33" s="660"/>
      <c r="BP33" s="305"/>
    </row>
    <row r="34" spans="2:68" ht="15.75">
      <c r="B34" s="278">
        <v>42643</v>
      </c>
      <c r="G34" s="150">
        <f t="shared" si="0"/>
        <v>0</v>
      </c>
      <c r="H34" s="150">
        <f t="shared" si="1"/>
        <v>0</v>
      </c>
      <c r="K34" s="384"/>
      <c r="L34" s="314">
        <f>R30*13</f>
        <v>0</v>
      </c>
      <c r="M34" s="425"/>
      <c r="N34" s="305"/>
      <c r="O34" s="316"/>
      <c r="P34" s="305"/>
      <c r="Q34" s="426"/>
      <c r="R34" s="305"/>
      <c r="S34" s="156"/>
      <c r="T34" s="300"/>
      <c r="U34" s="384"/>
      <c r="V34" s="314">
        <f>AB30*13</f>
        <v>0</v>
      </c>
      <c r="W34" s="425"/>
      <c r="X34" s="305"/>
      <c r="Y34" s="316"/>
      <c r="Z34" s="305"/>
      <c r="AA34" s="426"/>
      <c r="AB34" s="305"/>
      <c r="AD34" s="300"/>
      <c r="AE34" s="384"/>
      <c r="AF34" s="314">
        <f>AL30*13</f>
        <v>0</v>
      </c>
      <c r="AG34" s="425"/>
      <c r="AH34" s="305"/>
      <c r="AI34" s="316"/>
      <c r="AJ34" s="305"/>
      <c r="AK34" s="426"/>
      <c r="AL34" s="305"/>
      <c r="AN34" s="300"/>
      <c r="AO34" s="384"/>
      <c r="AP34" s="314">
        <f>AV30*13</f>
        <v>0</v>
      </c>
      <c r="AQ34" s="425"/>
      <c r="AR34" s="305"/>
      <c r="AS34" s="316"/>
      <c r="AT34" s="305"/>
      <c r="AU34" s="426"/>
      <c r="AV34" s="305"/>
      <c r="AX34" s="300"/>
      <c r="AY34" s="384"/>
      <c r="AZ34" s="314">
        <f>BF30*13</f>
        <v>0</v>
      </c>
      <c r="BA34" s="425"/>
      <c r="BB34" s="305"/>
      <c r="BC34" s="316"/>
      <c r="BD34" s="305"/>
      <c r="BE34" s="426"/>
      <c r="BF34" s="305"/>
      <c r="BH34" s="300"/>
      <c r="BI34" s="384"/>
      <c r="BJ34" s="314">
        <f>BP30*13</f>
        <v>0</v>
      </c>
      <c r="BK34" s="425"/>
      <c r="BL34" s="305"/>
      <c r="BM34" s="316"/>
      <c r="BN34" s="305"/>
      <c r="BO34" s="426"/>
      <c r="BP34" s="305"/>
    </row>
    <row r="35" spans="2:68" ht="18.75">
      <c r="B35" s="278">
        <v>42644</v>
      </c>
      <c r="G35" s="150">
        <f t="shared" si="0"/>
        <v>0</v>
      </c>
      <c r="H35" s="150">
        <f t="shared" si="1"/>
        <v>0</v>
      </c>
      <c r="K35" s="304"/>
      <c r="L35" s="385"/>
      <c r="M35" s="286" t="s">
        <v>97</v>
      </c>
      <c r="N35" s="287" t="e">
        <f>N32/((N30*EFFICIENCY!$H$28))</f>
        <v>#DIV/0!</v>
      </c>
      <c r="O35" s="286" t="s">
        <v>97</v>
      </c>
      <c r="P35" s="287" t="e">
        <f>P32/(P30*EFFICIENCY!$H$28)</f>
        <v>#DIV/0!</v>
      </c>
      <c r="Q35" s="286" t="s">
        <v>97</v>
      </c>
      <c r="R35" s="287" t="e">
        <f>R32/(R30*EFFICIENCY!$H$28)</f>
        <v>#DIV/0!</v>
      </c>
      <c r="S35" s="295"/>
      <c r="T35" s="300"/>
      <c r="U35" s="304"/>
      <c r="V35" s="385"/>
      <c r="W35" s="286" t="s">
        <v>97</v>
      </c>
      <c r="X35" s="287" t="e">
        <f>X32/((X30*EFFICIENCY!$H$28))</f>
        <v>#DIV/0!</v>
      </c>
      <c r="Y35" s="286" t="s">
        <v>97</v>
      </c>
      <c r="Z35" s="287" t="e">
        <f>Z32/(Z30*EFFICIENCY!$H$28)</f>
        <v>#DIV/0!</v>
      </c>
      <c r="AA35" s="286" t="s">
        <v>97</v>
      </c>
      <c r="AB35" s="287" t="e">
        <f>AB32/(AB30*EFFICIENCY!$H$28)</f>
        <v>#DIV/0!</v>
      </c>
      <c r="AD35" s="300"/>
      <c r="AE35" s="304"/>
      <c r="AF35" s="385"/>
      <c r="AG35" s="286" t="s">
        <v>97</v>
      </c>
      <c r="AH35" s="287" t="e">
        <f>AH32/((AH30*EFFICIENCY!$H$28))</f>
        <v>#DIV/0!</v>
      </c>
      <c r="AI35" s="286" t="s">
        <v>97</v>
      </c>
      <c r="AJ35" s="287" t="e">
        <f>AJ32/(AJ30*EFFICIENCY!$H$28)</f>
        <v>#DIV/0!</v>
      </c>
      <c r="AK35" s="286" t="s">
        <v>97</v>
      </c>
      <c r="AL35" s="287" t="e">
        <f>AL32/(AL30*EFFICIENCY!$H$28)</f>
        <v>#DIV/0!</v>
      </c>
      <c r="AN35" s="300"/>
      <c r="AO35" s="304"/>
      <c r="AP35" s="385"/>
      <c r="AQ35" s="286" t="s">
        <v>97</v>
      </c>
      <c r="AR35" s="287" t="e">
        <f>AR32/((AR30*EFFICIENCY!$H$28))</f>
        <v>#DIV/0!</v>
      </c>
      <c r="AS35" s="286" t="s">
        <v>97</v>
      </c>
      <c r="AT35" s="287" t="e">
        <f>AT32/(AT30*EFFICIENCY!$H$28)</f>
        <v>#DIV/0!</v>
      </c>
      <c r="AU35" s="286" t="s">
        <v>97</v>
      </c>
      <c r="AV35" s="287" t="e">
        <f>AV32/(AV30*EFFICIENCY!$H$28)</f>
        <v>#DIV/0!</v>
      </c>
      <c r="AX35" s="300"/>
      <c r="AY35" s="304"/>
      <c r="AZ35" s="385"/>
      <c r="BA35" s="286" t="s">
        <v>97</v>
      </c>
      <c r="BB35" s="287" t="e">
        <f>BB32/((BB30*EFFICIENCY!$H$28))</f>
        <v>#DIV/0!</v>
      </c>
      <c r="BC35" s="286" t="s">
        <v>97</v>
      </c>
      <c r="BD35" s="287" t="e">
        <f>BD32/(BD30*EFFICIENCY!$H$28)</f>
        <v>#DIV/0!</v>
      </c>
      <c r="BE35" s="286" t="s">
        <v>97</v>
      </c>
      <c r="BF35" s="287" t="e">
        <f>BF32/(BF30*EFFICIENCY!$H$28)</f>
        <v>#DIV/0!</v>
      </c>
      <c r="BH35" s="300"/>
      <c r="BI35" s="304"/>
      <c r="BJ35" s="385"/>
      <c r="BK35" s="286" t="s">
        <v>97</v>
      </c>
      <c r="BL35" s="287" t="e">
        <f>BL32/((BL30*EFFICIENCY!$H$28))</f>
        <v>#DIV/0!</v>
      </c>
      <c r="BM35" s="286" t="s">
        <v>97</v>
      </c>
      <c r="BN35" s="287" t="e">
        <f>BN32/(BN30*EFFICIENCY!$H$28)</f>
        <v>#DIV/0!</v>
      </c>
      <c r="BO35" s="286" t="s">
        <v>97</v>
      </c>
      <c r="BP35" s="287" t="e">
        <f>BP32/(BP30*EFFICIENCY!$H$28)</f>
        <v>#DIV/0!</v>
      </c>
    </row>
    <row r="36" spans="2:68" ht="18.75">
      <c r="B36" s="278"/>
      <c r="K36" s="304"/>
      <c r="L36" s="303"/>
      <c r="M36" s="280" t="s">
        <v>96</v>
      </c>
      <c r="N36" s="281" t="e">
        <f>N32/(N30*EFFICIENCY!$I$28)</f>
        <v>#DIV/0!</v>
      </c>
      <c r="O36" s="280" t="s">
        <v>96</v>
      </c>
      <c r="P36" s="281" t="e">
        <f>P32/(P30*EFFICIENCY!$I$28)</f>
        <v>#DIV/0!</v>
      </c>
      <c r="Q36" s="280" t="s">
        <v>96</v>
      </c>
      <c r="R36" s="281" t="e">
        <f>R32/(R30*EFFICIENCY!$I$28)</f>
        <v>#DIV/0!</v>
      </c>
      <c r="S36" s="296"/>
      <c r="T36" s="300"/>
      <c r="U36" s="304"/>
      <c r="V36" s="303"/>
      <c r="W36" s="280" t="s">
        <v>96</v>
      </c>
      <c r="X36" s="281" t="e">
        <f>X32/(X30*EFFICIENCY!$I$28)</f>
        <v>#DIV/0!</v>
      </c>
      <c r="Y36" s="280" t="s">
        <v>96</v>
      </c>
      <c r="Z36" s="281" t="e">
        <f>Z32/(Z30*EFFICIENCY!$I$28)</f>
        <v>#DIV/0!</v>
      </c>
      <c r="AA36" s="280" t="s">
        <v>96</v>
      </c>
      <c r="AB36" s="281" t="e">
        <f>AB32/(AB30*EFFICIENCY!$I$28)</f>
        <v>#DIV/0!</v>
      </c>
      <c r="AD36" s="300"/>
      <c r="AE36" s="304"/>
      <c r="AF36" s="303"/>
      <c r="AG36" s="280" t="s">
        <v>96</v>
      </c>
      <c r="AH36" s="281" t="e">
        <f>AH32/(AH30*EFFICIENCY!$I$28)</f>
        <v>#DIV/0!</v>
      </c>
      <c r="AI36" s="280" t="s">
        <v>96</v>
      </c>
      <c r="AJ36" s="281" t="e">
        <f>AJ32/(AJ30*EFFICIENCY!$I$28)</f>
        <v>#DIV/0!</v>
      </c>
      <c r="AK36" s="280" t="s">
        <v>96</v>
      </c>
      <c r="AL36" s="281" t="e">
        <f>AL32/(AL30*EFFICIENCY!$I$28)</f>
        <v>#DIV/0!</v>
      </c>
      <c r="AN36" s="300"/>
      <c r="AO36" s="304"/>
      <c r="AP36" s="303"/>
      <c r="AQ36" s="280" t="s">
        <v>96</v>
      </c>
      <c r="AR36" s="281" t="e">
        <f>AR32/(AR30*EFFICIENCY!$I$28)</f>
        <v>#DIV/0!</v>
      </c>
      <c r="AS36" s="280" t="s">
        <v>96</v>
      </c>
      <c r="AT36" s="281" t="e">
        <f>AT32/(AT30*EFFICIENCY!$I$28)</f>
        <v>#DIV/0!</v>
      </c>
      <c r="AU36" s="280" t="s">
        <v>96</v>
      </c>
      <c r="AV36" s="281" t="e">
        <f>AV32/(AV30*EFFICIENCY!$I$28)</f>
        <v>#DIV/0!</v>
      </c>
      <c r="AX36" s="300"/>
      <c r="AY36" s="304"/>
      <c r="AZ36" s="303"/>
      <c r="BA36" s="280" t="s">
        <v>96</v>
      </c>
      <c r="BB36" s="281" t="e">
        <f>BB32/(BB30*EFFICIENCY!$I$28)</f>
        <v>#DIV/0!</v>
      </c>
      <c r="BC36" s="280" t="s">
        <v>96</v>
      </c>
      <c r="BD36" s="281" t="e">
        <f>BD32/(BD30*EFFICIENCY!$I$28)</f>
        <v>#DIV/0!</v>
      </c>
      <c r="BE36" s="280" t="s">
        <v>96</v>
      </c>
      <c r="BF36" s="281" t="e">
        <f>BF32/(BF30*EFFICIENCY!$I$28)</f>
        <v>#DIV/0!</v>
      </c>
      <c r="BH36" s="300"/>
      <c r="BI36" s="304"/>
      <c r="BJ36" s="303"/>
      <c r="BK36" s="280" t="s">
        <v>96</v>
      </c>
      <c r="BL36" s="281" t="e">
        <f>BL32/(BL30*EFFICIENCY!$I$28)</f>
        <v>#DIV/0!</v>
      </c>
      <c r="BM36" s="280" t="s">
        <v>96</v>
      </c>
      <c r="BN36" s="281" t="e">
        <f>BN32/(BN30*EFFICIENCY!$I$28)</f>
        <v>#DIV/0!</v>
      </c>
      <c r="BO36" s="280" t="s">
        <v>96</v>
      </c>
      <c r="BP36" s="281" t="e">
        <f>BP32/(BP30*EFFICIENCY!$I$28)</f>
        <v>#DIV/0!</v>
      </c>
    </row>
    <row r="37" spans="2:68" ht="19.5" customHeight="1" thickBot="1">
      <c r="K37" s="696" t="s">
        <v>156</v>
      </c>
      <c r="L37" s="697"/>
      <c r="M37" s="284" t="s">
        <v>94</v>
      </c>
      <c r="N37" s="285" t="e">
        <f>N32/((N30*EFFICIENCY!$K$28))</f>
        <v>#DIV/0!</v>
      </c>
      <c r="O37" s="288" t="s">
        <v>94</v>
      </c>
      <c r="P37" s="285" t="e">
        <f>P32/((P30*EFFICIENCY!$K$28))</f>
        <v>#DIV/0!</v>
      </c>
      <c r="Q37" s="284" t="s">
        <v>94</v>
      </c>
      <c r="R37" s="285" t="e">
        <f>R32/((R30*EFFICIENCY!$K$28))</f>
        <v>#DIV/0!</v>
      </c>
      <c r="S37" s="297"/>
      <c r="T37" s="300"/>
      <c r="U37" s="696" t="s">
        <v>156</v>
      </c>
      <c r="V37" s="697"/>
      <c r="W37" s="284" t="s">
        <v>94</v>
      </c>
      <c r="X37" s="285" t="e">
        <f>X32/((X30*EFFICIENCY!$K$28))</f>
        <v>#DIV/0!</v>
      </c>
      <c r="Y37" s="288" t="s">
        <v>94</v>
      </c>
      <c r="Z37" s="285" t="e">
        <f>Z32/((Z30*EFFICIENCY!$K$28))</f>
        <v>#DIV/0!</v>
      </c>
      <c r="AA37" s="284" t="s">
        <v>94</v>
      </c>
      <c r="AB37" s="285" t="e">
        <f>AB32/((AB30*EFFICIENCY!$K$28))</f>
        <v>#DIV/0!</v>
      </c>
      <c r="AD37" s="300"/>
      <c r="AE37" s="696" t="s">
        <v>156</v>
      </c>
      <c r="AF37" s="697"/>
      <c r="AG37" s="284" t="s">
        <v>94</v>
      </c>
      <c r="AH37" s="285" t="e">
        <f>AH32/((AH30*EFFICIENCY!$K$28))</f>
        <v>#DIV/0!</v>
      </c>
      <c r="AI37" s="288" t="s">
        <v>94</v>
      </c>
      <c r="AJ37" s="285" t="e">
        <f>AJ32/((AJ30*EFFICIENCY!$K$28))</f>
        <v>#DIV/0!</v>
      </c>
      <c r="AK37" s="284" t="s">
        <v>94</v>
      </c>
      <c r="AL37" s="285" t="e">
        <f>AL32/((AL30*EFFICIENCY!$K$28))</f>
        <v>#DIV/0!</v>
      </c>
      <c r="AN37" s="300"/>
      <c r="AO37" s="696" t="s">
        <v>156</v>
      </c>
      <c r="AP37" s="697"/>
      <c r="AQ37" s="284" t="s">
        <v>94</v>
      </c>
      <c r="AR37" s="285" t="e">
        <f>AR32/((AR30*EFFICIENCY!$K$28))</f>
        <v>#DIV/0!</v>
      </c>
      <c r="AS37" s="288" t="s">
        <v>94</v>
      </c>
      <c r="AT37" s="285" t="e">
        <f>AT32/((AT30*EFFICIENCY!$K$28))</f>
        <v>#DIV/0!</v>
      </c>
      <c r="AU37" s="284" t="s">
        <v>94</v>
      </c>
      <c r="AV37" s="285" t="e">
        <f>AV32/((AV30*EFFICIENCY!$K$28))</f>
        <v>#DIV/0!</v>
      </c>
      <c r="AX37" s="300"/>
      <c r="AY37" s="696" t="s">
        <v>156</v>
      </c>
      <c r="AZ37" s="697"/>
      <c r="BA37" s="284" t="s">
        <v>94</v>
      </c>
      <c r="BB37" s="285" t="e">
        <f>BB32/((BB30*EFFICIENCY!$K$28))</f>
        <v>#DIV/0!</v>
      </c>
      <c r="BC37" s="288" t="s">
        <v>94</v>
      </c>
      <c r="BD37" s="285" t="e">
        <f>BD32/((BD30*EFFICIENCY!$K$28))</f>
        <v>#DIV/0!</v>
      </c>
      <c r="BE37" s="284" t="s">
        <v>94</v>
      </c>
      <c r="BF37" s="285" t="e">
        <f>BF32/((BF30*EFFICIENCY!$K$28))</f>
        <v>#DIV/0!</v>
      </c>
      <c r="BH37" s="300"/>
      <c r="BI37" s="696" t="s">
        <v>156</v>
      </c>
      <c r="BJ37" s="697"/>
      <c r="BK37" s="284" t="s">
        <v>94</v>
      </c>
      <c r="BL37" s="285" t="e">
        <f>BL32/((BL30*EFFICIENCY!$K$28))</f>
        <v>#DIV/0!</v>
      </c>
      <c r="BM37" s="288" t="s">
        <v>94</v>
      </c>
      <c r="BN37" s="285" t="e">
        <f>BN32/((BN30*EFFICIENCY!$K$28))</f>
        <v>#DIV/0!</v>
      </c>
      <c r="BO37" s="284" t="s">
        <v>94</v>
      </c>
      <c r="BP37" s="285" t="e">
        <f>BP32/((BP30*EFFICIENCY!$K$28))</f>
        <v>#DIV/0!</v>
      </c>
    </row>
    <row r="38" spans="2:68" ht="16.5" thickBot="1">
      <c r="K38" s="386"/>
      <c r="L38" s="387" t="e">
        <f>R32/R30</f>
        <v>#DIV/0!</v>
      </c>
      <c r="M38" s="637" t="s">
        <v>153</v>
      </c>
      <c r="N38" s="638"/>
      <c r="O38" s="290"/>
      <c r="P38" s="421"/>
      <c r="Q38" s="421" t="s">
        <v>154</v>
      </c>
      <c r="R38" s="319">
        <f>O38-R32</f>
        <v>0</v>
      </c>
      <c r="S38" s="298"/>
      <c r="T38" s="300"/>
      <c r="U38" s="386"/>
      <c r="V38" s="387" t="e">
        <f>AB32/AB30</f>
        <v>#DIV/0!</v>
      </c>
      <c r="W38" s="637" t="s">
        <v>153</v>
      </c>
      <c r="X38" s="638"/>
      <c r="Y38" s="290"/>
      <c r="Z38" s="421"/>
      <c r="AA38" s="421" t="s">
        <v>154</v>
      </c>
      <c r="AB38" s="319">
        <f>Y38-AB32</f>
        <v>0</v>
      </c>
      <c r="AD38" s="300"/>
      <c r="AE38" s="386"/>
      <c r="AF38" s="387" t="e">
        <f>AL32/AL30</f>
        <v>#DIV/0!</v>
      </c>
      <c r="AG38" s="637" t="s">
        <v>153</v>
      </c>
      <c r="AH38" s="638"/>
      <c r="AI38" s="290"/>
      <c r="AJ38" s="421"/>
      <c r="AK38" s="421" t="s">
        <v>154</v>
      </c>
      <c r="AL38" s="319">
        <f>AI38-AL32</f>
        <v>0</v>
      </c>
      <c r="AN38" s="300"/>
      <c r="AO38" s="386"/>
      <c r="AP38" s="387" t="e">
        <f>AV32/AV30</f>
        <v>#DIV/0!</v>
      </c>
      <c r="AQ38" s="637" t="s">
        <v>153</v>
      </c>
      <c r="AR38" s="638"/>
      <c r="AS38" s="290"/>
      <c r="AT38" s="421"/>
      <c r="AU38" s="421" t="s">
        <v>154</v>
      </c>
      <c r="AV38" s="319">
        <f>AS38-AV32</f>
        <v>0</v>
      </c>
      <c r="AX38" s="300"/>
      <c r="AY38" s="386"/>
      <c r="AZ38" s="387" t="e">
        <f>BF32/BF30</f>
        <v>#DIV/0!</v>
      </c>
      <c r="BA38" s="637" t="s">
        <v>153</v>
      </c>
      <c r="BB38" s="638"/>
      <c r="BC38" s="290"/>
      <c r="BD38" s="421"/>
      <c r="BE38" s="421" t="s">
        <v>154</v>
      </c>
      <c r="BF38" s="319">
        <f>BC38-BF32</f>
        <v>0</v>
      </c>
      <c r="BH38" s="300"/>
      <c r="BI38" s="386"/>
      <c r="BJ38" s="387" t="e">
        <f>BP32/BP30</f>
        <v>#DIV/0!</v>
      </c>
      <c r="BK38" s="637" t="s">
        <v>153</v>
      </c>
      <c r="BL38" s="638"/>
      <c r="BM38" s="290"/>
      <c r="BN38" s="421"/>
      <c r="BO38" s="421" t="s">
        <v>154</v>
      </c>
      <c r="BP38" s="319">
        <f>BM38-BP32</f>
        <v>0</v>
      </c>
    </row>
    <row r="39" spans="2:68">
      <c r="T39" s="300"/>
      <c r="AD39" s="300"/>
      <c r="AN39" s="300"/>
      <c r="AX39" s="300"/>
      <c r="BH39" s="300"/>
    </row>
    <row r="40" spans="2:68" ht="13.5" thickBot="1">
      <c r="K40" s="291"/>
      <c r="L40" s="291"/>
      <c r="M40" s="291"/>
      <c r="N40" s="291"/>
      <c r="O40" s="291"/>
      <c r="P40" s="291"/>
      <c r="Q40" s="291"/>
      <c r="R40" s="291"/>
      <c r="S40" s="299"/>
      <c r="T40" s="301"/>
      <c r="U40" s="291"/>
      <c r="V40" s="291"/>
      <c r="W40" s="291"/>
      <c r="X40" s="291"/>
      <c r="Y40" s="291"/>
      <c r="Z40" s="291"/>
      <c r="AA40" s="291"/>
      <c r="AB40" s="291"/>
      <c r="AC40" s="291"/>
      <c r="AD40" s="301"/>
      <c r="AE40" s="291"/>
      <c r="AF40" s="291"/>
      <c r="AG40" s="291"/>
      <c r="AH40" s="291"/>
      <c r="AI40" s="291"/>
      <c r="AJ40" s="291"/>
      <c r="AK40" s="291"/>
      <c r="AL40" s="291"/>
      <c r="AM40" s="291"/>
      <c r="AN40" s="301"/>
      <c r="AO40" s="291"/>
      <c r="AP40" s="291"/>
      <c r="AQ40" s="291"/>
      <c r="AR40" s="291"/>
      <c r="AS40" s="291"/>
      <c r="AT40" s="291"/>
      <c r="AU40" s="291"/>
      <c r="AV40" s="291"/>
      <c r="AW40" s="291"/>
      <c r="AX40" s="301"/>
      <c r="AY40" s="291"/>
      <c r="AZ40" s="291"/>
      <c r="BA40" s="291"/>
      <c r="BB40" s="291"/>
      <c r="BC40" s="291"/>
      <c r="BD40" s="291"/>
      <c r="BE40" s="291"/>
      <c r="BF40" s="291"/>
      <c r="BG40" s="291"/>
      <c r="BH40" s="301"/>
      <c r="BI40" s="291"/>
      <c r="BJ40" s="291"/>
      <c r="BK40" s="291"/>
      <c r="BL40" s="291"/>
      <c r="BM40" s="291"/>
      <c r="BN40" s="291"/>
      <c r="BO40" s="291"/>
      <c r="BP40" s="291"/>
    </row>
    <row r="41" spans="2:68" ht="15.75" thickBot="1">
      <c r="K41" s="388" t="s">
        <v>7</v>
      </c>
      <c r="L41" s="535">
        <f>B23</f>
        <v>42632</v>
      </c>
      <c r="M41" s="639" t="s">
        <v>100</v>
      </c>
      <c r="N41" s="640"/>
      <c r="O41" s="641" t="s">
        <v>99</v>
      </c>
      <c r="P41" s="642"/>
      <c r="Q41" s="643" t="s">
        <v>16</v>
      </c>
      <c r="R41" s="644"/>
      <c r="S41" s="293"/>
      <c r="T41" s="300"/>
      <c r="U41" s="388" t="s">
        <v>7</v>
      </c>
      <c r="V41" s="535">
        <f>B24</f>
        <v>42633</v>
      </c>
      <c r="W41" s="639" t="s">
        <v>100</v>
      </c>
      <c r="X41" s="640"/>
      <c r="Y41" s="641" t="s">
        <v>99</v>
      </c>
      <c r="Z41" s="642"/>
      <c r="AA41" s="643" t="s">
        <v>16</v>
      </c>
      <c r="AB41" s="644"/>
      <c r="AC41" s="154"/>
      <c r="AD41" s="300"/>
      <c r="AE41" s="388" t="s">
        <v>7</v>
      </c>
      <c r="AF41" s="535">
        <f>B25</f>
        <v>42634</v>
      </c>
      <c r="AG41" s="639" t="s">
        <v>100</v>
      </c>
      <c r="AH41" s="640"/>
      <c r="AI41" s="641" t="s">
        <v>99</v>
      </c>
      <c r="AJ41" s="642"/>
      <c r="AK41" s="643" t="s">
        <v>16</v>
      </c>
      <c r="AL41" s="644"/>
      <c r="AM41" s="154"/>
      <c r="AN41" s="300"/>
      <c r="AO41" s="388" t="s">
        <v>7</v>
      </c>
      <c r="AP41" s="535">
        <f>B26</f>
        <v>42635</v>
      </c>
      <c r="AQ41" s="639" t="s">
        <v>100</v>
      </c>
      <c r="AR41" s="640"/>
      <c r="AS41" s="641" t="s">
        <v>99</v>
      </c>
      <c r="AT41" s="642"/>
      <c r="AU41" s="643" t="s">
        <v>16</v>
      </c>
      <c r="AV41" s="644"/>
      <c r="AW41" s="154"/>
      <c r="AX41" s="300"/>
      <c r="AY41" s="388" t="s">
        <v>7</v>
      </c>
      <c r="AZ41" s="535">
        <f>B27</f>
        <v>42636</v>
      </c>
      <c r="BA41" s="639" t="s">
        <v>100</v>
      </c>
      <c r="BB41" s="640"/>
      <c r="BC41" s="641" t="s">
        <v>99</v>
      </c>
      <c r="BD41" s="642"/>
      <c r="BE41" s="643" t="s">
        <v>16</v>
      </c>
      <c r="BF41" s="644"/>
      <c r="BG41" s="154"/>
      <c r="BH41" s="300"/>
      <c r="BI41" s="388" t="s">
        <v>7</v>
      </c>
      <c r="BJ41" s="535">
        <f>B28</f>
        <v>42637</v>
      </c>
      <c r="BK41" s="639" t="s">
        <v>100</v>
      </c>
      <c r="BL41" s="640"/>
      <c r="BM41" s="641" t="s">
        <v>99</v>
      </c>
      <c r="BN41" s="642"/>
      <c r="BO41" s="643" t="s">
        <v>16</v>
      </c>
      <c r="BP41" s="644"/>
    </row>
    <row r="42" spans="2:68" ht="13.5" thickBot="1">
      <c r="K42" s="321"/>
      <c r="L42" s="320"/>
      <c r="M42" s="321"/>
      <c r="N42" s="322"/>
      <c r="O42" s="321"/>
      <c r="P42" s="322"/>
      <c r="Q42" s="320"/>
      <c r="R42" s="322"/>
      <c r="S42" s="156"/>
      <c r="T42" s="300"/>
      <c r="U42" s="321"/>
      <c r="V42" s="320"/>
      <c r="W42" s="321"/>
      <c r="X42" s="322"/>
      <c r="Y42" s="321"/>
      <c r="Z42" s="322"/>
      <c r="AA42" s="320"/>
      <c r="AB42" s="322"/>
      <c r="AC42" s="154"/>
      <c r="AD42" s="300"/>
      <c r="AE42" s="321"/>
      <c r="AF42" s="320"/>
      <c r="AG42" s="321"/>
      <c r="AH42" s="322"/>
      <c r="AI42" s="321"/>
      <c r="AJ42" s="322"/>
      <c r="AK42" s="320"/>
      <c r="AL42" s="322"/>
      <c r="AM42" s="154"/>
      <c r="AN42" s="300"/>
      <c r="AO42" s="321"/>
      <c r="AP42" s="320"/>
      <c r="AQ42" s="321"/>
      <c r="AR42" s="322"/>
      <c r="AS42" s="321"/>
      <c r="AT42" s="322"/>
      <c r="AU42" s="320"/>
      <c r="AV42" s="322"/>
      <c r="AW42" s="154"/>
      <c r="AX42" s="300"/>
      <c r="AY42" s="321"/>
      <c r="AZ42" s="320"/>
      <c r="BA42" s="321"/>
      <c r="BB42" s="322"/>
      <c r="BC42" s="321"/>
      <c r="BD42" s="322"/>
      <c r="BE42" s="320"/>
      <c r="BF42" s="322"/>
      <c r="BG42" s="154"/>
      <c r="BH42" s="300"/>
      <c r="BI42" s="321"/>
      <c r="BJ42" s="320"/>
      <c r="BK42" s="321"/>
      <c r="BL42" s="322"/>
      <c r="BM42" s="321"/>
      <c r="BN42" s="322"/>
      <c r="BO42" s="320"/>
      <c r="BP42" s="322"/>
    </row>
    <row r="43" spans="2:68" ht="16.5" thickBot="1">
      <c r="K43" s="321"/>
      <c r="L43" s="422" t="s">
        <v>155</v>
      </c>
      <c r="M43" s="324" t="s">
        <v>103</v>
      </c>
      <c r="N43" s="279"/>
      <c r="O43" s="324" t="s">
        <v>103</v>
      </c>
      <c r="P43" s="279"/>
      <c r="Q43" s="325" t="s">
        <v>103</v>
      </c>
      <c r="R43" s="326">
        <f>SUM(N43,P43)</f>
        <v>0</v>
      </c>
      <c r="S43" s="294"/>
      <c r="T43" s="300"/>
      <c r="U43" s="321"/>
      <c r="V43" s="422" t="s">
        <v>155</v>
      </c>
      <c r="W43" s="324" t="s">
        <v>103</v>
      </c>
      <c r="X43" s="279"/>
      <c r="Y43" s="324" t="s">
        <v>103</v>
      </c>
      <c r="Z43" s="279"/>
      <c r="AA43" s="325" t="s">
        <v>103</v>
      </c>
      <c r="AB43" s="326">
        <f>SUM(X43,Z43)</f>
        <v>0</v>
      </c>
      <c r="AD43" s="300"/>
      <c r="AE43" s="321"/>
      <c r="AF43" s="422" t="s">
        <v>155</v>
      </c>
      <c r="AG43" s="324" t="s">
        <v>103</v>
      </c>
      <c r="AH43" s="279"/>
      <c r="AI43" s="324" t="s">
        <v>103</v>
      </c>
      <c r="AJ43" s="279"/>
      <c r="AK43" s="325" t="s">
        <v>103</v>
      </c>
      <c r="AL43" s="326">
        <f>SUM(AH43,AJ43)</f>
        <v>0</v>
      </c>
      <c r="AN43" s="300"/>
      <c r="AO43" s="321"/>
      <c r="AP43" s="422" t="s">
        <v>155</v>
      </c>
      <c r="AQ43" s="324" t="s">
        <v>103</v>
      </c>
      <c r="AR43" s="279"/>
      <c r="AS43" s="324" t="s">
        <v>103</v>
      </c>
      <c r="AT43" s="279"/>
      <c r="AU43" s="325" t="s">
        <v>103</v>
      </c>
      <c r="AV43" s="326">
        <f>SUM(AR43,AT43)</f>
        <v>0</v>
      </c>
      <c r="AX43" s="300"/>
      <c r="AY43" s="321"/>
      <c r="AZ43" s="422" t="s">
        <v>155</v>
      </c>
      <c r="BA43" s="324" t="s">
        <v>103</v>
      </c>
      <c r="BB43" s="279"/>
      <c r="BC43" s="324" t="s">
        <v>103</v>
      </c>
      <c r="BD43" s="279"/>
      <c r="BE43" s="325" t="s">
        <v>103</v>
      </c>
      <c r="BF43" s="326">
        <f>SUM(BB43,BD43)</f>
        <v>0</v>
      </c>
      <c r="BH43" s="300"/>
      <c r="BI43" s="321"/>
      <c r="BJ43" s="422" t="s">
        <v>155</v>
      </c>
      <c r="BK43" s="324" t="s">
        <v>103</v>
      </c>
      <c r="BL43" s="279"/>
      <c r="BM43" s="324" t="s">
        <v>103</v>
      </c>
      <c r="BN43" s="279"/>
      <c r="BO43" s="325" t="s">
        <v>103</v>
      </c>
      <c r="BP43" s="326">
        <f>SUM(BL43,BN43)</f>
        <v>0</v>
      </c>
    </row>
    <row r="44" spans="2:68" ht="18.75" thickBot="1">
      <c r="K44" s="321"/>
      <c r="L44" s="289">
        <v>8</v>
      </c>
      <c r="M44" s="327" t="s">
        <v>5</v>
      </c>
      <c r="N44" s="328">
        <f>VLOOKUP(L41, $B$3:$E$109, 4, FALSE)</f>
        <v>0</v>
      </c>
      <c r="O44" s="327" t="s">
        <v>5</v>
      </c>
      <c r="P44" s="329">
        <f>VLOOKUP(L41, $B$3:$F$109, 5, FALSE)</f>
        <v>0</v>
      </c>
      <c r="Q44" s="330" t="s">
        <v>5</v>
      </c>
      <c r="R44" s="326">
        <f>SUM(N44,P44)</f>
        <v>0</v>
      </c>
      <c r="S44" s="294"/>
      <c r="T44" s="300"/>
      <c r="U44" s="321"/>
      <c r="V44" s="289">
        <v>8</v>
      </c>
      <c r="W44" s="327" t="s">
        <v>5</v>
      </c>
      <c r="X44" s="328">
        <f>VLOOKUP(V41, $B$3:$E$109, 4, FALSE)</f>
        <v>0</v>
      </c>
      <c r="Y44" s="327" t="s">
        <v>5</v>
      </c>
      <c r="Z44" s="329">
        <f>VLOOKUP(V41, $B$3:$F$109, 5, FALSE)</f>
        <v>0</v>
      </c>
      <c r="AA44" s="330" t="s">
        <v>5</v>
      </c>
      <c r="AB44" s="326">
        <f>SUM(X44,Z44)</f>
        <v>0</v>
      </c>
      <c r="AD44" s="300"/>
      <c r="AE44" s="321"/>
      <c r="AF44" s="289">
        <v>8</v>
      </c>
      <c r="AG44" s="327" t="s">
        <v>5</v>
      </c>
      <c r="AH44" s="328">
        <f>VLOOKUP(AF41, $B$3:$E$109, 4, FALSE)</f>
        <v>0</v>
      </c>
      <c r="AI44" s="327" t="s">
        <v>5</v>
      </c>
      <c r="AJ44" s="329">
        <f>VLOOKUP(AF41, $B$3:$F$109, 5, FALSE)</f>
        <v>0</v>
      </c>
      <c r="AK44" s="330" t="s">
        <v>5</v>
      </c>
      <c r="AL44" s="326">
        <f>SUM(AH44,AJ44)</f>
        <v>0</v>
      </c>
      <c r="AN44" s="300"/>
      <c r="AO44" s="321"/>
      <c r="AP44" s="289">
        <v>8</v>
      </c>
      <c r="AQ44" s="327" t="s">
        <v>5</v>
      </c>
      <c r="AR44" s="328">
        <f>VLOOKUP(AP41, $B$3:$E$109, 4, FALSE)</f>
        <v>0</v>
      </c>
      <c r="AS44" s="327" t="s">
        <v>5</v>
      </c>
      <c r="AT44" s="329">
        <f>VLOOKUP(AP41, $B$3:$F$109, 5, FALSE)</f>
        <v>0</v>
      </c>
      <c r="AU44" s="330" t="s">
        <v>5</v>
      </c>
      <c r="AV44" s="326">
        <f>SUM(AR44,AT44)</f>
        <v>0</v>
      </c>
      <c r="AX44" s="300"/>
      <c r="AY44" s="321"/>
      <c r="AZ44" s="289">
        <v>8</v>
      </c>
      <c r="BA44" s="327" t="s">
        <v>5</v>
      </c>
      <c r="BB44" s="328">
        <f>VLOOKUP(AZ41, $B$3:$E$109, 4, FALSE)</f>
        <v>0</v>
      </c>
      <c r="BC44" s="327" t="s">
        <v>5</v>
      </c>
      <c r="BD44" s="329">
        <f>VLOOKUP(AZ41, $B$3:$F$109, 5, FALSE)</f>
        <v>0</v>
      </c>
      <c r="BE44" s="330" t="s">
        <v>5</v>
      </c>
      <c r="BF44" s="326">
        <f>SUM(BB44,BD44)</f>
        <v>0</v>
      </c>
      <c r="BH44" s="300"/>
      <c r="BI44" s="321"/>
      <c r="BJ44" s="289">
        <v>8</v>
      </c>
      <c r="BK44" s="327" t="s">
        <v>5</v>
      </c>
      <c r="BL44" s="328">
        <f>VLOOKUP(BJ41, $B$3:$E$109, 4, FALSE)</f>
        <v>0</v>
      </c>
      <c r="BM44" s="327" t="s">
        <v>5</v>
      </c>
      <c r="BN44" s="329">
        <f>VLOOKUP(BJ41, $B$3:$F$109, 5, FALSE)</f>
        <v>0</v>
      </c>
      <c r="BO44" s="330" t="s">
        <v>5</v>
      </c>
      <c r="BP44" s="326">
        <f>SUM(BL44,BN44)</f>
        <v>0</v>
      </c>
    </row>
    <row r="45" spans="2:68" ht="15.75" customHeight="1">
      <c r="K45" s="321"/>
      <c r="L45" s="320"/>
      <c r="M45" s="645" t="s">
        <v>105</v>
      </c>
      <c r="N45" s="328">
        <f>VLOOKUP(L41, $B$3:$E$109, 2, FALSE)</f>
        <v>0</v>
      </c>
      <c r="O45" s="645" t="s">
        <v>105</v>
      </c>
      <c r="P45" s="329">
        <f>VLOOKUP(L41, $B$3:$E$109, 3, FALSE)</f>
        <v>0</v>
      </c>
      <c r="Q45" s="646" t="s">
        <v>105</v>
      </c>
      <c r="R45" s="326">
        <f>SUM(N45,P45)</f>
        <v>0</v>
      </c>
      <c r="S45" s="294"/>
      <c r="T45" s="300"/>
      <c r="U45" s="321"/>
      <c r="V45" s="320"/>
      <c r="W45" s="645" t="s">
        <v>105</v>
      </c>
      <c r="X45" s="328">
        <f>VLOOKUP(V41, $B$3:$E$109, 2, FALSE)</f>
        <v>0</v>
      </c>
      <c r="Y45" s="645" t="s">
        <v>105</v>
      </c>
      <c r="Z45" s="329">
        <f>VLOOKUP(V41, $B$3:$E$109, 3, FALSE)</f>
        <v>0</v>
      </c>
      <c r="AA45" s="646" t="s">
        <v>105</v>
      </c>
      <c r="AB45" s="326">
        <f>SUM(X45,Z45)</f>
        <v>0</v>
      </c>
      <c r="AD45" s="300"/>
      <c r="AE45" s="321"/>
      <c r="AF45" s="320"/>
      <c r="AG45" s="645" t="s">
        <v>105</v>
      </c>
      <c r="AH45" s="328">
        <f>VLOOKUP(AF41, $B$3:$E$109, 2, FALSE)</f>
        <v>0</v>
      </c>
      <c r="AI45" s="645" t="s">
        <v>105</v>
      </c>
      <c r="AJ45" s="329">
        <f>VLOOKUP(AF41, $B$3:$E$109, 3, FALSE)</f>
        <v>0</v>
      </c>
      <c r="AK45" s="646" t="s">
        <v>105</v>
      </c>
      <c r="AL45" s="326">
        <f>SUM(AH45,AJ45)</f>
        <v>0</v>
      </c>
      <c r="AN45" s="300"/>
      <c r="AO45" s="321"/>
      <c r="AP45" s="320"/>
      <c r="AQ45" s="645" t="s">
        <v>105</v>
      </c>
      <c r="AR45" s="328">
        <f>VLOOKUP(AP41, $B$3:$E$109, 2, FALSE)</f>
        <v>0</v>
      </c>
      <c r="AS45" s="645" t="s">
        <v>105</v>
      </c>
      <c r="AT45" s="329">
        <f>VLOOKUP(AP41, $B$3:$E$109, 3, FALSE)</f>
        <v>0</v>
      </c>
      <c r="AU45" s="646" t="s">
        <v>105</v>
      </c>
      <c r="AV45" s="326">
        <f>SUM(AR45,AT45)</f>
        <v>0</v>
      </c>
      <c r="AX45" s="300"/>
      <c r="AY45" s="321"/>
      <c r="AZ45" s="320"/>
      <c r="BA45" s="645" t="s">
        <v>105</v>
      </c>
      <c r="BB45" s="328">
        <f>VLOOKUP(AZ41, $B$3:$E$109, 2, FALSE)</f>
        <v>0</v>
      </c>
      <c r="BC45" s="645" t="s">
        <v>105</v>
      </c>
      <c r="BD45" s="329">
        <f>VLOOKUP(AZ41, $B$3:$E$109, 3, FALSE)</f>
        <v>0</v>
      </c>
      <c r="BE45" s="646" t="s">
        <v>105</v>
      </c>
      <c r="BF45" s="326">
        <f>SUM(BB45,BD45)</f>
        <v>0</v>
      </c>
      <c r="BH45" s="300"/>
      <c r="BI45" s="321"/>
      <c r="BJ45" s="320"/>
      <c r="BK45" s="645" t="s">
        <v>105</v>
      </c>
      <c r="BL45" s="328">
        <f>VLOOKUP(BJ41, $B$3:$E$109, 2, FALSE)</f>
        <v>0</v>
      </c>
      <c r="BM45" s="645" t="s">
        <v>105</v>
      </c>
      <c r="BN45" s="329">
        <f>VLOOKUP(BJ41, $B$3:$E$109, 3, FALSE)</f>
        <v>0</v>
      </c>
      <c r="BO45" s="646" t="s">
        <v>105</v>
      </c>
      <c r="BP45" s="326">
        <f>SUM(BL45,BN45)</f>
        <v>0</v>
      </c>
    </row>
    <row r="46" spans="2:68" ht="12.75" customHeight="1">
      <c r="K46" s="702" t="s">
        <v>157</v>
      </c>
      <c r="L46" s="703"/>
      <c r="M46" s="646"/>
      <c r="N46" s="322"/>
      <c r="O46" s="645"/>
      <c r="P46" s="322"/>
      <c r="Q46" s="646"/>
      <c r="R46" s="322"/>
      <c r="S46" s="156"/>
      <c r="T46" s="300"/>
      <c r="U46" s="702" t="s">
        <v>157</v>
      </c>
      <c r="V46" s="703"/>
      <c r="W46" s="646"/>
      <c r="X46" s="322"/>
      <c r="Y46" s="645"/>
      <c r="Z46" s="322"/>
      <c r="AA46" s="646"/>
      <c r="AB46" s="322"/>
      <c r="AD46" s="300"/>
      <c r="AE46" s="702" t="s">
        <v>157</v>
      </c>
      <c r="AF46" s="703"/>
      <c r="AG46" s="646"/>
      <c r="AH46" s="322"/>
      <c r="AI46" s="645"/>
      <c r="AJ46" s="322"/>
      <c r="AK46" s="646"/>
      <c r="AL46" s="322"/>
      <c r="AN46" s="300"/>
      <c r="AO46" s="702" t="s">
        <v>157</v>
      </c>
      <c r="AP46" s="703"/>
      <c r="AQ46" s="646"/>
      <c r="AR46" s="322"/>
      <c r="AS46" s="645"/>
      <c r="AT46" s="322"/>
      <c r="AU46" s="646"/>
      <c r="AV46" s="322"/>
      <c r="AX46" s="300"/>
      <c r="AY46" s="702" t="s">
        <v>157</v>
      </c>
      <c r="AZ46" s="703"/>
      <c r="BA46" s="646"/>
      <c r="BB46" s="322"/>
      <c r="BC46" s="645"/>
      <c r="BD46" s="322"/>
      <c r="BE46" s="646"/>
      <c r="BF46" s="322"/>
      <c r="BH46" s="300"/>
      <c r="BI46" s="702" t="s">
        <v>157</v>
      </c>
      <c r="BJ46" s="703"/>
      <c r="BK46" s="646"/>
      <c r="BL46" s="322"/>
      <c r="BM46" s="645"/>
      <c r="BN46" s="322"/>
      <c r="BO46" s="646"/>
      <c r="BP46" s="322"/>
    </row>
    <row r="47" spans="2:68" ht="15.75">
      <c r="K47" s="389"/>
      <c r="L47" s="331">
        <f>R43*13</f>
        <v>0</v>
      </c>
      <c r="M47" s="423"/>
      <c r="N47" s="322"/>
      <c r="O47" s="333"/>
      <c r="P47" s="322"/>
      <c r="Q47" s="424"/>
      <c r="R47" s="322"/>
      <c r="S47" s="156"/>
      <c r="T47" s="300"/>
      <c r="U47" s="389"/>
      <c r="V47" s="331">
        <f>AB43*13</f>
        <v>0</v>
      </c>
      <c r="W47" s="423"/>
      <c r="X47" s="322"/>
      <c r="Y47" s="333"/>
      <c r="Z47" s="322"/>
      <c r="AA47" s="424"/>
      <c r="AB47" s="322"/>
      <c r="AD47" s="300"/>
      <c r="AE47" s="389"/>
      <c r="AF47" s="331">
        <f>AL43*13</f>
        <v>0</v>
      </c>
      <c r="AG47" s="423"/>
      <c r="AH47" s="322"/>
      <c r="AI47" s="333"/>
      <c r="AJ47" s="322"/>
      <c r="AK47" s="424"/>
      <c r="AL47" s="322"/>
      <c r="AN47" s="300"/>
      <c r="AO47" s="389"/>
      <c r="AP47" s="331">
        <f>AV43*13</f>
        <v>0</v>
      </c>
      <c r="AQ47" s="423"/>
      <c r="AR47" s="322"/>
      <c r="AS47" s="333"/>
      <c r="AT47" s="322"/>
      <c r="AU47" s="424"/>
      <c r="AV47" s="322"/>
      <c r="AX47" s="300"/>
      <c r="AY47" s="389"/>
      <c r="AZ47" s="331">
        <f>BF43*13</f>
        <v>0</v>
      </c>
      <c r="BA47" s="423"/>
      <c r="BB47" s="322"/>
      <c r="BC47" s="333"/>
      <c r="BD47" s="322"/>
      <c r="BE47" s="424"/>
      <c r="BF47" s="322"/>
      <c r="BH47" s="300"/>
      <c r="BI47" s="389"/>
      <c r="BJ47" s="331">
        <f>BP43*13</f>
        <v>0</v>
      </c>
      <c r="BK47" s="423"/>
      <c r="BL47" s="322"/>
      <c r="BM47" s="333"/>
      <c r="BN47" s="322"/>
      <c r="BO47" s="424"/>
      <c r="BP47" s="322"/>
    </row>
    <row r="48" spans="2:68" ht="18.75">
      <c r="K48" s="321"/>
      <c r="L48" s="390"/>
      <c r="M48" s="286" t="s">
        <v>97</v>
      </c>
      <c r="N48" s="287" t="e">
        <f>N45/((N43*EFFICIENCY!$H$28))</f>
        <v>#DIV/0!</v>
      </c>
      <c r="O48" s="286" t="s">
        <v>97</v>
      </c>
      <c r="P48" s="287" t="e">
        <f>P45/(P43*EFFICIENCY!$H$28)</f>
        <v>#DIV/0!</v>
      </c>
      <c r="Q48" s="286" t="s">
        <v>97</v>
      </c>
      <c r="R48" s="287" t="e">
        <f>R45/(R43*EFFICIENCY!$H$28)</f>
        <v>#DIV/0!</v>
      </c>
      <c r="S48" s="295"/>
      <c r="T48" s="300"/>
      <c r="U48" s="321"/>
      <c r="V48" s="390"/>
      <c r="W48" s="286" t="s">
        <v>97</v>
      </c>
      <c r="X48" s="287" t="e">
        <f>X45/((X43*EFFICIENCY!$H$28))</f>
        <v>#DIV/0!</v>
      </c>
      <c r="Y48" s="286" t="s">
        <v>97</v>
      </c>
      <c r="Z48" s="287" t="e">
        <f>Z45/(Z43*EFFICIENCY!$H$28)</f>
        <v>#DIV/0!</v>
      </c>
      <c r="AA48" s="286" t="s">
        <v>97</v>
      </c>
      <c r="AB48" s="287" t="e">
        <f>AB45/(AB43*EFFICIENCY!$H$28)</f>
        <v>#DIV/0!</v>
      </c>
      <c r="AD48" s="300"/>
      <c r="AE48" s="321"/>
      <c r="AF48" s="390"/>
      <c r="AG48" s="286" t="s">
        <v>97</v>
      </c>
      <c r="AH48" s="287" t="e">
        <f>AH45/((AH43*EFFICIENCY!$H$28))</f>
        <v>#DIV/0!</v>
      </c>
      <c r="AI48" s="286" t="s">
        <v>97</v>
      </c>
      <c r="AJ48" s="287" t="e">
        <f>AJ45/(AJ43*EFFICIENCY!$H$28)</f>
        <v>#DIV/0!</v>
      </c>
      <c r="AK48" s="286" t="s">
        <v>97</v>
      </c>
      <c r="AL48" s="287" t="e">
        <f>AL45/(AL43*EFFICIENCY!$H$28)</f>
        <v>#DIV/0!</v>
      </c>
      <c r="AN48" s="300"/>
      <c r="AO48" s="321"/>
      <c r="AP48" s="390"/>
      <c r="AQ48" s="286" t="s">
        <v>97</v>
      </c>
      <c r="AR48" s="287" t="e">
        <f>AR45/((AR43*EFFICIENCY!$H$28))</f>
        <v>#DIV/0!</v>
      </c>
      <c r="AS48" s="286" t="s">
        <v>97</v>
      </c>
      <c r="AT48" s="287" t="e">
        <f>AT45/(AT43*EFFICIENCY!$H$28)</f>
        <v>#DIV/0!</v>
      </c>
      <c r="AU48" s="286" t="s">
        <v>97</v>
      </c>
      <c r="AV48" s="287" t="e">
        <f>AV45/(AV43*EFFICIENCY!$H$28)</f>
        <v>#DIV/0!</v>
      </c>
      <c r="AX48" s="300"/>
      <c r="AY48" s="321"/>
      <c r="AZ48" s="390"/>
      <c r="BA48" s="286" t="s">
        <v>97</v>
      </c>
      <c r="BB48" s="287" t="e">
        <f>BB45/((BB43*EFFICIENCY!$H$28))</f>
        <v>#DIV/0!</v>
      </c>
      <c r="BC48" s="286" t="s">
        <v>97</v>
      </c>
      <c r="BD48" s="287" t="e">
        <f>BD45/(BD43*EFFICIENCY!$H$28)</f>
        <v>#DIV/0!</v>
      </c>
      <c r="BE48" s="286" t="s">
        <v>97</v>
      </c>
      <c r="BF48" s="287" t="e">
        <f>BF45/(BF43*EFFICIENCY!$H$28)</f>
        <v>#DIV/0!</v>
      </c>
      <c r="BH48" s="300"/>
      <c r="BI48" s="321"/>
      <c r="BJ48" s="390"/>
      <c r="BK48" s="286" t="s">
        <v>97</v>
      </c>
      <c r="BL48" s="287" t="e">
        <f>BL45/((BL43*EFFICIENCY!$H$28))</f>
        <v>#DIV/0!</v>
      </c>
      <c r="BM48" s="286" t="s">
        <v>97</v>
      </c>
      <c r="BN48" s="287" t="e">
        <f>BN45/(BN43*EFFICIENCY!$H$28)</f>
        <v>#DIV/0!</v>
      </c>
      <c r="BO48" s="286" t="s">
        <v>97</v>
      </c>
      <c r="BP48" s="287" t="e">
        <f>BP45/(BP43*EFFICIENCY!$H$28)</f>
        <v>#DIV/0!</v>
      </c>
    </row>
    <row r="49" spans="10:68" ht="18.75">
      <c r="K49" s="321"/>
      <c r="L49" s="320"/>
      <c r="M49" s="280" t="s">
        <v>96</v>
      </c>
      <c r="N49" s="281" t="e">
        <f>N45/(N43*EFFICIENCY!$I$28)</f>
        <v>#DIV/0!</v>
      </c>
      <c r="O49" s="280" t="s">
        <v>96</v>
      </c>
      <c r="P49" s="281" t="e">
        <f>P45/(P43*EFFICIENCY!$I$28)</f>
        <v>#DIV/0!</v>
      </c>
      <c r="Q49" s="280" t="s">
        <v>96</v>
      </c>
      <c r="R49" s="281" t="e">
        <f>R45/(R43*EFFICIENCY!$I$28)</f>
        <v>#DIV/0!</v>
      </c>
      <c r="S49" s="296"/>
      <c r="T49" s="300"/>
      <c r="U49" s="321"/>
      <c r="V49" s="320"/>
      <c r="W49" s="280" t="s">
        <v>96</v>
      </c>
      <c r="X49" s="281" t="e">
        <f>X45/(X43*EFFICIENCY!$I$28)</f>
        <v>#DIV/0!</v>
      </c>
      <c r="Y49" s="280" t="s">
        <v>96</v>
      </c>
      <c r="Z49" s="281" t="e">
        <f>Z45/(Z43*EFFICIENCY!$I$28)</f>
        <v>#DIV/0!</v>
      </c>
      <c r="AA49" s="280" t="s">
        <v>96</v>
      </c>
      <c r="AB49" s="281" t="e">
        <f>AB45/(AB43*EFFICIENCY!$I$28)</f>
        <v>#DIV/0!</v>
      </c>
      <c r="AD49" s="300"/>
      <c r="AE49" s="321"/>
      <c r="AF49" s="320"/>
      <c r="AG49" s="280" t="s">
        <v>96</v>
      </c>
      <c r="AH49" s="281" t="e">
        <f>AH45/(AH43*EFFICIENCY!$I$28)</f>
        <v>#DIV/0!</v>
      </c>
      <c r="AI49" s="280" t="s">
        <v>96</v>
      </c>
      <c r="AJ49" s="281" t="e">
        <f>AJ45/(AJ43*EFFICIENCY!$I$28)</f>
        <v>#DIV/0!</v>
      </c>
      <c r="AK49" s="280" t="s">
        <v>96</v>
      </c>
      <c r="AL49" s="281" t="e">
        <f>AL45/(AL43*EFFICIENCY!$I$28)</f>
        <v>#DIV/0!</v>
      </c>
      <c r="AN49" s="300"/>
      <c r="AO49" s="321"/>
      <c r="AP49" s="320"/>
      <c r="AQ49" s="280" t="s">
        <v>96</v>
      </c>
      <c r="AR49" s="281" t="e">
        <f>AR45/(AR43*EFFICIENCY!$I$28)</f>
        <v>#DIV/0!</v>
      </c>
      <c r="AS49" s="280" t="s">
        <v>96</v>
      </c>
      <c r="AT49" s="281" t="e">
        <f>AT45/(AT43*EFFICIENCY!$I$28)</f>
        <v>#DIV/0!</v>
      </c>
      <c r="AU49" s="280" t="s">
        <v>96</v>
      </c>
      <c r="AV49" s="281" t="e">
        <f>AV45/(AV43*EFFICIENCY!$I$28)</f>
        <v>#DIV/0!</v>
      </c>
      <c r="AX49" s="300"/>
      <c r="AY49" s="321"/>
      <c r="AZ49" s="320"/>
      <c r="BA49" s="280" t="s">
        <v>96</v>
      </c>
      <c r="BB49" s="281" t="e">
        <f>BB45/(BB43*EFFICIENCY!$I$28)</f>
        <v>#DIV/0!</v>
      </c>
      <c r="BC49" s="280" t="s">
        <v>96</v>
      </c>
      <c r="BD49" s="281" t="e">
        <f>BD45/(BD43*EFFICIENCY!$I$28)</f>
        <v>#DIV/0!</v>
      </c>
      <c r="BE49" s="280" t="s">
        <v>96</v>
      </c>
      <c r="BF49" s="281" t="e">
        <f>BF45/(BF43*EFFICIENCY!$I$28)</f>
        <v>#DIV/0!</v>
      </c>
      <c r="BH49" s="300"/>
      <c r="BI49" s="321"/>
      <c r="BJ49" s="320"/>
      <c r="BK49" s="280" t="s">
        <v>96</v>
      </c>
      <c r="BL49" s="281" t="e">
        <f>BL45/(BL43*EFFICIENCY!$I$28)</f>
        <v>#DIV/0!</v>
      </c>
      <c r="BM49" s="280" t="s">
        <v>96</v>
      </c>
      <c r="BN49" s="281" t="e">
        <f>BN45/(BN43*EFFICIENCY!$I$28)</f>
        <v>#DIV/0!</v>
      </c>
      <c r="BO49" s="280" t="s">
        <v>96</v>
      </c>
      <c r="BP49" s="281" t="e">
        <f>BP45/(BP43*EFFICIENCY!$I$28)</f>
        <v>#DIV/0!</v>
      </c>
    </row>
    <row r="50" spans="10:68" ht="19.5" customHeight="1" thickBot="1">
      <c r="K50" s="686" t="s">
        <v>156</v>
      </c>
      <c r="L50" s="687"/>
      <c r="M50" s="284" t="s">
        <v>94</v>
      </c>
      <c r="N50" s="285" t="e">
        <f>N45/((N43*EFFICIENCY!$K$28))</f>
        <v>#DIV/0!</v>
      </c>
      <c r="O50" s="288" t="s">
        <v>94</v>
      </c>
      <c r="P50" s="285" t="e">
        <f>P45/((P43*EFFICIENCY!$K$28))</f>
        <v>#DIV/0!</v>
      </c>
      <c r="Q50" s="284" t="s">
        <v>94</v>
      </c>
      <c r="R50" s="285" t="e">
        <f>R45/((R43*EFFICIENCY!$K$28))</f>
        <v>#DIV/0!</v>
      </c>
      <c r="S50" s="297"/>
      <c r="T50" s="300"/>
      <c r="U50" s="686" t="s">
        <v>156</v>
      </c>
      <c r="V50" s="687"/>
      <c r="W50" s="284" t="s">
        <v>94</v>
      </c>
      <c r="X50" s="285" t="e">
        <f>X45/((X43*EFFICIENCY!$K$28))</f>
        <v>#DIV/0!</v>
      </c>
      <c r="Y50" s="288" t="s">
        <v>94</v>
      </c>
      <c r="Z50" s="285" t="e">
        <f>Z45/((Z43*EFFICIENCY!$K$28))</f>
        <v>#DIV/0!</v>
      </c>
      <c r="AA50" s="284" t="s">
        <v>94</v>
      </c>
      <c r="AB50" s="285" t="e">
        <f>AB45/((AB43*EFFICIENCY!$K$28))</f>
        <v>#DIV/0!</v>
      </c>
      <c r="AD50" s="300"/>
      <c r="AE50" s="686" t="s">
        <v>156</v>
      </c>
      <c r="AF50" s="687"/>
      <c r="AG50" s="284" t="s">
        <v>94</v>
      </c>
      <c r="AH50" s="285" t="e">
        <f>AH45/((AH43*EFFICIENCY!$K$28))</f>
        <v>#DIV/0!</v>
      </c>
      <c r="AI50" s="288" t="s">
        <v>94</v>
      </c>
      <c r="AJ50" s="285" t="e">
        <f>AJ45/((AJ43*EFFICIENCY!$K$28))</f>
        <v>#DIV/0!</v>
      </c>
      <c r="AK50" s="284" t="s">
        <v>94</v>
      </c>
      <c r="AL50" s="285" t="e">
        <f>AL45/((AL43*EFFICIENCY!$K$28))</f>
        <v>#DIV/0!</v>
      </c>
      <c r="AN50" s="300"/>
      <c r="AO50" s="686" t="s">
        <v>156</v>
      </c>
      <c r="AP50" s="687"/>
      <c r="AQ50" s="284" t="s">
        <v>94</v>
      </c>
      <c r="AR50" s="285" t="e">
        <f>AR45/((AR43*EFFICIENCY!$K$28))</f>
        <v>#DIV/0!</v>
      </c>
      <c r="AS50" s="288" t="s">
        <v>94</v>
      </c>
      <c r="AT50" s="285" t="e">
        <f>AT45/((AT43*EFFICIENCY!$K$28))</f>
        <v>#DIV/0!</v>
      </c>
      <c r="AU50" s="284" t="s">
        <v>94</v>
      </c>
      <c r="AV50" s="285" t="e">
        <f>AV45/((AV43*EFFICIENCY!$K$28))</f>
        <v>#DIV/0!</v>
      </c>
      <c r="AX50" s="300"/>
      <c r="AY50" s="686" t="s">
        <v>156</v>
      </c>
      <c r="AZ50" s="687"/>
      <c r="BA50" s="284" t="s">
        <v>94</v>
      </c>
      <c r="BB50" s="285" t="e">
        <f>BB45/((BB43*EFFICIENCY!$K$28))</f>
        <v>#DIV/0!</v>
      </c>
      <c r="BC50" s="288" t="s">
        <v>94</v>
      </c>
      <c r="BD50" s="285" t="e">
        <f>BD45/((BD43*EFFICIENCY!$K$28))</f>
        <v>#DIV/0!</v>
      </c>
      <c r="BE50" s="284" t="s">
        <v>94</v>
      </c>
      <c r="BF50" s="285" t="e">
        <f>BF45/((BF43*EFFICIENCY!$K$28))</f>
        <v>#DIV/0!</v>
      </c>
      <c r="BH50" s="300"/>
      <c r="BI50" s="686" t="s">
        <v>156</v>
      </c>
      <c r="BJ50" s="687"/>
      <c r="BK50" s="284" t="s">
        <v>94</v>
      </c>
      <c r="BL50" s="285" t="e">
        <f>BL45/((BL43*EFFICIENCY!$K$28))</f>
        <v>#DIV/0!</v>
      </c>
      <c r="BM50" s="288" t="s">
        <v>94</v>
      </c>
      <c r="BN50" s="285" t="e">
        <f>BN45/((BN43*EFFICIENCY!$K$28))</f>
        <v>#DIV/0!</v>
      </c>
      <c r="BO50" s="284" t="s">
        <v>94</v>
      </c>
      <c r="BP50" s="285" t="e">
        <f>BP45/((BP43*EFFICIENCY!$K$28))</f>
        <v>#DIV/0!</v>
      </c>
    </row>
    <row r="51" spans="10:68" ht="16.5" thickBot="1">
      <c r="K51" s="391"/>
      <c r="L51" s="392" t="e">
        <f>R45/R43</f>
        <v>#DIV/0!</v>
      </c>
      <c r="M51" s="649" t="s">
        <v>153</v>
      </c>
      <c r="N51" s="650"/>
      <c r="O51" s="290"/>
      <c r="P51" s="420"/>
      <c r="Q51" s="420" t="s">
        <v>154</v>
      </c>
      <c r="R51" s="336">
        <f>O51-R45</f>
        <v>0</v>
      </c>
      <c r="S51" s="298"/>
      <c r="T51" s="300"/>
      <c r="U51" s="391"/>
      <c r="V51" s="392" t="e">
        <f>AB45/AB43</f>
        <v>#DIV/0!</v>
      </c>
      <c r="W51" s="649" t="s">
        <v>153</v>
      </c>
      <c r="X51" s="650"/>
      <c r="Y51" s="290"/>
      <c r="Z51" s="420"/>
      <c r="AA51" s="420" t="s">
        <v>154</v>
      </c>
      <c r="AB51" s="336">
        <f>Y51-AB45</f>
        <v>0</v>
      </c>
      <c r="AD51" s="300"/>
      <c r="AE51" s="391"/>
      <c r="AF51" s="392" t="e">
        <f>AL45/AL43</f>
        <v>#DIV/0!</v>
      </c>
      <c r="AG51" s="649" t="s">
        <v>153</v>
      </c>
      <c r="AH51" s="650"/>
      <c r="AI51" s="290"/>
      <c r="AJ51" s="420"/>
      <c r="AK51" s="420" t="s">
        <v>154</v>
      </c>
      <c r="AL51" s="336">
        <f>AI51-AL45</f>
        <v>0</v>
      </c>
      <c r="AN51" s="300"/>
      <c r="AO51" s="391"/>
      <c r="AP51" s="392" t="e">
        <f>AV45/AV43</f>
        <v>#DIV/0!</v>
      </c>
      <c r="AQ51" s="649" t="s">
        <v>153</v>
      </c>
      <c r="AR51" s="650"/>
      <c r="AS51" s="290"/>
      <c r="AT51" s="420"/>
      <c r="AU51" s="420" t="s">
        <v>154</v>
      </c>
      <c r="AV51" s="336">
        <f>AS51-AV45</f>
        <v>0</v>
      </c>
      <c r="AX51" s="300"/>
      <c r="AY51" s="391"/>
      <c r="AZ51" s="392" t="e">
        <f>BF45/BF43</f>
        <v>#DIV/0!</v>
      </c>
      <c r="BA51" s="649" t="s">
        <v>153</v>
      </c>
      <c r="BB51" s="650"/>
      <c r="BC51" s="290"/>
      <c r="BD51" s="420"/>
      <c r="BE51" s="420" t="s">
        <v>154</v>
      </c>
      <c r="BF51" s="336">
        <f>BC51-BF45</f>
        <v>0</v>
      </c>
      <c r="BH51" s="300"/>
      <c r="BI51" s="391"/>
      <c r="BJ51" s="392" t="e">
        <f>BP45/BP43</f>
        <v>#DIV/0!</v>
      </c>
      <c r="BK51" s="649" t="s">
        <v>153</v>
      </c>
      <c r="BL51" s="650"/>
      <c r="BM51" s="290"/>
      <c r="BN51" s="420"/>
      <c r="BO51" s="420" t="s">
        <v>154</v>
      </c>
      <c r="BP51" s="336">
        <f>BM51-BP45</f>
        <v>0</v>
      </c>
    </row>
    <row r="52" spans="10:68">
      <c r="T52" s="300"/>
      <c r="AD52" s="300"/>
      <c r="AN52" s="300"/>
      <c r="AX52" s="300"/>
      <c r="BH52" s="300"/>
    </row>
    <row r="53" spans="10:68" ht="13.5" thickBot="1">
      <c r="J53" s="291"/>
      <c r="K53" s="291"/>
      <c r="L53" s="291"/>
      <c r="M53" s="291"/>
      <c r="N53" s="291"/>
      <c r="O53" s="291"/>
      <c r="P53" s="291"/>
      <c r="Q53" s="291"/>
      <c r="R53" s="291"/>
      <c r="S53" s="299"/>
      <c r="T53" s="301"/>
      <c r="U53" s="291"/>
      <c r="V53" s="291"/>
      <c r="W53" s="291"/>
      <c r="X53" s="291"/>
      <c r="Y53" s="291"/>
      <c r="Z53" s="291"/>
      <c r="AA53" s="291"/>
      <c r="AB53" s="291"/>
      <c r="AC53" s="291"/>
      <c r="AD53" s="301"/>
      <c r="AE53" s="291"/>
      <c r="AF53" s="291"/>
      <c r="AG53" s="291"/>
      <c r="AH53" s="291"/>
      <c r="AI53" s="291"/>
      <c r="AJ53" s="291"/>
      <c r="AK53" s="291"/>
      <c r="AL53" s="291"/>
      <c r="AM53" s="291"/>
      <c r="AN53" s="301"/>
      <c r="AO53" s="291"/>
      <c r="AP53" s="291"/>
      <c r="AQ53" s="291"/>
      <c r="AR53" s="291"/>
      <c r="AS53" s="291"/>
      <c r="AT53" s="291"/>
      <c r="AU53" s="291"/>
      <c r="AV53" s="291"/>
      <c r="AW53" s="291"/>
      <c r="AX53" s="301"/>
      <c r="AY53" s="291"/>
      <c r="AZ53" s="291"/>
      <c r="BA53" s="291"/>
      <c r="BB53" s="291"/>
      <c r="BC53" s="291"/>
      <c r="BD53" s="291"/>
      <c r="BE53" s="291"/>
      <c r="BF53" s="291"/>
      <c r="BG53" s="291"/>
      <c r="BH53" s="301"/>
      <c r="BI53" s="291"/>
      <c r="BJ53" s="291"/>
      <c r="BK53" s="291"/>
      <c r="BL53" s="291"/>
      <c r="BM53" s="291"/>
      <c r="BN53" s="291"/>
      <c r="BO53" s="291"/>
      <c r="BP53" s="291"/>
    </row>
    <row r="54" spans="10:68" ht="15.75" thickBot="1">
      <c r="J54" s="154"/>
      <c r="K54" s="409" t="s">
        <v>7</v>
      </c>
      <c r="L54" s="536">
        <f>B30</f>
        <v>42639</v>
      </c>
      <c r="M54" s="651" t="s">
        <v>100</v>
      </c>
      <c r="N54" s="652"/>
      <c r="O54" s="653" t="s">
        <v>99</v>
      </c>
      <c r="P54" s="654"/>
      <c r="Q54" s="655" t="s">
        <v>16</v>
      </c>
      <c r="R54" s="656"/>
      <c r="S54" s="293"/>
      <c r="T54" s="300"/>
      <c r="U54" s="409" t="s">
        <v>7</v>
      </c>
      <c r="V54" s="536">
        <f>B31</f>
        <v>42640</v>
      </c>
      <c r="W54" s="651" t="s">
        <v>100</v>
      </c>
      <c r="X54" s="652"/>
      <c r="Y54" s="653" t="s">
        <v>99</v>
      </c>
      <c r="Z54" s="654"/>
      <c r="AA54" s="655" t="s">
        <v>16</v>
      </c>
      <c r="AB54" s="656"/>
      <c r="AC54" s="154"/>
      <c r="AD54" s="300"/>
      <c r="AE54" s="409" t="s">
        <v>7</v>
      </c>
      <c r="AF54" s="536">
        <f>B32</f>
        <v>42641</v>
      </c>
      <c r="AG54" s="651" t="s">
        <v>100</v>
      </c>
      <c r="AH54" s="652"/>
      <c r="AI54" s="653" t="s">
        <v>99</v>
      </c>
      <c r="AJ54" s="654"/>
      <c r="AK54" s="655" t="s">
        <v>16</v>
      </c>
      <c r="AL54" s="656"/>
      <c r="AM54" s="154"/>
      <c r="AN54" s="300"/>
      <c r="AO54" s="409" t="s">
        <v>7</v>
      </c>
      <c r="AP54" s="536">
        <f>B33</f>
        <v>42642</v>
      </c>
      <c r="AQ54" s="651" t="s">
        <v>100</v>
      </c>
      <c r="AR54" s="652"/>
      <c r="AS54" s="653" t="s">
        <v>99</v>
      </c>
      <c r="AT54" s="654"/>
      <c r="AU54" s="655" t="s">
        <v>16</v>
      </c>
      <c r="AV54" s="656"/>
      <c r="AW54" s="154"/>
      <c r="AX54" s="300"/>
      <c r="AY54" s="409" t="s">
        <v>7</v>
      </c>
      <c r="AZ54" s="536">
        <f>B34</f>
        <v>42643</v>
      </c>
      <c r="BA54" s="651" t="s">
        <v>100</v>
      </c>
      <c r="BB54" s="652"/>
      <c r="BC54" s="653" t="s">
        <v>99</v>
      </c>
      <c r="BD54" s="654"/>
      <c r="BE54" s="655" t="s">
        <v>16</v>
      </c>
      <c r="BF54" s="656"/>
      <c r="BG54" s="154"/>
      <c r="BH54" s="300"/>
      <c r="BI54" s="409" t="s">
        <v>7</v>
      </c>
      <c r="BJ54" s="536">
        <f>B35</f>
        <v>42644</v>
      </c>
      <c r="BK54" s="651" t="s">
        <v>100</v>
      </c>
      <c r="BL54" s="652"/>
      <c r="BM54" s="653" t="s">
        <v>99</v>
      </c>
      <c r="BN54" s="654"/>
      <c r="BO54" s="655" t="s">
        <v>16</v>
      </c>
      <c r="BP54" s="656"/>
    </row>
    <row r="55" spans="10:68" ht="13.5" thickBot="1">
      <c r="J55" s="154"/>
      <c r="K55" s="394"/>
      <c r="L55" s="393"/>
      <c r="M55" s="394"/>
      <c r="N55" s="395"/>
      <c r="O55" s="394"/>
      <c r="P55" s="395"/>
      <c r="Q55" s="393"/>
      <c r="R55" s="395"/>
      <c r="S55" s="156"/>
      <c r="T55" s="300"/>
      <c r="U55" s="394"/>
      <c r="V55" s="393"/>
      <c r="W55" s="394"/>
      <c r="X55" s="395"/>
      <c r="Y55" s="394"/>
      <c r="Z55" s="395"/>
      <c r="AA55" s="393"/>
      <c r="AB55" s="395"/>
      <c r="AC55" s="154"/>
      <c r="AD55" s="300"/>
      <c r="AE55" s="394"/>
      <c r="AF55" s="393"/>
      <c r="AG55" s="394"/>
      <c r="AH55" s="395"/>
      <c r="AI55" s="394"/>
      <c r="AJ55" s="395"/>
      <c r="AK55" s="393"/>
      <c r="AL55" s="395"/>
      <c r="AM55" s="154"/>
      <c r="AN55" s="300"/>
      <c r="AO55" s="394"/>
      <c r="AP55" s="393"/>
      <c r="AQ55" s="394"/>
      <c r="AR55" s="395"/>
      <c r="AS55" s="394"/>
      <c r="AT55" s="395"/>
      <c r="AU55" s="393"/>
      <c r="AV55" s="395"/>
      <c r="AW55" s="154"/>
      <c r="AX55" s="300"/>
      <c r="AY55" s="394"/>
      <c r="AZ55" s="393"/>
      <c r="BA55" s="394"/>
      <c r="BB55" s="395"/>
      <c r="BC55" s="394"/>
      <c r="BD55" s="395"/>
      <c r="BE55" s="393"/>
      <c r="BF55" s="395"/>
      <c r="BG55" s="154"/>
      <c r="BH55" s="300"/>
      <c r="BI55" s="394"/>
      <c r="BJ55" s="393"/>
      <c r="BK55" s="394"/>
      <c r="BL55" s="395"/>
      <c r="BM55" s="394"/>
      <c r="BN55" s="395"/>
      <c r="BO55" s="393"/>
      <c r="BP55" s="395"/>
    </row>
    <row r="56" spans="10:68" ht="16.5" thickBot="1">
      <c r="J56" s="154"/>
      <c r="K56" s="394"/>
      <c r="L56" s="417" t="s">
        <v>155</v>
      </c>
      <c r="M56" s="397" t="s">
        <v>103</v>
      </c>
      <c r="N56" s="279"/>
      <c r="O56" s="397" t="s">
        <v>103</v>
      </c>
      <c r="P56" s="279"/>
      <c r="Q56" s="398" t="s">
        <v>103</v>
      </c>
      <c r="R56" s="399">
        <f>SUM(N56,P56)</f>
        <v>0</v>
      </c>
      <c r="S56" s="294"/>
      <c r="T56" s="300"/>
      <c r="U56" s="394"/>
      <c r="V56" s="417" t="s">
        <v>155</v>
      </c>
      <c r="W56" s="397" t="s">
        <v>103</v>
      </c>
      <c r="X56" s="279"/>
      <c r="Y56" s="397" t="s">
        <v>103</v>
      </c>
      <c r="Z56" s="279"/>
      <c r="AA56" s="398" t="s">
        <v>103</v>
      </c>
      <c r="AB56" s="399">
        <f>SUM(X56,Z56)</f>
        <v>0</v>
      </c>
      <c r="AC56" s="154"/>
      <c r="AD56" s="300"/>
      <c r="AE56" s="394"/>
      <c r="AF56" s="417" t="s">
        <v>155</v>
      </c>
      <c r="AG56" s="397" t="s">
        <v>103</v>
      </c>
      <c r="AH56" s="279"/>
      <c r="AI56" s="397" t="s">
        <v>103</v>
      </c>
      <c r="AJ56" s="279"/>
      <c r="AK56" s="398" t="s">
        <v>103</v>
      </c>
      <c r="AL56" s="399">
        <f>SUM(AH56,AJ56)</f>
        <v>0</v>
      </c>
      <c r="AM56" s="154"/>
      <c r="AN56" s="300"/>
      <c r="AO56" s="394"/>
      <c r="AP56" s="417" t="s">
        <v>155</v>
      </c>
      <c r="AQ56" s="397" t="s">
        <v>103</v>
      </c>
      <c r="AR56" s="279"/>
      <c r="AS56" s="397" t="s">
        <v>103</v>
      </c>
      <c r="AT56" s="279"/>
      <c r="AU56" s="398" t="s">
        <v>103</v>
      </c>
      <c r="AV56" s="399">
        <f>SUM(AR56,AT56)</f>
        <v>0</v>
      </c>
      <c r="AW56" s="154"/>
      <c r="AX56" s="300"/>
      <c r="AY56" s="394"/>
      <c r="AZ56" s="417" t="s">
        <v>155</v>
      </c>
      <c r="BA56" s="397" t="s">
        <v>103</v>
      </c>
      <c r="BB56" s="279"/>
      <c r="BC56" s="397" t="s">
        <v>103</v>
      </c>
      <c r="BD56" s="279"/>
      <c r="BE56" s="398" t="s">
        <v>103</v>
      </c>
      <c r="BF56" s="399">
        <f>SUM(BB56,BD56)</f>
        <v>0</v>
      </c>
      <c r="BG56" s="154"/>
      <c r="BH56" s="300"/>
      <c r="BI56" s="394"/>
      <c r="BJ56" s="417" t="s">
        <v>155</v>
      </c>
      <c r="BK56" s="397" t="s">
        <v>103</v>
      </c>
      <c r="BL56" s="279"/>
      <c r="BM56" s="397" t="s">
        <v>103</v>
      </c>
      <c r="BN56" s="279"/>
      <c r="BO56" s="398" t="s">
        <v>103</v>
      </c>
      <c r="BP56" s="399">
        <f>SUM(BL56,BN56)</f>
        <v>0</v>
      </c>
    </row>
    <row r="57" spans="10:68" ht="18.75" thickBot="1">
      <c r="K57" s="394"/>
      <c r="L57" s="289">
        <v>8</v>
      </c>
      <c r="M57" s="400" t="s">
        <v>5</v>
      </c>
      <c r="N57" s="401">
        <f>VLOOKUP(L54, $B$3:$E$109, 4, FALSE)</f>
        <v>0</v>
      </c>
      <c r="O57" s="400" t="s">
        <v>5</v>
      </c>
      <c r="P57" s="402">
        <f>VLOOKUP(L54, $B$3:$F$109, 5, FALSE)</f>
        <v>0</v>
      </c>
      <c r="Q57" s="403" t="s">
        <v>5</v>
      </c>
      <c r="R57" s="399">
        <f>SUM(N57,P57)</f>
        <v>0</v>
      </c>
      <c r="S57" s="294"/>
      <c r="T57" s="300"/>
      <c r="U57" s="394"/>
      <c r="V57" s="289">
        <v>8</v>
      </c>
      <c r="W57" s="400" t="s">
        <v>5</v>
      </c>
      <c r="X57" s="401">
        <f>VLOOKUP(V54, $B$3:$E$109, 4, FALSE)</f>
        <v>0</v>
      </c>
      <c r="Y57" s="400" t="s">
        <v>5</v>
      </c>
      <c r="Z57" s="402">
        <f>VLOOKUP(V54, $B$3:$F$109, 5, FALSE)</f>
        <v>0</v>
      </c>
      <c r="AA57" s="403" t="s">
        <v>5</v>
      </c>
      <c r="AB57" s="399">
        <f>SUM(X57,Z57)</f>
        <v>0</v>
      </c>
      <c r="AD57" s="300"/>
      <c r="AE57" s="394"/>
      <c r="AF57" s="289">
        <v>8</v>
      </c>
      <c r="AG57" s="400" t="s">
        <v>5</v>
      </c>
      <c r="AH57" s="401">
        <f>VLOOKUP(AF54, $B$3:$E$109, 4, FALSE)</f>
        <v>0</v>
      </c>
      <c r="AI57" s="400" t="s">
        <v>5</v>
      </c>
      <c r="AJ57" s="402">
        <f>VLOOKUP(AF54, $B$3:$F$109, 5, FALSE)</f>
        <v>0</v>
      </c>
      <c r="AK57" s="403" t="s">
        <v>5</v>
      </c>
      <c r="AL57" s="399">
        <f>SUM(AH57,AJ57)</f>
        <v>0</v>
      </c>
      <c r="AN57" s="300"/>
      <c r="AO57" s="394"/>
      <c r="AP57" s="289">
        <v>8</v>
      </c>
      <c r="AQ57" s="400" t="s">
        <v>5</v>
      </c>
      <c r="AR57" s="401">
        <f>VLOOKUP(AP54, $B$3:$E$109, 4, FALSE)</f>
        <v>0</v>
      </c>
      <c r="AS57" s="400" t="s">
        <v>5</v>
      </c>
      <c r="AT57" s="402">
        <f>VLOOKUP(AP54, $B$3:$F$109, 5, FALSE)</f>
        <v>0</v>
      </c>
      <c r="AU57" s="403" t="s">
        <v>5</v>
      </c>
      <c r="AV57" s="399">
        <f>SUM(AR57,AT57)</f>
        <v>0</v>
      </c>
      <c r="AX57" s="300"/>
      <c r="AY57" s="394"/>
      <c r="AZ57" s="289">
        <v>8</v>
      </c>
      <c r="BA57" s="400" t="s">
        <v>5</v>
      </c>
      <c r="BB57" s="401">
        <f>VLOOKUP(AZ54, $B$3:$E$109, 4, FALSE)</f>
        <v>0</v>
      </c>
      <c r="BC57" s="400" t="s">
        <v>5</v>
      </c>
      <c r="BD57" s="402">
        <f>VLOOKUP(AZ54, $B$3:$F$109, 5, FALSE)</f>
        <v>0</v>
      </c>
      <c r="BE57" s="403" t="s">
        <v>5</v>
      </c>
      <c r="BF57" s="399">
        <f>SUM(BB57,BD57)</f>
        <v>0</v>
      </c>
      <c r="BH57" s="300"/>
      <c r="BI57" s="394"/>
      <c r="BJ57" s="289">
        <v>8</v>
      </c>
      <c r="BK57" s="400" t="s">
        <v>5</v>
      </c>
      <c r="BL57" s="401">
        <f>VLOOKUP(BJ54, $B$3:$E$109, 4, FALSE)</f>
        <v>0</v>
      </c>
      <c r="BM57" s="400" t="s">
        <v>5</v>
      </c>
      <c r="BN57" s="402">
        <f>VLOOKUP(BJ54, $B$3:$F$109, 5, FALSE)</f>
        <v>0</v>
      </c>
      <c r="BO57" s="403" t="s">
        <v>5</v>
      </c>
      <c r="BP57" s="399">
        <f>SUM(BL57,BN57)</f>
        <v>0</v>
      </c>
    </row>
    <row r="58" spans="10:68" ht="15.75" customHeight="1">
      <c r="K58" s="394"/>
      <c r="L58" s="393"/>
      <c r="M58" s="657" t="s">
        <v>105</v>
      </c>
      <c r="N58" s="401">
        <f>VLOOKUP(L54, $B$3:$E$109, 2, FALSE)</f>
        <v>0</v>
      </c>
      <c r="O58" s="657" t="s">
        <v>105</v>
      </c>
      <c r="P58" s="402">
        <f>VLOOKUP(L54, $B$3:$E$109, 3, FALSE)</f>
        <v>0</v>
      </c>
      <c r="Q58" s="658" t="s">
        <v>105</v>
      </c>
      <c r="R58" s="399">
        <f>SUM(N58,P58)</f>
        <v>0</v>
      </c>
      <c r="S58" s="294"/>
      <c r="T58" s="300"/>
      <c r="U58" s="394"/>
      <c r="V58" s="393"/>
      <c r="W58" s="657" t="s">
        <v>105</v>
      </c>
      <c r="X58" s="401">
        <f>VLOOKUP(V54, $B$3:$E$109, 2, FALSE)</f>
        <v>0</v>
      </c>
      <c r="Y58" s="657" t="s">
        <v>105</v>
      </c>
      <c r="Z58" s="402">
        <f>VLOOKUP(V54, $B$3:$E$109, 3, FALSE)</f>
        <v>0</v>
      </c>
      <c r="AA58" s="658" t="s">
        <v>105</v>
      </c>
      <c r="AB58" s="399">
        <f>SUM(X58,Z58)</f>
        <v>0</v>
      </c>
      <c r="AD58" s="300"/>
      <c r="AE58" s="394"/>
      <c r="AF58" s="393"/>
      <c r="AG58" s="657" t="s">
        <v>105</v>
      </c>
      <c r="AH58" s="401">
        <f>VLOOKUP(AF54, $B$3:$E$109, 2, FALSE)</f>
        <v>0</v>
      </c>
      <c r="AI58" s="657" t="s">
        <v>105</v>
      </c>
      <c r="AJ58" s="402">
        <f>VLOOKUP(AF54, $B$3:$E$109, 3, FALSE)</f>
        <v>0</v>
      </c>
      <c r="AK58" s="658" t="s">
        <v>105</v>
      </c>
      <c r="AL58" s="399">
        <f>SUM(AH58,AJ58)</f>
        <v>0</v>
      </c>
      <c r="AN58" s="300"/>
      <c r="AO58" s="394"/>
      <c r="AP58" s="393"/>
      <c r="AQ58" s="657" t="s">
        <v>105</v>
      </c>
      <c r="AR58" s="401">
        <f>VLOOKUP(AP54, $B$3:$E$109, 2, FALSE)</f>
        <v>0</v>
      </c>
      <c r="AS58" s="657" t="s">
        <v>105</v>
      </c>
      <c r="AT58" s="402">
        <f>VLOOKUP(AP54, $B$3:$E$109, 3, FALSE)</f>
        <v>0</v>
      </c>
      <c r="AU58" s="658" t="s">
        <v>105</v>
      </c>
      <c r="AV58" s="399">
        <f>SUM(AR58,AT58)</f>
        <v>0</v>
      </c>
      <c r="AX58" s="300"/>
      <c r="AY58" s="394"/>
      <c r="AZ58" s="393"/>
      <c r="BA58" s="657" t="s">
        <v>105</v>
      </c>
      <c r="BB58" s="401">
        <f>VLOOKUP(AZ54, $B$3:$E$109, 2, FALSE)</f>
        <v>0</v>
      </c>
      <c r="BC58" s="657" t="s">
        <v>105</v>
      </c>
      <c r="BD58" s="402">
        <f>VLOOKUP(AZ54, $B$3:$E$109, 3, FALSE)</f>
        <v>0</v>
      </c>
      <c r="BE58" s="658" t="s">
        <v>105</v>
      </c>
      <c r="BF58" s="399">
        <f>SUM(BB58,BD58)</f>
        <v>0</v>
      </c>
      <c r="BH58" s="300"/>
      <c r="BI58" s="394"/>
      <c r="BJ58" s="393"/>
      <c r="BK58" s="657" t="s">
        <v>105</v>
      </c>
      <c r="BL58" s="401">
        <f>VLOOKUP(BJ54, $B$3:$E$109, 2, FALSE)</f>
        <v>0</v>
      </c>
      <c r="BM58" s="657" t="s">
        <v>105</v>
      </c>
      <c r="BN58" s="402">
        <f>VLOOKUP(BJ54, $B$3:$E$109, 3, FALSE)</f>
        <v>0</v>
      </c>
      <c r="BO58" s="658" t="s">
        <v>105</v>
      </c>
      <c r="BP58" s="399">
        <f>SUM(BL58,BN58)</f>
        <v>0</v>
      </c>
    </row>
    <row r="59" spans="10:68" ht="12.75" customHeight="1">
      <c r="K59" s="688" t="s">
        <v>157</v>
      </c>
      <c r="L59" s="689"/>
      <c r="M59" s="658"/>
      <c r="N59" s="395"/>
      <c r="O59" s="657"/>
      <c r="P59" s="395"/>
      <c r="Q59" s="658"/>
      <c r="R59" s="395"/>
      <c r="S59" s="156"/>
      <c r="T59" s="300"/>
      <c r="U59" s="688" t="s">
        <v>157</v>
      </c>
      <c r="V59" s="689"/>
      <c r="W59" s="658"/>
      <c r="X59" s="395"/>
      <c r="Y59" s="657"/>
      <c r="Z59" s="395"/>
      <c r="AA59" s="658"/>
      <c r="AB59" s="395"/>
      <c r="AD59" s="300"/>
      <c r="AE59" s="688" t="s">
        <v>157</v>
      </c>
      <c r="AF59" s="689"/>
      <c r="AG59" s="658"/>
      <c r="AH59" s="395"/>
      <c r="AI59" s="657"/>
      <c r="AJ59" s="395"/>
      <c r="AK59" s="658"/>
      <c r="AL59" s="395"/>
      <c r="AN59" s="300"/>
      <c r="AO59" s="688" t="s">
        <v>157</v>
      </c>
      <c r="AP59" s="689"/>
      <c r="AQ59" s="658"/>
      <c r="AR59" s="395"/>
      <c r="AS59" s="657"/>
      <c r="AT59" s="395"/>
      <c r="AU59" s="658"/>
      <c r="AV59" s="395"/>
      <c r="AX59" s="300"/>
      <c r="AY59" s="688" t="s">
        <v>157</v>
      </c>
      <c r="AZ59" s="689"/>
      <c r="BA59" s="658"/>
      <c r="BB59" s="395"/>
      <c r="BC59" s="657"/>
      <c r="BD59" s="395"/>
      <c r="BE59" s="658"/>
      <c r="BF59" s="395"/>
      <c r="BH59" s="300"/>
      <c r="BI59" s="688" t="s">
        <v>157</v>
      </c>
      <c r="BJ59" s="689"/>
      <c r="BK59" s="658"/>
      <c r="BL59" s="395"/>
      <c r="BM59" s="657"/>
      <c r="BN59" s="395"/>
      <c r="BO59" s="658"/>
      <c r="BP59" s="395"/>
    </row>
    <row r="60" spans="10:68" ht="15.75">
      <c r="K60" s="411"/>
      <c r="L60" s="404">
        <f>R56*13</f>
        <v>0</v>
      </c>
      <c r="M60" s="418"/>
      <c r="N60" s="395"/>
      <c r="O60" s="406"/>
      <c r="P60" s="395"/>
      <c r="Q60" s="419"/>
      <c r="R60" s="395"/>
      <c r="S60" s="156"/>
      <c r="T60" s="300"/>
      <c r="U60" s="411"/>
      <c r="V60" s="404">
        <f>AB56*13</f>
        <v>0</v>
      </c>
      <c r="W60" s="418"/>
      <c r="X60" s="395"/>
      <c r="Y60" s="406"/>
      <c r="Z60" s="395"/>
      <c r="AA60" s="419"/>
      <c r="AB60" s="395"/>
      <c r="AD60" s="300"/>
      <c r="AE60" s="411"/>
      <c r="AF60" s="404">
        <f>AL56*13</f>
        <v>0</v>
      </c>
      <c r="AG60" s="418"/>
      <c r="AH60" s="395"/>
      <c r="AI60" s="406"/>
      <c r="AJ60" s="395"/>
      <c r="AK60" s="419"/>
      <c r="AL60" s="395"/>
      <c r="AN60" s="300"/>
      <c r="AO60" s="411"/>
      <c r="AP60" s="404">
        <f>AV56*13</f>
        <v>0</v>
      </c>
      <c r="AQ60" s="418"/>
      <c r="AR60" s="395"/>
      <c r="AS60" s="406"/>
      <c r="AT60" s="395"/>
      <c r="AU60" s="419"/>
      <c r="AV60" s="395"/>
      <c r="AX60" s="300"/>
      <c r="AY60" s="411"/>
      <c r="AZ60" s="404">
        <f>BF56*13</f>
        <v>0</v>
      </c>
      <c r="BA60" s="418"/>
      <c r="BB60" s="395"/>
      <c r="BC60" s="406"/>
      <c r="BD60" s="395"/>
      <c r="BE60" s="419"/>
      <c r="BF60" s="395"/>
      <c r="BH60" s="300"/>
      <c r="BI60" s="411"/>
      <c r="BJ60" s="404">
        <f>BP56*13</f>
        <v>0</v>
      </c>
      <c r="BK60" s="418"/>
      <c r="BL60" s="395"/>
      <c r="BM60" s="406"/>
      <c r="BN60" s="395"/>
      <c r="BO60" s="419"/>
      <c r="BP60" s="395"/>
    </row>
    <row r="61" spans="10:68" ht="18.75">
      <c r="K61" s="394"/>
      <c r="L61" s="412"/>
      <c r="M61" s="286" t="s">
        <v>97</v>
      </c>
      <c r="N61" s="287" t="e">
        <f>N58/((N56*EFFICIENCY!$H$28))</f>
        <v>#DIV/0!</v>
      </c>
      <c r="O61" s="286" t="s">
        <v>97</v>
      </c>
      <c r="P61" s="287" t="e">
        <f>P58/(P56*EFFICIENCY!$H$28)</f>
        <v>#DIV/0!</v>
      </c>
      <c r="Q61" s="286" t="s">
        <v>97</v>
      </c>
      <c r="R61" s="287" t="e">
        <f>R58/(R56*EFFICIENCY!$H$28)</f>
        <v>#DIV/0!</v>
      </c>
      <c r="S61" s="295"/>
      <c r="T61" s="300"/>
      <c r="U61" s="394"/>
      <c r="V61" s="412"/>
      <c r="W61" s="286" t="s">
        <v>97</v>
      </c>
      <c r="X61" s="287" t="e">
        <f>X58/((X56*EFFICIENCY!$H$28))</f>
        <v>#DIV/0!</v>
      </c>
      <c r="Y61" s="286" t="s">
        <v>97</v>
      </c>
      <c r="Z61" s="287" t="e">
        <f>Z58/(Z56*EFFICIENCY!$H$28)</f>
        <v>#DIV/0!</v>
      </c>
      <c r="AA61" s="286" t="s">
        <v>97</v>
      </c>
      <c r="AB61" s="287" t="e">
        <f>AB58/(AB56*EFFICIENCY!$H$28)</f>
        <v>#DIV/0!</v>
      </c>
      <c r="AD61" s="300"/>
      <c r="AE61" s="394"/>
      <c r="AF61" s="412"/>
      <c r="AG61" s="286" t="s">
        <v>97</v>
      </c>
      <c r="AH61" s="287" t="e">
        <f>AH58/((AH56*EFFICIENCY!$H$28))</f>
        <v>#DIV/0!</v>
      </c>
      <c r="AI61" s="286" t="s">
        <v>97</v>
      </c>
      <c r="AJ61" s="287" t="e">
        <f>AJ58/(AJ56*EFFICIENCY!$H$28)</f>
        <v>#DIV/0!</v>
      </c>
      <c r="AK61" s="286" t="s">
        <v>97</v>
      </c>
      <c r="AL61" s="287" t="e">
        <f>AL58/(AL56*EFFICIENCY!$H$28)</f>
        <v>#DIV/0!</v>
      </c>
      <c r="AN61" s="300"/>
      <c r="AO61" s="394"/>
      <c r="AP61" s="412"/>
      <c r="AQ61" s="286" t="s">
        <v>97</v>
      </c>
      <c r="AR61" s="287" t="e">
        <f>AR58/((AR56*EFFICIENCY!$H$28))</f>
        <v>#DIV/0!</v>
      </c>
      <c r="AS61" s="286" t="s">
        <v>97</v>
      </c>
      <c r="AT61" s="287" t="e">
        <f>AT58/(AT56*EFFICIENCY!$H$28)</f>
        <v>#DIV/0!</v>
      </c>
      <c r="AU61" s="286" t="s">
        <v>97</v>
      </c>
      <c r="AV61" s="287" t="e">
        <f>AV58/(AV56*EFFICIENCY!$H$28)</f>
        <v>#DIV/0!</v>
      </c>
      <c r="AX61" s="300"/>
      <c r="AY61" s="394"/>
      <c r="AZ61" s="412"/>
      <c r="BA61" s="286" t="s">
        <v>97</v>
      </c>
      <c r="BB61" s="287" t="e">
        <f>BB58/((BB56*EFFICIENCY!$H$28))</f>
        <v>#DIV/0!</v>
      </c>
      <c r="BC61" s="286" t="s">
        <v>97</v>
      </c>
      <c r="BD61" s="287" t="e">
        <f>BD58/(BD56*EFFICIENCY!$H$28)</f>
        <v>#DIV/0!</v>
      </c>
      <c r="BE61" s="286" t="s">
        <v>97</v>
      </c>
      <c r="BF61" s="287" t="e">
        <f>BF58/(BF56*EFFICIENCY!$H$28)</f>
        <v>#DIV/0!</v>
      </c>
      <c r="BH61" s="300"/>
      <c r="BI61" s="394"/>
      <c r="BJ61" s="412"/>
      <c r="BK61" s="286" t="s">
        <v>97</v>
      </c>
      <c r="BL61" s="287" t="e">
        <f>BL58/((BL56*EFFICIENCY!$H$28))</f>
        <v>#DIV/0!</v>
      </c>
      <c r="BM61" s="286" t="s">
        <v>97</v>
      </c>
      <c r="BN61" s="287" t="e">
        <f>BN58/(BN56*EFFICIENCY!$H$28)</f>
        <v>#DIV/0!</v>
      </c>
      <c r="BO61" s="286" t="s">
        <v>97</v>
      </c>
      <c r="BP61" s="287" t="e">
        <f>BP58/(BP56*EFFICIENCY!$H$28)</f>
        <v>#DIV/0!</v>
      </c>
    </row>
    <row r="62" spans="10:68" ht="18.75">
      <c r="K62" s="394"/>
      <c r="L62" s="393"/>
      <c r="M62" s="280" t="s">
        <v>96</v>
      </c>
      <c r="N62" s="281" t="e">
        <f>N58/(N56*EFFICIENCY!$I$28)</f>
        <v>#DIV/0!</v>
      </c>
      <c r="O62" s="280" t="s">
        <v>96</v>
      </c>
      <c r="P62" s="281" t="e">
        <f>P58/(P56*EFFICIENCY!$I$28)</f>
        <v>#DIV/0!</v>
      </c>
      <c r="Q62" s="280" t="s">
        <v>96</v>
      </c>
      <c r="R62" s="281" t="e">
        <f>R58/(R56*EFFICIENCY!$I$28)</f>
        <v>#DIV/0!</v>
      </c>
      <c r="S62" s="296"/>
      <c r="T62" s="300"/>
      <c r="U62" s="394"/>
      <c r="V62" s="393"/>
      <c r="W62" s="280" t="s">
        <v>96</v>
      </c>
      <c r="X62" s="281" t="e">
        <f>X58/(X56*EFFICIENCY!$I$28)</f>
        <v>#DIV/0!</v>
      </c>
      <c r="Y62" s="280" t="s">
        <v>96</v>
      </c>
      <c r="Z62" s="281" t="e">
        <f>Z58/(Z56*EFFICIENCY!$I$28)</f>
        <v>#DIV/0!</v>
      </c>
      <c r="AA62" s="280" t="s">
        <v>96</v>
      </c>
      <c r="AB62" s="281" t="e">
        <f>AB58/(AB56*EFFICIENCY!$I$28)</f>
        <v>#DIV/0!</v>
      </c>
      <c r="AD62" s="300"/>
      <c r="AE62" s="394"/>
      <c r="AF62" s="393"/>
      <c r="AG62" s="280" t="s">
        <v>96</v>
      </c>
      <c r="AH62" s="281" t="e">
        <f>AH58/(AH56*EFFICIENCY!$I$28)</f>
        <v>#DIV/0!</v>
      </c>
      <c r="AI62" s="280" t="s">
        <v>96</v>
      </c>
      <c r="AJ62" s="281" t="e">
        <f>AJ58/(AJ56*EFFICIENCY!$I$28)</f>
        <v>#DIV/0!</v>
      </c>
      <c r="AK62" s="280" t="s">
        <v>96</v>
      </c>
      <c r="AL62" s="281" t="e">
        <f>AL58/(AL56*EFFICIENCY!$I$28)</f>
        <v>#DIV/0!</v>
      </c>
      <c r="AN62" s="300"/>
      <c r="AO62" s="394"/>
      <c r="AP62" s="393"/>
      <c r="AQ62" s="280" t="s">
        <v>96</v>
      </c>
      <c r="AR62" s="281" t="e">
        <f>AR58/(AR56*EFFICIENCY!$I$28)</f>
        <v>#DIV/0!</v>
      </c>
      <c r="AS62" s="280" t="s">
        <v>96</v>
      </c>
      <c r="AT62" s="281" t="e">
        <f>AT58/(AT56*EFFICIENCY!$I$28)</f>
        <v>#DIV/0!</v>
      </c>
      <c r="AU62" s="280" t="s">
        <v>96</v>
      </c>
      <c r="AV62" s="281" t="e">
        <f>AV58/(AV56*EFFICIENCY!$I$28)</f>
        <v>#DIV/0!</v>
      </c>
      <c r="AX62" s="300"/>
      <c r="AY62" s="394"/>
      <c r="AZ62" s="393"/>
      <c r="BA62" s="280" t="s">
        <v>96</v>
      </c>
      <c r="BB62" s="281" t="e">
        <f>BB58/(BB56*EFFICIENCY!$I$28)</f>
        <v>#DIV/0!</v>
      </c>
      <c r="BC62" s="280" t="s">
        <v>96</v>
      </c>
      <c r="BD62" s="281" t="e">
        <f>BD58/(BD56*EFFICIENCY!$I$28)</f>
        <v>#DIV/0!</v>
      </c>
      <c r="BE62" s="280" t="s">
        <v>96</v>
      </c>
      <c r="BF62" s="281" t="e">
        <f>BF58/(BF56*EFFICIENCY!$I$28)</f>
        <v>#DIV/0!</v>
      </c>
      <c r="BH62" s="300"/>
      <c r="BI62" s="394"/>
      <c r="BJ62" s="393"/>
      <c r="BK62" s="280" t="s">
        <v>96</v>
      </c>
      <c r="BL62" s="281" t="e">
        <f>BL58/(BL56*EFFICIENCY!$I$28)</f>
        <v>#DIV/0!</v>
      </c>
      <c r="BM62" s="280" t="s">
        <v>96</v>
      </c>
      <c r="BN62" s="281" t="e">
        <f>BN58/(BN56*EFFICIENCY!$I$28)</f>
        <v>#DIV/0!</v>
      </c>
      <c r="BO62" s="280" t="s">
        <v>96</v>
      </c>
      <c r="BP62" s="281" t="e">
        <f>BP58/(BP56*EFFICIENCY!$I$28)</f>
        <v>#DIV/0!</v>
      </c>
    </row>
    <row r="63" spans="10:68" ht="19.5" customHeight="1" thickBot="1">
      <c r="K63" s="690" t="s">
        <v>156</v>
      </c>
      <c r="L63" s="691"/>
      <c r="M63" s="284" t="s">
        <v>94</v>
      </c>
      <c r="N63" s="285" t="e">
        <f>N58/((N56*EFFICIENCY!$K$28))</f>
        <v>#DIV/0!</v>
      </c>
      <c r="O63" s="288" t="s">
        <v>94</v>
      </c>
      <c r="P63" s="285" t="e">
        <f>P58/((P56*EFFICIENCY!$K$28))</f>
        <v>#DIV/0!</v>
      </c>
      <c r="Q63" s="284" t="s">
        <v>94</v>
      </c>
      <c r="R63" s="285" t="e">
        <f>R58/((R56*EFFICIENCY!$K$28))</f>
        <v>#DIV/0!</v>
      </c>
      <c r="S63" s="297"/>
      <c r="T63" s="300"/>
      <c r="U63" s="690" t="s">
        <v>156</v>
      </c>
      <c r="V63" s="691"/>
      <c r="W63" s="284" t="s">
        <v>94</v>
      </c>
      <c r="X63" s="285" t="e">
        <f>X58/((X56*EFFICIENCY!$K$28))</f>
        <v>#DIV/0!</v>
      </c>
      <c r="Y63" s="288" t="s">
        <v>94</v>
      </c>
      <c r="Z63" s="285" t="e">
        <f>Z58/((Z56*EFFICIENCY!$K$28))</f>
        <v>#DIV/0!</v>
      </c>
      <c r="AA63" s="284" t="s">
        <v>94</v>
      </c>
      <c r="AB63" s="285" t="e">
        <f>AB58/((AB56*EFFICIENCY!$K$28))</f>
        <v>#DIV/0!</v>
      </c>
      <c r="AD63" s="300"/>
      <c r="AE63" s="690" t="s">
        <v>156</v>
      </c>
      <c r="AF63" s="691"/>
      <c r="AG63" s="284" t="s">
        <v>94</v>
      </c>
      <c r="AH63" s="285" t="e">
        <f>AH58/((AH56*EFFICIENCY!$K$28))</f>
        <v>#DIV/0!</v>
      </c>
      <c r="AI63" s="288" t="s">
        <v>94</v>
      </c>
      <c r="AJ63" s="285" t="e">
        <f>AJ58/((AJ56*EFFICIENCY!$K$28))</f>
        <v>#DIV/0!</v>
      </c>
      <c r="AK63" s="284" t="s">
        <v>94</v>
      </c>
      <c r="AL63" s="285" t="e">
        <f>AL58/((AL56*EFFICIENCY!$K$28))</f>
        <v>#DIV/0!</v>
      </c>
      <c r="AN63" s="300"/>
      <c r="AO63" s="690" t="s">
        <v>156</v>
      </c>
      <c r="AP63" s="691"/>
      <c r="AQ63" s="284" t="s">
        <v>94</v>
      </c>
      <c r="AR63" s="285" t="e">
        <f>AR58/((AR56*EFFICIENCY!$K$28))</f>
        <v>#DIV/0!</v>
      </c>
      <c r="AS63" s="288" t="s">
        <v>94</v>
      </c>
      <c r="AT63" s="285" t="e">
        <f>AT58/((AT56*EFFICIENCY!$K$28))</f>
        <v>#DIV/0!</v>
      </c>
      <c r="AU63" s="284" t="s">
        <v>94</v>
      </c>
      <c r="AV63" s="285" t="e">
        <f>AV58/((AV56*EFFICIENCY!$K$28))</f>
        <v>#DIV/0!</v>
      </c>
      <c r="AX63" s="300"/>
      <c r="AY63" s="690" t="s">
        <v>156</v>
      </c>
      <c r="AZ63" s="691"/>
      <c r="BA63" s="284" t="s">
        <v>94</v>
      </c>
      <c r="BB63" s="285" t="e">
        <f>BB58/((BB56*EFFICIENCY!$K$28))</f>
        <v>#DIV/0!</v>
      </c>
      <c r="BC63" s="288" t="s">
        <v>94</v>
      </c>
      <c r="BD63" s="285" t="e">
        <f>BD58/((BD56*EFFICIENCY!$K$28))</f>
        <v>#DIV/0!</v>
      </c>
      <c r="BE63" s="284" t="s">
        <v>94</v>
      </c>
      <c r="BF63" s="285" t="e">
        <f>BF58/((BF56*EFFICIENCY!$K$28))</f>
        <v>#DIV/0!</v>
      </c>
      <c r="BH63" s="300"/>
      <c r="BI63" s="690" t="s">
        <v>156</v>
      </c>
      <c r="BJ63" s="691"/>
      <c r="BK63" s="284" t="s">
        <v>94</v>
      </c>
      <c r="BL63" s="285" t="e">
        <f>BL58/((BL56*EFFICIENCY!$K$28))</f>
        <v>#DIV/0!</v>
      </c>
      <c r="BM63" s="288" t="s">
        <v>94</v>
      </c>
      <c r="BN63" s="285" t="e">
        <f>BN58/((BN56*EFFICIENCY!$K$28))</f>
        <v>#DIV/0!</v>
      </c>
      <c r="BO63" s="284" t="s">
        <v>94</v>
      </c>
      <c r="BP63" s="285" t="e">
        <f>BP58/((BP56*EFFICIENCY!$K$28))</f>
        <v>#DIV/0!</v>
      </c>
    </row>
    <row r="64" spans="10:68" ht="16.5" thickBot="1">
      <c r="K64" s="413"/>
      <c r="L64" s="414" t="e">
        <f>R58/R56</f>
        <v>#DIV/0!</v>
      </c>
      <c r="M64" s="647" t="s">
        <v>153</v>
      </c>
      <c r="N64" s="648"/>
      <c r="O64" s="290"/>
      <c r="P64" s="416"/>
      <c r="Q64" s="416" t="s">
        <v>154</v>
      </c>
      <c r="R64" s="415">
        <f>O64-R58</f>
        <v>0</v>
      </c>
      <c r="S64" s="298"/>
      <c r="T64" s="300"/>
      <c r="U64" s="413"/>
      <c r="V64" s="414" t="e">
        <f>AB58/AB56</f>
        <v>#DIV/0!</v>
      </c>
      <c r="W64" s="647" t="s">
        <v>153</v>
      </c>
      <c r="X64" s="648"/>
      <c r="Y64" s="290"/>
      <c r="Z64" s="416"/>
      <c r="AA64" s="416" t="s">
        <v>154</v>
      </c>
      <c r="AB64" s="415">
        <f>Y64-AB58</f>
        <v>0</v>
      </c>
      <c r="AD64" s="300"/>
      <c r="AE64" s="413"/>
      <c r="AF64" s="414" t="e">
        <f>AL58/AL56</f>
        <v>#DIV/0!</v>
      </c>
      <c r="AG64" s="647" t="s">
        <v>153</v>
      </c>
      <c r="AH64" s="648"/>
      <c r="AI64" s="290"/>
      <c r="AJ64" s="416"/>
      <c r="AK64" s="416" t="s">
        <v>154</v>
      </c>
      <c r="AL64" s="415">
        <f>AI64-AL58</f>
        <v>0</v>
      </c>
      <c r="AN64" s="300"/>
      <c r="AO64" s="413"/>
      <c r="AP64" s="414" t="e">
        <f>AV58/AV56</f>
        <v>#DIV/0!</v>
      </c>
      <c r="AQ64" s="647" t="s">
        <v>153</v>
      </c>
      <c r="AR64" s="648"/>
      <c r="AS64" s="290"/>
      <c r="AT64" s="416"/>
      <c r="AU64" s="416" t="s">
        <v>154</v>
      </c>
      <c r="AV64" s="415">
        <f>AS64-AV58</f>
        <v>0</v>
      </c>
      <c r="AX64" s="300"/>
      <c r="AY64" s="413"/>
      <c r="AZ64" s="414" t="e">
        <f>BF58/BF56</f>
        <v>#DIV/0!</v>
      </c>
      <c r="BA64" s="647" t="s">
        <v>153</v>
      </c>
      <c r="BB64" s="648"/>
      <c r="BC64" s="290"/>
      <c r="BD64" s="416"/>
      <c r="BE64" s="416" t="s">
        <v>154</v>
      </c>
      <c r="BF64" s="415">
        <f>BC64-BF58</f>
        <v>0</v>
      </c>
      <c r="BH64" s="300"/>
      <c r="BI64" s="413"/>
      <c r="BJ64" s="414" t="e">
        <f>BP58/BP56</f>
        <v>#DIV/0!</v>
      </c>
      <c r="BK64" s="647" t="s">
        <v>153</v>
      </c>
      <c r="BL64" s="648"/>
      <c r="BM64" s="290"/>
      <c r="BN64" s="416"/>
      <c r="BO64" s="416" t="s">
        <v>154</v>
      </c>
      <c r="BP64" s="415">
        <f>BM64-BP58</f>
        <v>0</v>
      </c>
    </row>
    <row r="65" spans="20:60">
      <c r="T65" s="300"/>
      <c r="AD65" s="300"/>
      <c r="AN65" s="300"/>
      <c r="AX65" s="300"/>
      <c r="BH65" s="300"/>
    </row>
    <row r="66" spans="20:60">
      <c r="T66" s="300"/>
      <c r="BH66" s="300"/>
    </row>
    <row r="67" spans="20:60">
      <c r="T67" s="300"/>
      <c r="BH67" s="300"/>
    </row>
    <row r="68" spans="20:60">
      <c r="T68" s="300"/>
      <c r="BH68" s="300"/>
    </row>
    <row r="69" spans="20:60">
      <c r="T69" s="300"/>
      <c r="BH69" s="300"/>
    </row>
    <row r="70" spans="20:60">
      <c r="T70" s="300"/>
      <c r="BH70" s="300"/>
    </row>
  </sheetData>
  <mergeCells count="249">
    <mergeCell ref="M64:N64"/>
    <mergeCell ref="W64:X64"/>
    <mergeCell ref="AG64:AH64"/>
    <mergeCell ref="AQ64:AR64"/>
    <mergeCell ref="BA64:BB64"/>
    <mergeCell ref="BK64:BL64"/>
    <mergeCell ref="K63:L63"/>
    <mergeCell ref="U63:V63"/>
    <mergeCell ref="AE63:AF63"/>
    <mergeCell ref="AO63:AP63"/>
    <mergeCell ref="AY63:AZ63"/>
    <mergeCell ref="BI63:BJ63"/>
    <mergeCell ref="K59:L59"/>
    <mergeCell ref="U59:V59"/>
    <mergeCell ref="AE59:AF59"/>
    <mergeCell ref="AO59:AP59"/>
    <mergeCell ref="AY59:AZ59"/>
    <mergeCell ref="BI59:BJ59"/>
    <mergeCell ref="BA58:BA59"/>
    <mergeCell ref="BC58:BC59"/>
    <mergeCell ref="BE58:BE59"/>
    <mergeCell ref="M58:M59"/>
    <mergeCell ref="O58:O59"/>
    <mergeCell ref="Q58:Q59"/>
    <mergeCell ref="W58:W59"/>
    <mergeCell ref="Y58:Y59"/>
    <mergeCell ref="AA58:AA59"/>
    <mergeCell ref="BK58:BK59"/>
    <mergeCell ref="BM58:BM59"/>
    <mergeCell ref="BO58:BO59"/>
    <mergeCell ref="AG58:AG59"/>
    <mergeCell ref="AI58:AI59"/>
    <mergeCell ref="AK58:AK59"/>
    <mergeCell ref="AQ58:AQ59"/>
    <mergeCell ref="AS58:AS59"/>
    <mergeCell ref="AU58:AU59"/>
    <mergeCell ref="BA54:BB54"/>
    <mergeCell ref="BC54:BD54"/>
    <mergeCell ref="BE54:BF54"/>
    <mergeCell ref="BK54:BL54"/>
    <mergeCell ref="BM54:BN54"/>
    <mergeCell ref="BO54:BP54"/>
    <mergeCell ref="AG54:AH54"/>
    <mergeCell ref="AI54:AJ54"/>
    <mergeCell ref="AK54:AL54"/>
    <mergeCell ref="AQ54:AR54"/>
    <mergeCell ref="AS54:AT54"/>
    <mergeCell ref="AU54:AV54"/>
    <mergeCell ref="M54:N54"/>
    <mergeCell ref="O54:P54"/>
    <mergeCell ref="Q54:R54"/>
    <mergeCell ref="W54:X54"/>
    <mergeCell ref="Y54:Z54"/>
    <mergeCell ref="AA54:AB54"/>
    <mergeCell ref="M51:N51"/>
    <mergeCell ref="W51:X51"/>
    <mergeCell ref="AG51:AH51"/>
    <mergeCell ref="AQ51:AR51"/>
    <mergeCell ref="BA51:BB51"/>
    <mergeCell ref="BK51:BL51"/>
    <mergeCell ref="K50:L50"/>
    <mergeCell ref="U50:V50"/>
    <mergeCell ref="AE50:AF50"/>
    <mergeCell ref="AO50:AP50"/>
    <mergeCell ref="AY50:AZ50"/>
    <mergeCell ref="BI50:BJ50"/>
    <mergeCell ref="K46:L46"/>
    <mergeCell ref="U46:V46"/>
    <mergeCell ref="AE46:AF46"/>
    <mergeCell ref="AO46:AP46"/>
    <mergeCell ref="AY46:AZ46"/>
    <mergeCell ref="BI46:BJ46"/>
    <mergeCell ref="BA45:BA46"/>
    <mergeCell ref="BC45:BC46"/>
    <mergeCell ref="BE45:BE46"/>
    <mergeCell ref="M45:M46"/>
    <mergeCell ref="O45:O46"/>
    <mergeCell ref="Q45:Q46"/>
    <mergeCell ref="W45:W46"/>
    <mergeCell ref="Y45:Y46"/>
    <mergeCell ref="AA45:AA46"/>
    <mergeCell ref="BK45:BK46"/>
    <mergeCell ref="BM45:BM46"/>
    <mergeCell ref="BO45:BO46"/>
    <mergeCell ref="AG45:AG46"/>
    <mergeCell ref="AI45:AI46"/>
    <mergeCell ref="AK45:AK46"/>
    <mergeCell ref="AQ45:AQ46"/>
    <mergeCell ref="AS45:AS46"/>
    <mergeCell ref="AU45:AU46"/>
    <mergeCell ref="BA41:BB41"/>
    <mergeCell ref="BC41:BD41"/>
    <mergeCell ref="BE41:BF41"/>
    <mergeCell ref="BK41:BL41"/>
    <mergeCell ref="BM41:BN41"/>
    <mergeCell ref="BO41:BP41"/>
    <mergeCell ref="AG41:AH41"/>
    <mergeCell ref="AI41:AJ41"/>
    <mergeCell ref="AK41:AL41"/>
    <mergeCell ref="AQ41:AR41"/>
    <mergeCell ref="AS41:AT41"/>
    <mergeCell ref="AU41:AV41"/>
    <mergeCell ref="M41:N41"/>
    <mergeCell ref="O41:P41"/>
    <mergeCell ref="Q41:R41"/>
    <mergeCell ref="W41:X41"/>
    <mergeCell ref="Y41:Z41"/>
    <mergeCell ref="AA41:AB41"/>
    <mergeCell ref="M38:N38"/>
    <mergeCell ref="W38:X38"/>
    <mergeCell ref="AG38:AH38"/>
    <mergeCell ref="AQ38:AR38"/>
    <mergeCell ref="BA38:BB38"/>
    <mergeCell ref="BK38:BL38"/>
    <mergeCell ref="K37:L37"/>
    <mergeCell ref="U37:V37"/>
    <mergeCell ref="AE37:AF37"/>
    <mergeCell ref="AO37:AP37"/>
    <mergeCell ref="AY37:AZ37"/>
    <mergeCell ref="BI37:BJ37"/>
    <mergeCell ref="K33:L33"/>
    <mergeCell ref="U33:V33"/>
    <mergeCell ref="AE33:AF33"/>
    <mergeCell ref="AO33:AP33"/>
    <mergeCell ref="AY33:AZ33"/>
    <mergeCell ref="BI33:BJ33"/>
    <mergeCell ref="BA32:BA33"/>
    <mergeCell ref="BC32:BC33"/>
    <mergeCell ref="BE32:BE33"/>
    <mergeCell ref="M32:M33"/>
    <mergeCell ref="O32:O33"/>
    <mergeCell ref="Q32:Q33"/>
    <mergeCell ref="W32:W33"/>
    <mergeCell ref="Y32:Y33"/>
    <mergeCell ref="AA32:AA33"/>
    <mergeCell ref="BK32:BK33"/>
    <mergeCell ref="BM32:BM33"/>
    <mergeCell ref="BO32:BO33"/>
    <mergeCell ref="AG32:AG33"/>
    <mergeCell ref="AI32:AI33"/>
    <mergeCell ref="AK32:AK33"/>
    <mergeCell ref="AQ32:AQ33"/>
    <mergeCell ref="AS32:AS33"/>
    <mergeCell ref="AU32:AU33"/>
    <mergeCell ref="BA28:BB28"/>
    <mergeCell ref="BC28:BD28"/>
    <mergeCell ref="BE28:BF28"/>
    <mergeCell ref="BK28:BL28"/>
    <mergeCell ref="BM28:BN28"/>
    <mergeCell ref="BO28:BP28"/>
    <mergeCell ref="AG28:AH28"/>
    <mergeCell ref="AI28:AJ28"/>
    <mergeCell ref="AK28:AL28"/>
    <mergeCell ref="AQ28:AR28"/>
    <mergeCell ref="AS28:AT28"/>
    <mergeCell ref="AU28:AV28"/>
    <mergeCell ref="M28:N28"/>
    <mergeCell ref="O28:P28"/>
    <mergeCell ref="Q28:R28"/>
    <mergeCell ref="W28:X28"/>
    <mergeCell ref="Y28:Z28"/>
    <mergeCell ref="AA28:AB28"/>
    <mergeCell ref="M25:N25"/>
    <mergeCell ref="W25:X25"/>
    <mergeCell ref="AG25:AH25"/>
    <mergeCell ref="AQ25:AR25"/>
    <mergeCell ref="BA25:BB25"/>
    <mergeCell ref="BK25:BL25"/>
    <mergeCell ref="K24:L24"/>
    <mergeCell ref="U24:V24"/>
    <mergeCell ref="AE24:AF24"/>
    <mergeCell ref="AO24:AP24"/>
    <mergeCell ref="AY24:AZ24"/>
    <mergeCell ref="BI24:BJ24"/>
    <mergeCell ref="K20:L20"/>
    <mergeCell ref="U20:V20"/>
    <mergeCell ref="AE20:AF20"/>
    <mergeCell ref="AO20:AP20"/>
    <mergeCell ref="AY20:AZ20"/>
    <mergeCell ref="BI20:BJ20"/>
    <mergeCell ref="BA19:BA20"/>
    <mergeCell ref="BC19:BC20"/>
    <mergeCell ref="BE19:BE20"/>
    <mergeCell ref="M19:M20"/>
    <mergeCell ref="O19:O20"/>
    <mergeCell ref="Q19:Q20"/>
    <mergeCell ref="W19:W20"/>
    <mergeCell ref="Y19:Y20"/>
    <mergeCell ref="AA19:AA20"/>
    <mergeCell ref="BM15:BN15"/>
    <mergeCell ref="BO15:BP15"/>
    <mergeCell ref="AG15:AH15"/>
    <mergeCell ref="AI15:AJ15"/>
    <mergeCell ref="AK15:AL15"/>
    <mergeCell ref="AQ15:AR15"/>
    <mergeCell ref="AS15:AT15"/>
    <mergeCell ref="AU15:AV15"/>
    <mergeCell ref="BK19:BK20"/>
    <mergeCell ref="BM19:BM20"/>
    <mergeCell ref="BO19:BO20"/>
    <mergeCell ref="AG19:AG20"/>
    <mergeCell ref="AI19:AI20"/>
    <mergeCell ref="AK19:AK20"/>
    <mergeCell ref="AQ19:AQ20"/>
    <mergeCell ref="AS19:AS20"/>
    <mergeCell ref="AU19:AU20"/>
    <mergeCell ref="M15:N15"/>
    <mergeCell ref="O15:P15"/>
    <mergeCell ref="Q15:R15"/>
    <mergeCell ref="W15:X15"/>
    <mergeCell ref="Y15:Z15"/>
    <mergeCell ref="AA15:AB15"/>
    <mergeCell ref="AQ12:AR12"/>
    <mergeCell ref="BA12:BB12"/>
    <mergeCell ref="BK12:BL12"/>
    <mergeCell ref="BA15:BB15"/>
    <mergeCell ref="BC15:BD15"/>
    <mergeCell ref="BE15:BF15"/>
    <mergeCell ref="BK15:BL15"/>
    <mergeCell ref="AO11:AP11"/>
    <mergeCell ref="AY11:AZ11"/>
    <mergeCell ref="BI11:BJ11"/>
    <mergeCell ref="AO7:AP7"/>
    <mergeCell ref="AY7:AZ7"/>
    <mergeCell ref="BI7:BJ7"/>
    <mergeCell ref="BA6:BA7"/>
    <mergeCell ref="BC6:BC7"/>
    <mergeCell ref="BE6:BE7"/>
    <mergeCell ref="M1:N1"/>
    <mergeCell ref="W1:X1"/>
    <mergeCell ref="AG1:AH1"/>
    <mergeCell ref="AQ1:AR1"/>
    <mergeCell ref="BA1:BB1"/>
    <mergeCell ref="BK1:BL1"/>
    <mergeCell ref="BK6:BK7"/>
    <mergeCell ref="BM6:BM7"/>
    <mergeCell ref="BO6:BO7"/>
    <mergeCell ref="AQ6:AQ7"/>
    <mergeCell ref="AS6:AS7"/>
    <mergeCell ref="AU6:AU7"/>
    <mergeCell ref="BA2:BB2"/>
    <mergeCell ref="BC2:BD2"/>
    <mergeCell ref="BE2:BF2"/>
    <mergeCell ref="BK2:BL2"/>
    <mergeCell ref="BM2:BN2"/>
    <mergeCell ref="BO2:BP2"/>
    <mergeCell ref="AQ2:AR2"/>
    <mergeCell ref="AS2:AT2"/>
    <mergeCell ref="AU2:AV2"/>
  </mergeCells>
  <dataValidations count="1">
    <dataValidation type="list" allowBlank="1" showInputMessage="1" showErrorMessage="1" sqref="L5 L18 L31 L44 L57 V5 V18 V31 V44 V57 AF5 AF18 AF31 AF44 AF57 AP5 AP18 AP31 AP44 AP57 AZ5 AZ18 AZ31 AZ44 AZ57 BJ5 BJ18 BJ31 BJ44 BJ57" xr:uid="{00000000-0002-0000-0E00-000000000000}">
      <formula1>"8, 10, 12"</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B1:BP70"/>
  <sheetViews>
    <sheetView zoomScale="85" zoomScaleNormal="85" workbookViewId="0">
      <selection activeCell="C7" sqref="C7"/>
    </sheetView>
  </sheetViews>
  <sheetFormatPr defaultRowHeight="12.75"/>
  <cols>
    <col min="1" max="1" width="9.140625" style="150"/>
    <col min="2" max="2" width="10.42578125" style="150" customWidth="1"/>
    <col min="3" max="11" width="9.140625" style="150"/>
    <col min="12" max="12" width="11.140625" style="150" customWidth="1"/>
    <col min="13" max="13" width="10.5703125" style="150" customWidth="1"/>
    <col min="14" max="14" width="11.28515625" style="150" customWidth="1"/>
    <col min="15" max="15" width="10.5703125" style="150" customWidth="1"/>
    <col min="16" max="16" width="10.28515625" style="150" customWidth="1"/>
    <col min="17" max="17" width="10.140625" style="150" customWidth="1"/>
    <col min="18" max="18" width="10" style="150" bestFit="1" customWidth="1"/>
    <col min="19" max="19" width="7.42578125" style="151" customWidth="1"/>
    <col min="20" max="20" width="7" style="150" customWidth="1"/>
    <col min="21" max="21" width="9.140625" style="150"/>
    <col min="22" max="22" width="11.140625" style="150" customWidth="1"/>
    <col min="23" max="23" width="10.5703125" style="150" customWidth="1"/>
    <col min="24" max="24" width="11.28515625" style="150" customWidth="1"/>
    <col min="25" max="25" width="10.5703125" style="150" customWidth="1"/>
    <col min="26" max="26" width="10.28515625" style="150" customWidth="1"/>
    <col min="27" max="27" width="10.140625" style="150" customWidth="1"/>
    <col min="28" max="28" width="10" style="150" bestFit="1" customWidth="1"/>
    <col min="29" max="31" width="9.140625" style="150"/>
    <col min="32" max="32" width="11.140625" style="150" customWidth="1"/>
    <col min="33" max="33" width="10.5703125" style="150" customWidth="1"/>
    <col min="34" max="34" width="11.28515625" style="150" customWidth="1"/>
    <col min="35" max="35" width="10.5703125" style="150" customWidth="1"/>
    <col min="36" max="36" width="10.28515625" style="150" customWidth="1"/>
    <col min="37" max="37" width="10.140625" style="150" customWidth="1"/>
    <col min="38" max="38" width="10" style="150" bestFit="1" customWidth="1"/>
    <col min="39" max="41" width="9.140625" style="150"/>
    <col min="42" max="42" width="11.140625" style="150" customWidth="1"/>
    <col min="43" max="43" width="10.5703125" style="150" customWidth="1"/>
    <col min="44" max="44" width="11.28515625" style="150" customWidth="1"/>
    <col min="45" max="45" width="10.5703125" style="150" customWidth="1"/>
    <col min="46" max="46" width="10.28515625" style="150" customWidth="1"/>
    <col min="47" max="47" width="10.140625" style="150" customWidth="1"/>
    <col min="48" max="48" width="10" style="150" bestFit="1" customWidth="1"/>
    <col min="49" max="51" width="9.140625" style="150"/>
    <col min="52" max="52" width="11.140625" style="150" customWidth="1"/>
    <col min="53" max="53" width="10.5703125" style="150" customWidth="1"/>
    <col min="54" max="54" width="11.28515625" style="150" customWidth="1"/>
    <col min="55" max="55" width="10.5703125" style="150" customWidth="1"/>
    <col min="56" max="56" width="10.28515625" style="150" customWidth="1"/>
    <col min="57" max="57" width="10.140625" style="150" customWidth="1"/>
    <col min="58" max="58" width="10" style="150" bestFit="1" customWidth="1"/>
    <col min="59" max="61" width="9.140625" style="150"/>
    <col min="62" max="62" width="11.140625" style="150" customWidth="1"/>
    <col min="63" max="63" width="10.5703125" style="150" customWidth="1"/>
    <col min="64" max="64" width="11.28515625" style="150" customWidth="1"/>
    <col min="65" max="65" width="10.5703125" style="150" customWidth="1"/>
    <col min="66" max="66" width="10.28515625" style="150" customWidth="1"/>
    <col min="67" max="67" width="10.140625" style="150" customWidth="1"/>
    <col min="68" max="68" width="10" style="150" bestFit="1" customWidth="1"/>
    <col min="69" max="16384" width="9.140625" style="150"/>
  </cols>
  <sheetData>
    <row r="1" spans="2:68" ht="13.5" thickBot="1">
      <c r="L1" s="154"/>
      <c r="M1" s="671"/>
      <c r="N1" s="671"/>
      <c r="O1" s="154"/>
      <c r="P1" s="154"/>
      <c r="Q1" s="228">
        <v>13</v>
      </c>
      <c r="R1" s="228">
        <v>15</v>
      </c>
      <c r="S1" s="292"/>
      <c r="T1" s="228">
        <v>18</v>
      </c>
      <c r="V1" s="154"/>
      <c r="W1" s="671"/>
      <c r="X1" s="671"/>
      <c r="Y1" s="154"/>
      <c r="Z1" s="154"/>
      <c r="AA1" s="228"/>
      <c r="AB1" s="228"/>
      <c r="AD1" s="300"/>
      <c r="AF1" s="154"/>
      <c r="AG1" s="671"/>
      <c r="AH1" s="671"/>
      <c r="AI1" s="154"/>
      <c r="AJ1" s="154"/>
      <c r="AK1" s="228"/>
      <c r="AL1" s="228"/>
      <c r="AN1" s="300"/>
      <c r="AP1" s="154"/>
      <c r="AQ1" s="671"/>
      <c r="AR1" s="671"/>
      <c r="AS1" s="154"/>
      <c r="AT1" s="154"/>
      <c r="AU1" s="228"/>
      <c r="AV1" s="228"/>
      <c r="AX1" s="300"/>
      <c r="AZ1" s="154"/>
      <c r="BA1" s="671"/>
      <c r="BB1" s="671"/>
      <c r="BC1" s="154"/>
      <c r="BD1" s="154"/>
      <c r="BE1" s="228"/>
      <c r="BF1" s="228"/>
      <c r="BH1" s="300"/>
      <c r="BJ1" s="154"/>
      <c r="BK1" s="671"/>
      <c r="BL1" s="671"/>
      <c r="BM1" s="154"/>
      <c r="BN1" s="154"/>
      <c r="BO1" s="228"/>
      <c r="BP1" s="228"/>
    </row>
    <row r="2" spans="2:68" ht="15.75" thickBot="1">
      <c r="K2" s="203"/>
      <c r="L2" s="443"/>
      <c r="M2" s="444"/>
      <c r="N2" s="444"/>
      <c r="O2" s="444"/>
      <c r="P2" s="444"/>
      <c r="Q2" s="444"/>
      <c r="R2" s="444"/>
      <c r="S2" s="293"/>
      <c r="T2" s="156"/>
      <c r="U2" s="203"/>
      <c r="V2" s="443"/>
      <c r="W2" s="444"/>
      <c r="X2" s="444"/>
      <c r="Y2" s="444"/>
      <c r="Z2" s="444"/>
      <c r="AA2" s="444"/>
      <c r="AB2" s="444"/>
      <c r="AC2" s="156"/>
      <c r="AD2" s="156"/>
      <c r="AE2" s="203"/>
      <c r="AF2" s="443"/>
      <c r="AG2" s="444"/>
      <c r="AH2" s="444"/>
      <c r="AI2" s="444"/>
      <c r="AJ2" s="444"/>
      <c r="AK2" s="444"/>
      <c r="AL2" s="444"/>
      <c r="AM2" s="156"/>
      <c r="AN2" s="156"/>
      <c r="AO2" s="203"/>
      <c r="AP2" s="443"/>
      <c r="AQ2" s="444"/>
      <c r="AR2" s="444"/>
      <c r="AS2" s="444"/>
      <c r="AT2" s="444"/>
      <c r="AU2" s="444"/>
      <c r="AV2" s="444"/>
      <c r="AW2" s="156"/>
      <c r="AX2" s="156"/>
      <c r="AY2" s="203"/>
      <c r="AZ2" s="443"/>
      <c r="BA2" s="444"/>
      <c r="BB2" s="444"/>
      <c r="BC2" s="444"/>
      <c r="BD2" s="444"/>
      <c r="BE2" s="444"/>
      <c r="BF2" s="444"/>
      <c r="BH2" s="300"/>
      <c r="BI2" s="373" t="s">
        <v>7</v>
      </c>
      <c r="BJ2" s="532">
        <f>B7</f>
        <v>42644</v>
      </c>
      <c r="BK2" s="674" t="s">
        <v>100</v>
      </c>
      <c r="BL2" s="675"/>
      <c r="BM2" s="674" t="s">
        <v>99</v>
      </c>
      <c r="BN2" s="675"/>
      <c r="BO2" s="676" t="s">
        <v>16</v>
      </c>
      <c r="BP2" s="677"/>
    </row>
    <row r="3" spans="2:68" ht="13.5" thickBot="1">
      <c r="K3" s="156"/>
      <c r="L3" s="156"/>
      <c r="M3" s="156"/>
      <c r="N3" s="156"/>
      <c r="O3" s="224"/>
      <c r="P3" s="224"/>
      <c r="Q3" s="224"/>
      <c r="R3" s="224"/>
      <c r="S3" s="156"/>
      <c r="T3" s="156"/>
      <c r="U3" s="156"/>
      <c r="V3" s="156"/>
      <c r="W3" s="156"/>
      <c r="X3" s="156"/>
      <c r="Y3" s="224"/>
      <c r="Z3" s="224"/>
      <c r="AA3" s="224"/>
      <c r="AB3" s="224"/>
      <c r="AC3" s="156"/>
      <c r="AD3" s="156"/>
      <c r="AE3" s="156"/>
      <c r="AF3" s="156"/>
      <c r="AG3" s="156"/>
      <c r="AH3" s="156"/>
      <c r="AI3" s="224"/>
      <c r="AJ3" s="224"/>
      <c r="AK3" s="224"/>
      <c r="AL3" s="224"/>
      <c r="AM3" s="156"/>
      <c r="AN3" s="156"/>
      <c r="AO3" s="156"/>
      <c r="AP3" s="156"/>
      <c r="AQ3" s="156"/>
      <c r="AR3" s="156"/>
      <c r="AS3" s="224"/>
      <c r="AT3" s="224"/>
      <c r="AU3" s="224"/>
      <c r="AV3" s="224"/>
      <c r="AW3" s="156"/>
      <c r="AX3" s="156"/>
      <c r="AY3" s="156"/>
      <c r="AZ3" s="156"/>
      <c r="BA3" s="156"/>
      <c r="BB3" s="156"/>
      <c r="BC3" s="224"/>
      <c r="BD3" s="224"/>
      <c r="BE3" s="224"/>
      <c r="BF3" s="224"/>
      <c r="BH3" s="300"/>
      <c r="BI3" s="356"/>
      <c r="BJ3" s="355"/>
      <c r="BK3" s="356"/>
      <c r="BL3" s="357"/>
      <c r="BM3" s="367"/>
      <c r="BN3" s="368"/>
      <c r="BO3" s="369"/>
      <c r="BP3" s="368"/>
    </row>
    <row r="4" spans="2:68" ht="16.5" thickBot="1">
      <c r="K4" s="156"/>
      <c r="L4" s="445"/>
      <c r="M4" s="439"/>
      <c r="N4" s="446"/>
      <c r="O4" s="439"/>
      <c r="P4" s="446"/>
      <c r="Q4" s="439"/>
      <c r="R4" s="447"/>
      <c r="S4" s="294"/>
      <c r="T4" s="156"/>
      <c r="U4" s="156"/>
      <c r="V4" s="445"/>
      <c r="W4" s="439"/>
      <c r="X4" s="446"/>
      <c r="Y4" s="439"/>
      <c r="Z4" s="446"/>
      <c r="AA4" s="439"/>
      <c r="AB4" s="447"/>
      <c r="AC4" s="156"/>
      <c r="AD4" s="156"/>
      <c r="AE4" s="156"/>
      <c r="AF4" s="445"/>
      <c r="AG4" s="439"/>
      <c r="AH4" s="446"/>
      <c r="AI4" s="439"/>
      <c r="AJ4" s="446"/>
      <c r="AK4" s="439"/>
      <c r="AL4" s="447"/>
      <c r="AM4" s="156"/>
      <c r="AN4" s="156"/>
      <c r="AO4" s="156"/>
      <c r="AP4" s="445"/>
      <c r="AQ4" s="439"/>
      <c r="AR4" s="446"/>
      <c r="AS4" s="439"/>
      <c r="AT4" s="446"/>
      <c r="AU4" s="439"/>
      <c r="AV4" s="447"/>
      <c r="AW4" s="156"/>
      <c r="AX4" s="156"/>
      <c r="AY4" s="156"/>
      <c r="AZ4" s="445"/>
      <c r="BA4" s="439"/>
      <c r="BB4" s="446"/>
      <c r="BC4" s="439"/>
      <c r="BD4" s="446"/>
      <c r="BE4" s="439"/>
      <c r="BF4" s="447"/>
      <c r="BH4" s="300"/>
      <c r="BI4" s="356"/>
      <c r="BJ4" s="433" t="s">
        <v>155</v>
      </c>
      <c r="BK4" s="358" t="s">
        <v>103</v>
      </c>
      <c r="BL4" s="279"/>
      <c r="BM4" s="358" t="s">
        <v>103</v>
      </c>
      <c r="BN4" s="279"/>
      <c r="BO4" s="359" t="s">
        <v>103</v>
      </c>
      <c r="BP4" s="370">
        <f>SUM(BL4,BN4)</f>
        <v>0</v>
      </c>
    </row>
    <row r="5" spans="2:68" ht="18.75" thickBot="1">
      <c r="B5" s="277"/>
      <c r="C5" s="277" t="s">
        <v>149</v>
      </c>
      <c r="D5" s="277" t="s">
        <v>149</v>
      </c>
      <c r="E5" s="150" t="s">
        <v>5</v>
      </c>
      <c r="F5" s="150" t="s">
        <v>5</v>
      </c>
      <c r="G5" s="277" t="s">
        <v>149</v>
      </c>
      <c r="H5" s="150" t="s">
        <v>5</v>
      </c>
      <c r="K5" s="156"/>
      <c r="L5" s="448"/>
      <c r="M5" s="449"/>
      <c r="N5" s="450"/>
      <c r="O5" s="439"/>
      <c r="P5" s="450"/>
      <c r="Q5" s="439"/>
      <c r="R5" s="447"/>
      <c r="S5" s="294"/>
      <c r="T5" s="156"/>
      <c r="U5" s="156"/>
      <c r="V5" s="448"/>
      <c r="W5" s="449"/>
      <c r="X5" s="450"/>
      <c r="Y5" s="439"/>
      <c r="Z5" s="450"/>
      <c r="AA5" s="439"/>
      <c r="AB5" s="447"/>
      <c r="AC5" s="156"/>
      <c r="AD5" s="156"/>
      <c r="AE5" s="156"/>
      <c r="AF5" s="448"/>
      <c r="AG5" s="449"/>
      <c r="AH5" s="450"/>
      <c r="AI5" s="439"/>
      <c r="AJ5" s="450"/>
      <c r="AK5" s="439"/>
      <c r="AL5" s="447"/>
      <c r="AM5" s="156"/>
      <c r="AN5" s="156"/>
      <c r="AO5" s="156"/>
      <c r="AP5" s="448"/>
      <c r="AQ5" s="449"/>
      <c r="AR5" s="450"/>
      <c r="AS5" s="439"/>
      <c r="AT5" s="450"/>
      <c r="AU5" s="439"/>
      <c r="AV5" s="447"/>
      <c r="AW5" s="156"/>
      <c r="AX5" s="156"/>
      <c r="AY5" s="156"/>
      <c r="AZ5" s="448"/>
      <c r="BA5" s="449"/>
      <c r="BB5" s="450"/>
      <c r="BC5" s="439"/>
      <c r="BD5" s="450"/>
      <c r="BE5" s="439"/>
      <c r="BF5" s="447"/>
      <c r="BH5" s="300"/>
      <c r="BI5" s="356"/>
      <c r="BJ5" s="289">
        <v>8</v>
      </c>
      <c r="BK5" s="360" t="s">
        <v>5</v>
      </c>
      <c r="BL5" s="361">
        <f>VLOOKUP(BJ2, $B$3:$E$109, 4, FALSE)</f>
        <v>0</v>
      </c>
      <c r="BM5" s="358" t="s">
        <v>5</v>
      </c>
      <c r="BN5" s="361">
        <f>VLOOKUP(BJ2, $B$3:$F$109, 5, FALSE)</f>
        <v>0</v>
      </c>
      <c r="BO5" s="359" t="s">
        <v>5</v>
      </c>
      <c r="BP5" s="370">
        <f>SUM(BL5,BN5)</f>
        <v>0</v>
      </c>
    </row>
    <row r="6" spans="2:68" ht="15.75" customHeight="1">
      <c r="B6" s="277" t="s">
        <v>150</v>
      </c>
      <c r="C6" s="277" t="s">
        <v>151</v>
      </c>
      <c r="D6" s="277" t="s">
        <v>137</v>
      </c>
      <c r="E6" s="277" t="s">
        <v>151</v>
      </c>
      <c r="F6" s="277" t="s">
        <v>137</v>
      </c>
      <c r="G6" s="277" t="s">
        <v>152</v>
      </c>
      <c r="H6" s="277" t="s">
        <v>152</v>
      </c>
      <c r="K6" s="156"/>
      <c r="L6" s="156"/>
      <c r="M6" s="440"/>
      <c r="N6" s="450"/>
      <c r="O6" s="440"/>
      <c r="P6" s="450"/>
      <c r="Q6" s="440"/>
      <c r="R6" s="447"/>
      <c r="S6" s="294"/>
      <c r="T6" s="156"/>
      <c r="U6" s="156"/>
      <c r="V6" s="156"/>
      <c r="W6" s="440"/>
      <c r="X6" s="450"/>
      <c r="Y6" s="440"/>
      <c r="Z6" s="450"/>
      <c r="AA6" s="440"/>
      <c r="AB6" s="447"/>
      <c r="AC6" s="156"/>
      <c r="AD6" s="156"/>
      <c r="AE6" s="156"/>
      <c r="AF6" s="156"/>
      <c r="AG6" s="440"/>
      <c r="AH6" s="450"/>
      <c r="AI6" s="440"/>
      <c r="AJ6" s="450"/>
      <c r="AK6" s="440"/>
      <c r="AL6" s="447"/>
      <c r="AM6" s="156"/>
      <c r="AN6" s="156"/>
      <c r="AO6" s="156"/>
      <c r="AP6" s="156"/>
      <c r="AQ6" s="440"/>
      <c r="AR6" s="450"/>
      <c r="AS6" s="440"/>
      <c r="AT6" s="450"/>
      <c r="AU6" s="440"/>
      <c r="AV6" s="447"/>
      <c r="AW6" s="156"/>
      <c r="AX6" s="156"/>
      <c r="AY6" s="156"/>
      <c r="AZ6" s="156"/>
      <c r="BA6" s="440"/>
      <c r="BB6" s="450"/>
      <c r="BC6" s="440"/>
      <c r="BD6" s="450"/>
      <c r="BE6" s="440"/>
      <c r="BF6" s="447"/>
      <c r="BH6" s="300"/>
      <c r="BI6" s="356"/>
      <c r="BJ6" s="355"/>
      <c r="BK6" s="672" t="s">
        <v>105</v>
      </c>
      <c r="BL6" s="361">
        <f>VLOOKUP(BJ2, $B$3:$E$109, 2, FALSE)</f>
        <v>0</v>
      </c>
      <c r="BM6" s="672" t="s">
        <v>105</v>
      </c>
      <c r="BN6" s="361">
        <f>VLOOKUP(BJ2, $B$3:$E$109, 3, FALSE)</f>
        <v>0</v>
      </c>
      <c r="BO6" s="673" t="s">
        <v>105</v>
      </c>
      <c r="BP6" s="370">
        <f>SUM(BL6,BN6)</f>
        <v>0</v>
      </c>
    </row>
    <row r="7" spans="2:68" ht="17.25" customHeight="1">
      <c r="B7" s="278">
        <v>42644</v>
      </c>
      <c r="C7" s="2"/>
      <c r="D7" s="337"/>
      <c r="E7" s="2"/>
      <c r="F7" s="2"/>
      <c r="G7" s="337">
        <f t="shared" ref="G7:G36" si="0">C7+D7</f>
        <v>0</v>
      </c>
      <c r="H7" s="2">
        <f t="shared" ref="H7:H36" si="1">E7+F7</f>
        <v>0</v>
      </c>
      <c r="K7" s="451"/>
      <c r="L7" s="451"/>
      <c r="M7" s="440"/>
      <c r="N7" s="156"/>
      <c r="O7" s="440"/>
      <c r="P7" s="224"/>
      <c r="Q7" s="440"/>
      <c r="R7" s="224"/>
      <c r="S7" s="156"/>
      <c r="T7" s="156"/>
      <c r="U7" s="451"/>
      <c r="V7" s="451"/>
      <c r="W7" s="440"/>
      <c r="X7" s="156"/>
      <c r="Y7" s="440"/>
      <c r="Z7" s="224"/>
      <c r="AA7" s="440"/>
      <c r="AB7" s="224"/>
      <c r="AC7" s="156"/>
      <c r="AD7" s="156"/>
      <c r="AE7" s="451"/>
      <c r="AF7" s="451"/>
      <c r="AG7" s="440"/>
      <c r="AH7" s="156"/>
      <c r="AI7" s="440"/>
      <c r="AJ7" s="224"/>
      <c r="AK7" s="440"/>
      <c r="AL7" s="224"/>
      <c r="AM7" s="156"/>
      <c r="AN7" s="156"/>
      <c r="AO7" s="451"/>
      <c r="AP7" s="451"/>
      <c r="AQ7" s="440"/>
      <c r="AR7" s="156"/>
      <c r="AS7" s="440"/>
      <c r="AT7" s="224"/>
      <c r="AU7" s="440"/>
      <c r="AV7" s="224"/>
      <c r="AW7" s="156"/>
      <c r="AX7" s="156"/>
      <c r="AY7" s="451"/>
      <c r="AZ7" s="451"/>
      <c r="BA7" s="440"/>
      <c r="BB7" s="156"/>
      <c r="BC7" s="440"/>
      <c r="BD7" s="224"/>
      <c r="BE7" s="440"/>
      <c r="BF7" s="224"/>
      <c r="BH7" s="300"/>
      <c r="BI7" s="704" t="s">
        <v>157</v>
      </c>
      <c r="BJ7" s="705"/>
      <c r="BK7" s="673"/>
      <c r="BL7" s="357"/>
      <c r="BM7" s="672"/>
      <c r="BN7" s="368"/>
      <c r="BO7" s="673"/>
      <c r="BP7" s="368"/>
    </row>
    <row r="8" spans="2:68" ht="15.75">
      <c r="B8" s="278">
        <v>42645</v>
      </c>
      <c r="C8" s="2"/>
      <c r="G8" s="150">
        <f t="shared" si="0"/>
        <v>0</v>
      </c>
      <c r="H8" s="150">
        <f t="shared" si="1"/>
        <v>0</v>
      </c>
      <c r="K8" s="451"/>
      <c r="L8" s="441"/>
      <c r="M8" s="442"/>
      <c r="N8" s="156"/>
      <c r="O8" s="440"/>
      <c r="P8" s="156"/>
      <c r="Q8" s="442"/>
      <c r="R8" s="156"/>
      <c r="S8" s="156"/>
      <c r="T8" s="156"/>
      <c r="U8" s="451"/>
      <c r="V8" s="441"/>
      <c r="W8" s="442"/>
      <c r="X8" s="156"/>
      <c r="Y8" s="440"/>
      <c r="Z8" s="156"/>
      <c r="AA8" s="442"/>
      <c r="AB8" s="156"/>
      <c r="AC8" s="156"/>
      <c r="AD8" s="156"/>
      <c r="AE8" s="451"/>
      <c r="AF8" s="441"/>
      <c r="AG8" s="442"/>
      <c r="AH8" s="156"/>
      <c r="AI8" s="440"/>
      <c r="AJ8" s="156"/>
      <c r="AK8" s="442"/>
      <c r="AL8" s="156"/>
      <c r="AM8" s="156"/>
      <c r="AN8" s="156"/>
      <c r="AO8" s="451"/>
      <c r="AP8" s="441"/>
      <c r="AQ8" s="442"/>
      <c r="AR8" s="156"/>
      <c r="AS8" s="440"/>
      <c r="AT8" s="156"/>
      <c r="AU8" s="442"/>
      <c r="AV8" s="156"/>
      <c r="AW8" s="156"/>
      <c r="AX8" s="156"/>
      <c r="AY8" s="451"/>
      <c r="AZ8" s="441"/>
      <c r="BA8" s="442"/>
      <c r="BB8" s="156"/>
      <c r="BC8" s="440"/>
      <c r="BD8" s="156"/>
      <c r="BE8" s="442"/>
      <c r="BF8" s="156"/>
      <c r="BH8" s="300"/>
      <c r="BI8" s="374"/>
      <c r="BJ8" s="372">
        <f>BP4*13</f>
        <v>0</v>
      </c>
      <c r="BK8" s="434"/>
      <c r="BL8" s="357"/>
      <c r="BM8" s="363"/>
      <c r="BN8" s="357"/>
      <c r="BO8" s="435"/>
      <c r="BP8" s="357"/>
    </row>
    <row r="9" spans="2:68" ht="18.75">
      <c r="B9" s="278">
        <v>42646</v>
      </c>
      <c r="G9" s="150">
        <f t="shared" si="0"/>
        <v>0</v>
      </c>
      <c r="H9" s="150">
        <f t="shared" si="1"/>
        <v>0</v>
      </c>
      <c r="K9" s="156"/>
      <c r="L9" s="98"/>
      <c r="M9" s="452"/>
      <c r="N9" s="295"/>
      <c r="O9" s="452"/>
      <c r="P9" s="295"/>
      <c r="Q9" s="452"/>
      <c r="R9" s="295"/>
      <c r="S9" s="295"/>
      <c r="T9" s="156"/>
      <c r="U9" s="156"/>
      <c r="V9" s="98"/>
      <c r="W9" s="452"/>
      <c r="X9" s="295"/>
      <c r="Y9" s="452"/>
      <c r="Z9" s="295"/>
      <c r="AA9" s="452"/>
      <c r="AB9" s="295"/>
      <c r="AC9" s="156"/>
      <c r="AD9" s="156"/>
      <c r="AE9" s="156"/>
      <c r="AF9" s="98"/>
      <c r="AG9" s="452"/>
      <c r="AH9" s="295"/>
      <c r="AI9" s="452"/>
      <c r="AJ9" s="295"/>
      <c r="AK9" s="452"/>
      <c r="AL9" s="295"/>
      <c r="AM9" s="156"/>
      <c r="AN9" s="156"/>
      <c r="AO9" s="156"/>
      <c r="AP9" s="98"/>
      <c r="AQ9" s="452"/>
      <c r="AR9" s="295"/>
      <c r="AS9" s="452"/>
      <c r="AT9" s="295"/>
      <c r="AU9" s="452"/>
      <c r="AV9" s="295"/>
      <c r="AW9" s="156"/>
      <c r="AX9" s="156"/>
      <c r="AY9" s="156"/>
      <c r="AZ9" s="98"/>
      <c r="BA9" s="452"/>
      <c r="BB9" s="295"/>
      <c r="BC9" s="452"/>
      <c r="BD9" s="295"/>
      <c r="BE9" s="452"/>
      <c r="BF9" s="295"/>
      <c r="BH9" s="300"/>
      <c r="BI9" s="356"/>
      <c r="BJ9" s="375"/>
      <c r="BK9" s="286" t="s">
        <v>97</v>
      </c>
      <c r="BL9" s="287" t="e">
        <f>BL6/((BL4*EFFICIENCY!$H$28))</f>
        <v>#DIV/0!</v>
      </c>
      <c r="BM9" s="286" t="s">
        <v>97</v>
      </c>
      <c r="BN9" s="287" t="e">
        <f>BN6/(BN4*EFFICIENCY!$H$28)</f>
        <v>#DIV/0!</v>
      </c>
      <c r="BO9" s="286" t="s">
        <v>97</v>
      </c>
      <c r="BP9" s="287" t="e">
        <f>BP6/(BP4*EFFICIENCY!$H$28)</f>
        <v>#DIV/0!</v>
      </c>
    </row>
    <row r="10" spans="2:68" ht="18.75" customHeight="1">
      <c r="B10" s="278">
        <v>42647</v>
      </c>
      <c r="G10" s="150">
        <f t="shared" si="0"/>
        <v>0</v>
      </c>
      <c r="H10" s="150">
        <f t="shared" si="1"/>
        <v>0</v>
      </c>
      <c r="K10" s="156"/>
      <c r="L10" s="156"/>
      <c r="M10" s="453"/>
      <c r="N10" s="296"/>
      <c r="O10" s="453"/>
      <c r="P10" s="296"/>
      <c r="Q10" s="453"/>
      <c r="R10" s="296"/>
      <c r="S10" s="296"/>
      <c r="T10" s="156"/>
      <c r="U10" s="156"/>
      <c r="V10" s="156"/>
      <c r="W10" s="453"/>
      <c r="X10" s="296"/>
      <c r="Y10" s="453"/>
      <c r="Z10" s="296"/>
      <c r="AA10" s="453"/>
      <c r="AB10" s="296"/>
      <c r="AC10" s="156"/>
      <c r="AD10" s="156"/>
      <c r="AE10" s="156"/>
      <c r="AF10" s="156"/>
      <c r="AG10" s="453"/>
      <c r="AH10" s="296"/>
      <c r="AI10" s="453"/>
      <c r="AJ10" s="296"/>
      <c r="AK10" s="453"/>
      <c r="AL10" s="296"/>
      <c r="AM10" s="156"/>
      <c r="AN10" s="156"/>
      <c r="AO10" s="156"/>
      <c r="AP10" s="156"/>
      <c r="AQ10" s="453"/>
      <c r="AR10" s="296"/>
      <c r="AS10" s="453"/>
      <c r="AT10" s="296"/>
      <c r="AU10" s="453"/>
      <c r="AV10" s="296"/>
      <c r="AW10" s="156"/>
      <c r="AX10" s="156"/>
      <c r="AY10" s="156"/>
      <c r="AZ10" s="156"/>
      <c r="BA10" s="453"/>
      <c r="BB10" s="296"/>
      <c r="BC10" s="453"/>
      <c r="BD10" s="296"/>
      <c r="BE10" s="453"/>
      <c r="BF10" s="296"/>
      <c r="BH10" s="300"/>
      <c r="BI10" s="356"/>
      <c r="BJ10" s="355"/>
      <c r="BK10" s="280" t="s">
        <v>96</v>
      </c>
      <c r="BL10" s="281" t="e">
        <f>BL6/(BL4*EFFICIENCY!$I$28)</f>
        <v>#DIV/0!</v>
      </c>
      <c r="BM10" s="280" t="s">
        <v>96</v>
      </c>
      <c r="BN10" s="281" t="e">
        <f>BN6/(BN4*EFFICIENCY!$I$28)</f>
        <v>#DIV/0!</v>
      </c>
      <c r="BO10" s="280" t="s">
        <v>96</v>
      </c>
      <c r="BP10" s="281" t="e">
        <f>BP6/(BP4*EFFICIENCY!$I$28)</f>
        <v>#DIV/0!</v>
      </c>
    </row>
    <row r="11" spans="2:68" ht="17.25" customHeight="1" thickBot="1">
      <c r="B11" s="278">
        <v>42648</v>
      </c>
      <c r="G11" s="150">
        <f t="shared" si="0"/>
        <v>0</v>
      </c>
      <c r="H11" s="150">
        <f t="shared" si="1"/>
        <v>0</v>
      </c>
      <c r="K11" s="454"/>
      <c r="L11" s="454"/>
      <c r="M11" s="455"/>
      <c r="N11" s="297"/>
      <c r="O11" s="455"/>
      <c r="P11" s="297"/>
      <c r="Q11" s="455"/>
      <c r="R11" s="297"/>
      <c r="S11" s="297"/>
      <c r="T11" s="156"/>
      <c r="U11" s="454"/>
      <c r="V11" s="454"/>
      <c r="W11" s="455"/>
      <c r="X11" s="297"/>
      <c r="Y11" s="455"/>
      <c r="Z11" s="297"/>
      <c r="AA11" s="455"/>
      <c r="AB11" s="297"/>
      <c r="AC11" s="156"/>
      <c r="AD11" s="156"/>
      <c r="AE11" s="454"/>
      <c r="AF11" s="454"/>
      <c r="AG11" s="455"/>
      <c r="AH11" s="297"/>
      <c r="AI11" s="455"/>
      <c r="AJ11" s="297"/>
      <c r="AK11" s="455"/>
      <c r="AL11" s="297"/>
      <c r="AM11" s="156"/>
      <c r="AN11" s="156"/>
      <c r="AO11" s="454"/>
      <c r="AP11" s="454"/>
      <c r="AQ11" s="455"/>
      <c r="AR11" s="297"/>
      <c r="AS11" s="455"/>
      <c r="AT11" s="297"/>
      <c r="AU11" s="455"/>
      <c r="AV11" s="297"/>
      <c r="AW11" s="156"/>
      <c r="AX11" s="156"/>
      <c r="AY11" s="454"/>
      <c r="AZ11" s="454"/>
      <c r="BA11" s="455"/>
      <c r="BB11" s="297"/>
      <c r="BC11" s="455"/>
      <c r="BD11" s="297"/>
      <c r="BE11" s="455"/>
      <c r="BF11" s="297"/>
      <c r="BH11" s="300"/>
      <c r="BI11" s="692" t="s">
        <v>156</v>
      </c>
      <c r="BJ11" s="693"/>
      <c r="BK11" s="284" t="s">
        <v>94</v>
      </c>
      <c r="BL11" s="285" t="e">
        <f>BL6/((BL4*EFFICIENCY!$K$28))</f>
        <v>#DIV/0!</v>
      </c>
      <c r="BM11" s="288" t="s">
        <v>94</v>
      </c>
      <c r="BN11" s="285" t="e">
        <f>BN6/((BN4*EFFICIENCY!$K$28))</f>
        <v>#DIV/0!</v>
      </c>
      <c r="BO11" s="284" t="s">
        <v>94</v>
      </c>
      <c r="BP11" s="285" t="e">
        <f>BP6/((BP4*EFFICIENCY!$K$28))</f>
        <v>#DIV/0!</v>
      </c>
    </row>
    <row r="12" spans="2:68" ht="16.5" thickBot="1">
      <c r="B12" s="278">
        <v>42649</v>
      </c>
      <c r="G12" s="150">
        <f t="shared" si="0"/>
        <v>0</v>
      </c>
      <c r="H12" s="150">
        <f t="shared" si="1"/>
        <v>0</v>
      </c>
      <c r="K12" s="156"/>
      <c r="L12" s="441"/>
      <c r="M12" s="456"/>
      <c r="N12" s="456"/>
      <c r="O12" s="457"/>
      <c r="P12" s="458"/>
      <c r="Q12" s="458"/>
      <c r="R12" s="298"/>
      <c r="S12" s="298"/>
      <c r="T12" s="156"/>
      <c r="U12" s="156"/>
      <c r="V12" s="441"/>
      <c r="W12" s="456"/>
      <c r="X12" s="456"/>
      <c r="Y12" s="457"/>
      <c r="Z12" s="458"/>
      <c r="AA12" s="458"/>
      <c r="AB12" s="298"/>
      <c r="AC12" s="156"/>
      <c r="AD12" s="156"/>
      <c r="AE12" s="156"/>
      <c r="AF12" s="441"/>
      <c r="AG12" s="456"/>
      <c r="AH12" s="456"/>
      <c r="AI12" s="457"/>
      <c r="AJ12" s="458"/>
      <c r="AK12" s="458"/>
      <c r="AL12" s="298"/>
      <c r="AM12" s="156"/>
      <c r="AN12" s="156"/>
      <c r="AO12" s="156"/>
      <c r="AP12" s="441"/>
      <c r="AQ12" s="456"/>
      <c r="AR12" s="456"/>
      <c r="AS12" s="457"/>
      <c r="AT12" s="458"/>
      <c r="AU12" s="458"/>
      <c r="AV12" s="298"/>
      <c r="AW12" s="156"/>
      <c r="AX12" s="156"/>
      <c r="AY12" s="156"/>
      <c r="AZ12" s="441"/>
      <c r="BA12" s="456"/>
      <c r="BB12" s="456"/>
      <c r="BC12" s="457"/>
      <c r="BD12" s="458"/>
      <c r="BE12" s="458"/>
      <c r="BF12" s="298"/>
      <c r="BH12" s="300"/>
      <c r="BI12" s="376"/>
      <c r="BJ12" s="377" t="e">
        <f>BP6/BP4</f>
        <v>#DIV/0!</v>
      </c>
      <c r="BK12" s="678" t="s">
        <v>153</v>
      </c>
      <c r="BL12" s="679"/>
      <c r="BM12" s="290"/>
      <c r="BN12" s="431"/>
      <c r="BO12" s="431" t="s">
        <v>154</v>
      </c>
      <c r="BP12" s="366">
        <f>BM12-BP6</f>
        <v>0</v>
      </c>
    </row>
    <row r="13" spans="2:68" ht="15.75" customHeight="1">
      <c r="B13" s="278">
        <v>42650</v>
      </c>
      <c r="G13" s="150">
        <f t="shared" si="0"/>
        <v>0</v>
      </c>
      <c r="H13" s="150">
        <f t="shared" si="1"/>
        <v>0</v>
      </c>
      <c r="L13" s="154"/>
      <c r="T13" s="300"/>
      <c r="V13" s="154"/>
      <c r="AD13" s="300"/>
      <c r="AF13" s="154"/>
      <c r="AN13" s="300"/>
      <c r="AP13" s="154"/>
      <c r="AX13" s="300"/>
      <c r="AZ13" s="154"/>
      <c r="BH13" s="300"/>
      <c r="BJ13" s="154"/>
    </row>
    <row r="14" spans="2:68" ht="15" customHeight="1" thickBot="1">
      <c r="B14" s="278">
        <v>42651</v>
      </c>
      <c r="G14" s="150">
        <f t="shared" si="0"/>
        <v>0</v>
      </c>
      <c r="H14" s="150">
        <f t="shared" si="1"/>
        <v>0</v>
      </c>
      <c r="K14" s="291"/>
      <c r="L14" s="291"/>
      <c r="M14" s="291"/>
      <c r="N14" s="291"/>
      <c r="O14" s="291"/>
      <c r="P14" s="291"/>
      <c r="Q14" s="291"/>
      <c r="R14" s="291"/>
      <c r="S14" s="299"/>
      <c r="T14" s="301"/>
      <c r="U14" s="291"/>
      <c r="V14" s="291"/>
      <c r="W14" s="291"/>
      <c r="X14" s="291"/>
      <c r="Y14" s="291"/>
      <c r="Z14" s="291"/>
      <c r="AA14" s="291"/>
      <c r="AB14" s="291"/>
      <c r="AC14" s="291"/>
      <c r="AD14" s="301"/>
      <c r="AE14" s="291"/>
      <c r="AF14" s="291"/>
      <c r="AG14" s="291"/>
      <c r="AH14" s="291"/>
      <c r="AI14" s="291"/>
      <c r="AJ14" s="291"/>
      <c r="AK14" s="291"/>
      <c r="AL14" s="291"/>
      <c r="AM14" s="291"/>
      <c r="AN14" s="301"/>
      <c r="AO14" s="291"/>
      <c r="AP14" s="291"/>
      <c r="AQ14" s="291"/>
      <c r="AR14" s="291"/>
      <c r="AS14" s="291"/>
      <c r="AT14" s="291"/>
      <c r="AU14" s="291"/>
      <c r="AV14" s="291"/>
      <c r="AW14" s="291"/>
      <c r="AX14" s="301"/>
      <c r="AY14" s="291"/>
      <c r="AZ14" s="291"/>
      <c r="BA14" s="291"/>
      <c r="BB14" s="291"/>
      <c r="BC14" s="291"/>
      <c r="BD14" s="291"/>
      <c r="BE14" s="291"/>
      <c r="BF14" s="291"/>
      <c r="BG14" s="291"/>
      <c r="BH14" s="300"/>
      <c r="BI14" s="291"/>
      <c r="BJ14" s="291"/>
      <c r="BK14" s="291"/>
      <c r="BL14" s="291"/>
      <c r="BM14" s="291"/>
      <c r="BN14" s="291"/>
      <c r="BO14" s="291"/>
      <c r="BP14" s="291"/>
    </row>
    <row r="15" spans="2:68" ht="15.75" thickBot="1">
      <c r="B15" s="278">
        <v>42652</v>
      </c>
      <c r="G15" s="150">
        <f t="shared" si="0"/>
        <v>0</v>
      </c>
      <c r="H15" s="150">
        <f t="shared" si="1"/>
        <v>0</v>
      </c>
      <c r="K15" s="378" t="s">
        <v>7</v>
      </c>
      <c r="L15" s="533">
        <f>B9</f>
        <v>42646</v>
      </c>
      <c r="M15" s="663" t="s">
        <v>100</v>
      </c>
      <c r="N15" s="664"/>
      <c r="O15" s="665" t="s">
        <v>99</v>
      </c>
      <c r="P15" s="666"/>
      <c r="Q15" s="667" t="s">
        <v>16</v>
      </c>
      <c r="R15" s="668"/>
      <c r="S15" s="293"/>
      <c r="T15" s="302"/>
      <c r="U15" s="378" t="s">
        <v>7</v>
      </c>
      <c r="V15" s="533">
        <f>B10</f>
        <v>42647</v>
      </c>
      <c r="W15" s="663" t="s">
        <v>100</v>
      </c>
      <c r="X15" s="664"/>
      <c r="Y15" s="665" t="s">
        <v>99</v>
      </c>
      <c r="Z15" s="666"/>
      <c r="AA15" s="667" t="s">
        <v>16</v>
      </c>
      <c r="AB15" s="668"/>
      <c r="AD15" s="300"/>
      <c r="AE15" s="378" t="s">
        <v>7</v>
      </c>
      <c r="AF15" s="533">
        <f>B11</f>
        <v>42648</v>
      </c>
      <c r="AG15" s="663" t="s">
        <v>100</v>
      </c>
      <c r="AH15" s="664"/>
      <c r="AI15" s="665" t="s">
        <v>99</v>
      </c>
      <c r="AJ15" s="666"/>
      <c r="AK15" s="667" t="s">
        <v>16</v>
      </c>
      <c r="AL15" s="668"/>
      <c r="AN15" s="300"/>
      <c r="AO15" s="378" t="s">
        <v>7</v>
      </c>
      <c r="AP15" s="533">
        <f>B12</f>
        <v>42649</v>
      </c>
      <c r="AQ15" s="663" t="s">
        <v>100</v>
      </c>
      <c r="AR15" s="664"/>
      <c r="AS15" s="665" t="s">
        <v>99</v>
      </c>
      <c r="AT15" s="666"/>
      <c r="AU15" s="667" t="s">
        <v>16</v>
      </c>
      <c r="AV15" s="668"/>
      <c r="AX15" s="300"/>
      <c r="AY15" s="378" t="s">
        <v>7</v>
      </c>
      <c r="AZ15" s="533">
        <f>B13</f>
        <v>42650</v>
      </c>
      <c r="BA15" s="663" t="s">
        <v>100</v>
      </c>
      <c r="BB15" s="664"/>
      <c r="BC15" s="665" t="s">
        <v>99</v>
      </c>
      <c r="BD15" s="666"/>
      <c r="BE15" s="667" t="s">
        <v>16</v>
      </c>
      <c r="BF15" s="668"/>
      <c r="BH15" s="300"/>
      <c r="BI15" s="378" t="s">
        <v>7</v>
      </c>
      <c r="BJ15" s="533">
        <f>B14</f>
        <v>42651</v>
      </c>
      <c r="BK15" s="663" t="s">
        <v>100</v>
      </c>
      <c r="BL15" s="664"/>
      <c r="BM15" s="665" t="s">
        <v>99</v>
      </c>
      <c r="BN15" s="666"/>
      <c r="BO15" s="667" t="s">
        <v>16</v>
      </c>
      <c r="BP15" s="668"/>
    </row>
    <row r="16" spans="2:68" ht="13.5" thickBot="1">
      <c r="B16" s="278">
        <v>42653</v>
      </c>
      <c r="G16" s="150">
        <f t="shared" si="0"/>
        <v>0</v>
      </c>
      <c r="H16" s="150">
        <f t="shared" si="1"/>
        <v>0</v>
      </c>
      <c r="K16" s="339"/>
      <c r="L16" s="338"/>
      <c r="M16" s="339"/>
      <c r="N16" s="340"/>
      <c r="O16" s="339"/>
      <c r="P16" s="340"/>
      <c r="Q16" s="338"/>
      <c r="R16" s="340"/>
      <c r="S16" s="156"/>
      <c r="T16" s="302"/>
      <c r="U16" s="339"/>
      <c r="V16" s="338"/>
      <c r="W16" s="339"/>
      <c r="X16" s="340"/>
      <c r="Y16" s="339"/>
      <c r="Z16" s="340"/>
      <c r="AA16" s="338"/>
      <c r="AB16" s="340"/>
      <c r="AD16" s="300"/>
      <c r="AE16" s="339"/>
      <c r="AF16" s="338"/>
      <c r="AG16" s="339"/>
      <c r="AH16" s="340"/>
      <c r="AI16" s="339"/>
      <c r="AJ16" s="340"/>
      <c r="AK16" s="338"/>
      <c r="AL16" s="340"/>
      <c r="AN16" s="300"/>
      <c r="AO16" s="339"/>
      <c r="AP16" s="338"/>
      <c r="AQ16" s="339"/>
      <c r="AR16" s="340"/>
      <c r="AS16" s="339"/>
      <c r="AT16" s="340"/>
      <c r="AU16" s="338"/>
      <c r="AV16" s="340"/>
      <c r="AX16" s="300"/>
      <c r="AY16" s="339"/>
      <c r="AZ16" s="338"/>
      <c r="BA16" s="339"/>
      <c r="BB16" s="340"/>
      <c r="BC16" s="339"/>
      <c r="BD16" s="340"/>
      <c r="BE16" s="338"/>
      <c r="BF16" s="340"/>
      <c r="BH16" s="300"/>
      <c r="BI16" s="339"/>
      <c r="BJ16" s="338"/>
      <c r="BK16" s="339"/>
      <c r="BL16" s="340"/>
      <c r="BM16" s="339"/>
      <c r="BN16" s="340"/>
      <c r="BO16" s="338"/>
      <c r="BP16" s="340"/>
    </row>
    <row r="17" spans="2:68" ht="16.5" thickBot="1">
      <c r="B17" s="278">
        <v>42654</v>
      </c>
      <c r="G17" s="150">
        <f t="shared" si="0"/>
        <v>0</v>
      </c>
      <c r="H17" s="150">
        <f t="shared" si="1"/>
        <v>0</v>
      </c>
      <c r="K17" s="339"/>
      <c r="L17" s="432" t="s">
        <v>155</v>
      </c>
      <c r="M17" s="342" t="s">
        <v>103</v>
      </c>
      <c r="N17" s="279"/>
      <c r="O17" s="342" t="s">
        <v>103</v>
      </c>
      <c r="P17" s="279"/>
      <c r="Q17" s="343" t="s">
        <v>103</v>
      </c>
      <c r="R17" s="344">
        <f>SUM(N17,P17)</f>
        <v>0</v>
      </c>
      <c r="S17" s="294"/>
      <c r="T17" s="302"/>
      <c r="U17" s="339"/>
      <c r="V17" s="432" t="s">
        <v>155</v>
      </c>
      <c r="W17" s="342" t="s">
        <v>103</v>
      </c>
      <c r="X17" s="279"/>
      <c r="Y17" s="342" t="s">
        <v>103</v>
      </c>
      <c r="Z17" s="279"/>
      <c r="AA17" s="343" t="s">
        <v>103</v>
      </c>
      <c r="AB17" s="344">
        <f>SUM(X17,Z17)</f>
        <v>0</v>
      </c>
      <c r="AD17" s="300"/>
      <c r="AE17" s="339"/>
      <c r="AF17" s="432" t="s">
        <v>155</v>
      </c>
      <c r="AG17" s="342" t="s">
        <v>103</v>
      </c>
      <c r="AH17" s="279"/>
      <c r="AI17" s="342" t="s">
        <v>103</v>
      </c>
      <c r="AJ17" s="279"/>
      <c r="AK17" s="343" t="s">
        <v>103</v>
      </c>
      <c r="AL17" s="344">
        <f>SUM(AH17,AJ17)</f>
        <v>0</v>
      </c>
      <c r="AN17" s="300"/>
      <c r="AO17" s="339"/>
      <c r="AP17" s="432" t="s">
        <v>155</v>
      </c>
      <c r="AQ17" s="342" t="s">
        <v>103</v>
      </c>
      <c r="AR17" s="279"/>
      <c r="AS17" s="342" t="s">
        <v>103</v>
      </c>
      <c r="AT17" s="279"/>
      <c r="AU17" s="343" t="s">
        <v>103</v>
      </c>
      <c r="AV17" s="344">
        <f>SUM(AR17,AT17)</f>
        <v>0</v>
      </c>
      <c r="AX17" s="300"/>
      <c r="AY17" s="339"/>
      <c r="AZ17" s="432" t="s">
        <v>155</v>
      </c>
      <c r="BA17" s="342" t="s">
        <v>103</v>
      </c>
      <c r="BB17" s="279"/>
      <c r="BC17" s="342" t="s">
        <v>103</v>
      </c>
      <c r="BD17" s="279"/>
      <c r="BE17" s="343" t="s">
        <v>103</v>
      </c>
      <c r="BF17" s="344">
        <f>SUM(BB17,BD17)</f>
        <v>0</v>
      </c>
      <c r="BH17" s="300"/>
      <c r="BI17" s="339"/>
      <c r="BJ17" s="432" t="s">
        <v>155</v>
      </c>
      <c r="BK17" s="342" t="s">
        <v>103</v>
      </c>
      <c r="BL17" s="279"/>
      <c r="BM17" s="342" t="s">
        <v>103</v>
      </c>
      <c r="BN17" s="279"/>
      <c r="BO17" s="343" t="s">
        <v>103</v>
      </c>
      <c r="BP17" s="344">
        <f>SUM(BL17,BN17)</f>
        <v>0</v>
      </c>
    </row>
    <row r="18" spans="2:68" ht="18.75" thickBot="1">
      <c r="B18" s="278">
        <v>42655</v>
      </c>
      <c r="G18" s="150">
        <f t="shared" si="0"/>
        <v>0</v>
      </c>
      <c r="H18" s="150">
        <f t="shared" si="1"/>
        <v>0</v>
      </c>
      <c r="K18" s="339"/>
      <c r="L18" s="289">
        <v>8</v>
      </c>
      <c r="M18" s="345" t="s">
        <v>5</v>
      </c>
      <c r="N18" s="346">
        <f>VLOOKUP(L15, $B$3:$E$109, 4, FALSE)</f>
        <v>0</v>
      </c>
      <c r="O18" s="345" t="s">
        <v>5</v>
      </c>
      <c r="P18" s="347">
        <f>VLOOKUP(L15, $B$3:$F$109, 5, FALSE)</f>
        <v>0</v>
      </c>
      <c r="Q18" s="348" t="s">
        <v>5</v>
      </c>
      <c r="R18" s="344">
        <f>SUM(N18,P18)</f>
        <v>0</v>
      </c>
      <c r="S18" s="294"/>
      <c r="T18" s="302"/>
      <c r="U18" s="339"/>
      <c r="V18" s="289">
        <v>8</v>
      </c>
      <c r="W18" s="345" t="s">
        <v>5</v>
      </c>
      <c r="X18" s="346">
        <f>VLOOKUP(V15, $B$3:$E$109, 4, FALSE)</f>
        <v>0</v>
      </c>
      <c r="Y18" s="345" t="s">
        <v>5</v>
      </c>
      <c r="Z18" s="347">
        <f>VLOOKUP(V15, $B$3:$F$109, 5, FALSE)</f>
        <v>0</v>
      </c>
      <c r="AA18" s="348" t="s">
        <v>5</v>
      </c>
      <c r="AB18" s="344">
        <f>SUM(X18,Z18)</f>
        <v>0</v>
      </c>
      <c r="AD18" s="300"/>
      <c r="AE18" s="339"/>
      <c r="AF18" s="289">
        <v>8</v>
      </c>
      <c r="AG18" s="345" t="s">
        <v>5</v>
      </c>
      <c r="AH18" s="346">
        <f>VLOOKUP(AF15, $B$3:$E$109, 4, FALSE)</f>
        <v>0</v>
      </c>
      <c r="AI18" s="345" t="s">
        <v>5</v>
      </c>
      <c r="AJ18" s="347">
        <f>VLOOKUP(AF15, $B$3:$F$109, 5, FALSE)</f>
        <v>0</v>
      </c>
      <c r="AK18" s="348" t="s">
        <v>5</v>
      </c>
      <c r="AL18" s="344">
        <f>SUM(AH18,AJ18)</f>
        <v>0</v>
      </c>
      <c r="AN18" s="300"/>
      <c r="AO18" s="339"/>
      <c r="AP18" s="289">
        <v>8</v>
      </c>
      <c r="AQ18" s="345" t="s">
        <v>5</v>
      </c>
      <c r="AR18" s="346">
        <f>VLOOKUP(AP15, $B$3:$E$109, 4, FALSE)</f>
        <v>0</v>
      </c>
      <c r="AS18" s="345" t="s">
        <v>5</v>
      </c>
      <c r="AT18" s="347">
        <f>VLOOKUP(AP15, $B$3:$F$109, 5, FALSE)</f>
        <v>0</v>
      </c>
      <c r="AU18" s="348" t="s">
        <v>5</v>
      </c>
      <c r="AV18" s="344">
        <f>SUM(AR18,AT18)</f>
        <v>0</v>
      </c>
      <c r="AX18" s="300"/>
      <c r="AY18" s="339"/>
      <c r="AZ18" s="289">
        <v>8</v>
      </c>
      <c r="BA18" s="345" t="s">
        <v>5</v>
      </c>
      <c r="BB18" s="346">
        <f>VLOOKUP(AZ15, $B$3:$E$109, 4, FALSE)</f>
        <v>0</v>
      </c>
      <c r="BC18" s="345" t="s">
        <v>5</v>
      </c>
      <c r="BD18" s="347">
        <f>VLOOKUP(AZ15, $B$3:$F$109, 5, FALSE)</f>
        <v>0</v>
      </c>
      <c r="BE18" s="348" t="s">
        <v>5</v>
      </c>
      <c r="BF18" s="344">
        <f>SUM(BB18,BD18)</f>
        <v>0</v>
      </c>
      <c r="BH18" s="300"/>
      <c r="BI18" s="339"/>
      <c r="BJ18" s="289">
        <v>8</v>
      </c>
      <c r="BK18" s="345" t="s">
        <v>5</v>
      </c>
      <c r="BL18" s="346">
        <f>VLOOKUP(BJ15, $B$3:$E$109, 4, FALSE)</f>
        <v>0</v>
      </c>
      <c r="BM18" s="345" t="s">
        <v>5</v>
      </c>
      <c r="BN18" s="347">
        <f>VLOOKUP(BJ15, $B$3:$F$109, 5, FALSE)</f>
        <v>0</v>
      </c>
      <c r="BO18" s="348" t="s">
        <v>5</v>
      </c>
      <c r="BP18" s="344">
        <f>SUM(BL18,BN18)</f>
        <v>0</v>
      </c>
    </row>
    <row r="19" spans="2:68" ht="15.75" customHeight="1">
      <c r="B19" s="278">
        <v>42656</v>
      </c>
      <c r="G19" s="150">
        <f t="shared" si="0"/>
        <v>0</v>
      </c>
      <c r="H19" s="150">
        <f t="shared" si="1"/>
        <v>0</v>
      </c>
      <c r="K19" s="339"/>
      <c r="L19" s="338"/>
      <c r="M19" s="669" t="s">
        <v>105</v>
      </c>
      <c r="N19" s="346">
        <f>VLOOKUP(L15, $B$3:$E$109, 2, FALSE)</f>
        <v>0</v>
      </c>
      <c r="O19" s="669" t="s">
        <v>105</v>
      </c>
      <c r="P19" s="347">
        <f>VLOOKUP(L15, $B$3:$E$109, 3, FALSE)</f>
        <v>0</v>
      </c>
      <c r="Q19" s="670" t="s">
        <v>105</v>
      </c>
      <c r="R19" s="344">
        <f>SUM(N19,P19)</f>
        <v>0</v>
      </c>
      <c r="S19" s="294"/>
      <c r="T19" s="302"/>
      <c r="U19" s="339"/>
      <c r="V19" s="338"/>
      <c r="W19" s="669" t="s">
        <v>105</v>
      </c>
      <c r="X19" s="346">
        <f>VLOOKUP(V15, $B$3:$E$109, 2, FALSE)</f>
        <v>0</v>
      </c>
      <c r="Y19" s="669" t="s">
        <v>105</v>
      </c>
      <c r="Z19" s="347">
        <f>VLOOKUP(V15, $B$3:$E$109, 3, FALSE)</f>
        <v>0</v>
      </c>
      <c r="AA19" s="670" t="s">
        <v>105</v>
      </c>
      <c r="AB19" s="344">
        <f>SUM(X19,Z19)</f>
        <v>0</v>
      </c>
      <c r="AD19" s="300"/>
      <c r="AE19" s="339"/>
      <c r="AF19" s="338"/>
      <c r="AG19" s="669" t="s">
        <v>105</v>
      </c>
      <c r="AH19" s="346">
        <f>VLOOKUP(AF15, $B$3:$E$109, 2, FALSE)</f>
        <v>0</v>
      </c>
      <c r="AI19" s="669" t="s">
        <v>105</v>
      </c>
      <c r="AJ19" s="347">
        <f>VLOOKUP(AF15, $B$3:$E$109, 3, FALSE)</f>
        <v>0</v>
      </c>
      <c r="AK19" s="670" t="s">
        <v>105</v>
      </c>
      <c r="AL19" s="344">
        <f>SUM(AH19,AJ19)</f>
        <v>0</v>
      </c>
      <c r="AN19" s="300"/>
      <c r="AO19" s="339"/>
      <c r="AP19" s="338"/>
      <c r="AQ19" s="669" t="s">
        <v>105</v>
      </c>
      <c r="AR19" s="346">
        <f>VLOOKUP(AP15, $B$3:$E$109, 2, FALSE)</f>
        <v>0</v>
      </c>
      <c r="AS19" s="669" t="s">
        <v>105</v>
      </c>
      <c r="AT19" s="347">
        <f>VLOOKUP(AP15, $B$3:$E$109, 3, FALSE)</f>
        <v>0</v>
      </c>
      <c r="AU19" s="670" t="s">
        <v>105</v>
      </c>
      <c r="AV19" s="344">
        <f>SUM(AR19,AT19)</f>
        <v>0</v>
      </c>
      <c r="AX19" s="300"/>
      <c r="AY19" s="339"/>
      <c r="AZ19" s="338"/>
      <c r="BA19" s="669" t="s">
        <v>105</v>
      </c>
      <c r="BB19" s="346">
        <f>VLOOKUP(AZ15, $B$3:$E$109, 2, FALSE)</f>
        <v>0</v>
      </c>
      <c r="BC19" s="669" t="s">
        <v>105</v>
      </c>
      <c r="BD19" s="347">
        <f>VLOOKUP(AZ15, $B$3:$E$109, 3, FALSE)</f>
        <v>0</v>
      </c>
      <c r="BE19" s="670" t="s">
        <v>105</v>
      </c>
      <c r="BF19" s="344">
        <f>SUM(BB19,BD19)</f>
        <v>0</v>
      </c>
      <c r="BH19" s="300"/>
      <c r="BI19" s="339"/>
      <c r="BJ19" s="338"/>
      <c r="BK19" s="669" t="s">
        <v>105</v>
      </c>
      <c r="BL19" s="346">
        <f>VLOOKUP(BJ15, $B$3:$E$109, 2, FALSE)</f>
        <v>0</v>
      </c>
      <c r="BM19" s="669" t="s">
        <v>105</v>
      </c>
      <c r="BN19" s="347">
        <f>VLOOKUP(BJ15, $B$3:$E$109, 3, FALSE)</f>
        <v>0</v>
      </c>
      <c r="BO19" s="670" t="s">
        <v>105</v>
      </c>
      <c r="BP19" s="344">
        <f>SUM(BL19,BN19)</f>
        <v>0</v>
      </c>
    </row>
    <row r="20" spans="2:68" ht="12.75" customHeight="1">
      <c r="B20" s="278">
        <v>42657</v>
      </c>
      <c r="G20" s="150">
        <f t="shared" si="0"/>
        <v>0</v>
      </c>
      <c r="H20" s="150">
        <f t="shared" si="1"/>
        <v>0</v>
      </c>
      <c r="K20" s="698" t="s">
        <v>157</v>
      </c>
      <c r="L20" s="699"/>
      <c r="M20" s="670"/>
      <c r="N20" s="340"/>
      <c r="O20" s="669"/>
      <c r="P20" s="340"/>
      <c r="Q20" s="670"/>
      <c r="R20" s="340"/>
      <c r="S20" s="156"/>
      <c r="T20" s="302"/>
      <c r="U20" s="698" t="s">
        <v>157</v>
      </c>
      <c r="V20" s="699"/>
      <c r="W20" s="670"/>
      <c r="X20" s="340"/>
      <c r="Y20" s="669"/>
      <c r="Z20" s="340"/>
      <c r="AA20" s="670"/>
      <c r="AB20" s="340"/>
      <c r="AD20" s="300"/>
      <c r="AE20" s="698" t="s">
        <v>157</v>
      </c>
      <c r="AF20" s="699"/>
      <c r="AG20" s="670"/>
      <c r="AH20" s="340"/>
      <c r="AI20" s="669"/>
      <c r="AJ20" s="340"/>
      <c r="AK20" s="670"/>
      <c r="AL20" s="340"/>
      <c r="AN20" s="300"/>
      <c r="AO20" s="698" t="s">
        <v>157</v>
      </c>
      <c r="AP20" s="699"/>
      <c r="AQ20" s="670"/>
      <c r="AR20" s="340"/>
      <c r="AS20" s="669"/>
      <c r="AT20" s="340"/>
      <c r="AU20" s="670"/>
      <c r="AV20" s="340"/>
      <c r="AX20" s="300"/>
      <c r="AY20" s="698" t="s">
        <v>157</v>
      </c>
      <c r="AZ20" s="699"/>
      <c r="BA20" s="670"/>
      <c r="BB20" s="340"/>
      <c r="BC20" s="669"/>
      <c r="BD20" s="340"/>
      <c r="BE20" s="670"/>
      <c r="BF20" s="340"/>
      <c r="BH20" s="300"/>
      <c r="BI20" s="698" t="s">
        <v>157</v>
      </c>
      <c r="BJ20" s="699"/>
      <c r="BK20" s="670"/>
      <c r="BL20" s="340"/>
      <c r="BM20" s="669"/>
      <c r="BN20" s="340"/>
      <c r="BO20" s="670"/>
      <c r="BP20" s="340"/>
    </row>
    <row r="21" spans="2:68" ht="15.75">
      <c r="B21" s="278">
        <v>42658</v>
      </c>
      <c r="G21" s="150">
        <f t="shared" si="0"/>
        <v>0</v>
      </c>
      <c r="H21" s="150">
        <f t="shared" si="1"/>
        <v>0</v>
      </c>
      <c r="K21" s="379"/>
      <c r="L21" s="349">
        <f>R17*13</f>
        <v>0</v>
      </c>
      <c r="M21" s="429"/>
      <c r="N21" s="340"/>
      <c r="O21" s="351"/>
      <c r="P21" s="340"/>
      <c r="Q21" s="430"/>
      <c r="R21" s="340"/>
      <c r="S21" s="156"/>
      <c r="T21" s="302"/>
      <c r="U21" s="379"/>
      <c r="V21" s="349">
        <f>AB17*13</f>
        <v>0</v>
      </c>
      <c r="W21" s="429"/>
      <c r="X21" s="340"/>
      <c r="Y21" s="351"/>
      <c r="Z21" s="340"/>
      <c r="AA21" s="430"/>
      <c r="AB21" s="340"/>
      <c r="AD21" s="300"/>
      <c r="AE21" s="379"/>
      <c r="AF21" s="349">
        <f>AL17*13</f>
        <v>0</v>
      </c>
      <c r="AG21" s="429"/>
      <c r="AH21" s="340"/>
      <c r="AI21" s="351"/>
      <c r="AJ21" s="340"/>
      <c r="AK21" s="430"/>
      <c r="AL21" s="340"/>
      <c r="AN21" s="300"/>
      <c r="AO21" s="379"/>
      <c r="AP21" s="349">
        <f>AV17*13</f>
        <v>0</v>
      </c>
      <c r="AQ21" s="429"/>
      <c r="AR21" s="340"/>
      <c r="AS21" s="351"/>
      <c r="AT21" s="340"/>
      <c r="AU21" s="430"/>
      <c r="AV21" s="340"/>
      <c r="AX21" s="300"/>
      <c r="AY21" s="379"/>
      <c r="AZ21" s="349">
        <f>BF17*13</f>
        <v>0</v>
      </c>
      <c r="BA21" s="429"/>
      <c r="BB21" s="340"/>
      <c r="BC21" s="351"/>
      <c r="BD21" s="340"/>
      <c r="BE21" s="430"/>
      <c r="BF21" s="340"/>
      <c r="BH21" s="300"/>
      <c r="BI21" s="379"/>
      <c r="BJ21" s="349">
        <f>BP17*13</f>
        <v>0</v>
      </c>
      <c r="BK21" s="429"/>
      <c r="BL21" s="340"/>
      <c r="BM21" s="351"/>
      <c r="BN21" s="340"/>
      <c r="BO21" s="430"/>
      <c r="BP21" s="340"/>
    </row>
    <row r="22" spans="2:68" ht="18.75">
      <c r="B22" s="278">
        <v>42659</v>
      </c>
      <c r="G22" s="150">
        <f t="shared" si="0"/>
        <v>0</v>
      </c>
      <c r="H22" s="150">
        <f t="shared" si="1"/>
        <v>0</v>
      </c>
      <c r="K22" s="339"/>
      <c r="L22" s="380"/>
      <c r="M22" s="286" t="s">
        <v>97</v>
      </c>
      <c r="N22" s="287" t="e">
        <f>N19/((N17*EFFICIENCY!$H$28))</f>
        <v>#DIV/0!</v>
      </c>
      <c r="O22" s="286" t="s">
        <v>97</v>
      </c>
      <c r="P22" s="287" t="e">
        <f>P19/(P17*EFFICIENCY!$H$28)</f>
        <v>#DIV/0!</v>
      </c>
      <c r="Q22" s="286" t="s">
        <v>97</v>
      </c>
      <c r="R22" s="287" t="e">
        <f>R19/(R17*EFFICIENCY!$H$28)</f>
        <v>#DIV/0!</v>
      </c>
      <c r="S22" s="295"/>
      <c r="T22" s="302"/>
      <c r="U22" s="339"/>
      <c r="V22" s="380"/>
      <c r="W22" s="286" t="s">
        <v>97</v>
      </c>
      <c r="X22" s="287" t="e">
        <f>X19/((X17*EFFICIENCY!$H$28))</f>
        <v>#DIV/0!</v>
      </c>
      <c r="Y22" s="286" t="s">
        <v>97</v>
      </c>
      <c r="Z22" s="287" t="e">
        <f>Z19/(Z17*EFFICIENCY!$H$28)</f>
        <v>#DIV/0!</v>
      </c>
      <c r="AA22" s="286" t="s">
        <v>97</v>
      </c>
      <c r="AB22" s="287" t="e">
        <f>AB19/(AB17*EFFICIENCY!$H$28)</f>
        <v>#DIV/0!</v>
      </c>
      <c r="AD22" s="300"/>
      <c r="AE22" s="339"/>
      <c r="AF22" s="380"/>
      <c r="AG22" s="286" t="s">
        <v>97</v>
      </c>
      <c r="AH22" s="287" t="e">
        <f>AH19/((AH17*EFFICIENCY!$H$28))</f>
        <v>#DIV/0!</v>
      </c>
      <c r="AI22" s="286" t="s">
        <v>97</v>
      </c>
      <c r="AJ22" s="287" t="e">
        <f>AJ19/(AJ17*EFFICIENCY!$H$28)</f>
        <v>#DIV/0!</v>
      </c>
      <c r="AK22" s="286" t="s">
        <v>97</v>
      </c>
      <c r="AL22" s="287" t="e">
        <f>AL19/(AL17*EFFICIENCY!$H$28)</f>
        <v>#DIV/0!</v>
      </c>
      <c r="AN22" s="300"/>
      <c r="AO22" s="339"/>
      <c r="AP22" s="380"/>
      <c r="AQ22" s="286" t="s">
        <v>97</v>
      </c>
      <c r="AR22" s="287" t="e">
        <f>AR19/((AR17*EFFICIENCY!$H$28))</f>
        <v>#DIV/0!</v>
      </c>
      <c r="AS22" s="286" t="s">
        <v>97</v>
      </c>
      <c r="AT22" s="287" t="e">
        <f>AT19/(AT17*EFFICIENCY!$H$28)</f>
        <v>#DIV/0!</v>
      </c>
      <c r="AU22" s="286" t="s">
        <v>97</v>
      </c>
      <c r="AV22" s="287" t="e">
        <f>AV19/(AV17*EFFICIENCY!$H$28)</f>
        <v>#DIV/0!</v>
      </c>
      <c r="AX22" s="300"/>
      <c r="AY22" s="339"/>
      <c r="AZ22" s="380"/>
      <c r="BA22" s="286" t="s">
        <v>97</v>
      </c>
      <c r="BB22" s="287" t="e">
        <f>BB19/((BB17*EFFICIENCY!$H$28))</f>
        <v>#DIV/0!</v>
      </c>
      <c r="BC22" s="286" t="s">
        <v>97</v>
      </c>
      <c r="BD22" s="287" t="e">
        <f>BD19/(BD17*EFFICIENCY!$H$28)</f>
        <v>#DIV/0!</v>
      </c>
      <c r="BE22" s="286" t="s">
        <v>97</v>
      </c>
      <c r="BF22" s="287" t="e">
        <f>BF19/(BF17*EFFICIENCY!$H$28)</f>
        <v>#DIV/0!</v>
      </c>
      <c r="BH22" s="300"/>
      <c r="BI22" s="339"/>
      <c r="BJ22" s="380"/>
      <c r="BK22" s="286" t="s">
        <v>97</v>
      </c>
      <c r="BL22" s="287" t="e">
        <f>BL19/((BL17*EFFICIENCY!$H$28))</f>
        <v>#DIV/0!</v>
      </c>
      <c r="BM22" s="286" t="s">
        <v>97</v>
      </c>
      <c r="BN22" s="287" t="e">
        <f>BN19/(BN17*EFFICIENCY!$H$28)</f>
        <v>#DIV/0!</v>
      </c>
      <c r="BO22" s="286" t="s">
        <v>97</v>
      </c>
      <c r="BP22" s="287" t="e">
        <f>BP19/(BP17*EFFICIENCY!$H$28)</f>
        <v>#DIV/0!</v>
      </c>
    </row>
    <row r="23" spans="2:68" ht="18.75">
      <c r="B23" s="278">
        <v>42660</v>
      </c>
      <c r="G23" s="150">
        <f t="shared" si="0"/>
        <v>0</v>
      </c>
      <c r="H23" s="150">
        <f t="shared" si="1"/>
        <v>0</v>
      </c>
      <c r="K23" s="339"/>
      <c r="L23" s="338"/>
      <c r="M23" s="280" t="s">
        <v>96</v>
      </c>
      <c r="N23" s="281" t="e">
        <f>N19/(N17*EFFICIENCY!$I$28)</f>
        <v>#DIV/0!</v>
      </c>
      <c r="O23" s="280" t="s">
        <v>96</v>
      </c>
      <c r="P23" s="281" t="e">
        <f>P19/(P17*EFFICIENCY!$I$28)</f>
        <v>#DIV/0!</v>
      </c>
      <c r="Q23" s="280" t="s">
        <v>96</v>
      </c>
      <c r="R23" s="281" t="e">
        <f>R19/(R17*EFFICIENCY!$I$28)</f>
        <v>#DIV/0!</v>
      </c>
      <c r="S23" s="296"/>
      <c r="T23" s="302"/>
      <c r="U23" s="339"/>
      <c r="V23" s="338"/>
      <c r="W23" s="280" t="s">
        <v>96</v>
      </c>
      <c r="X23" s="281" t="e">
        <f>X19/(X17*EFFICIENCY!$I$28)</f>
        <v>#DIV/0!</v>
      </c>
      <c r="Y23" s="280" t="s">
        <v>96</v>
      </c>
      <c r="Z23" s="281" t="e">
        <f>Z19/(Z17*EFFICIENCY!$I$28)</f>
        <v>#DIV/0!</v>
      </c>
      <c r="AA23" s="280" t="s">
        <v>96</v>
      </c>
      <c r="AB23" s="281" t="e">
        <f>AB19/(AB17*EFFICIENCY!$I$28)</f>
        <v>#DIV/0!</v>
      </c>
      <c r="AD23" s="300"/>
      <c r="AE23" s="339"/>
      <c r="AF23" s="338"/>
      <c r="AG23" s="280" t="s">
        <v>96</v>
      </c>
      <c r="AH23" s="281" t="e">
        <f>AH19/(AH17*EFFICIENCY!$I$28)</f>
        <v>#DIV/0!</v>
      </c>
      <c r="AI23" s="280" t="s">
        <v>96</v>
      </c>
      <c r="AJ23" s="281" t="e">
        <f>AJ19/(AJ17*EFFICIENCY!$I$28)</f>
        <v>#DIV/0!</v>
      </c>
      <c r="AK23" s="280" t="s">
        <v>96</v>
      </c>
      <c r="AL23" s="281" t="e">
        <f>AL19/(AL17*EFFICIENCY!$I$28)</f>
        <v>#DIV/0!</v>
      </c>
      <c r="AN23" s="300"/>
      <c r="AO23" s="339"/>
      <c r="AP23" s="338"/>
      <c r="AQ23" s="280" t="s">
        <v>96</v>
      </c>
      <c r="AR23" s="281" t="e">
        <f>AR19/(AR17*EFFICIENCY!$I$28)</f>
        <v>#DIV/0!</v>
      </c>
      <c r="AS23" s="280" t="s">
        <v>96</v>
      </c>
      <c r="AT23" s="281" t="e">
        <f>AT19/(AT17*EFFICIENCY!$I$28)</f>
        <v>#DIV/0!</v>
      </c>
      <c r="AU23" s="280" t="s">
        <v>96</v>
      </c>
      <c r="AV23" s="281" t="e">
        <f>AV19/(AV17*EFFICIENCY!$I$28)</f>
        <v>#DIV/0!</v>
      </c>
      <c r="AX23" s="300"/>
      <c r="AY23" s="339"/>
      <c r="AZ23" s="338"/>
      <c r="BA23" s="280" t="s">
        <v>96</v>
      </c>
      <c r="BB23" s="281" t="e">
        <f>BB19/(BB17*EFFICIENCY!$I$28)</f>
        <v>#DIV/0!</v>
      </c>
      <c r="BC23" s="280" t="s">
        <v>96</v>
      </c>
      <c r="BD23" s="281" t="e">
        <f>BD19/(BD17*EFFICIENCY!$I$28)</f>
        <v>#DIV/0!</v>
      </c>
      <c r="BE23" s="280" t="s">
        <v>96</v>
      </c>
      <c r="BF23" s="281" t="e">
        <f>BF19/(BF17*EFFICIENCY!$I$28)</f>
        <v>#DIV/0!</v>
      </c>
      <c r="BH23" s="300"/>
      <c r="BI23" s="339"/>
      <c r="BJ23" s="338"/>
      <c r="BK23" s="280" t="s">
        <v>96</v>
      </c>
      <c r="BL23" s="281" t="e">
        <f>BL19/(BL17*EFFICIENCY!$I$28)</f>
        <v>#DIV/0!</v>
      </c>
      <c r="BM23" s="280" t="s">
        <v>96</v>
      </c>
      <c r="BN23" s="281" t="e">
        <f>BN19/(BN17*EFFICIENCY!$I$28)</f>
        <v>#DIV/0!</v>
      </c>
      <c r="BO23" s="280" t="s">
        <v>96</v>
      </c>
      <c r="BP23" s="281" t="e">
        <f>BP19/(BP17*EFFICIENCY!$I$28)</f>
        <v>#DIV/0!</v>
      </c>
    </row>
    <row r="24" spans="2:68" ht="19.5" customHeight="1" thickBot="1">
      <c r="B24" s="278">
        <v>42661</v>
      </c>
      <c r="G24" s="150">
        <f t="shared" si="0"/>
        <v>0</v>
      </c>
      <c r="H24" s="150">
        <f t="shared" si="1"/>
        <v>0</v>
      </c>
      <c r="K24" s="694" t="s">
        <v>156</v>
      </c>
      <c r="L24" s="695"/>
      <c r="M24" s="284" t="s">
        <v>94</v>
      </c>
      <c r="N24" s="285" t="e">
        <f>N19/((N17*EFFICIENCY!$K$28))</f>
        <v>#DIV/0!</v>
      </c>
      <c r="O24" s="288" t="s">
        <v>94</v>
      </c>
      <c r="P24" s="285" t="e">
        <f>P19/((P17*EFFICIENCY!$K$28))</f>
        <v>#DIV/0!</v>
      </c>
      <c r="Q24" s="284" t="s">
        <v>94</v>
      </c>
      <c r="R24" s="285" t="e">
        <f>R19/((R17*EFFICIENCY!$K$28))</f>
        <v>#DIV/0!</v>
      </c>
      <c r="S24" s="297"/>
      <c r="T24" s="302"/>
      <c r="U24" s="694" t="s">
        <v>156</v>
      </c>
      <c r="V24" s="695"/>
      <c r="W24" s="284" t="s">
        <v>94</v>
      </c>
      <c r="X24" s="285" t="e">
        <f>X19/((X17*EFFICIENCY!$K$28))</f>
        <v>#DIV/0!</v>
      </c>
      <c r="Y24" s="288" t="s">
        <v>94</v>
      </c>
      <c r="Z24" s="285" t="e">
        <f>Z19/((Z17*EFFICIENCY!$K$28))</f>
        <v>#DIV/0!</v>
      </c>
      <c r="AA24" s="284" t="s">
        <v>94</v>
      </c>
      <c r="AB24" s="285" t="e">
        <f>AB19/((AB17*EFFICIENCY!$K$28))</f>
        <v>#DIV/0!</v>
      </c>
      <c r="AD24" s="300"/>
      <c r="AE24" s="694" t="s">
        <v>156</v>
      </c>
      <c r="AF24" s="695"/>
      <c r="AG24" s="284" t="s">
        <v>94</v>
      </c>
      <c r="AH24" s="285" t="e">
        <f>AH19/((AH17*EFFICIENCY!$K$28))</f>
        <v>#DIV/0!</v>
      </c>
      <c r="AI24" s="288" t="s">
        <v>94</v>
      </c>
      <c r="AJ24" s="285" t="e">
        <f>AJ19/((AJ17*EFFICIENCY!$K$28))</f>
        <v>#DIV/0!</v>
      </c>
      <c r="AK24" s="284" t="s">
        <v>94</v>
      </c>
      <c r="AL24" s="285" t="e">
        <f>AL19/((AL17*EFFICIENCY!$K$28))</f>
        <v>#DIV/0!</v>
      </c>
      <c r="AN24" s="300"/>
      <c r="AO24" s="694" t="s">
        <v>156</v>
      </c>
      <c r="AP24" s="695"/>
      <c r="AQ24" s="284" t="s">
        <v>94</v>
      </c>
      <c r="AR24" s="285" t="e">
        <f>AR19/((AR17*EFFICIENCY!$K$28))</f>
        <v>#DIV/0!</v>
      </c>
      <c r="AS24" s="288" t="s">
        <v>94</v>
      </c>
      <c r="AT24" s="285" t="e">
        <f>AT19/((AT17*EFFICIENCY!$K$28))</f>
        <v>#DIV/0!</v>
      </c>
      <c r="AU24" s="284" t="s">
        <v>94</v>
      </c>
      <c r="AV24" s="285" t="e">
        <f>AV19/((AV17*EFFICIENCY!$K$28))</f>
        <v>#DIV/0!</v>
      </c>
      <c r="AX24" s="300"/>
      <c r="AY24" s="694" t="s">
        <v>156</v>
      </c>
      <c r="AZ24" s="695"/>
      <c r="BA24" s="284" t="s">
        <v>94</v>
      </c>
      <c r="BB24" s="285" t="e">
        <f>BB19/((BB17*EFFICIENCY!$K$28))</f>
        <v>#DIV/0!</v>
      </c>
      <c r="BC24" s="288" t="s">
        <v>94</v>
      </c>
      <c r="BD24" s="285" t="e">
        <f>BD19/((BD17*EFFICIENCY!$K$28))</f>
        <v>#DIV/0!</v>
      </c>
      <c r="BE24" s="284" t="s">
        <v>94</v>
      </c>
      <c r="BF24" s="285" t="e">
        <f>BF19/((BF17*EFFICIENCY!$K$28))</f>
        <v>#DIV/0!</v>
      </c>
      <c r="BH24" s="300"/>
      <c r="BI24" s="694" t="s">
        <v>156</v>
      </c>
      <c r="BJ24" s="695"/>
      <c r="BK24" s="284" t="s">
        <v>94</v>
      </c>
      <c r="BL24" s="285" t="e">
        <f>BL19/((BL17*EFFICIENCY!$K$28))</f>
        <v>#DIV/0!</v>
      </c>
      <c r="BM24" s="288" t="s">
        <v>94</v>
      </c>
      <c r="BN24" s="285" t="e">
        <f>BN19/((BN17*EFFICIENCY!$K$28))</f>
        <v>#DIV/0!</v>
      </c>
      <c r="BO24" s="284" t="s">
        <v>94</v>
      </c>
      <c r="BP24" s="285" t="e">
        <f>BP19/((BP17*EFFICIENCY!$K$28))</f>
        <v>#DIV/0!</v>
      </c>
    </row>
    <row r="25" spans="2:68" ht="16.5" thickBot="1">
      <c r="B25" s="278">
        <v>42662</v>
      </c>
      <c r="G25" s="150">
        <f t="shared" si="0"/>
        <v>0</v>
      </c>
      <c r="H25" s="150">
        <f t="shared" si="1"/>
        <v>0</v>
      </c>
      <c r="K25" s="381"/>
      <c r="L25" s="382" t="e">
        <f>R19/R17</f>
        <v>#DIV/0!</v>
      </c>
      <c r="M25" s="661" t="s">
        <v>153</v>
      </c>
      <c r="N25" s="662"/>
      <c r="O25" s="290"/>
      <c r="P25" s="427"/>
      <c r="Q25" s="427" t="s">
        <v>154</v>
      </c>
      <c r="R25" s="354">
        <f>O25-R19</f>
        <v>0</v>
      </c>
      <c r="S25" s="298"/>
      <c r="T25" s="300"/>
      <c r="U25" s="381"/>
      <c r="V25" s="382" t="e">
        <f>AB19/AB17</f>
        <v>#DIV/0!</v>
      </c>
      <c r="W25" s="661" t="s">
        <v>153</v>
      </c>
      <c r="X25" s="662"/>
      <c r="Y25" s="290"/>
      <c r="Z25" s="427"/>
      <c r="AA25" s="427" t="s">
        <v>154</v>
      </c>
      <c r="AB25" s="354">
        <f>Y25-AB19</f>
        <v>0</v>
      </c>
      <c r="AD25" s="300"/>
      <c r="AE25" s="381"/>
      <c r="AF25" s="382" t="e">
        <f>AL19/AL17</f>
        <v>#DIV/0!</v>
      </c>
      <c r="AG25" s="661" t="s">
        <v>153</v>
      </c>
      <c r="AH25" s="662"/>
      <c r="AI25" s="290"/>
      <c r="AJ25" s="427"/>
      <c r="AK25" s="427" t="s">
        <v>154</v>
      </c>
      <c r="AL25" s="354">
        <f>AI25-AL19</f>
        <v>0</v>
      </c>
      <c r="AN25" s="300"/>
      <c r="AO25" s="381"/>
      <c r="AP25" s="382" t="e">
        <f>AV19/AV17</f>
        <v>#DIV/0!</v>
      </c>
      <c r="AQ25" s="661" t="s">
        <v>153</v>
      </c>
      <c r="AR25" s="662"/>
      <c r="AS25" s="290"/>
      <c r="AT25" s="427"/>
      <c r="AU25" s="427" t="s">
        <v>154</v>
      </c>
      <c r="AV25" s="354">
        <f>AS25-AV19</f>
        <v>0</v>
      </c>
      <c r="AX25" s="300"/>
      <c r="AY25" s="381"/>
      <c r="AZ25" s="382" t="e">
        <f>BF19/BF17</f>
        <v>#DIV/0!</v>
      </c>
      <c r="BA25" s="661" t="s">
        <v>153</v>
      </c>
      <c r="BB25" s="662"/>
      <c r="BC25" s="290"/>
      <c r="BD25" s="427"/>
      <c r="BE25" s="427" t="s">
        <v>154</v>
      </c>
      <c r="BF25" s="354">
        <f>BC25-BF19</f>
        <v>0</v>
      </c>
      <c r="BH25" s="300"/>
      <c r="BI25" s="381"/>
      <c r="BJ25" s="382" t="e">
        <f>BP19/BP17</f>
        <v>#DIV/0!</v>
      </c>
      <c r="BK25" s="661" t="s">
        <v>153</v>
      </c>
      <c r="BL25" s="662"/>
      <c r="BM25" s="290"/>
      <c r="BN25" s="427"/>
      <c r="BO25" s="427" t="s">
        <v>154</v>
      </c>
      <c r="BP25" s="354">
        <f>BM25-BP19</f>
        <v>0</v>
      </c>
    </row>
    <row r="26" spans="2:68">
      <c r="B26" s="278">
        <v>42663</v>
      </c>
      <c r="G26" s="150">
        <f t="shared" si="0"/>
        <v>0</v>
      </c>
      <c r="H26" s="150">
        <f t="shared" si="1"/>
        <v>0</v>
      </c>
      <c r="T26" s="300"/>
      <c r="AD26" s="300"/>
      <c r="AN26" s="300"/>
      <c r="AX26" s="300"/>
      <c r="BH26" s="300"/>
    </row>
    <row r="27" spans="2:68" ht="13.5" thickBot="1">
      <c r="B27" s="278">
        <v>42664</v>
      </c>
      <c r="G27" s="150">
        <f t="shared" si="0"/>
        <v>0</v>
      </c>
      <c r="H27" s="150">
        <f t="shared" si="1"/>
        <v>0</v>
      </c>
      <c r="J27" s="291"/>
      <c r="K27" s="291"/>
      <c r="L27" s="291"/>
      <c r="M27" s="291"/>
      <c r="N27" s="291"/>
      <c r="O27" s="291"/>
      <c r="P27" s="291"/>
      <c r="Q27" s="291"/>
      <c r="R27" s="291"/>
      <c r="S27" s="299"/>
      <c r="T27" s="301"/>
      <c r="U27" s="291"/>
      <c r="V27" s="291"/>
      <c r="W27" s="291"/>
      <c r="X27" s="291"/>
      <c r="Y27" s="291"/>
      <c r="Z27" s="291"/>
      <c r="AA27" s="291"/>
      <c r="AB27" s="291"/>
      <c r="AC27" s="291"/>
      <c r="AD27" s="301"/>
      <c r="AE27" s="291"/>
      <c r="AF27" s="291"/>
      <c r="AG27" s="291"/>
      <c r="AH27" s="291"/>
      <c r="AI27" s="291"/>
      <c r="AJ27" s="291"/>
      <c r="AK27" s="291"/>
      <c r="AL27" s="291"/>
      <c r="AM27" s="291"/>
      <c r="AN27" s="301"/>
      <c r="AO27" s="291"/>
      <c r="AP27" s="291"/>
      <c r="AQ27" s="291"/>
      <c r="AR27" s="291"/>
      <c r="AS27" s="291"/>
      <c r="AT27" s="291"/>
      <c r="AU27" s="291"/>
      <c r="AV27" s="291"/>
      <c r="AW27" s="291"/>
      <c r="AX27" s="301"/>
      <c r="AY27" s="291"/>
      <c r="AZ27" s="291"/>
      <c r="BA27" s="291"/>
      <c r="BB27" s="291"/>
      <c r="BC27" s="291"/>
      <c r="BD27" s="291"/>
      <c r="BE27" s="291"/>
      <c r="BF27" s="291"/>
      <c r="BG27" s="291"/>
      <c r="BH27" s="301"/>
      <c r="BI27" s="291"/>
      <c r="BJ27" s="291"/>
      <c r="BK27" s="291"/>
      <c r="BL27" s="291"/>
      <c r="BM27" s="291"/>
      <c r="BN27" s="291"/>
      <c r="BO27" s="291"/>
      <c r="BP27" s="291"/>
    </row>
    <row r="28" spans="2:68" ht="15.75" thickBot="1">
      <c r="B28" s="278">
        <v>42665</v>
      </c>
      <c r="G28" s="150">
        <f t="shared" si="0"/>
        <v>0</v>
      </c>
      <c r="H28" s="150">
        <f t="shared" si="1"/>
        <v>0</v>
      </c>
      <c r="J28" s="154"/>
      <c r="K28" s="383" t="s">
        <v>7</v>
      </c>
      <c r="L28" s="534">
        <f>B16</f>
        <v>42653</v>
      </c>
      <c r="M28" s="680" t="s">
        <v>100</v>
      </c>
      <c r="N28" s="681"/>
      <c r="O28" s="682" t="s">
        <v>99</v>
      </c>
      <c r="P28" s="683"/>
      <c r="Q28" s="684" t="s">
        <v>16</v>
      </c>
      <c r="R28" s="685"/>
      <c r="S28" s="293"/>
      <c r="T28" s="300"/>
      <c r="U28" s="383" t="s">
        <v>7</v>
      </c>
      <c r="V28" s="534">
        <f>B17</f>
        <v>42654</v>
      </c>
      <c r="W28" s="680" t="s">
        <v>100</v>
      </c>
      <c r="X28" s="681"/>
      <c r="Y28" s="682" t="s">
        <v>99</v>
      </c>
      <c r="Z28" s="683"/>
      <c r="AA28" s="684" t="s">
        <v>16</v>
      </c>
      <c r="AB28" s="685"/>
      <c r="AC28" s="154"/>
      <c r="AD28" s="300"/>
      <c r="AE28" s="383" t="s">
        <v>7</v>
      </c>
      <c r="AF28" s="534">
        <f>B18</f>
        <v>42655</v>
      </c>
      <c r="AG28" s="680" t="s">
        <v>100</v>
      </c>
      <c r="AH28" s="681"/>
      <c r="AI28" s="682" t="s">
        <v>99</v>
      </c>
      <c r="AJ28" s="683"/>
      <c r="AK28" s="684" t="s">
        <v>16</v>
      </c>
      <c r="AL28" s="685"/>
      <c r="AM28" s="154"/>
      <c r="AN28" s="300"/>
      <c r="AO28" s="383" t="s">
        <v>7</v>
      </c>
      <c r="AP28" s="534">
        <f>B19</f>
        <v>42656</v>
      </c>
      <c r="AQ28" s="680" t="s">
        <v>100</v>
      </c>
      <c r="AR28" s="681"/>
      <c r="AS28" s="682" t="s">
        <v>99</v>
      </c>
      <c r="AT28" s="683"/>
      <c r="AU28" s="684" t="s">
        <v>16</v>
      </c>
      <c r="AV28" s="685"/>
      <c r="AW28" s="154"/>
      <c r="AX28" s="300"/>
      <c r="AY28" s="383" t="s">
        <v>7</v>
      </c>
      <c r="AZ28" s="534">
        <f>B20</f>
        <v>42657</v>
      </c>
      <c r="BA28" s="680" t="s">
        <v>100</v>
      </c>
      <c r="BB28" s="681"/>
      <c r="BC28" s="682" t="s">
        <v>99</v>
      </c>
      <c r="BD28" s="683"/>
      <c r="BE28" s="684" t="s">
        <v>16</v>
      </c>
      <c r="BF28" s="685"/>
      <c r="BG28" s="154"/>
      <c r="BH28" s="300"/>
      <c r="BI28" s="383" t="s">
        <v>7</v>
      </c>
      <c r="BJ28" s="534">
        <f>B21</f>
        <v>42658</v>
      </c>
      <c r="BK28" s="680" t="s">
        <v>100</v>
      </c>
      <c r="BL28" s="681"/>
      <c r="BM28" s="682" t="s">
        <v>99</v>
      </c>
      <c r="BN28" s="683"/>
      <c r="BO28" s="684" t="s">
        <v>16</v>
      </c>
      <c r="BP28" s="685"/>
    </row>
    <row r="29" spans="2:68" ht="13.5" thickBot="1">
      <c r="B29" s="278">
        <v>42666</v>
      </c>
      <c r="G29" s="150">
        <f t="shared" si="0"/>
        <v>0</v>
      </c>
      <c r="H29" s="150">
        <f t="shared" si="1"/>
        <v>0</v>
      </c>
      <c r="K29" s="304"/>
      <c r="L29" s="303"/>
      <c r="M29" s="304"/>
      <c r="N29" s="305"/>
      <c r="O29" s="304"/>
      <c r="P29" s="305"/>
      <c r="Q29" s="303"/>
      <c r="R29" s="305"/>
      <c r="S29" s="156"/>
      <c r="T29" s="300"/>
      <c r="U29" s="304"/>
      <c r="V29" s="303"/>
      <c r="W29" s="304"/>
      <c r="X29" s="305"/>
      <c r="Y29" s="304"/>
      <c r="Z29" s="305"/>
      <c r="AA29" s="303"/>
      <c r="AB29" s="305"/>
      <c r="AD29" s="300"/>
      <c r="AE29" s="304"/>
      <c r="AF29" s="303"/>
      <c r="AG29" s="304"/>
      <c r="AH29" s="305"/>
      <c r="AI29" s="304"/>
      <c r="AJ29" s="305"/>
      <c r="AK29" s="303"/>
      <c r="AL29" s="305"/>
      <c r="AN29" s="300"/>
      <c r="AO29" s="304"/>
      <c r="AP29" s="303"/>
      <c r="AQ29" s="304"/>
      <c r="AR29" s="305"/>
      <c r="AS29" s="304"/>
      <c r="AT29" s="305"/>
      <c r="AU29" s="303"/>
      <c r="AV29" s="305"/>
      <c r="AX29" s="300"/>
      <c r="AY29" s="304"/>
      <c r="AZ29" s="303"/>
      <c r="BA29" s="304"/>
      <c r="BB29" s="305"/>
      <c r="BC29" s="304"/>
      <c r="BD29" s="305"/>
      <c r="BE29" s="303"/>
      <c r="BF29" s="305"/>
      <c r="BH29" s="300"/>
      <c r="BI29" s="304"/>
      <c r="BJ29" s="303"/>
      <c r="BK29" s="304"/>
      <c r="BL29" s="305"/>
      <c r="BM29" s="304"/>
      <c r="BN29" s="305"/>
      <c r="BO29" s="303"/>
      <c r="BP29" s="305"/>
    </row>
    <row r="30" spans="2:68" ht="16.5" thickBot="1">
      <c r="B30" s="278">
        <v>42667</v>
      </c>
      <c r="G30" s="150">
        <f t="shared" si="0"/>
        <v>0</v>
      </c>
      <c r="H30" s="150">
        <f t="shared" si="1"/>
        <v>0</v>
      </c>
      <c r="K30" s="304"/>
      <c r="L30" s="428" t="s">
        <v>155</v>
      </c>
      <c r="M30" s="307" t="s">
        <v>103</v>
      </c>
      <c r="N30" s="279"/>
      <c r="O30" s="307" t="s">
        <v>103</v>
      </c>
      <c r="P30" s="279"/>
      <c r="Q30" s="308" t="s">
        <v>103</v>
      </c>
      <c r="R30" s="309">
        <f>SUM(N30,P30)</f>
        <v>0</v>
      </c>
      <c r="S30" s="294"/>
      <c r="T30" s="300"/>
      <c r="U30" s="304"/>
      <c r="V30" s="428" t="s">
        <v>155</v>
      </c>
      <c r="W30" s="307" t="s">
        <v>103</v>
      </c>
      <c r="X30" s="279"/>
      <c r="Y30" s="307" t="s">
        <v>103</v>
      </c>
      <c r="Z30" s="279"/>
      <c r="AA30" s="308" t="s">
        <v>103</v>
      </c>
      <c r="AB30" s="309">
        <f>SUM(X30,Z30)</f>
        <v>0</v>
      </c>
      <c r="AD30" s="300"/>
      <c r="AE30" s="304"/>
      <c r="AF30" s="428" t="s">
        <v>155</v>
      </c>
      <c r="AG30" s="307" t="s">
        <v>103</v>
      </c>
      <c r="AH30" s="279"/>
      <c r="AI30" s="307" t="s">
        <v>103</v>
      </c>
      <c r="AJ30" s="279"/>
      <c r="AK30" s="308" t="s">
        <v>103</v>
      </c>
      <c r="AL30" s="309">
        <f>SUM(AH30,AJ30)</f>
        <v>0</v>
      </c>
      <c r="AN30" s="300"/>
      <c r="AO30" s="304"/>
      <c r="AP30" s="428" t="s">
        <v>155</v>
      </c>
      <c r="AQ30" s="307" t="s">
        <v>103</v>
      </c>
      <c r="AR30" s="279"/>
      <c r="AS30" s="307" t="s">
        <v>103</v>
      </c>
      <c r="AT30" s="279"/>
      <c r="AU30" s="308" t="s">
        <v>103</v>
      </c>
      <c r="AV30" s="309">
        <f>SUM(AR30,AT30)</f>
        <v>0</v>
      </c>
      <c r="AX30" s="300"/>
      <c r="AY30" s="304"/>
      <c r="AZ30" s="428" t="s">
        <v>155</v>
      </c>
      <c r="BA30" s="307" t="s">
        <v>103</v>
      </c>
      <c r="BB30" s="279"/>
      <c r="BC30" s="307" t="s">
        <v>103</v>
      </c>
      <c r="BD30" s="279"/>
      <c r="BE30" s="308" t="s">
        <v>103</v>
      </c>
      <c r="BF30" s="309">
        <f>SUM(BB30,BD30)</f>
        <v>0</v>
      </c>
      <c r="BH30" s="300"/>
      <c r="BI30" s="304"/>
      <c r="BJ30" s="428" t="s">
        <v>155</v>
      </c>
      <c r="BK30" s="307" t="s">
        <v>103</v>
      </c>
      <c r="BL30" s="279"/>
      <c r="BM30" s="307" t="s">
        <v>103</v>
      </c>
      <c r="BN30" s="279"/>
      <c r="BO30" s="308" t="s">
        <v>103</v>
      </c>
      <c r="BP30" s="309">
        <f>SUM(BL30,BN30)</f>
        <v>0</v>
      </c>
    </row>
    <row r="31" spans="2:68" ht="18.75" thickBot="1">
      <c r="B31" s="278">
        <v>42668</v>
      </c>
      <c r="G31" s="150">
        <f t="shared" si="0"/>
        <v>0</v>
      </c>
      <c r="H31" s="150">
        <f t="shared" si="1"/>
        <v>0</v>
      </c>
      <c r="K31" s="304"/>
      <c r="L31" s="289">
        <v>8</v>
      </c>
      <c r="M31" s="310" t="s">
        <v>5</v>
      </c>
      <c r="N31" s="311">
        <f>VLOOKUP(L28, $B$3:$E$109, 4, FALSE)</f>
        <v>0</v>
      </c>
      <c r="O31" s="310" t="s">
        <v>5</v>
      </c>
      <c r="P31" s="312">
        <f>VLOOKUP(L28, $B$3:$F$109, 5, FALSE)</f>
        <v>0</v>
      </c>
      <c r="Q31" s="313" t="s">
        <v>5</v>
      </c>
      <c r="R31" s="309">
        <f>SUM(N31,P31)</f>
        <v>0</v>
      </c>
      <c r="S31" s="294"/>
      <c r="T31" s="300"/>
      <c r="U31" s="304"/>
      <c r="V31" s="289">
        <v>8</v>
      </c>
      <c r="W31" s="310" t="s">
        <v>5</v>
      </c>
      <c r="X31" s="311">
        <f>VLOOKUP(V28, $B$3:$E$109, 4, FALSE)</f>
        <v>0</v>
      </c>
      <c r="Y31" s="310" t="s">
        <v>5</v>
      </c>
      <c r="Z31" s="312">
        <f>VLOOKUP(V28, $B$3:$F$109, 5, FALSE)</f>
        <v>0</v>
      </c>
      <c r="AA31" s="313" t="s">
        <v>5</v>
      </c>
      <c r="AB31" s="309">
        <f>SUM(X31,Z31)</f>
        <v>0</v>
      </c>
      <c r="AD31" s="300"/>
      <c r="AE31" s="304"/>
      <c r="AF31" s="289">
        <v>8</v>
      </c>
      <c r="AG31" s="310" t="s">
        <v>5</v>
      </c>
      <c r="AH31" s="311">
        <f>VLOOKUP(AF28, $B$3:$E$109, 4, FALSE)</f>
        <v>0</v>
      </c>
      <c r="AI31" s="310" t="s">
        <v>5</v>
      </c>
      <c r="AJ31" s="312">
        <f>VLOOKUP(AF28, $B$3:$F$109, 5, FALSE)</f>
        <v>0</v>
      </c>
      <c r="AK31" s="313" t="s">
        <v>5</v>
      </c>
      <c r="AL31" s="309">
        <f>SUM(AH31,AJ31)</f>
        <v>0</v>
      </c>
      <c r="AN31" s="300"/>
      <c r="AO31" s="304"/>
      <c r="AP31" s="289">
        <v>8</v>
      </c>
      <c r="AQ31" s="310" t="s">
        <v>5</v>
      </c>
      <c r="AR31" s="311">
        <f>VLOOKUP(AP28, $B$3:$E$109, 4, FALSE)</f>
        <v>0</v>
      </c>
      <c r="AS31" s="310" t="s">
        <v>5</v>
      </c>
      <c r="AT31" s="312">
        <f>VLOOKUP(AP28, $B$3:$F$109, 5, FALSE)</f>
        <v>0</v>
      </c>
      <c r="AU31" s="313" t="s">
        <v>5</v>
      </c>
      <c r="AV31" s="309">
        <f>SUM(AR31,AT31)</f>
        <v>0</v>
      </c>
      <c r="AX31" s="300"/>
      <c r="AY31" s="304"/>
      <c r="AZ31" s="289">
        <v>8</v>
      </c>
      <c r="BA31" s="310" t="s">
        <v>5</v>
      </c>
      <c r="BB31" s="311">
        <f>VLOOKUP(AZ28, $B$3:$E$109, 4, FALSE)</f>
        <v>0</v>
      </c>
      <c r="BC31" s="310" t="s">
        <v>5</v>
      </c>
      <c r="BD31" s="312">
        <f>VLOOKUP(AZ28, $B$3:$F$109, 5, FALSE)</f>
        <v>0</v>
      </c>
      <c r="BE31" s="313" t="s">
        <v>5</v>
      </c>
      <c r="BF31" s="309">
        <f>SUM(BB31,BD31)</f>
        <v>0</v>
      </c>
      <c r="BH31" s="300"/>
      <c r="BI31" s="304"/>
      <c r="BJ31" s="289">
        <v>8</v>
      </c>
      <c r="BK31" s="310" t="s">
        <v>5</v>
      </c>
      <c r="BL31" s="311">
        <f>VLOOKUP(BJ28, $B$3:$E$109, 4, FALSE)</f>
        <v>0</v>
      </c>
      <c r="BM31" s="310" t="s">
        <v>5</v>
      </c>
      <c r="BN31" s="312">
        <f>VLOOKUP(BJ28, $B$3:$F$109, 5, FALSE)</f>
        <v>0</v>
      </c>
      <c r="BO31" s="313" t="s">
        <v>5</v>
      </c>
      <c r="BP31" s="309">
        <f>SUM(BL31,BN31)</f>
        <v>0</v>
      </c>
    </row>
    <row r="32" spans="2:68" ht="15.75" customHeight="1">
      <c r="B32" s="278">
        <v>42669</v>
      </c>
      <c r="G32" s="150">
        <f t="shared" si="0"/>
        <v>0</v>
      </c>
      <c r="H32" s="150">
        <f t="shared" si="1"/>
        <v>0</v>
      </c>
      <c r="K32" s="304"/>
      <c r="L32" s="303"/>
      <c r="M32" s="659" t="s">
        <v>105</v>
      </c>
      <c r="N32" s="311">
        <f>VLOOKUP(L28, $B$3:$E$109, 2, FALSE)</f>
        <v>0</v>
      </c>
      <c r="O32" s="659" t="s">
        <v>105</v>
      </c>
      <c r="P32" s="312">
        <f>VLOOKUP(L28, $B$3:$E$109, 3, FALSE)</f>
        <v>0</v>
      </c>
      <c r="Q32" s="660" t="s">
        <v>105</v>
      </c>
      <c r="R32" s="309">
        <f>SUM(N32,P32)</f>
        <v>0</v>
      </c>
      <c r="S32" s="294"/>
      <c r="T32" s="300"/>
      <c r="U32" s="304"/>
      <c r="V32" s="303"/>
      <c r="W32" s="659" t="s">
        <v>105</v>
      </c>
      <c r="X32" s="311">
        <f>VLOOKUP(V28, $B$3:$E$109, 2, FALSE)</f>
        <v>0</v>
      </c>
      <c r="Y32" s="659" t="s">
        <v>105</v>
      </c>
      <c r="Z32" s="312">
        <f>VLOOKUP(V28, $B$3:$E$109, 3, FALSE)</f>
        <v>0</v>
      </c>
      <c r="AA32" s="660" t="s">
        <v>105</v>
      </c>
      <c r="AB32" s="309">
        <f>SUM(X32,Z32)</f>
        <v>0</v>
      </c>
      <c r="AD32" s="300"/>
      <c r="AE32" s="304"/>
      <c r="AF32" s="303"/>
      <c r="AG32" s="659" t="s">
        <v>105</v>
      </c>
      <c r="AH32" s="311">
        <f>VLOOKUP(AF28, $B$3:$E$109, 2, FALSE)</f>
        <v>0</v>
      </c>
      <c r="AI32" s="659" t="s">
        <v>105</v>
      </c>
      <c r="AJ32" s="312">
        <f>VLOOKUP(AF28, $B$3:$E$109, 3, FALSE)</f>
        <v>0</v>
      </c>
      <c r="AK32" s="660" t="s">
        <v>105</v>
      </c>
      <c r="AL32" s="309">
        <f>SUM(AH32,AJ32)</f>
        <v>0</v>
      </c>
      <c r="AN32" s="300"/>
      <c r="AO32" s="304"/>
      <c r="AP32" s="303"/>
      <c r="AQ32" s="659" t="s">
        <v>105</v>
      </c>
      <c r="AR32" s="311">
        <f>VLOOKUP(AP28, $B$3:$E$109, 2, FALSE)</f>
        <v>0</v>
      </c>
      <c r="AS32" s="659" t="s">
        <v>105</v>
      </c>
      <c r="AT32" s="312">
        <f>VLOOKUP(AP28, $B$3:$E$109, 3, FALSE)</f>
        <v>0</v>
      </c>
      <c r="AU32" s="660" t="s">
        <v>105</v>
      </c>
      <c r="AV32" s="309">
        <f>SUM(AR32,AT32)</f>
        <v>0</v>
      </c>
      <c r="AX32" s="300"/>
      <c r="AY32" s="304"/>
      <c r="AZ32" s="303"/>
      <c r="BA32" s="659" t="s">
        <v>105</v>
      </c>
      <c r="BB32" s="311">
        <f>VLOOKUP(AZ28, $B$3:$E$109, 2, FALSE)</f>
        <v>0</v>
      </c>
      <c r="BC32" s="659" t="s">
        <v>105</v>
      </c>
      <c r="BD32" s="312">
        <f>VLOOKUP(AZ28, $B$3:$E$109, 3, FALSE)</f>
        <v>0</v>
      </c>
      <c r="BE32" s="660" t="s">
        <v>105</v>
      </c>
      <c r="BF32" s="309">
        <f>SUM(BB32,BD32)</f>
        <v>0</v>
      </c>
      <c r="BH32" s="300"/>
      <c r="BI32" s="304"/>
      <c r="BJ32" s="303"/>
      <c r="BK32" s="659" t="s">
        <v>105</v>
      </c>
      <c r="BL32" s="311">
        <f>VLOOKUP(BJ28, $B$3:$E$109, 2, FALSE)</f>
        <v>0</v>
      </c>
      <c r="BM32" s="659" t="s">
        <v>105</v>
      </c>
      <c r="BN32" s="312">
        <f>VLOOKUP(BJ28, $B$3:$E$109, 3, FALSE)</f>
        <v>0</v>
      </c>
      <c r="BO32" s="660" t="s">
        <v>105</v>
      </c>
      <c r="BP32" s="309">
        <f>SUM(BL32,BN32)</f>
        <v>0</v>
      </c>
    </row>
    <row r="33" spans="2:68" ht="12.75" customHeight="1">
      <c r="B33" s="278">
        <v>42670</v>
      </c>
      <c r="G33" s="150">
        <f t="shared" si="0"/>
        <v>0</v>
      </c>
      <c r="H33" s="150">
        <f t="shared" si="1"/>
        <v>0</v>
      </c>
      <c r="K33" s="700" t="s">
        <v>157</v>
      </c>
      <c r="L33" s="701"/>
      <c r="M33" s="660"/>
      <c r="N33" s="305"/>
      <c r="O33" s="659"/>
      <c r="P33" s="305"/>
      <c r="Q33" s="660"/>
      <c r="R33" s="305"/>
      <c r="S33" s="156"/>
      <c r="T33" s="300"/>
      <c r="U33" s="700" t="s">
        <v>157</v>
      </c>
      <c r="V33" s="701"/>
      <c r="W33" s="660"/>
      <c r="X33" s="305"/>
      <c r="Y33" s="659"/>
      <c r="Z33" s="305"/>
      <c r="AA33" s="660"/>
      <c r="AB33" s="305"/>
      <c r="AD33" s="300"/>
      <c r="AE33" s="700" t="s">
        <v>157</v>
      </c>
      <c r="AF33" s="701"/>
      <c r="AG33" s="660"/>
      <c r="AH33" s="305"/>
      <c r="AI33" s="659"/>
      <c r="AJ33" s="305"/>
      <c r="AK33" s="660"/>
      <c r="AL33" s="305"/>
      <c r="AN33" s="300"/>
      <c r="AO33" s="700" t="s">
        <v>157</v>
      </c>
      <c r="AP33" s="701"/>
      <c r="AQ33" s="660"/>
      <c r="AR33" s="305"/>
      <c r="AS33" s="659"/>
      <c r="AT33" s="305"/>
      <c r="AU33" s="660"/>
      <c r="AV33" s="305"/>
      <c r="AX33" s="300"/>
      <c r="AY33" s="700" t="s">
        <v>157</v>
      </c>
      <c r="AZ33" s="701"/>
      <c r="BA33" s="660"/>
      <c r="BB33" s="305"/>
      <c r="BC33" s="659"/>
      <c r="BD33" s="305"/>
      <c r="BE33" s="660"/>
      <c r="BF33" s="305"/>
      <c r="BH33" s="300"/>
      <c r="BI33" s="700" t="s">
        <v>157</v>
      </c>
      <c r="BJ33" s="701"/>
      <c r="BK33" s="660"/>
      <c r="BL33" s="305"/>
      <c r="BM33" s="659"/>
      <c r="BN33" s="305"/>
      <c r="BO33" s="660"/>
      <c r="BP33" s="305"/>
    </row>
    <row r="34" spans="2:68" ht="15.75">
      <c r="B34" s="278">
        <v>42671</v>
      </c>
      <c r="G34" s="150">
        <f t="shared" si="0"/>
        <v>0</v>
      </c>
      <c r="H34" s="150">
        <f t="shared" si="1"/>
        <v>0</v>
      </c>
      <c r="K34" s="384"/>
      <c r="L34" s="314">
        <f>R30*13</f>
        <v>0</v>
      </c>
      <c r="M34" s="425"/>
      <c r="N34" s="305"/>
      <c r="O34" s="316"/>
      <c r="P34" s="305"/>
      <c r="Q34" s="426"/>
      <c r="R34" s="305"/>
      <c r="S34" s="156"/>
      <c r="T34" s="300"/>
      <c r="U34" s="384"/>
      <c r="V34" s="314">
        <f>AB30*13</f>
        <v>0</v>
      </c>
      <c r="W34" s="425"/>
      <c r="X34" s="305"/>
      <c r="Y34" s="316"/>
      <c r="Z34" s="305"/>
      <c r="AA34" s="426"/>
      <c r="AB34" s="305"/>
      <c r="AD34" s="300"/>
      <c r="AE34" s="384"/>
      <c r="AF34" s="314">
        <f>AL30*13</f>
        <v>0</v>
      </c>
      <c r="AG34" s="425"/>
      <c r="AH34" s="305"/>
      <c r="AI34" s="316"/>
      <c r="AJ34" s="305"/>
      <c r="AK34" s="426"/>
      <c r="AL34" s="305"/>
      <c r="AN34" s="300"/>
      <c r="AO34" s="384"/>
      <c r="AP34" s="314">
        <f>AV30*13</f>
        <v>0</v>
      </c>
      <c r="AQ34" s="425"/>
      <c r="AR34" s="305"/>
      <c r="AS34" s="316"/>
      <c r="AT34" s="305"/>
      <c r="AU34" s="426"/>
      <c r="AV34" s="305"/>
      <c r="AX34" s="300"/>
      <c r="AY34" s="384"/>
      <c r="AZ34" s="314">
        <f>BF30*13</f>
        <v>0</v>
      </c>
      <c r="BA34" s="425"/>
      <c r="BB34" s="305"/>
      <c r="BC34" s="316"/>
      <c r="BD34" s="305"/>
      <c r="BE34" s="426"/>
      <c r="BF34" s="305"/>
      <c r="BH34" s="300"/>
      <c r="BI34" s="384"/>
      <c r="BJ34" s="314">
        <f>BP30*13</f>
        <v>0</v>
      </c>
      <c r="BK34" s="425"/>
      <c r="BL34" s="305"/>
      <c r="BM34" s="316"/>
      <c r="BN34" s="305"/>
      <c r="BO34" s="426"/>
      <c r="BP34" s="305"/>
    </row>
    <row r="35" spans="2:68" ht="18.75">
      <c r="B35" s="278">
        <v>42672</v>
      </c>
      <c r="G35" s="150">
        <f t="shared" si="0"/>
        <v>0</v>
      </c>
      <c r="H35" s="150">
        <f t="shared" si="1"/>
        <v>0</v>
      </c>
      <c r="K35" s="304"/>
      <c r="L35" s="385"/>
      <c r="M35" s="286" t="s">
        <v>97</v>
      </c>
      <c r="N35" s="287" t="e">
        <f>N32/((N30*EFFICIENCY!$H$28))</f>
        <v>#DIV/0!</v>
      </c>
      <c r="O35" s="286" t="s">
        <v>97</v>
      </c>
      <c r="P35" s="287" t="e">
        <f>P32/(P30*EFFICIENCY!$H$28)</f>
        <v>#DIV/0!</v>
      </c>
      <c r="Q35" s="286" t="s">
        <v>97</v>
      </c>
      <c r="R35" s="287" t="e">
        <f>R32/(R30*EFFICIENCY!$H$28)</f>
        <v>#DIV/0!</v>
      </c>
      <c r="S35" s="295"/>
      <c r="T35" s="300"/>
      <c r="U35" s="304"/>
      <c r="V35" s="385"/>
      <c r="W35" s="286" t="s">
        <v>97</v>
      </c>
      <c r="X35" s="287" t="e">
        <f>X32/((X30*EFFICIENCY!$H$28))</f>
        <v>#DIV/0!</v>
      </c>
      <c r="Y35" s="286" t="s">
        <v>97</v>
      </c>
      <c r="Z35" s="287" t="e">
        <f>Z32/(Z30*EFFICIENCY!$H$28)</f>
        <v>#DIV/0!</v>
      </c>
      <c r="AA35" s="286" t="s">
        <v>97</v>
      </c>
      <c r="AB35" s="287" t="e">
        <f>AB32/(AB30*EFFICIENCY!$H$28)</f>
        <v>#DIV/0!</v>
      </c>
      <c r="AD35" s="300"/>
      <c r="AE35" s="304"/>
      <c r="AF35" s="385"/>
      <c r="AG35" s="286" t="s">
        <v>97</v>
      </c>
      <c r="AH35" s="287" t="e">
        <f>AH32/((AH30*EFFICIENCY!$H$28))</f>
        <v>#DIV/0!</v>
      </c>
      <c r="AI35" s="286" t="s">
        <v>97</v>
      </c>
      <c r="AJ35" s="287" t="e">
        <f>AJ32/(AJ30*EFFICIENCY!$H$28)</f>
        <v>#DIV/0!</v>
      </c>
      <c r="AK35" s="286" t="s">
        <v>97</v>
      </c>
      <c r="AL35" s="287" t="e">
        <f>AL32/(AL30*EFFICIENCY!$H$28)</f>
        <v>#DIV/0!</v>
      </c>
      <c r="AN35" s="300"/>
      <c r="AO35" s="304"/>
      <c r="AP35" s="385"/>
      <c r="AQ35" s="286" t="s">
        <v>97</v>
      </c>
      <c r="AR35" s="287" t="e">
        <f>AR32/((AR30*EFFICIENCY!$H$28))</f>
        <v>#DIV/0!</v>
      </c>
      <c r="AS35" s="286" t="s">
        <v>97</v>
      </c>
      <c r="AT35" s="287" t="e">
        <f>AT32/(AT30*EFFICIENCY!$H$28)</f>
        <v>#DIV/0!</v>
      </c>
      <c r="AU35" s="286" t="s">
        <v>97</v>
      </c>
      <c r="AV35" s="287" t="e">
        <f>AV32/(AV30*EFFICIENCY!$H$28)</f>
        <v>#DIV/0!</v>
      </c>
      <c r="AX35" s="300"/>
      <c r="AY35" s="304"/>
      <c r="AZ35" s="385"/>
      <c r="BA35" s="286" t="s">
        <v>97</v>
      </c>
      <c r="BB35" s="287" t="e">
        <f>BB32/((BB30*EFFICIENCY!$H$28))</f>
        <v>#DIV/0!</v>
      </c>
      <c r="BC35" s="286" t="s">
        <v>97</v>
      </c>
      <c r="BD35" s="287" t="e">
        <f>BD32/(BD30*EFFICIENCY!$H$28)</f>
        <v>#DIV/0!</v>
      </c>
      <c r="BE35" s="286" t="s">
        <v>97</v>
      </c>
      <c r="BF35" s="287" t="e">
        <f>BF32/(BF30*EFFICIENCY!$H$28)</f>
        <v>#DIV/0!</v>
      </c>
      <c r="BH35" s="300"/>
      <c r="BI35" s="304"/>
      <c r="BJ35" s="385"/>
      <c r="BK35" s="286" t="s">
        <v>97</v>
      </c>
      <c r="BL35" s="287" t="e">
        <f>BL32/((BL30*EFFICIENCY!$H$28))</f>
        <v>#DIV/0!</v>
      </c>
      <c r="BM35" s="286" t="s">
        <v>97</v>
      </c>
      <c r="BN35" s="287" t="e">
        <f>BN32/(BN30*EFFICIENCY!$H$28)</f>
        <v>#DIV/0!</v>
      </c>
      <c r="BO35" s="286" t="s">
        <v>97</v>
      </c>
      <c r="BP35" s="287" t="e">
        <f>BP32/(BP30*EFFICIENCY!$H$28)</f>
        <v>#DIV/0!</v>
      </c>
    </row>
    <row r="36" spans="2:68" ht="18.75">
      <c r="B36" s="278">
        <v>42673</v>
      </c>
      <c r="G36" s="150">
        <f t="shared" si="0"/>
        <v>0</v>
      </c>
      <c r="H36" s="150">
        <f t="shared" si="1"/>
        <v>0</v>
      </c>
      <c r="K36" s="304"/>
      <c r="L36" s="303"/>
      <c r="M36" s="280" t="s">
        <v>96</v>
      </c>
      <c r="N36" s="281" t="e">
        <f>N32/(N30*EFFICIENCY!$I$28)</f>
        <v>#DIV/0!</v>
      </c>
      <c r="O36" s="280" t="s">
        <v>96</v>
      </c>
      <c r="P36" s="281" t="e">
        <f>P32/(P30*EFFICIENCY!$I$28)</f>
        <v>#DIV/0!</v>
      </c>
      <c r="Q36" s="280" t="s">
        <v>96</v>
      </c>
      <c r="R36" s="281" t="e">
        <f>R32/(R30*EFFICIENCY!$I$28)</f>
        <v>#DIV/0!</v>
      </c>
      <c r="S36" s="296"/>
      <c r="T36" s="300"/>
      <c r="U36" s="304"/>
      <c r="V36" s="303"/>
      <c r="W36" s="280" t="s">
        <v>96</v>
      </c>
      <c r="X36" s="281" t="e">
        <f>X32/(X30*EFFICIENCY!$I$28)</f>
        <v>#DIV/0!</v>
      </c>
      <c r="Y36" s="280" t="s">
        <v>96</v>
      </c>
      <c r="Z36" s="281" t="e">
        <f>Z32/(Z30*EFFICIENCY!$I$28)</f>
        <v>#DIV/0!</v>
      </c>
      <c r="AA36" s="280" t="s">
        <v>96</v>
      </c>
      <c r="AB36" s="281" t="e">
        <f>AB32/(AB30*EFFICIENCY!$I$28)</f>
        <v>#DIV/0!</v>
      </c>
      <c r="AD36" s="300"/>
      <c r="AE36" s="304"/>
      <c r="AF36" s="303"/>
      <c r="AG36" s="280" t="s">
        <v>96</v>
      </c>
      <c r="AH36" s="281" t="e">
        <f>AH32/(AH30*EFFICIENCY!$I$28)</f>
        <v>#DIV/0!</v>
      </c>
      <c r="AI36" s="280" t="s">
        <v>96</v>
      </c>
      <c r="AJ36" s="281" t="e">
        <f>AJ32/(AJ30*EFFICIENCY!$I$28)</f>
        <v>#DIV/0!</v>
      </c>
      <c r="AK36" s="280" t="s">
        <v>96</v>
      </c>
      <c r="AL36" s="281" t="e">
        <f>AL32/(AL30*EFFICIENCY!$I$28)</f>
        <v>#DIV/0!</v>
      </c>
      <c r="AN36" s="300"/>
      <c r="AO36" s="304"/>
      <c r="AP36" s="303"/>
      <c r="AQ36" s="280" t="s">
        <v>96</v>
      </c>
      <c r="AR36" s="281" t="e">
        <f>AR32/(AR30*EFFICIENCY!$I$28)</f>
        <v>#DIV/0!</v>
      </c>
      <c r="AS36" s="280" t="s">
        <v>96</v>
      </c>
      <c r="AT36" s="281" t="e">
        <f>AT32/(AT30*EFFICIENCY!$I$28)</f>
        <v>#DIV/0!</v>
      </c>
      <c r="AU36" s="280" t="s">
        <v>96</v>
      </c>
      <c r="AV36" s="281" t="e">
        <f>AV32/(AV30*EFFICIENCY!$I$28)</f>
        <v>#DIV/0!</v>
      </c>
      <c r="AX36" s="300"/>
      <c r="AY36" s="304"/>
      <c r="AZ36" s="303"/>
      <c r="BA36" s="280" t="s">
        <v>96</v>
      </c>
      <c r="BB36" s="281" t="e">
        <f>BB32/(BB30*EFFICIENCY!$I$28)</f>
        <v>#DIV/0!</v>
      </c>
      <c r="BC36" s="280" t="s">
        <v>96</v>
      </c>
      <c r="BD36" s="281" t="e">
        <f>BD32/(BD30*EFFICIENCY!$I$28)</f>
        <v>#DIV/0!</v>
      </c>
      <c r="BE36" s="280" t="s">
        <v>96</v>
      </c>
      <c r="BF36" s="281" t="e">
        <f>BF32/(BF30*EFFICIENCY!$I$28)</f>
        <v>#DIV/0!</v>
      </c>
      <c r="BH36" s="300"/>
      <c r="BI36" s="304"/>
      <c r="BJ36" s="303"/>
      <c r="BK36" s="280" t="s">
        <v>96</v>
      </c>
      <c r="BL36" s="281" t="e">
        <f>BL32/(BL30*EFFICIENCY!$I$28)</f>
        <v>#DIV/0!</v>
      </c>
      <c r="BM36" s="280" t="s">
        <v>96</v>
      </c>
      <c r="BN36" s="281" t="e">
        <f>BN32/(BN30*EFFICIENCY!$I$28)</f>
        <v>#DIV/0!</v>
      </c>
      <c r="BO36" s="280" t="s">
        <v>96</v>
      </c>
      <c r="BP36" s="281" t="e">
        <f>BP32/(BP30*EFFICIENCY!$I$28)</f>
        <v>#DIV/0!</v>
      </c>
    </row>
    <row r="37" spans="2:68" ht="19.5" customHeight="1" thickBot="1">
      <c r="B37" s="278"/>
      <c r="K37" s="696" t="s">
        <v>156</v>
      </c>
      <c r="L37" s="697"/>
      <c r="M37" s="284" t="s">
        <v>94</v>
      </c>
      <c r="N37" s="285" t="e">
        <f>N32/((N30*EFFICIENCY!$K$28))</f>
        <v>#DIV/0!</v>
      </c>
      <c r="O37" s="288" t="s">
        <v>94</v>
      </c>
      <c r="P37" s="285" t="e">
        <f>P32/((P30*EFFICIENCY!$K$28))</f>
        <v>#DIV/0!</v>
      </c>
      <c r="Q37" s="284" t="s">
        <v>94</v>
      </c>
      <c r="R37" s="285" t="e">
        <f>R32/((R30*EFFICIENCY!$K$28))</f>
        <v>#DIV/0!</v>
      </c>
      <c r="S37" s="297"/>
      <c r="T37" s="300"/>
      <c r="U37" s="696" t="s">
        <v>156</v>
      </c>
      <c r="V37" s="697"/>
      <c r="W37" s="284" t="s">
        <v>94</v>
      </c>
      <c r="X37" s="285" t="e">
        <f>X32/((X30*EFFICIENCY!$K$28))</f>
        <v>#DIV/0!</v>
      </c>
      <c r="Y37" s="288" t="s">
        <v>94</v>
      </c>
      <c r="Z37" s="285" t="e">
        <f>Z32/((Z30*EFFICIENCY!$K$28))</f>
        <v>#DIV/0!</v>
      </c>
      <c r="AA37" s="284" t="s">
        <v>94</v>
      </c>
      <c r="AB37" s="285" t="e">
        <f>AB32/((AB30*EFFICIENCY!$K$28))</f>
        <v>#DIV/0!</v>
      </c>
      <c r="AD37" s="300"/>
      <c r="AE37" s="696" t="s">
        <v>156</v>
      </c>
      <c r="AF37" s="697"/>
      <c r="AG37" s="284" t="s">
        <v>94</v>
      </c>
      <c r="AH37" s="285" t="e">
        <f>AH32/((AH30*EFFICIENCY!$K$28))</f>
        <v>#DIV/0!</v>
      </c>
      <c r="AI37" s="288" t="s">
        <v>94</v>
      </c>
      <c r="AJ37" s="285" t="e">
        <f>AJ32/((AJ30*EFFICIENCY!$K$28))</f>
        <v>#DIV/0!</v>
      </c>
      <c r="AK37" s="284" t="s">
        <v>94</v>
      </c>
      <c r="AL37" s="285" t="e">
        <f>AL32/((AL30*EFFICIENCY!$K$28))</f>
        <v>#DIV/0!</v>
      </c>
      <c r="AN37" s="300"/>
      <c r="AO37" s="696" t="s">
        <v>156</v>
      </c>
      <c r="AP37" s="697"/>
      <c r="AQ37" s="284" t="s">
        <v>94</v>
      </c>
      <c r="AR37" s="285" t="e">
        <f>AR32/((AR30*EFFICIENCY!$K$28))</f>
        <v>#DIV/0!</v>
      </c>
      <c r="AS37" s="288" t="s">
        <v>94</v>
      </c>
      <c r="AT37" s="285" t="e">
        <f>AT32/((AT30*EFFICIENCY!$K$28))</f>
        <v>#DIV/0!</v>
      </c>
      <c r="AU37" s="284" t="s">
        <v>94</v>
      </c>
      <c r="AV37" s="285" t="e">
        <f>AV32/((AV30*EFFICIENCY!$K$28))</f>
        <v>#DIV/0!</v>
      </c>
      <c r="AX37" s="300"/>
      <c r="AY37" s="696" t="s">
        <v>156</v>
      </c>
      <c r="AZ37" s="697"/>
      <c r="BA37" s="284" t="s">
        <v>94</v>
      </c>
      <c r="BB37" s="285" t="e">
        <f>BB32/((BB30*EFFICIENCY!$K$28))</f>
        <v>#DIV/0!</v>
      </c>
      <c r="BC37" s="288" t="s">
        <v>94</v>
      </c>
      <c r="BD37" s="285" t="e">
        <f>BD32/((BD30*EFFICIENCY!$K$28))</f>
        <v>#DIV/0!</v>
      </c>
      <c r="BE37" s="284" t="s">
        <v>94</v>
      </c>
      <c r="BF37" s="285" t="e">
        <f>BF32/((BF30*EFFICIENCY!$K$28))</f>
        <v>#DIV/0!</v>
      </c>
      <c r="BH37" s="300"/>
      <c r="BI37" s="696" t="s">
        <v>156</v>
      </c>
      <c r="BJ37" s="697"/>
      <c r="BK37" s="284" t="s">
        <v>94</v>
      </c>
      <c r="BL37" s="285" t="e">
        <f>BL32/((BL30*EFFICIENCY!$K$28))</f>
        <v>#DIV/0!</v>
      </c>
      <c r="BM37" s="288" t="s">
        <v>94</v>
      </c>
      <c r="BN37" s="285" t="e">
        <f>BN32/((BN30*EFFICIENCY!$K$28))</f>
        <v>#DIV/0!</v>
      </c>
      <c r="BO37" s="284" t="s">
        <v>94</v>
      </c>
      <c r="BP37" s="285" t="e">
        <f>BP32/((BP30*EFFICIENCY!$K$28))</f>
        <v>#DIV/0!</v>
      </c>
    </row>
    <row r="38" spans="2:68" ht="16.5" thickBot="1">
      <c r="B38" s="278"/>
      <c r="K38" s="386"/>
      <c r="L38" s="387" t="e">
        <f>R32/R30</f>
        <v>#DIV/0!</v>
      </c>
      <c r="M38" s="637" t="s">
        <v>153</v>
      </c>
      <c r="N38" s="638"/>
      <c r="O38" s="290"/>
      <c r="P38" s="421"/>
      <c r="Q38" s="421" t="s">
        <v>154</v>
      </c>
      <c r="R38" s="319">
        <f>O38-R32</f>
        <v>0</v>
      </c>
      <c r="S38" s="298"/>
      <c r="T38" s="300"/>
      <c r="U38" s="386"/>
      <c r="V38" s="387" t="e">
        <f>AB32/AB30</f>
        <v>#DIV/0!</v>
      </c>
      <c r="W38" s="637" t="s">
        <v>153</v>
      </c>
      <c r="X38" s="638"/>
      <c r="Y38" s="290"/>
      <c r="Z38" s="421"/>
      <c r="AA38" s="421" t="s">
        <v>154</v>
      </c>
      <c r="AB38" s="319">
        <f>Y38-AB32</f>
        <v>0</v>
      </c>
      <c r="AD38" s="300"/>
      <c r="AE38" s="386"/>
      <c r="AF38" s="387" t="e">
        <f>AL32/AL30</f>
        <v>#DIV/0!</v>
      </c>
      <c r="AG38" s="637" t="s">
        <v>153</v>
      </c>
      <c r="AH38" s="638"/>
      <c r="AI38" s="290"/>
      <c r="AJ38" s="421"/>
      <c r="AK38" s="421" t="s">
        <v>154</v>
      </c>
      <c r="AL38" s="319">
        <f>AI38-AL32</f>
        <v>0</v>
      </c>
      <c r="AN38" s="300"/>
      <c r="AO38" s="386"/>
      <c r="AP38" s="387" t="e">
        <f>AV32/AV30</f>
        <v>#DIV/0!</v>
      </c>
      <c r="AQ38" s="637" t="s">
        <v>153</v>
      </c>
      <c r="AR38" s="638"/>
      <c r="AS38" s="290"/>
      <c r="AT38" s="421"/>
      <c r="AU38" s="421" t="s">
        <v>154</v>
      </c>
      <c r="AV38" s="319">
        <f>AS38-AV32</f>
        <v>0</v>
      </c>
      <c r="AX38" s="300"/>
      <c r="AY38" s="386"/>
      <c r="AZ38" s="387" t="e">
        <f>BF32/BF30</f>
        <v>#DIV/0!</v>
      </c>
      <c r="BA38" s="637" t="s">
        <v>153</v>
      </c>
      <c r="BB38" s="638"/>
      <c r="BC38" s="290"/>
      <c r="BD38" s="421"/>
      <c r="BE38" s="421" t="s">
        <v>154</v>
      </c>
      <c r="BF38" s="319">
        <f>BC38-BF32</f>
        <v>0</v>
      </c>
      <c r="BH38" s="300"/>
      <c r="BI38" s="386"/>
      <c r="BJ38" s="387" t="e">
        <f>BP32/BP30</f>
        <v>#DIV/0!</v>
      </c>
      <c r="BK38" s="637" t="s">
        <v>153</v>
      </c>
      <c r="BL38" s="638"/>
      <c r="BM38" s="290"/>
      <c r="BN38" s="421"/>
      <c r="BO38" s="421" t="s">
        <v>154</v>
      </c>
      <c r="BP38" s="319">
        <f>BM38-BP32</f>
        <v>0</v>
      </c>
    </row>
    <row r="39" spans="2:68">
      <c r="T39" s="300"/>
      <c r="AD39" s="300"/>
      <c r="AN39" s="300"/>
      <c r="AX39" s="300"/>
      <c r="BH39" s="300"/>
    </row>
    <row r="40" spans="2:68" ht="13.5" thickBot="1">
      <c r="K40" s="291"/>
      <c r="L40" s="291"/>
      <c r="M40" s="291"/>
      <c r="N40" s="291"/>
      <c r="O40" s="291"/>
      <c r="P40" s="291"/>
      <c r="Q40" s="291"/>
      <c r="R40" s="291"/>
      <c r="S40" s="299"/>
      <c r="T40" s="301"/>
      <c r="U40" s="291"/>
      <c r="V40" s="291"/>
      <c r="W40" s="291"/>
      <c r="X40" s="291"/>
      <c r="Y40" s="291"/>
      <c r="Z40" s="291"/>
      <c r="AA40" s="291"/>
      <c r="AB40" s="291"/>
      <c r="AC40" s="291"/>
      <c r="AD40" s="301"/>
      <c r="AE40" s="291"/>
      <c r="AF40" s="291"/>
      <c r="AG40" s="291"/>
      <c r="AH40" s="291"/>
      <c r="AI40" s="291"/>
      <c r="AJ40" s="291"/>
      <c r="AK40" s="291"/>
      <c r="AL40" s="291"/>
      <c r="AM40" s="291"/>
      <c r="AN40" s="301"/>
      <c r="AO40" s="291"/>
      <c r="AP40" s="291"/>
      <c r="AQ40" s="291"/>
      <c r="AR40" s="291"/>
      <c r="AS40" s="291"/>
      <c r="AT40" s="291"/>
      <c r="AU40" s="291"/>
      <c r="AV40" s="291"/>
      <c r="AW40" s="291"/>
      <c r="AX40" s="301"/>
      <c r="AY40" s="291"/>
      <c r="AZ40" s="291"/>
      <c r="BA40" s="291"/>
      <c r="BB40" s="291"/>
      <c r="BC40" s="291"/>
      <c r="BD40" s="291"/>
      <c r="BE40" s="291"/>
      <c r="BF40" s="291"/>
      <c r="BG40" s="291"/>
      <c r="BH40" s="301"/>
      <c r="BI40" s="291"/>
      <c r="BJ40" s="291"/>
      <c r="BK40" s="291"/>
      <c r="BL40" s="291"/>
      <c r="BM40" s="291"/>
      <c r="BN40" s="291"/>
      <c r="BO40" s="291"/>
      <c r="BP40" s="291"/>
    </row>
    <row r="41" spans="2:68" ht="15.75" thickBot="1">
      <c r="K41" s="388" t="s">
        <v>7</v>
      </c>
      <c r="L41" s="535">
        <f>B23</f>
        <v>42660</v>
      </c>
      <c r="M41" s="639" t="s">
        <v>100</v>
      </c>
      <c r="N41" s="640"/>
      <c r="O41" s="641" t="s">
        <v>99</v>
      </c>
      <c r="P41" s="642"/>
      <c r="Q41" s="643" t="s">
        <v>16</v>
      </c>
      <c r="R41" s="644"/>
      <c r="S41" s="293"/>
      <c r="T41" s="300"/>
      <c r="U41" s="388" t="s">
        <v>7</v>
      </c>
      <c r="V41" s="535">
        <f>B24</f>
        <v>42661</v>
      </c>
      <c r="W41" s="639" t="s">
        <v>100</v>
      </c>
      <c r="X41" s="640"/>
      <c r="Y41" s="641" t="s">
        <v>99</v>
      </c>
      <c r="Z41" s="642"/>
      <c r="AA41" s="643" t="s">
        <v>16</v>
      </c>
      <c r="AB41" s="644"/>
      <c r="AC41" s="154"/>
      <c r="AD41" s="300"/>
      <c r="AE41" s="388" t="s">
        <v>7</v>
      </c>
      <c r="AF41" s="535">
        <f>B25</f>
        <v>42662</v>
      </c>
      <c r="AG41" s="639" t="s">
        <v>100</v>
      </c>
      <c r="AH41" s="640"/>
      <c r="AI41" s="641" t="s">
        <v>99</v>
      </c>
      <c r="AJ41" s="642"/>
      <c r="AK41" s="643" t="s">
        <v>16</v>
      </c>
      <c r="AL41" s="644"/>
      <c r="AM41" s="154"/>
      <c r="AN41" s="300"/>
      <c r="AO41" s="388" t="s">
        <v>7</v>
      </c>
      <c r="AP41" s="535">
        <f>B26</f>
        <v>42663</v>
      </c>
      <c r="AQ41" s="639" t="s">
        <v>100</v>
      </c>
      <c r="AR41" s="640"/>
      <c r="AS41" s="641" t="s">
        <v>99</v>
      </c>
      <c r="AT41" s="642"/>
      <c r="AU41" s="643" t="s">
        <v>16</v>
      </c>
      <c r="AV41" s="644"/>
      <c r="AW41" s="154"/>
      <c r="AX41" s="300"/>
      <c r="AY41" s="388" t="s">
        <v>7</v>
      </c>
      <c r="AZ41" s="535">
        <f>B27</f>
        <v>42664</v>
      </c>
      <c r="BA41" s="639" t="s">
        <v>100</v>
      </c>
      <c r="BB41" s="640"/>
      <c r="BC41" s="641" t="s">
        <v>99</v>
      </c>
      <c r="BD41" s="642"/>
      <c r="BE41" s="643" t="s">
        <v>16</v>
      </c>
      <c r="BF41" s="644"/>
      <c r="BG41" s="154"/>
      <c r="BH41" s="300"/>
      <c r="BI41" s="388" t="s">
        <v>7</v>
      </c>
      <c r="BJ41" s="535">
        <f>B28</f>
        <v>42665</v>
      </c>
      <c r="BK41" s="639" t="s">
        <v>100</v>
      </c>
      <c r="BL41" s="640"/>
      <c r="BM41" s="641" t="s">
        <v>99</v>
      </c>
      <c r="BN41" s="642"/>
      <c r="BO41" s="643" t="s">
        <v>16</v>
      </c>
      <c r="BP41" s="644"/>
    </row>
    <row r="42" spans="2:68" ht="13.5" thickBot="1">
      <c r="K42" s="321"/>
      <c r="L42" s="320"/>
      <c r="M42" s="321"/>
      <c r="N42" s="322"/>
      <c r="O42" s="321"/>
      <c r="P42" s="322"/>
      <c r="Q42" s="320"/>
      <c r="R42" s="322"/>
      <c r="S42" s="156"/>
      <c r="T42" s="300"/>
      <c r="U42" s="321"/>
      <c r="V42" s="320"/>
      <c r="W42" s="321"/>
      <c r="X42" s="322"/>
      <c r="Y42" s="321"/>
      <c r="Z42" s="322"/>
      <c r="AA42" s="320"/>
      <c r="AB42" s="322"/>
      <c r="AC42" s="154"/>
      <c r="AD42" s="300"/>
      <c r="AE42" s="321"/>
      <c r="AF42" s="320"/>
      <c r="AG42" s="321"/>
      <c r="AH42" s="322"/>
      <c r="AI42" s="321"/>
      <c r="AJ42" s="322"/>
      <c r="AK42" s="320"/>
      <c r="AL42" s="322"/>
      <c r="AM42" s="154"/>
      <c r="AN42" s="300"/>
      <c r="AO42" s="321"/>
      <c r="AP42" s="320"/>
      <c r="AQ42" s="321"/>
      <c r="AR42" s="322"/>
      <c r="AS42" s="321"/>
      <c r="AT42" s="322"/>
      <c r="AU42" s="320"/>
      <c r="AV42" s="322"/>
      <c r="AW42" s="154"/>
      <c r="AX42" s="300"/>
      <c r="AY42" s="321"/>
      <c r="AZ42" s="320"/>
      <c r="BA42" s="321"/>
      <c r="BB42" s="322"/>
      <c r="BC42" s="321"/>
      <c r="BD42" s="322"/>
      <c r="BE42" s="320"/>
      <c r="BF42" s="322"/>
      <c r="BG42" s="154"/>
      <c r="BH42" s="300"/>
      <c r="BI42" s="321"/>
      <c r="BJ42" s="320"/>
      <c r="BK42" s="321"/>
      <c r="BL42" s="322"/>
      <c r="BM42" s="321"/>
      <c r="BN42" s="322"/>
      <c r="BO42" s="320"/>
      <c r="BP42" s="322"/>
    </row>
    <row r="43" spans="2:68" ht="16.5" thickBot="1">
      <c r="K43" s="321"/>
      <c r="L43" s="422" t="s">
        <v>155</v>
      </c>
      <c r="M43" s="324" t="s">
        <v>103</v>
      </c>
      <c r="N43" s="279"/>
      <c r="O43" s="324" t="s">
        <v>103</v>
      </c>
      <c r="P43" s="279"/>
      <c r="Q43" s="325" t="s">
        <v>103</v>
      </c>
      <c r="R43" s="326">
        <f>SUM(N43,P43)</f>
        <v>0</v>
      </c>
      <c r="S43" s="294"/>
      <c r="T43" s="300"/>
      <c r="U43" s="321"/>
      <c r="V43" s="422" t="s">
        <v>155</v>
      </c>
      <c r="W43" s="324" t="s">
        <v>103</v>
      </c>
      <c r="X43" s="279"/>
      <c r="Y43" s="324" t="s">
        <v>103</v>
      </c>
      <c r="Z43" s="279"/>
      <c r="AA43" s="325" t="s">
        <v>103</v>
      </c>
      <c r="AB43" s="326">
        <f>SUM(X43,Z43)</f>
        <v>0</v>
      </c>
      <c r="AD43" s="300"/>
      <c r="AE43" s="321"/>
      <c r="AF43" s="422" t="s">
        <v>155</v>
      </c>
      <c r="AG43" s="324" t="s">
        <v>103</v>
      </c>
      <c r="AH43" s="279"/>
      <c r="AI43" s="324" t="s">
        <v>103</v>
      </c>
      <c r="AJ43" s="279"/>
      <c r="AK43" s="325" t="s">
        <v>103</v>
      </c>
      <c r="AL43" s="326">
        <f>SUM(AH43,AJ43)</f>
        <v>0</v>
      </c>
      <c r="AN43" s="300"/>
      <c r="AO43" s="321"/>
      <c r="AP43" s="422" t="s">
        <v>155</v>
      </c>
      <c r="AQ43" s="324" t="s">
        <v>103</v>
      </c>
      <c r="AR43" s="279"/>
      <c r="AS43" s="324" t="s">
        <v>103</v>
      </c>
      <c r="AT43" s="279"/>
      <c r="AU43" s="325" t="s">
        <v>103</v>
      </c>
      <c r="AV43" s="326">
        <f>SUM(AR43,AT43)</f>
        <v>0</v>
      </c>
      <c r="AX43" s="300"/>
      <c r="AY43" s="321"/>
      <c r="AZ43" s="422" t="s">
        <v>155</v>
      </c>
      <c r="BA43" s="324" t="s">
        <v>103</v>
      </c>
      <c r="BB43" s="279"/>
      <c r="BC43" s="324" t="s">
        <v>103</v>
      </c>
      <c r="BD43" s="279"/>
      <c r="BE43" s="325" t="s">
        <v>103</v>
      </c>
      <c r="BF43" s="326">
        <f>SUM(BB43,BD43)</f>
        <v>0</v>
      </c>
      <c r="BH43" s="300"/>
      <c r="BI43" s="321"/>
      <c r="BJ43" s="422" t="s">
        <v>155</v>
      </c>
      <c r="BK43" s="324" t="s">
        <v>103</v>
      </c>
      <c r="BL43" s="279"/>
      <c r="BM43" s="324" t="s">
        <v>103</v>
      </c>
      <c r="BN43" s="279"/>
      <c r="BO43" s="325" t="s">
        <v>103</v>
      </c>
      <c r="BP43" s="326">
        <f>SUM(BL43,BN43)</f>
        <v>0</v>
      </c>
    </row>
    <row r="44" spans="2:68" ht="18.75" thickBot="1">
      <c r="K44" s="321"/>
      <c r="L44" s="289">
        <v>8</v>
      </c>
      <c r="M44" s="327" t="s">
        <v>5</v>
      </c>
      <c r="N44" s="328">
        <f>VLOOKUP(L41, $B$3:$E$109, 4, FALSE)</f>
        <v>0</v>
      </c>
      <c r="O44" s="327" t="s">
        <v>5</v>
      </c>
      <c r="P44" s="329">
        <f>VLOOKUP(L41, $B$3:$F$109, 5, FALSE)</f>
        <v>0</v>
      </c>
      <c r="Q44" s="330" t="s">
        <v>5</v>
      </c>
      <c r="R44" s="326">
        <f>SUM(N44,P44)</f>
        <v>0</v>
      </c>
      <c r="S44" s="294"/>
      <c r="T44" s="300"/>
      <c r="U44" s="321"/>
      <c r="V44" s="289">
        <v>8</v>
      </c>
      <c r="W44" s="327" t="s">
        <v>5</v>
      </c>
      <c r="X44" s="328">
        <f>VLOOKUP(V41, $B$3:$E$109, 4, FALSE)</f>
        <v>0</v>
      </c>
      <c r="Y44" s="327" t="s">
        <v>5</v>
      </c>
      <c r="Z44" s="329">
        <f>VLOOKUP(V41, $B$3:$F$109, 5, FALSE)</f>
        <v>0</v>
      </c>
      <c r="AA44" s="330" t="s">
        <v>5</v>
      </c>
      <c r="AB44" s="326">
        <f>SUM(X44,Z44)</f>
        <v>0</v>
      </c>
      <c r="AD44" s="300"/>
      <c r="AE44" s="321"/>
      <c r="AF44" s="289">
        <v>8</v>
      </c>
      <c r="AG44" s="327" t="s">
        <v>5</v>
      </c>
      <c r="AH44" s="328">
        <f>VLOOKUP(AF41, $B$3:$E$109, 4, FALSE)</f>
        <v>0</v>
      </c>
      <c r="AI44" s="327" t="s">
        <v>5</v>
      </c>
      <c r="AJ44" s="329">
        <f>VLOOKUP(AF41, $B$3:$F$109, 5, FALSE)</f>
        <v>0</v>
      </c>
      <c r="AK44" s="330" t="s">
        <v>5</v>
      </c>
      <c r="AL44" s="326">
        <f>SUM(AH44,AJ44)</f>
        <v>0</v>
      </c>
      <c r="AN44" s="300"/>
      <c r="AO44" s="321"/>
      <c r="AP44" s="289">
        <v>8</v>
      </c>
      <c r="AQ44" s="327" t="s">
        <v>5</v>
      </c>
      <c r="AR44" s="328">
        <f>VLOOKUP(AP41, $B$3:$E$109, 4, FALSE)</f>
        <v>0</v>
      </c>
      <c r="AS44" s="327" t="s">
        <v>5</v>
      </c>
      <c r="AT44" s="329">
        <f>VLOOKUP(AP41, $B$3:$F$109, 5, FALSE)</f>
        <v>0</v>
      </c>
      <c r="AU44" s="330" t="s">
        <v>5</v>
      </c>
      <c r="AV44" s="326">
        <f>SUM(AR44,AT44)</f>
        <v>0</v>
      </c>
      <c r="AX44" s="300"/>
      <c r="AY44" s="321"/>
      <c r="AZ44" s="289">
        <v>8</v>
      </c>
      <c r="BA44" s="327" t="s">
        <v>5</v>
      </c>
      <c r="BB44" s="328">
        <f>VLOOKUP(AZ41, $B$3:$E$109, 4, FALSE)</f>
        <v>0</v>
      </c>
      <c r="BC44" s="327" t="s">
        <v>5</v>
      </c>
      <c r="BD44" s="329">
        <f>VLOOKUP(AZ41, $B$3:$F$109, 5, FALSE)</f>
        <v>0</v>
      </c>
      <c r="BE44" s="330" t="s">
        <v>5</v>
      </c>
      <c r="BF44" s="326">
        <f>SUM(BB44,BD44)</f>
        <v>0</v>
      </c>
      <c r="BH44" s="300"/>
      <c r="BI44" s="321"/>
      <c r="BJ44" s="289">
        <v>8</v>
      </c>
      <c r="BK44" s="327" t="s">
        <v>5</v>
      </c>
      <c r="BL44" s="328">
        <f>VLOOKUP(BJ41, $B$3:$E$109, 4, FALSE)</f>
        <v>0</v>
      </c>
      <c r="BM44" s="327" t="s">
        <v>5</v>
      </c>
      <c r="BN44" s="329">
        <f>VLOOKUP(BJ41, $B$3:$F$109, 5, FALSE)</f>
        <v>0</v>
      </c>
      <c r="BO44" s="330" t="s">
        <v>5</v>
      </c>
      <c r="BP44" s="326">
        <f>SUM(BL44,BN44)</f>
        <v>0</v>
      </c>
    </row>
    <row r="45" spans="2:68" ht="15.75" customHeight="1">
      <c r="K45" s="321"/>
      <c r="L45" s="320"/>
      <c r="M45" s="645" t="s">
        <v>105</v>
      </c>
      <c r="N45" s="328">
        <f>VLOOKUP(L41, $B$3:$E$109, 2, FALSE)</f>
        <v>0</v>
      </c>
      <c r="O45" s="645" t="s">
        <v>105</v>
      </c>
      <c r="P45" s="329">
        <f>VLOOKUP(L41, $B$3:$E$109, 3, FALSE)</f>
        <v>0</v>
      </c>
      <c r="Q45" s="646" t="s">
        <v>105</v>
      </c>
      <c r="R45" s="326">
        <f>SUM(N45,P45)</f>
        <v>0</v>
      </c>
      <c r="S45" s="294"/>
      <c r="T45" s="300"/>
      <c r="U45" s="321"/>
      <c r="V45" s="320"/>
      <c r="W45" s="645" t="s">
        <v>105</v>
      </c>
      <c r="X45" s="328">
        <f>VLOOKUP(V41, $B$3:$E$109, 2, FALSE)</f>
        <v>0</v>
      </c>
      <c r="Y45" s="645" t="s">
        <v>105</v>
      </c>
      <c r="Z45" s="329">
        <f>VLOOKUP(V41, $B$3:$E$109, 3, FALSE)</f>
        <v>0</v>
      </c>
      <c r="AA45" s="646" t="s">
        <v>105</v>
      </c>
      <c r="AB45" s="326">
        <f>SUM(X45,Z45)</f>
        <v>0</v>
      </c>
      <c r="AD45" s="300"/>
      <c r="AE45" s="321"/>
      <c r="AF45" s="320"/>
      <c r="AG45" s="645" t="s">
        <v>105</v>
      </c>
      <c r="AH45" s="328">
        <f>VLOOKUP(AF41, $B$3:$E$109, 2, FALSE)</f>
        <v>0</v>
      </c>
      <c r="AI45" s="645" t="s">
        <v>105</v>
      </c>
      <c r="AJ45" s="329">
        <f>VLOOKUP(AF41, $B$3:$E$109, 3, FALSE)</f>
        <v>0</v>
      </c>
      <c r="AK45" s="646" t="s">
        <v>105</v>
      </c>
      <c r="AL45" s="326">
        <f>SUM(AH45,AJ45)</f>
        <v>0</v>
      </c>
      <c r="AN45" s="300"/>
      <c r="AO45" s="321"/>
      <c r="AP45" s="320"/>
      <c r="AQ45" s="645" t="s">
        <v>105</v>
      </c>
      <c r="AR45" s="328">
        <f>VLOOKUP(AP41, $B$3:$E$109, 2, FALSE)</f>
        <v>0</v>
      </c>
      <c r="AS45" s="645" t="s">
        <v>105</v>
      </c>
      <c r="AT45" s="329">
        <f>VLOOKUP(AP41, $B$3:$E$109, 3, FALSE)</f>
        <v>0</v>
      </c>
      <c r="AU45" s="646" t="s">
        <v>105</v>
      </c>
      <c r="AV45" s="326">
        <f>SUM(AR45,AT45)</f>
        <v>0</v>
      </c>
      <c r="AX45" s="300"/>
      <c r="AY45" s="321"/>
      <c r="AZ45" s="320"/>
      <c r="BA45" s="645" t="s">
        <v>105</v>
      </c>
      <c r="BB45" s="328">
        <f>VLOOKUP(AZ41, $B$3:$E$109, 2, FALSE)</f>
        <v>0</v>
      </c>
      <c r="BC45" s="645" t="s">
        <v>105</v>
      </c>
      <c r="BD45" s="329">
        <f>VLOOKUP(AZ41, $B$3:$E$109, 3, FALSE)</f>
        <v>0</v>
      </c>
      <c r="BE45" s="646" t="s">
        <v>105</v>
      </c>
      <c r="BF45" s="326">
        <f>SUM(BB45,BD45)</f>
        <v>0</v>
      </c>
      <c r="BH45" s="300"/>
      <c r="BI45" s="321"/>
      <c r="BJ45" s="320"/>
      <c r="BK45" s="645" t="s">
        <v>105</v>
      </c>
      <c r="BL45" s="328">
        <f>VLOOKUP(BJ41, $B$3:$E$109, 2, FALSE)</f>
        <v>0</v>
      </c>
      <c r="BM45" s="645" t="s">
        <v>105</v>
      </c>
      <c r="BN45" s="329">
        <f>VLOOKUP(BJ41, $B$3:$E$109, 3, FALSE)</f>
        <v>0</v>
      </c>
      <c r="BO45" s="646" t="s">
        <v>105</v>
      </c>
      <c r="BP45" s="326">
        <f>SUM(BL45,BN45)</f>
        <v>0</v>
      </c>
    </row>
    <row r="46" spans="2:68" ht="12.75" customHeight="1">
      <c r="K46" s="702" t="s">
        <v>157</v>
      </c>
      <c r="L46" s="703"/>
      <c r="M46" s="646"/>
      <c r="N46" s="322"/>
      <c r="O46" s="645"/>
      <c r="P46" s="322"/>
      <c r="Q46" s="646"/>
      <c r="R46" s="322"/>
      <c r="S46" s="156"/>
      <c r="T46" s="300"/>
      <c r="U46" s="702" t="s">
        <v>157</v>
      </c>
      <c r="V46" s="703"/>
      <c r="W46" s="646"/>
      <c r="X46" s="322"/>
      <c r="Y46" s="645"/>
      <c r="Z46" s="322"/>
      <c r="AA46" s="646"/>
      <c r="AB46" s="322"/>
      <c r="AD46" s="300"/>
      <c r="AE46" s="702" t="s">
        <v>157</v>
      </c>
      <c r="AF46" s="703"/>
      <c r="AG46" s="646"/>
      <c r="AH46" s="322"/>
      <c r="AI46" s="645"/>
      <c r="AJ46" s="322"/>
      <c r="AK46" s="646"/>
      <c r="AL46" s="322"/>
      <c r="AN46" s="300"/>
      <c r="AO46" s="702" t="s">
        <v>157</v>
      </c>
      <c r="AP46" s="703"/>
      <c r="AQ46" s="646"/>
      <c r="AR46" s="322"/>
      <c r="AS46" s="645"/>
      <c r="AT46" s="322"/>
      <c r="AU46" s="646"/>
      <c r="AV46" s="322"/>
      <c r="AX46" s="300"/>
      <c r="AY46" s="702" t="s">
        <v>157</v>
      </c>
      <c r="AZ46" s="703"/>
      <c r="BA46" s="646"/>
      <c r="BB46" s="322"/>
      <c r="BC46" s="645"/>
      <c r="BD46" s="322"/>
      <c r="BE46" s="646"/>
      <c r="BF46" s="322"/>
      <c r="BH46" s="300"/>
      <c r="BI46" s="702" t="s">
        <v>157</v>
      </c>
      <c r="BJ46" s="703"/>
      <c r="BK46" s="646"/>
      <c r="BL46" s="322"/>
      <c r="BM46" s="645"/>
      <c r="BN46" s="322"/>
      <c r="BO46" s="646"/>
      <c r="BP46" s="322"/>
    </row>
    <row r="47" spans="2:68" ht="15.75">
      <c r="K47" s="389"/>
      <c r="L47" s="331">
        <f>R43*13</f>
        <v>0</v>
      </c>
      <c r="M47" s="423"/>
      <c r="N47" s="322"/>
      <c r="O47" s="333"/>
      <c r="P47" s="322"/>
      <c r="Q47" s="424"/>
      <c r="R47" s="322"/>
      <c r="S47" s="156"/>
      <c r="T47" s="300"/>
      <c r="U47" s="389"/>
      <c r="V47" s="331">
        <f>AB43*13</f>
        <v>0</v>
      </c>
      <c r="W47" s="423"/>
      <c r="X47" s="322"/>
      <c r="Y47" s="333"/>
      <c r="Z47" s="322"/>
      <c r="AA47" s="424"/>
      <c r="AB47" s="322"/>
      <c r="AD47" s="300"/>
      <c r="AE47" s="389"/>
      <c r="AF47" s="331">
        <f>AL43*13</f>
        <v>0</v>
      </c>
      <c r="AG47" s="423"/>
      <c r="AH47" s="322"/>
      <c r="AI47" s="333"/>
      <c r="AJ47" s="322"/>
      <c r="AK47" s="424"/>
      <c r="AL47" s="322"/>
      <c r="AN47" s="300"/>
      <c r="AO47" s="389"/>
      <c r="AP47" s="331">
        <f>AV43*13</f>
        <v>0</v>
      </c>
      <c r="AQ47" s="423"/>
      <c r="AR47" s="322"/>
      <c r="AS47" s="333"/>
      <c r="AT47" s="322"/>
      <c r="AU47" s="424"/>
      <c r="AV47" s="322"/>
      <c r="AX47" s="300"/>
      <c r="AY47" s="389"/>
      <c r="AZ47" s="331">
        <f>BF43*13</f>
        <v>0</v>
      </c>
      <c r="BA47" s="423"/>
      <c r="BB47" s="322"/>
      <c r="BC47" s="333"/>
      <c r="BD47" s="322"/>
      <c r="BE47" s="424"/>
      <c r="BF47" s="322"/>
      <c r="BH47" s="300"/>
      <c r="BI47" s="389"/>
      <c r="BJ47" s="331">
        <f>BP43*13</f>
        <v>0</v>
      </c>
      <c r="BK47" s="423"/>
      <c r="BL47" s="322"/>
      <c r="BM47" s="333"/>
      <c r="BN47" s="322"/>
      <c r="BO47" s="424"/>
      <c r="BP47" s="322"/>
    </row>
    <row r="48" spans="2:68" ht="18.75">
      <c r="K48" s="321"/>
      <c r="L48" s="390"/>
      <c r="M48" s="286" t="s">
        <v>97</v>
      </c>
      <c r="N48" s="287" t="e">
        <f>N45/((N43*EFFICIENCY!$H$28))</f>
        <v>#DIV/0!</v>
      </c>
      <c r="O48" s="286" t="s">
        <v>97</v>
      </c>
      <c r="P48" s="287" t="e">
        <f>P45/(P43*EFFICIENCY!$H$28)</f>
        <v>#DIV/0!</v>
      </c>
      <c r="Q48" s="286" t="s">
        <v>97</v>
      </c>
      <c r="R48" s="287" t="e">
        <f>R45/(R43*EFFICIENCY!$H$28)</f>
        <v>#DIV/0!</v>
      </c>
      <c r="S48" s="295"/>
      <c r="T48" s="300"/>
      <c r="U48" s="321"/>
      <c r="V48" s="390"/>
      <c r="W48" s="286" t="s">
        <v>97</v>
      </c>
      <c r="X48" s="287" t="e">
        <f>X45/((X43*EFFICIENCY!$H$28))</f>
        <v>#DIV/0!</v>
      </c>
      <c r="Y48" s="286" t="s">
        <v>97</v>
      </c>
      <c r="Z48" s="287" t="e">
        <f>Z45/(Z43*EFFICIENCY!$H$28)</f>
        <v>#DIV/0!</v>
      </c>
      <c r="AA48" s="286" t="s">
        <v>97</v>
      </c>
      <c r="AB48" s="287" t="e">
        <f>AB45/(AB43*EFFICIENCY!$H$28)</f>
        <v>#DIV/0!</v>
      </c>
      <c r="AD48" s="300"/>
      <c r="AE48" s="321"/>
      <c r="AF48" s="390"/>
      <c r="AG48" s="286" t="s">
        <v>97</v>
      </c>
      <c r="AH48" s="287" t="e">
        <f>AH45/((AH43*EFFICIENCY!$H$28))</f>
        <v>#DIV/0!</v>
      </c>
      <c r="AI48" s="286" t="s">
        <v>97</v>
      </c>
      <c r="AJ48" s="287" t="e">
        <f>AJ45/(AJ43*EFFICIENCY!$H$28)</f>
        <v>#DIV/0!</v>
      </c>
      <c r="AK48" s="286" t="s">
        <v>97</v>
      </c>
      <c r="AL48" s="287" t="e">
        <f>AL45/(AL43*EFFICIENCY!$H$28)</f>
        <v>#DIV/0!</v>
      </c>
      <c r="AN48" s="300"/>
      <c r="AO48" s="321"/>
      <c r="AP48" s="390"/>
      <c r="AQ48" s="286" t="s">
        <v>97</v>
      </c>
      <c r="AR48" s="287" t="e">
        <f>AR45/((AR43*EFFICIENCY!$H$28))</f>
        <v>#DIV/0!</v>
      </c>
      <c r="AS48" s="286" t="s">
        <v>97</v>
      </c>
      <c r="AT48" s="287" t="e">
        <f>AT45/(AT43*EFFICIENCY!$H$28)</f>
        <v>#DIV/0!</v>
      </c>
      <c r="AU48" s="286" t="s">
        <v>97</v>
      </c>
      <c r="AV48" s="287" t="e">
        <f>AV45/(AV43*EFFICIENCY!$H$28)</f>
        <v>#DIV/0!</v>
      </c>
      <c r="AX48" s="300"/>
      <c r="AY48" s="321"/>
      <c r="AZ48" s="390"/>
      <c r="BA48" s="286" t="s">
        <v>97</v>
      </c>
      <c r="BB48" s="287" t="e">
        <f>BB45/((BB43*EFFICIENCY!$H$28))</f>
        <v>#DIV/0!</v>
      </c>
      <c r="BC48" s="286" t="s">
        <v>97</v>
      </c>
      <c r="BD48" s="287" t="e">
        <f>BD45/(BD43*EFFICIENCY!$H$28)</f>
        <v>#DIV/0!</v>
      </c>
      <c r="BE48" s="286" t="s">
        <v>97</v>
      </c>
      <c r="BF48" s="287" t="e">
        <f>BF45/(BF43*EFFICIENCY!$H$28)</f>
        <v>#DIV/0!</v>
      </c>
      <c r="BH48" s="300"/>
      <c r="BI48" s="321"/>
      <c r="BJ48" s="390"/>
      <c r="BK48" s="286" t="s">
        <v>97</v>
      </c>
      <c r="BL48" s="287" t="e">
        <f>BL45/((BL43*EFFICIENCY!$H$28))</f>
        <v>#DIV/0!</v>
      </c>
      <c r="BM48" s="286" t="s">
        <v>97</v>
      </c>
      <c r="BN48" s="287" t="e">
        <f>BN45/(BN43*EFFICIENCY!$H$28)</f>
        <v>#DIV/0!</v>
      </c>
      <c r="BO48" s="286" t="s">
        <v>97</v>
      </c>
      <c r="BP48" s="287" t="e">
        <f>BP45/(BP43*EFFICIENCY!$H$28)</f>
        <v>#DIV/0!</v>
      </c>
    </row>
    <row r="49" spans="10:68" ht="18.75">
      <c r="K49" s="321"/>
      <c r="L49" s="320"/>
      <c r="M49" s="280" t="s">
        <v>96</v>
      </c>
      <c r="N49" s="281" t="e">
        <f>N45/(N43*EFFICIENCY!$I$28)</f>
        <v>#DIV/0!</v>
      </c>
      <c r="O49" s="280" t="s">
        <v>96</v>
      </c>
      <c r="P49" s="281" t="e">
        <f>P45/(P43*EFFICIENCY!$I$28)</f>
        <v>#DIV/0!</v>
      </c>
      <c r="Q49" s="280" t="s">
        <v>96</v>
      </c>
      <c r="R49" s="281" t="e">
        <f>R45/(R43*EFFICIENCY!$I$28)</f>
        <v>#DIV/0!</v>
      </c>
      <c r="S49" s="296"/>
      <c r="T49" s="300"/>
      <c r="U49" s="321"/>
      <c r="V49" s="320"/>
      <c r="W49" s="280" t="s">
        <v>96</v>
      </c>
      <c r="X49" s="281" t="e">
        <f>X45/(X43*EFFICIENCY!$I$28)</f>
        <v>#DIV/0!</v>
      </c>
      <c r="Y49" s="280" t="s">
        <v>96</v>
      </c>
      <c r="Z49" s="281" t="e">
        <f>Z45/(Z43*EFFICIENCY!$I$28)</f>
        <v>#DIV/0!</v>
      </c>
      <c r="AA49" s="280" t="s">
        <v>96</v>
      </c>
      <c r="AB49" s="281" t="e">
        <f>AB45/(AB43*EFFICIENCY!$I$28)</f>
        <v>#DIV/0!</v>
      </c>
      <c r="AD49" s="300"/>
      <c r="AE49" s="321"/>
      <c r="AF49" s="320"/>
      <c r="AG49" s="280" t="s">
        <v>96</v>
      </c>
      <c r="AH49" s="281" t="e">
        <f>AH45/(AH43*EFFICIENCY!$I$28)</f>
        <v>#DIV/0!</v>
      </c>
      <c r="AI49" s="280" t="s">
        <v>96</v>
      </c>
      <c r="AJ49" s="281" t="e">
        <f>AJ45/(AJ43*EFFICIENCY!$I$28)</f>
        <v>#DIV/0!</v>
      </c>
      <c r="AK49" s="280" t="s">
        <v>96</v>
      </c>
      <c r="AL49" s="281" t="e">
        <f>AL45/(AL43*EFFICIENCY!$I$28)</f>
        <v>#DIV/0!</v>
      </c>
      <c r="AN49" s="300"/>
      <c r="AO49" s="321"/>
      <c r="AP49" s="320"/>
      <c r="AQ49" s="280" t="s">
        <v>96</v>
      </c>
      <c r="AR49" s="281" t="e">
        <f>AR45/(AR43*EFFICIENCY!$I$28)</f>
        <v>#DIV/0!</v>
      </c>
      <c r="AS49" s="280" t="s">
        <v>96</v>
      </c>
      <c r="AT49" s="281" t="e">
        <f>AT45/(AT43*EFFICIENCY!$I$28)</f>
        <v>#DIV/0!</v>
      </c>
      <c r="AU49" s="280" t="s">
        <v>96</v>
      </c>
      <c r="AV49" s="281" t="e">
        <f>AV45/(AV43*EFFICIENCY!$I$28)</f>
        <v>#DIV/0!</v>
      </c>
      <c r="AX49" s="300"/>
      <c r="AY49" s="321"/>
      <c r="AZ49" s="320"/>
      <c r="BA49" s="280" t="s">
        <v>96</v>
      </c>
      <c r="BB49" s="281" t="e">
        <f>BB45/(BB43*EFFICIENCY!$I$28)</f>
        <v>#DIV/0!</v>
      </c>
      <c r="BC49" s="280" t="s">
        <v>96</v>
      </c>
      <c r="BD49" s="281" t="e">
        <f>BD45/(BD43*EFFICIENCY!$I$28)</f>
        <v>#DIV/0!</v>
      </c>
      <c r="BE49" s="280" t="s">
        <v>96</v>
      </c>
      <c r="BF49" s="281" t="e">
        <f>BF45/(BF43*EFFICIENCY!$I$28)</f>
        <v>#DIV/0!</v>
      </c>
      <c r="BH49" s="300"/>
      <c r="BI49" s="321"/>
      <c r="BJ49" s="320"/>
      <c r="BK49" s="280" t="s">
        <v>96</v>
      </c>
      <c r="BL49" s="281" t="e">
        <f>BL45/(BL43*EFFICIENCY!$I$28)</f>
        <v>#DIV/0!</v>
      </c>
      <c r="BM49" s="280" t="s">
        <v>96</v>
      </c>
      <c r="BN49" s="281" t="e">
        <f>BN45/(BN43*EFFICIENCY!$I$28)</f>
        <v>#DIV/0!</v>
      </c>
      <c r="BO49" s="280" t="s">
        <v>96</v>
      </c>
      <c r="BP49" s="281" t="e">
        <f>BP45/(BP43*EFFICIENCY!$I$28)</f>
        <v>#DIV/0!</v>
      </c>
    </row>
    <row r="50" spans="10:68" ht="19.5" customHeight="1" thickBot="1">
      <c r="K50" s="686" t="s">
        <v>156</v>
      </c>
      <c r="L50" s="687"/>
      <c r="M50" s="284" t="s">
        <v>94</v>
      </c>
      <c r="N50" s="285" t="e">
        <f>N45/((N43*EFFICIENCY!$K$28))</f>
        <v>#DIV/0!</v>
      </c>
      <c r="O50" s="288" t="s">
        <v>94</v>
      </c>
      <c r="P50" s="285" t="e">
        <f>P45/((P43*EFFICIENCY!$K$28))</f>
        <v>#DIV/0!</v>
      </c>
      <c r="Q50" s="284" t="s">
        <v>94</v>
      </c>
      <c r="R50" s="285" t="e">
        <f>R45/((R43*EFFICIENCY!$K$28))</f>
        <v>#DIV/0!</v>
      </c>
      <c r="S50" s="297"/>
      <c r="T50" s="300"/>
      <c r="U50" s="686" t="s">
        <v>156</v>
      </c>
      <c r="V50" s="687"/>
      <c r="W50" s="284" t="s">
        <v>94</v>
      </c>
      <c r="X50" s="285" t="e">
        <f>X45/((X43*EFFICIENCY!$K$28))</f>
        <v>#DIV/0!</v>
      </c>
      <c r="Y50" s="288" t="s">
        <v>94</v>
      </c>
      <c r="Z50" s="285" t="e">
        <f>Z45/((Z43*EFFICIENCY!$K$28))</f>
        <v>#DIV/0!</v>
      </c>
      <c r="AA50" s="284" t="s">
        <v>94</v>
      </c>
      <c r="AB50" s="285" t="e">
        <f>AB45/((AB43*EFFICIENCY!$K$28))</f>
        <v>#DIV/0!</v>
      </c>
      <c r="AD50" s="300"/>
      <c r="AE50" s="686" t="s">
        <v>156</v>
      </c>
      <c r="AF50" s="687"/>
      <c r="AG50" s="284" t="s">
        <v>94</v>
      </c>
      <c r="AH50" s="285" t="e">
        <f>AH45/((AH43*EFFICIENCY!$K$28))</f>
        <v>#DIV/0!</v>
      </c>
      <c r="AI50" s="288" t="s">
        <v>94</v>
      </c>
      <c r="AJ50" s="285" t="e">
        <f>AJ45/((AJ43*EFFICIENCY!$K$28))</f>
        <v>#DIV/0!</v>
      </c>
      <c r="AK50" s="284" t="s">
        <v>94</v>
      </c>
      <c r="AL50" s="285" t="e">
        <f>AL45/((AL43*EFFICIENCY!$K$28))</f>
        <v>#DIV/0!</v>
      </c>
      <c r="AN50" s="300"/>
      <c r="AO50" s="686" t="s">
        <v>156</v>
      </c>
      <c r="AP50" s="687"/>
      <c r="AQ50" s="284" t="s">
        <v>94</v>
      </c>
      <c r="AR50" s="285" t="e">
        <f>AR45/((AR43*EFFICIENCY!$K$28))</f>
        <v>#DIV/0!</v>
      </c>
      <c r="AS50" s="288" t="s">
        <v>94</v>
      </c>
      <c r="AT50" s="285" t="e">
        <f>AT45/((AT43*EFFICIENCY!$K$28))</f>
        <v>#DIV/0!</v>
      </c>
      <c r="AU50" s="284" t="s">
        <v>94</v>
      </c>
      <c r="AV50" s="285" t="e">
        <f>AV45/((AV43*EFFICIENCY!$K$28))</f>
        <v>#DIV/0!</v>
      </c>
      <c r="AX50" s="300"/>
      <c r="AY50" s="686" t="s">
        <v>156</v>
      </c>
      <c r="AZ50" s="687"/>
      <c r="BA50" s="284" t="s">
        <v>94</v>
      </c>
      <c r="BB50" s="285" t="e">
        <f>BB45/((BB43*EFFICIENCY!$K$28))</f>
        <v>#DIV/0!</v>
      </c>
      <c r="BC50" s="288" t="s">
        <v>94</v>
      </c>
      <c r="BD50" s="285" t="e">
        <f>BD45/((BD43*EFFICIENCY!$K$28))</f>
        <v>#DIV/0!</v>
      </c>
      <c r="BE50" s="284" t="s">
        <v>94</v>
      </c>
      <c r="BF50" s="285" t="e">
        <f>BF45/((BF43*EFFICIENCY!$K$28))</f>
        <v>#DIV/0!</v>
      </c>
      <c r="BH50" s="300"/>
      <c r="BI50" s="686" t="s">
        <v>156</v>
      </c>
      <c r="BJ50" s="687"/>
      <c r="BK50" s="284" t="s">
        <v>94</v>
      </c>
      <c r="BL50" s="285" t="e">
        <f>BL45/((BL43*EFFICIENCY!$K$28))</f>
        <v>#DIV/0!</v>
      </c>
      <c r="BM50" s="288" t="s">
        <v>94</v>
      </c>
      <c r="BN50" s="285" t="e">
        <f>BN45/((BN43*EFFICIENCY!$K$28))</f>
        <v>#DIV/0!</v>
      </c>
      <c r="BO50" s="284" t="s">
        <v>94</v>
      </c>
      <c r="BP50" s="285" t="e">
        <f>BP45/((BP43*EFFICIENCY!$K$28))</f>
        <v>#DIV/0!</v>
      </c>
    </row>
    <row r="51" spans="10:68" ht="16.5" thickBot="1">
      <c r="K51" s="391"/>
      <c r="L51" s="392" t="e">
        <f>R45/R43</f>
        <v>#DIV/0!</v>
      </c>
      <c r="M51" s="649" t="s">
        <v>153</v>
      </c>
      <c r="N51" s="650"/>
      <c r="O51" s="290"/>
      <c r="P51" s="420"/>
      <c r="Q51" s="420" t="s">
        <v>154</v>
      </c>
      <c r="R51" s="336">
        <f>O51-R45</f>
        <v>0</v>
      </c>
      <c r="S51" s="298"/>
      <c r="T51" s="300"/>
      <c r="U51" s="391"/>
      <c r="V51" s="392" t="e">
        <f>AB45/AB43</f>
        <v>#DIV/0!</v>
      </c>
      <c r="W51" s="649" t="s">
        <v>153</v>
      </c>
      <c r="X51" s="650"/>
      <c r="Y51" s="290"/>
      <c r="Z51" s="420"/>
      <c r="AA51" s="420" t="s">
        <v>154</v>
      </c>
      <c r="AB51" s="336">
        <f>Y51-AB45</f>
        <v>0</v>
      </c>
      <c r="AD51" s="300"/>
      <c r="AE51" s="391"/>
      <c r="AF51" s="392" t="e">
        <f>AL45/AL43</f>
        <v>#DIV/0!</v>
      </c>
      <c r="AG51" s="649" t="s">
        <v>153</v>
      </c>
      <c r="AH51" s="650"/>
      <c r="AI51" s="290"/>
      <c r="AJ51" s="420"/>
      <c r="AK51" s="420" t="s">
        <v>154</v>
      </c>
      <c r="AL51" s="336">
        <f>AI51-AL45</f>
        <v>0</v>
      </c>
      <c r="AN51" s="300"/>
      <c r="AO51" s="391"/>
      <c r="AP51" s="392" t="e">
        <f>AV45/AV43</f>
        <v>#DIV/0!</v>
      </c>
      <c r="AQ51" s="649" t="s">
        <v>153</v>
      </c>
      <c r="AR51" s="650"/>
      <c r="AS51" s="290"/>
      <c r="AT51" s="420"/>
      <c r="AU51" s="420" t="s">
        <v>154</v>
      </c>
      <c r="AV51" s="336">
        <f>AS51-AV45</f>
        <v>0</v>
      </c>
      <c r="AX51" s="300"/>
      <c r="AY51" s="391"/>
      <c r="AZ51" s="392" t="e">
        <f>BF45/BF43</f>
        <v>#DIV/0!</v>
      </c>
      <c r="BA51" s="649" t="s">
        <v>153</v>
      </c>
      <c r="BB51" s="650"/>
      <c r="BC51" s="290"/>
      <c r="BD51" s="420"/>
      <c r="BE51" s="420" t="s">
        <v>154</v>
      </c>
      <c r="BF51" s="336">
        <f>BC51-BF45</f>
        <v>0</v>
      </c>
      <c r="BH51" s="300"/>
      <c r="BI51" s="391"/>
      <c r="BJ51" s="392" t="e">
        <f>BP45/BP43</f>
        <v>#DIV/0!</v>
      </c>
      <c r="BK51" s="649" t="s">
        <v>153</v>
      </c>
      <c r="BL51" s="650"/>
      <c r="BM51" s="290"/>
      <c r="BN51" s="420"/>
      <c r="BO51" s="420" t="s">
        <v>154</v>
      </c>
      <c r="BP51" s="336">
        <f>BM51-BP45</f>
        <v>0</v>
      </c>
    </row>
    <row r="52" spans="10:68">
      <c r="T52" s="300"/>
      <c r="AD52" s="300"/>
      <c r="AN52" s="300"/>
      <c r="AX52" s="300"/>
      <c r="BH52" s="300"/>
    </row>
    <row r="53" spans="10:68" ht="13.5" thickBot="1">
      <c r="J53" s="291"/>
      <c r="K53" s="291"/>
      <c r="L53" s="291"/>
      <c r="M53" s="291"/>
      <c r="N53" s="291"/>
      <c r="O53" s="291"/>
      <c r="P53" s="291"/>
      <c r="Q53" s="291"/>
      <c r="R53" s="291"/>
      <c r="S53" s="299"/>
      <c r="T53" s="301"/>
      <c r="U53" s="291"/>
      <c r="V53" s="291"/>
      <c r="W53" s="291"/>
      <c r="X53" s="291"/>
      <c r="Y53" s="291"/>
      <c r="Z53" s="291"/>
      <c r="AA53" s="291"/>
      <c r="AB53" s="291"/>
      <c r="AC53" s="291"/>
      <c r="AD53" s="301"/>
      <c r="AE53" s="291"/>
      <c r="AF53" s="291"/>
      <c r="AG53" s="291"/>
      <c r="AH53" s="291"/>
      <c r="AI53" s="291"/>
      <c r="AJ53" s="291"/>
      <c r="AK53" s="291"/>
      <c r="AL53" s="291"/>
      <c r="AM53" s="291"/>
      <c r="AN53" s="301"/>
      <c r="AO53" s="291"/>
      <c r="AP53" s="291"/>
      <c r="AQ53" s="291"/>
      <c r="AR53" s="291"/>
      <c r="AS53" s="291"/>
      <c r="AT53" s="291"/>
      <c r="AU53" s="291"/>
      <c r="AV53" s="291"/>
      <c r="AW53" s="291"/>
      <c r="AX53" s="301"/>
      <c r="AY53" s="291"/>
      <c r="AZ53" s="291"/>
      <c r="BA53" s="291"/>
      <c r="BB53" s="291"/>
      <c r="BC53" s="291"/>
      <c r="BD53" s="291"/>
      <c r="BE53" s="291"/>
      <c r="BF53" s="291"/>
      <c r="BG53" s="291"/>
      <c r="BH53" s="301"/>
      <c r="BI53" s="291"/>
      <c r="BJ53" s="291"/>
      <c r="BK53" s="291"/>
      <c r="BL53" s="291"/>
      <c r="BM53" s="291"/>
      <c r="BN53" s="291"/>
      <c r="BO53" s="291"/>
      <c r="BP53" s="291"/>
    </row>
    <row r="54" spans="10:68" ht="15.75" thickBot="1">
      <c r="J54" s="154"/>
      <c r="K54" s="409" t="s">
        <v>7</v>
      </c>
      <c r="L54" s="536">
        <f>B30</f>
        <v>42667</v>
      </c>
      <c r="M54" s="651" t="s">
        <v>100</v>
      </c>
      <c r="N54" s="652"/>
      <c r="O54" s="653" t="s">
        <v>99</v>
      </c>
      <c r="P54" s="654"/>
      <c r="Q54" s="655" t="s">
        <v>16</v>
      </c>
      <c r="R54" s="656"/>
      <c r="S54" s="293"/>
      <c r="T54" s="300"/>
      <c r="U54" s="409" t="s">
        <v>7</v>
      </c>
      <c r="V54" s="536">
        <f>B31</f>
        <v>42668</v>
      </c>
      <c r="W54" s="651" t="s">
        <v>100</v>
      </c>
      <c r="X54" s="652"/>
      <c r="Y54" s="653" t="s">
        <v>99</v>
      </c>
      <c r="Z54" s="654"/>
      <c r="AA54" s="655" t="s">
        <v>16</v>
      </c>
      <c r="AB54" s="656"/>
      <c r="AC54" s="154"/>
      <c r="AD54" s="300"/>
      <c r="AE54" s="409" t="s">
        <v>7</v>
      </c>
      <c r="AF54" s="536">
        <f>B32</f>
        <v>42669</v>
      </c>
      <c r="AG54" s="651" t="s">
        <v>100</v>
      </c>
      <c r="AH54" s="652"/>
      <c r="AI54" s="653" t="s">
        <v>99</v>
      </c>
      <c r="AJ54" s="654"/>
      <c r="AK54" s="655" t="s">
        <v>16</v>
      </c>
      <c r="AL54" s="656"/>
      <c r="AM54" s="154"/>
      <c r="AN54" s="300"/>
      <c r="AO54" s="409" t="s">
        <v>7</v>
      </c>
      <c r="AP54" s="536">
        <f>B33</f>
        <v>42670</v>
      </c>
      <c r="AQ54" s="651" t="s">
        <v>100</v>
      </c>
      <c r="AR54" s="652"/>
      <c r="AS54" s="653" t="s">
        <v>99</v>
      </c>
      <c r="AT54" s="654"/>
      <c r="AU54" s="655" t="s">
        <v>16</v>
      </c>
      <c r="AV54" s="656"/>
      <c r="AW54" s="154"/>
      <c r="AX54" s="300"/>
      <c r="AY54" s="409" t="s">
        <v>7</v>
      </c>
      <c r="AZ54" s="536">
        <f>B34</f>
        <v>42671</v>
      </c>
      <c r="BA54" s="651" t="s">
        <v>100</v>
      </c>
      <c r="BB54" s="652"/>
      <c r="BC54" s="653" t="s">
        <v>99</v>
      </c>
      <c r="BD54" s="654"/>
      <c r="BE54" s="655" t="s">
        <v>16</v>
      </c>
      <c r="BF54" s="656"/>
      <c r="BG54" s="154"/>
      <c r="BH54" s="300"/>
      <c r="BI54" s="409" t="s">
        <v>7</v>
      </c>
      <c r="BJ54" s="536">
        <f>B35</f>
        <v>42672</v>
      </c>
      <c r="BK54" s="651" t="s">
        <v>100</v>
      </c>
      <c r="BL54" s="652"/>
      <c r="BM54" s="653" t="s">
        <v>99</v>
      </c>
      <c r="BN54" s="654"/>
      <c r="BO54" s="655" t="s">
        <v>16</v>
      </c>
      <c r="BP54" s="656"/>
    </row>
    <row r="55" spans="10:68" ht="13.5" thickBot="1">
      <c r="J55" s="154"/>
      <c r="K55" s="394"/>
      <c r="L55" s="393"/>
      <c r="M55" s="394"/>
      <c r="N55" s="395"/>
      <c r="O55" s="394"/>
      <c r="P55" s="395"/>
      <c r="Q55" s="393"/>
      <c r="R55" s="395"/>
      <c r="S55" s="156"/>
      <c r="T55" s="300"/>
      <c r="U55" s="394"/>
      <c r="V55" s="393"/>
      <c r="W55" s="394"/>
      <c r="X55" s="395"/>
      <c r="Y55" s="394"/>
      <c r="Z55" s="395"/>
      <c r="AA55" s="393"/>
      <c r="AB55" s="395"/>
      <c r="AC55" s="154"/>
      <c r="AD55" s="300"/>
      <c r="AE55" s="394"/>
      <c r="AF55" s="393"/>
      <c r="AG55" s="394"/>
      <c r="AH55" s="395"/>
      <c r="AI55" s="394"/>
      <c r="AJ55" s="395"/>
      <c r="AK55" s="393"/>
      <c r="AL55" s="395"/>
      <c r="AM55" s="154"/>
      <c r="AN55" s="300"/>
      <c r="AO55" s="394"/>
      <c r="AP55" s="393"/>
      <c r="AQ55" s="394"/>
      <c r="AR55" s="395"/>
      <c r="AS55" s="394"/>
      <c r="AT55" s="395"/>
      <c r="AU55" s="393"/>
      <c r="AV55" s="395"/>
      <c r="AW55" s="154"/>
      <c r="AX55" s="300"/>
      <c r="AY55" s="394"/>
      <c r="AZ55" s="393"/>
      <c r="BA55" s="394"/>
      <c r="BB55" s="395"/>
      <c r="BC55" s="394"/>
      <c r="BD55" s="395"/>
      <c r="BE55" s="393"/>
      <c r="BF55" s="395"/>
      <c r="BG55" s="154"/>
      <c r="BH55" s="300"/>
      <c r="BI55" s="394"/>
      <c r="BJ55" s="393"/>
      <c r="BK55" s="394"/>
      <c r="BL55" s="395"/>
      <c r="BM55" s="394"/>
      <c r="BN55" s="395"/>
      <c r="BO55" s="393"/>
      <c r="BP55" s="395"/>
    </row>
    <row r="56" spans="10:68" ht="16.5" thickBot="1">
      <c r="J56" s="154"/>
      <c r="K56" s="394"/>
      <c r="L56" s="417" t="s">
        <v>155</v>
      </c>
      <c r="M56" s="397" t="s">
        <v>103</v>
      </c>
      <c r="N56" s="279"/>
      <c r="O56" s="397" t="s">
        <v>103</v>
      </c>
      <c r="P56" s="279"/>
      <c r="Q56" s="398" t="s">
        <v>103</v>
      </c>
      <c r="R56" s="399">
        <f>SUM(N56,P56)</f>
        <v>0</v>
      </c>
      <c r="S56" s="294"/>
      <c r="T56" s="300"/>
      <c r="U56" s="394"/>
      <c r="V56" s="417" t="s">
        <v>155</v>
      </c>
      <c r="W56" s="397" t="s">
        <v>103</v>
      </c>
      <c r="X56" s="279"/>
      <c r="Y56" s="397" t="s">
        <v>103</v>
      </c>
      <c r="Z56" s="279"/>
      <c r="AA56" s="398" t="s">
        <v>103</v>
      </c>
      <c r="AB56" s="399">
        <f>SUM(X56,Z56)</f>
        <v>0</v>
      </c>
      <c r="AC56" s="154"/>
      <c r="AD56" s="300"/>
      <c r="AE56" s="394"/>
      <c r="AF56" s="417" t="s">
        <v>155</v>
      </c>
      <c r="AG56" s="397" t="s">
        <v>103</v>
      </c>
      <c r="AH56" s="279"/>
      <c r="AI56" s="397" t="s">
        <v>103</v>
      </c>
      <c r="AJ56" s="279"/>
      <c r="AK56" s="398" t="s">
        <v>103</v>
      </c>
      <c r="AL56" s="399">
        <f>SUM(AH56,AJ56)</f>
        <v>0</v>
      </c>
      <c r="AM56" s="154"/>
      <c r="AN56" s="300"/>
      <c r="AO56" s="394"/>
      <c r="AP56" s="417" t="s">
        <v>155</v>
      </c>
      <c r="AQ56" s="397" t="s">
        <v>103</v>
      </c>
      <c r="AR56" s="279"/>
      <c r="AS56" s="397" t="s">
        <v>103</v>
      </c>
      <c r="AT56" s="279"/>
      <c r="AU56" s="398" t="s">
        <v>103</v>
      </c>
      <c r="AV56" s="399">
        <f>SUM(AR56,AT56)</f>
        <v>0</v>
      </c>
      <c r="AW56" s="154"/>
      <c r="AX56" s="300"/>
      <c r="AY56" s="394"/>
      <c r="AZ56" s="417" t="s">
        <v>155</v>
      </c>
      <c r="BA56" s="397" t="s">
        <v>103</v>
      </c>
      <c r="BB56" s="279"/>
      <c r="BC56" s="397" t="s">
        <v>103</v>
      </c>
      <c r="BD56" s="279"/>
      <c r="BE56" s="398" t="s">
        <v>103</v>
      </c>
      <c r="BF56" s="399">
        <f>SUM(BB56,BD56)</f>
        <v>0</v>
      </c>
      <c r="BG56" s="154"/>
      <c r="BH56" s="300"/>
      <c r="BI56" s="394"/>
      <c r="BJ56" s="417" t="s">
        <v>155</v>
      </c>
      <c r="BK56" s="397" t="s">
        <v>103</v>
      </c>
      <c r="BL56" s="279"/>
      <c r="BM56" s="397" t="s">
        <v>103</v>
      </c>
      <c r="BN56" s="279"/>
      <c r="BO56" s="398" t="s">
        <v>103</v>
      </c>
      <c r="BP56" s="399">
        <f>SUM(BL56,BN56)</f>
        <v>0</v>
      </c>
    </row>
    <row r="57" spans="10:68" ht="18.75" thickBot="1">
      <c r="K57" s="394"/>
      <c r="L57" s="289">
        <v>8</v>
      </c>
      <c r="M57" s="400" t="s">
        <v>5</v>
      </c>
      <c r="N57" s="401">
        <f>VLOOKUP(L54, $B$3:$E$109, 4, FALSE)</f>
        <v>0</v>
      </c>
      <c r="O57" s="400" t="s">
        <v>5</v>
      </c>
      <c r="P57" s="402">
        <f>VLOOKUP(L54, $B$3:$F$109, 5, FALSE)</f>
        <v>0</v>
      </c>
      <c r="Q57" s="403" t="s">
        <v>5</v>
      </c>
      <c r="R57" s="399">
        <f>SUM(N57,P57)</f>
        <v>0</v>
      </c>
      <c r="S57" s="294"/>
      <c r="T57" s="300"/>
      <c r="U57" s="394"/>
      <c r="V57" s="289">
        <v>8</v>
      </c>
      <c r="W57" s="400" t="s">
        <v>5</v>
      </c>
      <c r="X57" s="401">
        <f>VLOOKUP(V54, $B$3:$E$109, 4, FALSE)</f>
        <v>0</v>
      </c>
      <c r="Y57" s="400" t="s">
        <v>5</v>
      </c>
      <c r="Z57" s="402">
        <f>VLOOKUP(V54, $B$3:$F$109, 5, FALSE)</f>
        <v>0</v>
      </c>
      <c r="AA57" s="403" t="s">
        <v>5</v>
      </c>
      <c r="AB57" s="399">
        <f>SUM(X57,Z57)</f>
        <v>0</v>
      </c>
      <c r="AD57" s="300"/>
      <c r="AE57" s="394"/>
      <c r="AF57" s="289">
        <v>8</v>
      </c>
      <c r="AG57" s="400" t="s">
        <v>5</v>
      </c>
      <c r="AH57" s="401">
        <f>VLOOKUP(AF54, $B$3:$E$109, 4, FALSE)</f>
        <v>0</v>
      </c>
      <c r="AI57" s="400" t="s">
        <v>5</v>
      </c>
      <c r="AJ57" s="402">
        <f>VLOOKUP(AF54, $B$3:$F$109, 5, FALSE)</f>
        <v>0</v>
      </c>
      <c r="AK57" s="403" t="s">
        <v>5</v>
      </c>
      <c r="AL57" s="399">
        <f>SUM(AH57,AJ57)</f>
        <v>0</v>
      </c>
      <c r="AN57" s="300"/>
      <c r="AO57" s="394"/>
      <c r="AP57" s="289">
        <v>8</v>
      </c>
      <c r="AQ57" s="400" t="s">
        <v>5</v>
      </c>
      <c r="AR57" s="401">
        <f>VLOOKUP(AP54, $B$3:$E$109, 4, FALSE)</f>
        <v>0</v>
      </c>
      <c r="AS57" s="400" t="s">
        <v>5</v>
      </c>
      <c r="AT57" s="402">
        <f>VLOOKUP(AP54, $B$3:$F$109, 5, FALSE)</f>
        <v>0</v>
      </c>
      <c r="AU57" s="403" t="s">
        <v>5</v>
      </c>
      <c r="AV57" s="399">
        <f>SUM(AR57,AT57)</f>
        <v>0</v>
      </c>
      <c r="AX57" s="300"/>
      <c r="AY57" s="394"/>
      <c r="AZ57" s="289">
        <v>8</v>
      </c>
      <c r="BA57" s="400" t="s">
        <v>5</v>
      </c>
      <c r="BB57" s="401">
        <f>VLOOKUP(AZ54, $B$3:$E$109, 4, FALSE)</f>
        <v>0</v>
      </c>
      <c r="BC57" s="400" t="s">
        <v>5</v>
      </c>
      <c r="BD57" s="402">
        <f>VLOOKUP(AZ54, $B$3:$F$109, 5, FALSE)</f>
        <v>0</v>
      </c>
      <c r="BE57" s="403" t="s">
        <v>5</v>
      </c>
      <c r="BF57" s="399">
        <f>SUM(BB57,BD57)</f>
        <v>0</v>
      </c>
      <c r="BH57" s="300"/>
      <c r="BI57" s="394"/>
      <c r="BJ57" s="289">
        <v>8</v>
      </c>
      <c r="BK57" s="400" t="s">
        <v>5</v>
      </c>
      <c r="BL57" s="401">
        <f>VLOOKUP(BJ54, $B$3:$E$109, 4, FALSE)</f>
        <v>0</v>
      </c>
      <c r="BM57" s="400" t="s">
        <v>5</v>
      </c>
      <c r="BN57" s="402">
        <f>VLOOKUP(BJ54, $B$3:$F$109, 5, FALSE)</f>
        <v>0</v>
      </c>
      <c r="BO57" s="403" t="s">
        <v>5</v>
      </c>
      <c r="BP57" s="399">
        <f>SUM(BL57,BN57)</f>
        <v>0</v>
      </c>
    </row>
    <row r="58" spans="10:68" ht="15.75" customHeight="1">
      <c r="K58" s="394"/>
      <c r="L58" s="393"/>
      <c r="M58" s="657" t="s">
        <v>105</v>
      </c>
      <c r="N58" s="401">
        <f>VLOOKUP(L54, $B$3:$E$109, 2, FALSE)</f>
        <v>0</v>
      </c>
      <c r="O58" s="657" t="s">
        <v>105</v>
      </c>
      <c r="P58" s="402">
        <f>VLOOKUP(L54, $B$3:$E$109, 3, FALSE)</f>
        <v>0</v>
      </c>
      <c r="Q58" s="658" t="s">
        <v>105</v>
      </c>
      <c r="R58" s="399">
        <f>SUM(N58,P58)</f>
        <v>0</v>
      </c>
      <c r="S58" s="294"/>
      <c r="T58" s="300"/>
      <c r="U58" s="394"/>
      <c r="V58" s="393"/>
      <c r="W58" s="657" t="s">
        <v>105</v>
      </c>
      <c r="X58" s="401">
        <f>VLOOKUP(V54, $B$3:$E$109, 2, FALSE)</f>
        <v>0</v>
      </c>
      <c r="Y58" s="657" t="s">
        <v>105</v>
      </c>
      <c r="Z58" s="402">
        <f>VLOOKUP(V54, $B$3:$E$109, 3, FALSE)</f>
        <v>0</v>
      </c>
      <c r="AA58" s="658" t="s">
        <v>105</v>
      </c>
      <c r="AB58" s="399">
        <f>SUM(X58,Z58)</f>
        <v>0</v>
      </c>
      <c r="AD58" s="300"/>
      <c r="AE58" s="394"/>
      <c r="AF58" s="393"/>
      <c r="AG58" s="657" t="s">
        <v>105</v>
      </c>
      <c r="AH58" s="401">
        <f>VLOOKUP(AF54, $B$3:$E$109, 2, FALSE)</f>
        <v>0</v>
      </c>
      <c r="AI58" s="657" t="s">
        <v>105</v>
      </c>
      <c r="AJ58" s="402">
        <f>VLOOKUP(AF54, $B$3:$E$109, 3, FALSE)</f>
        <v>0</v>
      </c>
      <c r="AK58" s="658" t="s">
        <v>105</v>
      </c>
      <c r="AL58" s="399">
        <f>SUM(AH58,AJ58)</f>
        <v>0</v>
      </c>
      <c r="AN58" s="300"/>
      <c r="AO58" s="394"/>
      <c r="AP58" s="393"/>
      <c r="AQ58" s="657" t="s">
        <v>105</v>
      </c>
      <c r="AR58" s="401">
        <f>VLOOKUP(AP54, $B$3:$E$109, 2, FALSE)</f>
        <v>0</v>
      </c>
      <c r="AS58" s="657" t="s">
        <v>105</v>
      </c>
      <c r="AT58" s="402">
        <f>VLOOKUP(AP54, $B$3:$E$109, 3, FALSE)</f>
        <v>0</v>
      </c>
      <c r="AU58" s="658" t="s">
        <v>105</v>
      </c>
      <c r="AV58" s="399">
        <f>SUM(AR58,AT58)</f>
        <v>0</v>
      </c>
      <c r="AX58" s="300"/>
      <c r="AY58" s="394"/>
      <c r="AZ58" s="393"/>
      <c r="BA58" s="657" t="s">
        <v>105</v>
      </c>
      <c r="BB58" s="401">
        <f>VLOOKUP(AZ54, $B$3:$E$109, 2, FALSE)</f>
        <v>0</v>
      </c>
      <c r="BC58" s="657" t="s">
        <v>105</v>
      </c>
      <c r="BD58" s="402">
        <f>VLOOKUP(AZ54, $B$3:$E$109, 3, FALSE)</f>
        <v>0</v>
      </c>
      <c r="BE58" s="658" t="s">
        <v>105</v>
      </c>
      <c r="BF58" s="399">
        <f>SUM(BB58,BD58)</f>
        <v>0</v>
      </c>
      <c r="BH58" s="300"/>
      <c r="BI58" s="394"/>
      <c r="BJ58" s="393"/>
      <c r="BK58" s="657" t="s">
        <v>105</v>
      </c>
      <c r="BL58" s="401">
        <f>VLOOKUP(BJ54, $B$3:$E$109, 2, FALSE)</f>
        <v>0</v>
      </c>
      <c r="BM58" s="657" t="s">
        <v>105</v>
      </c>
      <c r="BN58" s="402">
        <f>VLOOKUP(BJ54, $B$3:$E$109, 3, FALSE)</f>
        <v>0</v>
      </c>
      <c r="BO58" s="658" t="s">
        <v>105</v>
      </c>
      <c r="BP58" s="399">
        <f>SUM(BL58,BN58)</f>
        <v>0</v>
      </c>
    </row>
    <row r="59" spans="10:68" ht="12.75" customHeight="1">
      <c r="K59" s="688" t="s">
        <v>157</v>
      </c>
      <c r="L59" s="689"/>
      <c r="M59" s="658"/>
      <c r="N59" s="395"/>
      <c r="O59" s="657"/>
      <c r="P59" s="395"/>
      <c r="Q59" s="658"/>
      <c r="R59" s="395"/>
      <c r="S59" s="156"/>
      <c r="T59" s="300"/>
      <c r="U59" s="688" t="s">
        <v>157</v>
      </c>
      <c r="V59" s="689"/>
      <c r="W59" s="658"/>
      <c r="X59" s="395"/>
      <c r="Y59" s="657"/>
      <c r="Z59" s="395"/>
      <c r="AA59" s="658"/>
      <c r="AB59" s="395"/>
      <c r="AD59" s="300"/>
      <c r="AE59" s="688" t="s">
        <v>157</v>
      </c>
      <c r="AF59" s="689"/>
      <c r="AG59" s="658"/>
      <c r="AH59" s="395"/>
      <c r="AI59" s="657"/>
      <c r="AJ59" s="395"/>
      <c r="AK59" s="658"/>
      <c r="AL59" s="395"/>
      <c r="AN59" s="300"/>
      <c r="AO59" s="688" t="s">
        <v>157</v>
      </c>
      <c r="AP59" s="689"/>
      <c r="AQ59" s="658"/>
      <c r="AR59" s="395"/>
      <c r="AS59" s="657"/>
      <c r="AT59" s="395"/>
      <c r="AU59" s="658"/>
      <c r="AV59" s="395"/>
      <c r="AX59" s="300"/>
      <c r="AY59" s="688" t="s">
        <v>157</v>
      </c>
      <c r="AZ59" s="689"/>
      <c r="BA59" s="658"/>
      <c r="BB59" s="395"/>
      <c r="BC59" s="657"/>
      <c r="BD59" s="395"/>
      <c r="BE59" s="658"/>
      <c r="BF59" s="395"/>
      <c r="BH59" s="300"/>
      <c r="BI59" s="688" t="s">
        <v>157</v>
      </c>
      <c r="BJ59" s="689"/>
      <c r="BK59" s="658"/>
      <c r="BL59" s="395"/>
      <c r="BM59" s="657"/>
      <c r="BN59" s="395"/>
      <c r="BO59" s="658"/>
      <c r="BP59" s="395"/>
    </row>
    <row r="60" spans="10:68" ht="15.75">
      <c r="K60" s="411"/>
      <c r="L60" s="404">
        <f>R56*13</f>
        <v>0</v>
      </c>
      <c r="M60" s="418"/>
      <c r="N60" s="395"/>
      <c r="O60" s="406"/>
      <c r="P60" s="395"/>
      <c r="Q60" s="419"/>
      <c r="R60" s="395"/>
      <c r="S60" s="156"/>
      <c r="T60" s="300"/>
      <c r="U60" s="411"/>
      <c r="V60" s="404">
        <f>AB56*13</f>
        <v>0</v>
      </c>
      <c r="W60" s="418"/>
      <c r="X60" s="395"/>
      <c r="Y60" s="406"/>
      <c r="Z60" s="395"/>
      <c r="AA60" s="419"/>
      <c r="AB60" s="395"/>
      <c r="AD60" s="300"/>
      <c r="AE60" s="411"/>
      <c r="AF60" s="404">
        <f>AL56*13</f>
        <v>0</v>
      </c>
      <c r="AG60" s="418"/>
      <c r="AH60" s="395"/>
      <c r="AI60" s="406"/>
      <c r="AJ60" s="395"/>
      <c r="AK60" s="419"/>
      <c r="AL60" s="395"/>
      <c r="AN60" s="300"/>
      <c r="AO60" s="411"/>
      <c r="AP60" s="404">
        <f>AV56*13</f>
        <v>0</v>
      </c>
      <c r="AQ60" s="418"/>
      <c r="AR60" s="395"/>
      <c r="AS60" s="406"/>
      <c r="AT60" s="395"/>
      <c r="AU60" s="419"/>
      <c r="AV60" s="395"/>
      <c r="AX60" s="300"/>
      <c r="AY60" s="411"/>
      <c r="AZ60" s="404">
        <f>BF56*13</f>
        <v>0</v>
      </c>
      <c r="BA60" s="418"/>
      <c r="BB60" s="395"/>
      <c r="BC60" s="406"/>
      <c r="BD60" s="395"/>
      <c r="BE60" s="419"/>
      <c r="BF60" s="395"/>
      <c r="BH60" s="300"/>
      <c r="BI60" s="411"/>
      <c r="BJ60" s="404">
        <f>BP56*13</f>
        <v>0</v>
      </c>
      <c r="BK60" s="418"/>
      <c r="BL60" s="395"/>
      <c r="BM60" s="406"/>
      <c r="BN60" s="395"/>
      <c r="BO60" s="419"/>
      <c r="BP60" s="395"/>
    </row>
    <row r="61" spans="10:68" ht="18.75">
      <c r="K61" s="394"/>
      <c r="L61" s="412"/>
      <c r="M61" s="286" t="s">
        <v>97</v>
      </c>
      <c r="N61" s="287" t="e">
        <f>N58/((N56*EFFICIENCY!$H$28))</f>
        <v>#DIV/0!</v>
      </c>
      <c r="O61" s="286" t="s">
        <v>97</v>
      </c>
      <c r="P61" s="287" t="e">
        <f>P58/(P56*EFFICIENCY!$H$28)</f>
        <v>#DIV/0!</v>
      </c>
      <c r="Q61" s="286" t="s">
        <v>97</v>
      </c>
      <c r="R61" s="287" t="e">
        <f>R58/(R56*EFFICIENCY!$H$28)</f>
        <v>#DIV/0!</v>
      </c>
      <c r="S61" s="295"/>
      <c r="T61" s="300"/>
      <c r="U61" s="394"/>
      <c r="V61" s="412"/>
      <c r="W61" s="286" t="s">
        <v>97</v>
      </c>
      <c r="X61" s="287" t="e">
        <f>X58/((X56*EFFICIENCY!$H$28))</f>
        <v>#DIV/0!</v>
      </c>
      <c r="Y61" s="286" t="s">
        <v>97</v>
      </c>
      <c r="Z61" s="287" t="e">
        <f>Z58/(Z56*EFFICIENCY!$H$28)</f>
        <v>#DIV/0!</v>
      </c>
      <c r="AA61" s="286" t="s">
        <v>97</v>
      </c>
      <c r="AB61" s="287" t="e">
        <f>AB58/(AB56*EFFICIENCY!$H$28)</f>
        <v>#DIV/0!</v>
      </c>
      <c r="AD61" s="300"/>
      <c r="AE61" s="394"/>
      <c r="AF61" s="412"/>
      <c r="AG61" s="286" t="s">
        <v>97</v>
      </c>
      <c r="AH61" s="287" t="e">
        <f>AH58/((AH56*EFFICIENCY!$H$28))</f>
        <v>#DIV/0!</v>
      </c>
      <c r="AI61" s="286" t="s">
        <v>97</v>
      </c>
      <c r="AJ61" s="287" t="e">
        <f>AJ58/(AJ56*EFFICIENCY!$H$28)</f>
        <v>#DIV/0!</v>
      </c>
      <c r="AK61" s="286" t="s">
        <v>97</v>
      </c>
      <c r="AL61" s="287" t="e">
        <f>AL58/(AL56*EFFICIENCY!$H$28)</f>
        <v>#DIV/0!</v>
      </c>
      <c r="AN61" s="300"/>
      <c r="AO61" s="394"/>
      <c r="AP61" s="412"/>
      <c r="AQ61" s="286" t="s">
        <v>97</v>
      </c>
      <c r="AR61" s="287" t="e">
        <f>AR58/((AR56*EFFICIENCY!$H$28))</f>
        <v>#DIV/0!</v>
      </c>
      <c r="AS61" s="286" t="s">
        <v>97</v>
      </c>
      <c r="AT61" s="287" t="e">
        <f>AT58/(AT56*EFFICIENCY!$H$28)</f>
        <v>#DIV/0!</v>
      </c>
      <c r="AU61" s="286" t="s">
        <v>97</v>
      </c>
      <c r="AV61" s="287" t="e">
        <f>AV58/(AV56*EFFICIENCY!$H$28)</f>
        <v>#DIV/0!</v>
      </c>
      <c r="AX61" s="300"/>
      <c r="AY61" s="394"/>
      <c r="AZ61" s="412"/>
      <c r="BA61" s="286" t="s">
        <v>97</v>
      </c>
      <c r="BB61" s="287" t="e">
        <f>BB58/((BB56*EFFICIENCY!$H$28))</f>
        <v>#DIV/0!</v>
      </c>
      <c r="BC61" s="286" t="s">
        <v>97</v>
      </c>
      <c r="BD61" s="287" t="e">
        <f>BD58/(BD56*EFFICIENCY!$H$28)</f>
        <v>#DIV/0!</v>
      </c>
      <c r="BE61" s="286" t="s">
        <v>97</v>
      </c>
      <c r="BF61" s="287" t="e">
        <f>BF58/(BF56*EFFICIENCY!$H$28)</f>
        <v>#DIV/0!</v>
      </c>
      <c r="BH61" s="300"/>
      <c r="BI61" s="394"/>
      <c r="BJ61" s="412"/>
      <c r="BK61" s="286" t="s">
        <v>97</v>
      </c>
      <c r="BL61" s="287" t="e">
        <f>BL58/((BL56*EFFICIENCY!$H$28))</f>
        <v>#DIV/0!</v>
      </c>
      <c r="BM61" s="286" t="s">
        <v>97</v>
      </c>
      <c r="BN61" s="287" t="e">
        <f>BN58/(BN56*EFFICIENCY!$H$28)</f>
        <v>#DIV/0!</v>
      </c>
      <c r="BO61" s="286" t="s">
        <v>97</v>
      </c>
      <c r="BP61" s="287" t="e">
        <f>BP58/(BP56*EFFICIENCY!$H$28)</f>
        <v>#DIV/0!</v>
      </c>
    </row>
    <row r="62" spans="10:68" ht="18.75">
      <c r="K62" s="394"/>
      <c r="L62" s="393"/>
      <c r="M62" s="280" t="s">
        <v>96</v>
      </c>
      <c r="N62" s="281" t="e">
        <f>N58/(N56*EFFICIENCY!$I$28)</f>
        <v>#DIV/0!</v>
      </c>
      <c r="O62" s="280" t="s">
        <v>96</v>
      </c>
      <c r="P62" s="281" t="e">
        <f>P58/(P56*EFFICIENCY!$I$28)</f>
        <v>#DIV/0!</v>
      </c>
      <c r="Q62" s="280" t="s">
        <v>96</v>
      </c>
      <c r="R62" s="281" t="e">
        <f>R58/(R56*EFFICIENCY!$I$28)</f>
        <v>#DIV/0!</v>
      </c>
      <c r="S62" s="296"/>
      <c r="T62" s="300"/>
      <c r="U62" s="394"/>
      <c r="V62" s="393"/>
      <c r="W62" s="280" t="s">
        <v>96</v>
      </c>
      <c r="X62" s="281" t="e">
        <f>X58/(X56*EFFICIENCY!$I$28)</f>
        <v>#DIV/0!</v>
      </c>
      <c r="Y62" s="280" t="s">
        <v>96</v>
      </c>
      <c r="Z62" s="281" t="e">
        <f>Z58/(Z56*EFFICIENCY!$I$28)</f>
        <v>#DIV/0!</v>
      </c>
      <c r="AA62" s="280" t="s">
        <v>96</v>
      </c>
      <c r="AB62" s="281" t="e">
        <f>AB58/(AB56*EFFICIENCY!$I$28)</f>
        <v>#DIV/0!</v>
      </c>
      <c r="AD62" s="300"/>
      <c r="AE62" s="394"/>
      <c r="AF62" s="393"/>
      <c r="AG62" s="280" t="s">
        <v>96</v>
      </c>
      <c r="AH62" s="281" t="e">
        <f>AH58/(AH56*EFFICIENCY!$I$28)</f>
        <v>#DIV/0!</v>
      </c>
      <c r="AI62" s="280" t="s">
        <v>96</v>
      </c>
      <c r="AJ62" s="281" t="e">
        <f>AJ58/(AJ56*EFFICIENCY!$I$28)</f>
        <v>#DIV/0!</v>
      </c>
      <c r="AK62" s="280" t="s">
        <v>96</v>
      </c>
      <c r="AL62" s="281" t="e">
        <f>AL58/(AL56*EFFICIENCY!$I$28)</f>
        <v>#DIV/0!</v>
      </c>
      <c r="AN62" s="300"/>
      <c r="AO62" s="394"/>
      <c r="AP62" s="393"/>
      <c r="AQ62" s="280" t="s">
        <v>96</v>
      </c>
      <c r="AR62" s="281" t="e">
        <f>AR58/(AR56*EFFICIENCY!$I$28)</f>
        <v>#DIV/0!</v>
      </c>
      <c r="AS62" s="280" t="s">
        <v>96</v>
      </c>
      <c r="AT62" s="281" t="e">
        <f>AT58/(AT56*EFFICIENCY!$I$28)</f>
        <v>#DIV/0!</v>
      </c>
      <c r="AU62" s="280" t="s">
        <v>96</v>
      </c>
      <c r="AV62" s="281" t="e">
        <f>AV58/(AV56*EFFICIENCY!$I$28)</f>
        <v>#DIV/0!</v>
      </c>
      <c r="AX62" s="300"/>
      <c r="AY62" s="394"/>
      <c r="AZ62" s="393"/>
      <c r="BA62" s="280" t="s">
        <v>96</v>
      </c>
      <c r="BB62" s="281" t="e">
        <f>BB58/(BB56*EFFICIENCY!$I$28)</f>
        <v>#DIV/0!</v>
      </c>
      <c r="BC62" s="280" t="s">
        <v>96</v>
      </c>
      <c r="BD62" s="281" t="e">
        <f>BD58/(BD56*EFFICIENCY!$I$28)</f>
        <v>#DIV/0!</v>
      </c>
      <c r="BE62" s="280" t="s">
        <v>96</v>
      </c>
      <c r="BF62" s="281" t="e">
        <f>BF58/(BF56*EFFICIENCY!$I$28)</f>
        <v>#DIV/0!</v>
      </c>
      <c r="BH62" s="300"/>
      <c r="BI62" s="394"/>
      <c r="BJ62" s="393"/>
      <c r="BK62" s="280" t="s">
        <v>96</v>
      </c>
      <c r="BL62" s="281" t="e">
        <f>BL58/(BL56*EFFICIENCY!$I$28)</f>
        <v>#DIV/0!</v>
      </c>
      <c r="BM62" s="280" t="s">
        <v>96</v>
      </c>
      <c r="BN62" s="281" t="e">
        <f>BN58/(BN56*EFFICIENCY!$I$28)</f>
        <v>#DIV/0!</v>
      </c>
      <c r="BO62" s="280" t="s">
        <v>96</v>
      </c>
      <c r="BP62" s="281" t="e">
        <f>BP58/(BP56*EFFICIENCY!$I$28)</f>
        <v>#DIV/0!</v>
      </c>
    </row>
    <row r="63" spans="10:68" ht="19.5" customHeight="1" thickBot="1">
      <c r="K63" s="690" t="s">
        <v>156</v>
      </c>
      <c r="L63" s="691"/>
      <c r="M63" s="284" t="s">
        <v>94</v>
      </c>
      <c r="N63" s="285" t="e">
        <f>N58/((N56*EFFICIENCY!$K$28))</f>
        <v>#DIV/0!</v>
      </c>
      <c r="O63" s="288" t="s">
        <v>94</v>
      </c>
      <c r="P63" s="285" t="e">
        <f>P58/((P56*EFFICIENCY!$K$28))</f>
        <v>#DIV/0!</v>
      </c>
      <c r="Q63" s="284" t="s">
        <v>94</v>
      </c>
      <c r="R63" s="285" t="e">
        <f>R58/((R56*EFFICIENCY!$K$28))</f>
        <v>#DIV/0!</v>
      </c>
      <c r="S63" s="297"/>
      <c r="T63" s="300"/>
      <c r="U63" s="690" t="s">
        <v>156</v>
      </c>
      <c r="V63" s="691"/>
      <c r="W63" s="284" t="s">
        <v>94</v>
      </c>
      <c r="X63" s="285" t="e">
        <f>X58/((X56*EFFICIENCY!$K$28))</f>
        <v>#DIV/0!</v>
      </c>
      <c r="Y63" s="288" t="s">
        <v>94</v>
      </c>
      <c r="Z63" s="285" t="e">
        <f>Z58/((Z56*EFFICIENCY!$K$28))</f>
        <v>#DIV/0!</v>
      </c>
      <c r="AA63" s="284" t="s">
        <v>94</v>
      </c>
      <c r="AB63" s="285" t="e">
        <f>AB58/((AB56*EFFICIENCY!$K$28))</f>
        <v>#DIV/0!</v>
      </c>
      <c r="AD63" s="300"/>
      <c r="AE63" s="690" t="s">
        <v>156</v>
      </c>
      <c r="AF63" s="691"/>
      <c r="AG63" s="284" t="s">
        <v>94</v>
      </c>
      <c r="AH63" s="285" t="e">
        <f>AH58/((AH56*EFFICIENCY!$K$28))</f>
        <v>#DIV/0!</v>
      </c>
      <c r="AI63" s="288" t="s">
        <v>94</v>
      </c>
      <c r="AJ63" s="285" t="e">
        <f>AJ58/((AJ56*EFFICIENCY!$K$28))</f>
        <v>#DIV/0!</v>
      </c>
      <c r="AK63" s="284" t="s">
        <v>94</v>
      </c>
      <c r="AL63" s="285" t="e">
        <f>AL58/((AL56*EFFICIENCY!$K$28))</f>
        <v>#DIV/0!</v>
      </c>
      <c r="AN63" s="300"/>
      <c r="AO63" s="690" t="s">
        <v>156</v>
      </c>
      <c r="AP63" s="691"/>
      <c r="AQ63" s="284" t="s">
        <v>94</v>
      </c>
      <c r="AR63" s="285" t="e">
        <f>AR58/((AR56*EFFICIENCY!$K$28))</f>
        <v>#DIV/0!</v>
      </c>
      <c r="AS63" s="288" t="s">
        <v>94</v>
      </c>
      <c r="AT63" s="285" t="e">
        <f>AT58/((AT56*EFFICIENCY!$K$28))</f>
        <v>#DIV/0!</v>
      </c>
      <c r="AU63" s="284" t="s">
        <v>94</v>
      </c>
      <c r="AV63" s="285" t="e">
        <f>AV58/((AV56*EFFICIENCY!$K$28))</f>
        <v>#DIV/0!</v>
      </c>
      <c r="AX63" s="300"/>
      <c r="AY63" s="690" t="s">
        <v>156</v>
      </c>
      <c r="AZ63" s="691"/>
      <c r="BA63" s="284" t="s">
        <v>94</v>
      </c>
      <c r="BB63" s="285" t="e">
        <f>BB58/((BB56*EFFICIENCY!$K$28))</f>
        <v>#DIV/0!</v>
      </c>
      <c r="BC63" s="288" t="s">
        <v>94</v>
      </c>
      <c r="BD63" s="285" t="e">
        <f>BD58/((BD56*EFFICIENCY!$K$28))</f>
        <v>#DIV/0!</v>
      </c>
      <c r="BE63" s="284" t="s">
        <v>94</v>
      </c>
      <c r="BF63" s="285" t="e">
        <f>BF58/((BF56*EFFICIENCY!$K$28))</f>
        <v>#DIV/0!</v>
      </c>
      <c r="BH63" s="300"/>
      <c r="BI63" s="690" t="s">
        <v>156</v>
      </c>
      <c r="BJ63" s="691"/>
      <c r="BK63" s="284" t="s">
        <v>94</v>
      </c>
      <c r="BL63" s="285" t="e">
        <f>BL58/((BL56*EFFICIENCY!$K$28))</f>
        <v>#DIV/0!</v>
      </c>
      <c r="BM63" s="288" t="s">
        <v>94</v>
      </c>
      <c r="BN63" s="285" t="e">
        <f>BN58/((BN56*EFFICIENCY!$K$28))</f>
        <v>#DIV/0!</v>
      </c>
      <c r="BO63" s="284" t="s">
        <v>94</v>
      </c>
      <c r="BP63" s="285" t="e">
        <f>BP58/((BP56*EFFICIENCY!$K$28))</f>
        <v>#DIV/0!</v>
      </c>
    </row>
    <row r="64" spans="10:68" ht="16.5" thickBot="1">
      <c r="K64" s="413"/>
      <c r="L64" s="414" t="e">
        <f>R58/R56</f>
        <v>#DIV/0!</v>
      </c>
      <c r="M64" s="647" t="s">
        <v>153</v>
      </c>
      <c r="N64" s="648"/>
      <c r="O64" s="290"/>
      <c r="P64" s="416"/>
      <c r="Q64" s="416" t="s">
        <v>154</v>
      </c>
      <c r="R64" s="415">
        <f>O64-R58</f>
        <v>0</v>
      </c>
      <c r="S64" s="298"/>
      <c r="T64" s="300"/>
      <c r="U64" s="413"/>
      <c r="V64" s="414" t="e">
        <f>AB58/AB56</f>
        <v>#DIV/0!</v>
      </c>
      <c r="W64" s="647" t="s">
        <v>153</v>
      </c>
      <c r="X64" s="648"/>
      <c r="Y64" s="290"/>
      <c r="Z64" s="416"/>
      <c r="AA64" s="416" t="s">
        <v>154</v>
      </c>
      <c r="AB64" s="415">
        <f>Y64-AB58</f>
        <v>0</v>
      </c>
      <c r="AD64" s="300"/>
      <c r="AE64" s="413"/>
      <c r="AF64" s="414" t="e">
        <f>AL58/AL56</f>
        <v>#DIV/0!</v>
      </c>
      <c r="AG64" s="647" t="s">
        <v>153</v>
      </c>
      <c r="AH64" s="648"/>
      <c r="AI64" s="290"/>
      <c r="AJ64" s="416"/>
      <c r="AK64" s="416" t="s">
        <v>154</v>
      </c>
      <c r="AL64" s="415">
        <f>AI64-AL58</f>
        <v>0</v>
      </c>
      <c r="AN64" s="300"/>
      <c r="AO64" s="413"/>
      <c r="AP64" s="414" t="e">
        <f>AV58/AV56</f>
        <v>#DIV/0!</v>
      </c>
      <c r="AQ64" s="647" t="s">
        <v>153</v>
      </c>
      <c r="AR64" s="648"/>
      <c r="AS64" s="290"/>
      <c r="AT64" s="416"/>
      <c r="AU64" s="416" t="s">
        <v>154</v>
      </c>
      <c r="AV64" s="415">
        <f>AS64-AV58</f>
        <v>0</v>
      </c>
      <c r="AX64" s="300"/>
      <c r="AY64" s="413"/>
      <c r="AZ64" s="414" t="e">
        <f>BF58/BF56</f>
        <v>#DIV/0!</v>
      </c>
      <c r="BA64" s="647" t="s">
        <v>153</v>
      </c>
      <c r="BB64" s="648"/>
      <c r="BC64" s="290"/>
      <c r="BD64" s="416"/>
      <c r="BE64" s="416" t="s">
        <v>154</v>
      </c>
      <c r="BF64" s="415">
        <f>BC64-BF58</f>
        <v>0</v>
      </c>
      <c r="BH64" s="300"/>
      <c r="BI64" s="413"/>
      <c r="BJ64" s="414" t="e">
        <f>BP58/BP56</f>
        <v>#DIV/0!</v>
      </c>
      <c r="BK64" s="647" t="s">
        <v>153</v>
      </c>
      <c r="BL64" s="648"/>
      <c r="BM64" s="290"/>
      <c r="BN64" s="416"/>
      <c r="BO64" s="416" t="s">
        <v>154</v>
      </c>
      <c r="BP64" s="415">
        <f>BM64-BP58</f>
        <v>0</v>
      </c>
    </row>
    <row r="65" spans="20:60">
      <c r="T65" s="300"/>
      <c r="AD65" s="300"/>
      <c r="AN65" s="300"/>
      <c r="AX65" s="300"/>
      <c r="BH65" s="300"/>
    </row>
    <row r="66" spans="20:60">
      <c r="T66" s="300"/>
      <c r="BH66" s="300"/>
    </row>
    <row r="67" spans="20:60">
      <c r="T67" s="300"/>
      <c r="BH67" s="300"/>
    </row>
    <row r="68" spans="20:60">
      <c r="T68" s="300"/>
      <c r="BH68" s="300"/>
    </row>
    <row r="69" spans="20:60">
      <c r="T69" s="300"/>
      <c r="BH69" s="300"/>
    </row>
    <row r="70" spans="20:60">
      <c r="T70" s="300"/>
      <c r="BH70" s="300"/>
    </row>
  </sheetData>
  <mergeCells count="231">
    <mergeCell ref="M64:N64"/>
    <mergeCell ref="W64:X64"/>
    <mergeCell ref="AG64:AH64"/>
    <mergeCell ref="AQ64:AR64"/>
    <mergeCell ref="BA64:BB64"/>
    <mergeCell ref="BK64:BL64"/>
    <mergeCell ref="K63:L63"/>
    <mergeCell ref="U63:V63"/>
    <mergeCell ref="AE63:AF63"/>
    <mergeCell ref="AO63:AP63"/>
    <mergeCell ref="AY63:AZ63"/>
    <mergeCell ref="BI63:BJ63"/>
    <mergeCell ref="K59:L59"/>
    <mergeCell ref="U59:V59"/>
    <mergeCell ref="AE59:AF59"/>
    <mergeCell ref="AO59:AP59"/>
    <mergeCell ref="AY59:AZ59"/>
    <mergeCell ref="BI59:BJ59"/>
    <mergeCell ref="BA58:BA59"/>
    <mergeCell ref="BC58:BC59"/>
    <mergeCell ref="BE58:BE59"/>
    <mergeCell ref="M58:M59"/>
    <mergeCell ref="O58:O59"/>
    <mergeCell ref="Q58:Q59"/>
    <mergeCell ref="W58:W59"/>
    <mergeCell ref="Y58:Y59"/>
    <mergeCell ref="AA58:AA59"/>
    <mergeCell ref="BK58:BK59"/>
    <mergeCell ref="BM58:BM59"/>
    <mergeCell ref="BO58:BO59"/>
    <mergeCell ref="AG58:AG59"/>
    <mergeCell ref="AI58:AI59"/>
    <mergeCell ref="AK58:AK59"/>
    <mergeCell ref="AQ58:AQ59"/>
    <mergeCell ref="AS58:AS59"/>
    <mergeCell ref="AU58:AU59"/>
    <mergeCell ref="BA54:BB54"/>
    <mergeCell ref="BC54:BD54"/>
    <mergeCell ref="BE54:BF54"/>
    <mergeCell ref="BK54:BL54"/>
    <mergeCell ref="BM54:BN54"/>
    <mergeCell ref="BO54:BP54"/>
    <mergeCell ref="AG54:AH54"/>
    <mergeCell ref="AI54:AJ54"/>
    <mergeCell ref="AK54:AL54"/>
    <mergeCell ref="AQ54:AR54"/>
    <mergeCell ref="AS54:AT54"/>
    <mergeCell ref="AU54:AV54"/>
    <mergeCell ref="M54:N54"/>
    <mergeCell ref="O54:P54"/>
    <mergeCell ref="Q54:R54"/>
    <mergeCell ref="W54:X54"/>
    <mergeCell ref="Y54:Z54"/>
    <mergeCell ref="AA54:AB54"/>
    <mergeCell ref="M51:N51"/>
    <mergeCell ref="W51:X51"/>
    <mergeCell ref="AG51:AH51"/>
    <mergeCell ref="AQ51:AR51"/>
    <mergeCell ref="BA51:BB51"/>
    <mergeCell ref="BK51:BL51"/>
    <mergeCell ref="K50:L50"/>
    <mergeCell ref="U50:V50"/>
    <mergeCell ref="AE50:AF50"/>
    <mergeCell ref="AO50:AP50"/>
    <mergeCell ref="AY50:AZ50"/>
    <mergeCell ref="BI50:BJ50"/>
    <mergeCell ref="K46:L46"/>
    <mergeCell ref="U46:V46"/>
    <mergeCell ref="AE46:AF46"/>
    <mergeCell ref="AO46:AP46"/>
    <mergeCell ref="AY46:AZ46"/>
    <mergeCell ref="BI46:BJ46"/>
    <mergeCell ref="BA45:BA46"/>
    <mergeCell ref="BC45:BC46"/>
    <mergeCell ref="BE45:BE46"/>
    <mergeCell ref="M45:M46"/>
    <mergeCell ref="O45:O46"/>
    <mergeCell ref="Q45:Q46"/>
    <mergeCell ref="W45:W46"/>
    <mergeCell ref="Y45:Y46"/>
    <mergeCell ref="AA45:AA46"/>
    <mergeCell ref="BK45:BK46"/>
    <mergeCell ref="BM45:BM46"/>
    <mergeCell ref="BO45:BO46"/>
    <mergeCell ref="AG45:AG46"/>
    <mergeCell ref="AI45:AI46"/>
    <mergeCell ref="AK45:AK46"/>
    <mergeCell ref="AQ45:AQ46"/>
    <mergeCell ref="AS45:AS46"/>
    <mergeCell ref="AU45:AU46"/>
    <mergeCell ref="BA41:BB41"/>
    <mergeCell ref="BC41:BD41"/>
    <mergeCell ref="BE41:BF41"/>
    <mergeCell ref="BK41:BL41"/>
    <mergeCell ref="BM41:BN41"/>
    <mergeCell ref="BO41:BP41"/>
    <mergeCell ref="AG41:AH41"/>
    <mergeCell ref="AI41:AJ41"/>
    <mergeCell ref="AK41:AL41"/>
    <mergeCell ref="AQ41:AR41"/>
    <mergeCell ref="AS41:AT41"/>
    <mergeCell ref="AU41:AV41"/>
    <mergeCell ref="M41:N41"/>
    <mergeCell ref="O41:P41"/>
    <mergeCell ref="Q41:R41"/>
    <mergeCell ref="W41:X41"/>
    <mergeCell ref="Y41:Z41"/>
    <mergeCell ref="AA41:AB41"/>
    <mergeCell ref="M38:N38"/>
    <mergeCell ref="W38:X38"/>
    <mergeCell ref="AG38:AH38"/>
    <mergeCell ref="AQ38:AR38"/>
    <mergeCell ref="BA38:BB38"/>
    <mergeCell ref="BK38:BL38"/>
    <mergeCell ref="K37:L37"/>
    <mergeCell ref="U37:V37"/>
    <mergeCell ref="AE37:AF37"/>
    <mergeCell ref="AO37:AP37"/>
    <mergeCell ref="AY37:AZ37"/>
    <mergeCell ref="BI37:BJ37"/>
    <mergeCell ref="K33:L33"/>
    <mergeCell ref="U33:V33"/>
    <mergeCell ref="AE33:AF33"/>
    <mergeCell ref="AO33:AP33"/>
    <mergeCell ref="AY33:AZ33"/>
    <mergeCell ref="BI33:BJ33"/>
    <mergeCell ref="BA32:BA33"/>
    <mergeCell ref="BC32:BC33"/>
    <mergeCell ref="BE32:BE33"/>
    <mergeCell ref="M32:M33"/>
    <mergeCell ref="O32:O33"/>
    <mergeCell ref="Q32:Q33"/>
    <mergeCell ref="W32:W33"/>
    <mergeCell ref="Y32:Y33"/>
    <mergeCell ref="AA32:AA33"/>
    <mergeCell ref="BK32:BK33"/>
    <mergeCell ref="BM32:BM33"/>
    <mergeCell ref="BO32:BO33"/>
    <mergeCell ref="AG32:AG33"/>
    <mergeCell ref="AI32:AI33"/>
    <mergeCell ref="AK32:AK33"/>
    <mergeCell ref="AQ32:AQ33"/>
    <mergeCell ref="AS32:AS33"/>
    <mergeCell ref="AU32:AU33"/>
    <mergeCell ref="BA28:BB28"/>
    <mergeCell ref="BC28:BD28"/>
    <mergeCell ref="BE28:BF28"/>
    <mergeCell ref="BK28:BL28"/>
    <mergeCell ref="BM28:BN28"/>
    <mergeCell ref="BO28:BP28"/>
    <mergeCell ref="AG28:AH28"/>
    <mergeCell ref="AI28:AJ28"/>
    <mergeCell ref="AK28:AL28"/>
    <mergeCell ref="AQ28:AR28"/>
    <mergeCell ref="AS28:AT28"/>
    <mergeCell ref="AU28:AV28"/>
    <mergeCell ref="M28:N28"/>
    <mergeCell ref="O28:P28"/>
    <mergeCell ref="Q28:R28"/>
    <mergeCell ref="W28:X28"/>
    <mergeCell ref="Y28:Z28"/>
    <mergeCell ref="AA28:AB28"/>
    <mergeCell ref="M25:N25"/>
    <mergeCell ref="W25:X25"/>
    <mergeCell ref="AG25:AH25"/>
    <mergeCell ref="AQ25:AR25"/>
    <mergeCell ref="BA25:BB25"/>
    <mergeCell ref="BK25:BL25"/>
    <mergeCell ref="K24:L24"/>
    <mergeCell ref="U24:V24"/>
    <mergeCell ref="AE24:AF24"/>
    <mergeCell ref="AO24:AP24"/>
    <mergeCell ref="AY24:AZ24"/>
    <mergeCell ref="BI24:BJ24"/>
    <mergeCell ref="K20:L20"/>
    <mergeCell ref="U20:V20"/>
    <mergeCell ref="AE20:AF20"/>
    <mergeCell ref="AO20:AP20"/>
    <mergeCell ref="AY20:AZ20"/>
    <mergeCell ref="BI20:BJ20"/>
    <mergeCell ref="BA19:BA20"/>
    <mergeCell ref="BC19:BC20"/>
    <mergeCell ref="BE19:BE20"/>
    <mergeCell ref="M19:M20"/>
    <mergeCell ref="O19:O20"/>
    <mergeCell ref="Q19:Q20"/>
    <mergeCell ref="W19:W20"/>
    <mergeCell ref="Y19:Y20"/>
    <mergeCell ref="AA19:AA20"/>
    <mergeCell ref="BM15:BN15"/>
    <mergeCell ref="BO15:BP15"/>
    <mergeCell ref="AG15:AH15"/>
    <mergeCell ref="AI15:AJ15"/>
    <mergeCell ref="AK15:AL15"/>
    <mergeCell ref="AQ15:AR15"/>
    <mergeCell ref="AS15:AT15"/>
    <mergeCell ref="AU15:AV15"/>
    <mergeCell ref="BK19:BK20"/>
    <mergeCell ref="BM19:BM20"/>
    <mergeCell ref="BO19:BO20"/>
    <mergeCell ref="AG19:AG20"/>
    <mergeCell ref="AI19:AI20"/>
    <mergeCell ref="AK19:AK20"/>
    <mergeCell ref="AQ19:AQ20"/>
    <mergeCell ref="AS19:AS20"/>
    <mergeCell ref="AU19:AU20"/>
    <mergeCell ref="M15:N15"/>
    <mergeCell ref="O15:P15"/>
    <mergeCell ref="Q15:R15"/>
    <mergeCell ref="W15:X15"/>
    <mergeCell ref="Y15:Z15"/>
    <mergeCell ref="AA15:AB15"/>
    <mergeCell ref="BK12:BL12"/>
    <mergeCell ref="BI11:BJ11"/>
    <mergeCell ref="BI7:BJ7"/>
    <mergeCell ref="BK6:BK7"/>
    <mergeCell ref="BA15:BB15"/>
    <mergeCell ref="BC15:BD15"/>
    <mergeCell ref="BE15:BF15"/>
    <mergeCell ref="BK15:BL15"/>
    <mergeCell ref="BM6:BM7"/>
    <mergeCell ref="BO6:BO7"/>
    <mergeCell ref="BK2:BL2"/>
    <mergeCell ref="BM2:BN2"/>
    <mergeCell ref="BO2:BP2"/>
    <mergeCell ref="M1:N1"/>
    <mergeCell ref="W1:X1"/>
    <mergeCell ref="AG1:AH1"/>
    <mergeCell ref="AQ1:AR1"/>
    <mergeCell ref="BA1:BB1"/>
    <mergeCell ref="BK1:BL1"/>
  </mergeCells>
  <dataValidations count="1">
    <dataValidation type="list" allowBlank="1" showInputMessage="1" showErrorMessage="1" sqref="L5 L18 L31 L44 L57 V5 V18 V31 V44 V57 AF5 AF18 AF31 AF44 AF57 AP5 AP18 AP31 AP44 AP57 AZ5 AZ18 AZ31 AZ44 AZ57 BJ5 BJ18 BJ31 BJ44 BJ57" xr:uid="{00000000-0002-0000-0F00-000000000000}">
      <formula1>"8, 10, 12"</formula1>
    </dataValidation>
  </dataValidation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B1:BP70"/>
  <sheetViews>
    <sheetView zoomScale="85" zoomScaleNormal="85" workbookViewId="0">
      <selection activeCell="C3" sqref="C3"/>
    </sheetView>
  </sheetViews>
  <sheetFormatPr defaultRowHeight="12.75"/>
  <cols>
    <col min="1" max="1" width="9.140625" style="150"/>
    <col min="2" max="2" width="11" style="150" customWidth="1"/>
    <col min="3" max="11" width="9.140625" style="150"/>
    <col min="12" max="12" width="12.7109375" style="150" customWidth="1"/>
    <col min="13" max="13" width="10.5703125" style="150" customWidth="1"/>
    <col min="14" max="14" width="11.28515625" style="150" customWidth="1"/>
    <col min="15" max="15" width="10.5703125" style="150" customWidth="1"/>
    <col min="16" max="16" width="10.28515625" style="150" customWidth="1"/>
    <col min="17" max="17" width="10.140625" style="150" customWidth="1"/>
    <col min="18" max="18" width="10" style="150" bestFit="1" customWidth="1"/>
    <col min="19" max="19" width="7.42578125" style="151" customWidth="1"/>
    <col min="20" max="20" width="7" style="150" customWidth="1"/>
    <col min="21" max="21" width="9.140625" style="150"/>
    <col min="22" max="22" width="13" style="150" customWidth="1"/>
    <col min="23" max="23" width="10.5703125" style="150" customWidth="1"/>
    <col min="24" max="24" width="11.28515625" style="150" customWidth="1"/>
    <col min="25" max="25" width="10.5703125" style="150" customWidth="1"/>
    <col min="26" max="26" width="10.28515625" style="150" customWidth="1"/>
    <col min="27" max="27" width="10.140625" style="150" customWidth="1"/>
    <col min="28" max="28" width="10" style="150" bestFit="1" customWidth="1"/>
    <col min="29" max="31" width="9.140625" style="150"/>
    <col min="32" max="32" width="12.85546875" style="150" customWidth="1"/>
    <col min="33" max="33" width="10.5703125" style="150" customWidth="1"/>
    <col min="34" max="34" width="11.28515625" style="150" customWidth="1"/>
    <col min="35" max="35" width="10.5703125" style="150" customWidth="1"/>
    <col min="36" max="36" width="10.28515625" style="150" customWidth="1"/>
    <col min="37" max="37" width="10.140625" style="150" customWidth="1"/>
    <col min="38" max="38" width="10" style="150" bestFit="1" customWidth="1"/>
    <col min="39" max="41" width="9.140625" style="150"/>
    <col min="42" max="42" width="12.85546875" style="150" customWidth="1"/>
    <col min="43" max="43" width="10.5703125" style="150" customWidth="1"/>
    <col min="44" max="44" width="11.28515625" style="150" customWidth="1"/>
    <col min="45" max="45" width="10.5703125" style="150" customWidth="1"/>
    <col min="46" max="46" width="10.28515625" style="150" customWidth="1"/>
    <col min="47" max="47" width="10.140625" style="150" customWidth="1"/>
    <col min="48" max="48" width="10" style="150" bestFit="1" customWidth="1"/>
    <col min="49" max="51" width="9.140625" style="150"/>
    <col min="52" max="52" width="11.140625" style="150" customWidth="1"/>
    <col min="53" max="53" width="10.5703125" style="150" customWidth="1"/>
    <col min="54" max="54" width="11.28515625" style="150" customWidth="1"/>
    <col min="55" max="55" width="10.5703125" style="150" customWidth="1"/>
    <col min="56" max="56" width="10.28515625" style="150" customWidth="1"/>
    <col min="57" max="57" width="10.140625" style="150" customWidth="1"/>
    <col min="58" max="58" width="10" style="150" bestFit="1" customWidth="1"/>
    <col min="59" max="61" width="9.140625" style="150"/>
    <col min="62" max="62" width="11.140625" style="150" customWidth="1"/>
    <col min="63" max="63" width="10.5703125" style="150" customWidth="1"/>
    <col min="64" max="64" width="11.28515625" style="150" customWidth="1"/>
    <col min="65" max="65" width="10.5703125" style="150" customWidth="1"/>
    <col min="66" max="66" width="10.28515625" style="150" customWidth="1"/>
    <col min="67" max="67" width="10.140625" style="150" customWidth="1"/>
    <col min="68" max="68" width="10" style="150" bestFit="1" customWidth="1"/>
    <col min="69" max="16384" width="9.140625" style="150"/>
  </cols>
  <sheetData>
    <row r="1" spans="2:68" ht="13.5" thickBot="1">
      <c r="C1" s="277" t="s">
        <v>149</v>
      </c>
      <c r="D1" s="277" t="s">
        <v>149</v>
      </c>
      <c r="E1" s="150" t="s">
        <v>5</v>
      </c>
      <c r="F1" s="150" t="s">
        <v>5</v>
      </c>
      <c r="G1" s="277" t="s">
        <v>149</v>
      </c>
      <c r="H1" s="150" t="s">
        <v>5</v>
      </c>
      <c r="L1" s="154"/>
      <c r="M1" s="671"/>
      <c r="N1" s="671"/>
      <c r="O1" s="154"/>
      <c r="P1" s="154"/>
      <c r="Q1" s="228">
        <v>13</v>
      </c>
      <c r="R1" s="228">
        <v>15</v>
      </c>
      <c r="S1" s="292"/>
      <c r="T1" s="228">
        <v>18</v>
      </c>
      <c r="V1" s="154"/>
      <c r="W1" s="671"/>
      <c r="X1" s="671"/>
      <c r="Y1" s="154"/>
      <c r="Z1" s="154"/>
      <c r="AA1" s="228"/>
      <c r="AB1" s="228"/>
      <c r="AD1" s="300"/>
      <c r="AF1" s="154"/>
      <c r="AG1" s="671"/>
      <c r="AH1" s="671"/>
      <c r="AI1" s="154"/>
      <c r="AJ1" s="154"/>
      <c r="AK1" s="228"/>
      <c r="AL1" s="228"/>
      <c r="AN1" s="300"/>
      <c r="AP1" s="154"/>
      <c r="AQ1" s="671"/>
      <c r="AR1" s="671"/>
      <c r="AS1" s="154"/>
      <c r="AT1" s="154"/>
      <c r="AU1" s="228"/>
      <c r="AV1" s="228"/>
      <c r="AX1" s="300"/>
      <c r="AZ1" s="154"/>
      <c r="BA1" s="671"/>
      <c r="BB1" s="671"/>
      <c r="BC1" s="154"/>
      <c r="BD1" s="154"/>
      <c r="BE1" s="228"/>
      <c r="BF1" s="228"/>
      <c r="BH1" s="300"/>
      <c r="BJ1" s="154"/>
      <c r="BK1" s="671"/>
      <c r="BL1" s="671"/>
      <c r="BM1" s="154"/>
      <c r="BN1" s="154"/>
      <c r="BO1" s="228"/>
      <c r="BP1" s="228"/>
    </row>
    <row r="2" spans="2:68" ht="15.75" thickBot="1">
      <c r="B2" s="277" t="s">
        <v>150</v>
      </c>
      <c r="C2" s="277" t="s">
        <v>151</v>
      </c>
      <c r="D2" s="277" t="s">
        <v>137</v>
      </c>
      <c r="E2" s="277" t="s">
        <v>151</v>
      </c>
      <c r="F2" s="277" t="s">
        <v>137</v>
      </c>
      <c r="G2" s="277" t="s">
        <v>152</v>
      </c>
      <c r="H2" s="277" t="s">
        <v>152</v>
      </c>
      <c r="K2" s="373" t="s">
        <v>7</v>
      </c>
      <c r="L2" s="532">
        <f>B3</f>
        <v>42674</v>
      </c>
      <c r="M2" s="674" t="s">
        <v>100</v>
      </c>
      <c r="N2" s="675"/>
      <c r="O2" s="674" t="s">
        <v>99</v>
      </c>
      <c r="P2" s="675"/>
      <c r="Q2" s="676" t="s">
        <v>16</v>
      </c>
      <c r="R2" s="677"/>
      <c r="S2" s="293"/>
      <c r="T2" s="300"/>
      <c r="U2" s="373" t="s">
        <v>7</v>
      </c>
      <c r="V2" s="532">
        <f>B4</f>
        <v>42675</v>
      </c>
      <c r="W2" s="674" t="s">
        <v>100</v>
      </c>
      <c r="X2" s="675"/>
      <c r="Y2" s="674" t="s">
        <v>99</v>
      </c>
      <c r="Z2" s="675"/>
      <c r="AA2" s="676" t="s">
        <v>16</v>
      </c>
      <c r="AB2" s="677"/>
      <c r="AD2" s="300"/>
      <c r="AE2" s="373" t="s">
        <v>7</v>
      </c>
      <c r="AF2" s="532">
        <f>B5</f>
        <v>42676</v>
      </c>
      <c r="AG2" s="674" t="s">
        <v>100</v>
      </c>
      <c r="AH2" s="675"/>
      <c r="AI2" s="674" t="s">
        <v>99</v>
      </c>
      <c r="AJ2" s="675"/>
      <c r="AK2" s="676" t="s">
        <v>16</v>
      </c>
      <c r="AL2" s="677"/>
      <c r="AN2" s="300"/>
      <c r="AO2" s="373" t="s">
        <v>7</v>
      </c>
      <c r="AP2" s="532">
        <f>B6</f>
        <v>42677</v>
      </c>
      <c r="AQ2" s="674" t="s">
        <v>100</v>
      </c>
      <c r="AR2" s="675"/>
      <c r="AS2" s="674" t="s">
        <v>99</v>
      </c>
      <c r="AT2" s="675"/>
      <c r="AU2" s="676" t="s">
        <v>16</v>
      </c>
      <c r="AV2" s="677"/>
      <c r="AX2" s="300"/>
      <c r="AY2" s="373" t="s">
        <v>7</v>
      </c>
      <c r="AZ2" s="532">
        <f>B7</f>
        <v>42678</v>
      </c>
      <c r="BA2" s="674" t="s">
        <v>100</v>
      </c>
      <c r="BB2" s="675"/>
      <c r="BC2" s="674" t="s">
        <v>99</v>
      </c>
      <c r="BD2" s="675"/>
      <c r="BE2" s="676" t="s">
        <v>16</v>
      </c>
      <c r="BF2" s="677"/>
      <c r="BH2" s="300"/>
      <c r="BI2" s="373" t="s">
        <v>7</v>
      </c>
      <c r="BJ2" s="532">
        <f>B8</f>
        <v>42679</v>
      </c>
      <c r="BK2" s="674" t="s">
        <v>100</v>
      </c>
      <c r="BL2" s="675"/>
      <c r="BM2" s="674" t="s">
        <v>99</v>
      </c>
      <c r="BN2" s="675"/>
      <c r="BO2" s="676" t="s">
        <v>16</v>
      </c>
      <c r="BP2" s="677"/>
    </row>
    <row r="3" spans="2:68" ht="13.5" thickBot="1">
      <c r="B3" s="278">
        <v>42674</v>
      </c>
      <c r="G3" s="150">
        <f>C3+D3</f>
        <v>0</v>
      </c>
      <c r="H3" s="150">
        <f>E3+F3</f>
        <v>0</v>
      </c>
      <c r="K3" s="356"/>
      <c r="L3" s="355"/>
      <c r="M3" s="356"/>
      <c r="N3" s="357"/>
      <c r="O3" s="367"/>
      <c r="P3" s="368"/>
      <c r="Q3" s="369"/>
      <c r="R3" s="368"/>
      <c r="S3" s="156"/>
      <c r="T3" s="300"/>
      <c r="U3" s="356"/>
      <c r="V3" s="355"/>
      <c r="W3" s="356"/>
      <c r="X3" s="357"/>
      <c r="Y3" s="367"/>
      <c r="Z3" s="368"/>
      <c r="AA3" s="369"/>
      <c r="AB3" s="368"/>
      <c r="AD3" s="300"/>
      <c r="AE3" s="356"/>
      <c r="AF3" s="355"/>
      <c r="AG3" s="356"/>
      <c r="AH3" s="357"/>
      <c r="AI3" s="367"/>
      <c r="AJ3" s="368"/>
      <c r="AK3" s="369"/>
      <c r="AL3" s="368"/>
      <c r="AN3" s="300"/>
      <c r="AO3" s="356"/>
      <c r="AP3" s="355"/>
      <c r="AQ3" s="356"/>
      <c r="AR3" s="357"/>
      <c r="AS3" s="367"/>
      <c r="AT3" s="368"/>
      <c r="AU3" s="369"/>
      <c r="AV3" s="368"/>
      <c r="AX3" s="300"/>
      <c r="AY3" s="356"/>
      <c r="AZ3" s="355"/>
      <c r="BA3" s="356"/>
      <c r="BB3" s="357"/>
      <c r="BC3" s="367"/>
      <c r="BD3" s="368"/>
      <c r="BE3" s="369"/>
      <c r="BF3" s="368"/>
      <c r="BH3" s="300"/>
      <c r="BI3" s="356"/>
      <c r="BJ3" s="355"/>
      <c r="BK3" s="356"/>
      <c r="BL3" s="357"/>
      <c r="BM3" s="367"/>
      <c r="BN3" s="368"/>
      <c r="BO3" s="369"/>
      <c r="BP3" s="368"/>
    </row>
    <row r="4" spans="2:68" ht="16.5" thickBot="1">
      <c r="B4" s="278">
        <v>42675</v>
      </c>
      <c r="G4" s="150">
        <f t="shared" ref="G4:G32" si="0">C4+D4</f>
        <v>0</v>
      </c>
      <c r="H4" s="150">
        <f t="shared" ref="H4:H32" si="1">E4+F4</f>
        <v>0</v>
      </c>
      <c r="K4" s="356"/>
      <c r="L4" s="433" t="s">
        <v>155</v>
      </c>
      <c r="M4" s="358" t="s">
        <v>103</v>
      </c>
      <c r="N4" s="279"/>
      <c r="O4" s="358" t="s">
        <v>103</v>
      </c>
      <c r="P4" s="279"/>
      <c r="Q4" s="359" t="s">
        <v>103</v>
      </c>
      <c r="R4" s="370">
        <f>SUM(N4,P4)</f>
        <v>0</v>
      </c>
      <c r="S4" s="294"/>
      <c r="T4" s="300"/>
      <c r="U4" s="356"/>
      <c r="V4" s="433" t="s">
        <v>155</v>
      </c>
      <c r="W4" s="358" t="s">
        <v>103</v>
      </c>
      <c r="X4" s="279"/>
      <c r="Y4" s="358" t="s">
        <v>103</v>
      </c>
      <c r="Z4" s="279"/>
      <c r="AA4" s="359" t="s">
        <v>103</v>
      </c>
      <c r="AB4" s="370">
        <f>SUM(X4,Z4)</f>
        <v>0</v>
      </c>
      <c r="AD4" s="300"/>
      <c r="AE4" s="356"/>
      <c r="AF4" s="433" t="s">
        <v>155</v>
      </c>
      <c r="AG4" s="358" t="s">
        <v>103</v>
      </c>
      <c r="AH4" s="279"/>
      <c r="AI4" s="358" t="s">
        <v>103</v>
      </c>
      <c r="AJ4" s="279"/>
      <c r="AK4" s="359" t="s">
        <v>103</v>
      </c>
      <c r="AL4" s="370">
        <f>SUM(AH4,AJ4)</f>
        <v>0</v>
      </c>
      <c r="AN4" s="300"/>
      <c r="AO4" s="356"/>
      <c r="AP4" s="433" t="s">
        <v>155</v>
      </c>
      <c r="AQ4" s="358" t="s">
        <v>103</v>
      </c>
      <c r="AR4" s="279"/>
      <c r="AS4" s="358" t="s">
        <v>103</v>
      </c>
      <c r="AT4" s="279"/>
      <c r="AU4" s="359" t="s">
        <v>103</v>
      </c>
      <c r="AV4" s="370">
        <f>SUM(AR4,AT4)</f>
        <v>0</v>
      </c>
      <c r="AX4" s="300"/>
      <c r="AY4" s="356"/>
      <c r="AZ4" s="433" t="s">
        <v>155</v>
      </c>
      <c r="BA4" s="358" t="s">
        <v>103</v>
      </c>
      <c r="BB4" s="279"/>
      <c r="BC4" s="358" t="s">
        <v>103</v>
      </c>
      <c r="BD4" s="279"/>
      <c r="BE4" s="359" t="s">
        <v>103</v>
      </c>
      <c r="BF4" s="370">
        <f>SUM(BB4,BD4)</f>
        <v>0</v>
      </c>
      <c r="BH4" s="300"/>
      <c r="BI4" s="356"/>
      <c r="BJ4" s="433" t="s">
        <v>155</v>
      </c>
      <c r="BK4" s="358" t="s">
        <v>103</v>
      </c>
      <c r="BL4" s="279"/>
      <c r="BM4" s="358" t="s">
        <v>103</v>
      </c>
      <c r="BN4" s="279"/>
      <c r="BO4" s="359" t="s">
        <v>103</v>
      </c>
      <c r="BP4" s="370">
        <f>SUM(BL4,BN4)</f>
        <v>0</v>
      </c>
    </row>
    <row r="5" spans="2:68" ht="18.75" thickBot="1">
      <c r="B5" s="278">
        <v>42676</v>
      </c>
      <c r="G5" s="150">
        <f t="shared" si="0"/>
        <v>0</v>
      </c>
      <c r="H5" s="150">
        <f t="shared" si="1"/>
        <v>0</v>
      </c>
      <c r="K5" s="356"/>
      <c r="L5" s="289">
        <v>8</v>
      </c>
      <c r="M5" s="360" t="s">
        <v>5</v>
      </c>
      <c r="N5" s="361">
        <f>VLOOKUP(L2, $B$3:$E$109, 4, FALSE)</f>
        <v>0</v>
      </c>
      <c r="O5" s="358" t="s">
        <v>5</v>
      </c>
      <c r="P5" s="361">
        <f>VLOOKUP(L2, $B$3:$F$109, 5, FALSE)</f>
        <v>0</v>
      </c>
      <c r="Q5" s="359" t="s">
        <v>5</v>
      </c>
      <c r="R5" s="370">
        <f>SUM(N5,P5)</f>
        <v>0</v>
      </c>
      <c r="S5" s="294"/>
      <c r="T5" s="300"/>
      <c r="U5" s="356"/>
      <c r="V5" s="289">
        <v>8</v>
      </c>
      <c r="W5" s="360" t="s">
        <v>5</v>
      </c>
      <c r="X5" s="361">
        <f>VLOOKUP(V2, $B$3:$E$109, 4, FALSE)</f>
        <v>0</v>
      </c>
      <c r="Y5" s="358" t="s">
        <v>5</v>
      </c>
      <c r="Z5" s="361">
        <f>VLOOKUP(V2, $B$3:$F$109, 5, FALSE)</f>
        <v>0</v>
      </c>
      <c r="AA5" s="359" t="s">
        <v>5</v>
      </c>
      <c r="AB5" s="370">
        <f>SUM(X5,Z5)</f>
        <v>0</v>
      </c>
      <c r="AD5" s="300"/>
      <c r="AE5" s="356"/>
      <c r="AF5" s="289">
        <v>8</v>
      </c>
      <c r="AG5" s="360" t="s">
        <v>5</v>
      </c>
      <c r="AH5" s="361">
        <f>VLOOKUP(AF2, $B$3:$E$109, 4, FALSE)</f>
        <v>0</v>
      </c>
      <c r="AI5" s="358" t="s">
        <v>5</v>
      </c>
      <c r="AJ5" s="361">
        <f>VLOOKUP(AF2, $B$3:$F$109, 5, FALSE)</f>
        <v>0</v>
      </c>
      <c r="AK5" s="359" t="s">
        <v>5</v>
      </c>
      <c r="AL5" s="370">
        <f>SUM(AH5,AJ5)</f>
        <v>0</v>
      </c>
      <c r="AN5" s="300"/>
      <c r="AO5" s="356"/>
      <c r="AP5" s="289">
        <v>8</v>
      </c>
      <c r="AQ5" s="360" t="s">
        <v>5</v>
      </c>
      <c r="AR5" s="361">
        <f>VLOOKUP(AP2, $B$3:$E$109, 4, FALSE)</f>
        <v>0</v>
      </c>
      <c r="AS5" s="358" t="s">
        <v>5</v>
      </c>
      <c r="AT5" s="361">
        <f>VLOOKUP(AP2, $B$3:$F$109, 5, FALSE)</f>
        <v>0</v>
      </c>
      <c r="AU5" s="359" t="s">
        <v>5</v>
      </c>
      <c r="AV5" s="370">
        <f>SUM(AR5,AT5)</f>
        <v>0</v>
      </c>
      <c r="AX5" s="300"/>
      <c r="AY5" s="356"/>
      <c r="AZ5" s="289">
        <v>8</v>
      </c>
      <c r="BA5" s="360" t="s">
        <v>5</v>
      </c>
      <c r="BB5" s="361">
        <f>VLOOKUP(AZ2, $B$3:$E$109, 4, FALSE)</f>
        <v>0</v>
      </c>
      <c r="BC5" s="358" t="s">
        <v>5</v>
      </c>
      <c r="BD5" s="361">
        <f>VLOOKUP(AZ2, $B$3:$F$109, 5, FALSE)</f>
        <v>0</v>
      </c>
      <c r="BE5" s="359" t="s">
        <v>5</v>
      </c>
      <c r="BF5" s="370">
        <f>SUM(BB5,BD5)</f>
        <v>0</v>
      </c>
      <c r="BH5" s="300"/>
      <c r="BI5" s="356"/>
      <c r="BJ5" s="289">
        <v>8</v>
      </c>
      <c r="BK5" s="360" t="s">
        <v>5</v>
      </c>
      <c r="BL5" s="361">
        <f>VLOOKUP(BJ2, $B$3:$E$109, 4, FALSE)</f>
        <v>0</v>
      </c>
      <c r="BM5" s="358" t="s">
        <v>5</v>
      </c>
      <c r="BN5" s="361">
        <f>VLOOKUP(BJ2, $B$3:$F$109, 5, FALSE)</f>
        <v>0</v>
      </c>
      <c r="BO5" s="359" t="s">
        <v>5</v>
      </c>
      <c r="BP5" s="370">
        <f>SUM(BL5,BN5)</f>
        <v>0</v>
      </c>
    </row>
    <row r="6" spans="2:68" ht="15.75" customHeight="1">
      <c r="B6" s="278">
        <v>42677</v>
      </c>
      <c r="C6" s="2"/>
      <c r="D6" s="2"/>
      <c r="E6" s="2"/>
      <c r="F6" s="2"/>
      <c r="G6" s="2">
        <f t="shared" si="0"/>
        <v>0</v>
      </c>
      <c r="H6" s="2">
        <f t="shared" si="1"/>
        <v>0</v>
      </c>
      <c r="K6" s="356"/>
      <c r="L6" s="355"/>
      <c r="M6" s="672" t="s">
        <v>105</v>
      </c>
      <c r="N6" s="361">
        <f>VLOOKUP(L2, $B$3:$E$109, 2, FALSE)</f>
        <v>0</v>
      </c>
      <c r="O6" s="672" t="s">
        <v>105</v>
      </c>
      <c r="P6" s="361">
        <f>VLOOKUP(L2, $B$3:$E$109, 3, FALSE)</f>
        <v>0</v>
      </c>
      <c r="Q6" s="673" t="s">
        <v>105</v>
      </c>
      <c r="R6" s="370">
        <f>SUM(N6,P6)</f>
        <v>0</v>
      </c>
      <c r="S6" s="294"/>
      <c r="T6" s="300"/>
      <c r="U6" s="356"/>
      <c r="V6" s="355"/>
      <c r="W6" s="672" t="s">
        <v>105</v>
      </c>
      <c r="X6" s="361">
        <f>VLOOKUP(V2, $B$3:$E$109, 2, FALSE)</f>
        <v>0</v>
      </c>
      <c r="Y6" s="672" t="s">
        <v>105</v>
      </c>
      <c r="Z6" s="361">
        <f>VLOOKUP(V2, $B$3:$E$109, 3, FALSE)</f>
        <v>0</v>
      </c>
      <c r="AA6" s="673" t="s">
        <v>105</v>
      </c>
      <c r="AB6" s="370">
        <f>SUM(X6,Z6)</f>
        <v>0</v>
      </c>
      <c r="AD6" s="300"/>
      <c r="AE6" s="356"/>
      <c r="AF6" s="355"/>
      <c r="AG6" s="672" t="s">
        <v>105</v>
      </c>
      <c r="AH6" s="361">
        <f>VLOOKUP(AF2, $B$3:$E$109, 2, FALSE)</f>
        <v>0</v>
      </c>
      <c r="AI6" s="672" t="s">
        <v>105</v>
      </c>
      <c r="AJ6" s="361">
        <f>VLOOKUP(AF2, $B$3:$E$109, 3, FALSE)</f>
        <v>0</v>
      </c>
      <c r="AK6" s="673" t="s">
        <v>105</v>
      </c>
      <c r="AL6" s="370">
        <f>SUM(AH6,AJ6)</f>
        <v>0</v>
      </c>
      <c r="AN6" s="300"/>
      <c r="AO6" s="356"/>
      <c r="AP6" s="355"/>
      <c r="AQ6" s="672" t="s">
        <v>105</v>
      </c>
      <c r="AR6" s="361">
        <f>VLOOKUP(AP2, $B$3:$E$109, 2, FALSE)</f>
        <v>0</v>
      </c>
      <c r="AS6" s="672" t="s">
        <v>105</v>
      </c>
      <c r="AT6" s="361">
        <f>VLOOKUP(AP2, $B$3:$E$109, 3, FALSE)</f>
        <v>0</v>
      </c>
      <c r="AU6" s="673" t="s">
        <v>105</v>
      </c>
      <c r="AV6" s="370">
        <f>SUM(AR6,AT6)</f>
        <v>0</v>
      </c>
      <c r="AX6" s="300"/>
      <c r="AY6" s="356"/>
      <c r="AZ6" s="355"/>
      <c r="BA6" s="672" t="s">
        <v>105</v>
      </c>
      <c r="BB6" s="361">
        <f>VLOOKUP(AZ2, $B$3:$E$109, 2, FALSE)</f>
        <v>0</v>
      </c>
      <c r="BC6" s="672" t="s">
        <v>105</v>
      </c>
      <c r="BD6" s="361">
        <f>VLOOKUP(AZ2, $B$3:$E$109, 3, FALSE)</f>
        <v>0</v>
      </c>
      <c r="BE6" s="673" t="s">
        <v>105</v>
      </c>
      <c r="BF6" s="370">
        <f>SUM(BB6,BD6)</f>
        <v>0</v>
      </c>
      <c r="BH6" s="300"/>
      <c r="BI6" s="356"/>
      <c r="BJ6" s="355"/>
      <c r="BK6" s="672" t="s">
        <v>105</v>
      </c>
      <c r="BL6" s="361">
        <f>VLOOKUP(BJ2, $B$3:$E$109, 2, FALSE)</f>
        <v>0</v>
      </c>
      <c r="BM6" s="672" t="s">
        <v>105</v>
      </c>
      <c r="BN6" s="361">
        <f>VLOOKUP(BJ2, $B$3:$E$109, 3, FALSE)</f>
        <v>0</v>
      </c>
      <c r="BO6" s="673" t="s">
        <v>105</v>
      </c>
      <c r="BP6" s="370">
        <f>SUM(BL6,BN6)</f>
        <v>0</v>
      </c>
    </row>
    <row r="7" spans="2:68" ht="17.25" customHeight="1">
      <c r="B7" s="278">
        <v>42678</v>
      </c>
      <c r="C7" s="2"/>
      <c r="D7" s="337"/>
      <c r="E7" s="2"/>
      <c r="F7" s="2"/>
      <c r="G7" s="337">
        <f t="shared" si="0"/>
        <v>0</v>
      </c>
      <c r="H7" s="2">
        <f t="shared" si="1"/>
        <v>0</v>
      </c>
      <c r="K7" s="704" t="s">
        <v>157</v>
      </c>
      <c r="L7" s="705"/>
      <c r="M7" s="673"/>
      <c r="N7" s="357"/>
      <c r="O7" s="672"/>
      <c r="P7" s="368"/>
      <c r="Q7" s="673"/>
      <c r="R7" s="368"/>
      <c r="S7" s="156"/>
      <c r="T7" s="300"/>
      <c r="U7" s="704" t="s">
        <v>157</v>
      </c>
      <c r="V7" s="705"/>
      <c r="W7" s="673"/>
      <c r="X7" s="357"/>
      <c r="Y7" s="672"/>
      <c r="Z7" s="368"/>
      <c r="AA7" s="673"/>
      <c r="AB7" s="368"/>
      <c r="AD7" s="300"/>
      <c r="AE7" s="704" t="s">
        <v>157</v>
      </c>
      <c r="AF7" s="705"/>
      <c r="AG7" s="673"/>
      <c r="AH7" s="357"/>
      <c r="AI7" s="672"/>
      <c r="AJ7" s="368"/>
      <c r="AK7" s="673"/>
      <c r="AL7" s="368"/>
      <c r="AN7" s="300"/>
      <c r="AO7" s="704" t="s">
        <v>157</v>
      </c>
      <c r="AP7" s="705"/>
      <c r="AQ7" s="673"/>
      <c r="AR7" s="357"/>
      <c r="AS7" s="672"/>
      <c r="AT7" s="368"/>
      <c r="AU7" s="673"/>
      <c r="AV7" s="368"/>
      <c r="AX7" s="300"/>
      <c r="AY7" s="704" t="s">
        <v>157</v>
      </c>
      <c r="AZ7" s="705"/>
      <c r="BA7" s="673"/>
      <c r="BB7" s="357"/>
      <c r="BC7" s="672"/>
      <c r="BD7" s="368"/>
      <c r="BE7" s="673"/>
      <c r="BF7" s="368"/>
      <c r="BH7" s="300"/>
      <c r="BI7" s="704" t="s">
        <v>157</v>
      </c>
      <c r="BJ7" s="705"/>
      <c r="BK7" s="673"/>
      <c r="BL7" s="357"/>
      <c r="BM7" s="672"/>
      <c r="BN7" s="368"/>
      <c r="BO7" s="673"/>
      <c r="BP7" s="368"/>
    </row>
    <row r="8" spans="2:68" ht="15.75">
      <c r="B8" s="278">
        <v>42679</v>
      </c>
      <c r="G8" s="150">
        <f t="shared" si="0"/>
        <v>0</v>
      </c>
      <c r="H8" s="150">
        <f t="shared" si="1"/>
        <v>0</v>
      </c>
      <c r="K8" s="374"/>
      <c r="L8" s="372">
        <f>R4*13</f>
        <v>0</v>
      </c>
      <c r="M8" s="434"/>
      <c r="N8" s="357"/>
      <c r="O8" s="363"/>
      <c r="P8" s="357"/>
      <c r="Q8" s="435"/>
      <c r="R8" s="357"/>
      <c r="S8" s="156"/>
      <c r="T8" s="300"/>
      <c r="U8" s="374"/>
      <c r="V8" s="372">
        <f>AB4*13</f>
        <v>0</v>
      </c>
      <c r="W8" s="434"/>
      <c r="X8" s="357"/>
      <c r="Y8" s="363"/>
      <c r="Z8" s="357"/>
      <c r="AA8" s="435"/>
      <c r="AB8" s="357"/>
      <c r="AD8" s="300"/>
      <c r="AE8" s="374"/>
      <c r="AF8" s="372">
        <f>AL4*13</f>
        <v>0</v>
      </c>
      <c r="AG8" s="434"/>
      <c r="AH8" s="357"/>
      <c r="AI8" s="363"/>
      <c r="AJ8" s="357"/>
      <c r="AK8" s="435"/>
      <c r="AL8" s="357"/>
      <c r="AN8" s="300"/>
      <c r="AO8" s="374"/>
      <c r="AP8" s="372">
        <f>AV4*13</f>
        <v>0</v>
      </c>
      <c r="AQ8" s="434"/>
      <c r="AR8" s="357"/>
      <c r="AS8" s="363"/>
      <c r="AT8" s="357"/>
      <c r="AU8" s="435"/>
      <c r="AV8" s="357"/>
      <c r="AX8" s="300"/>
      <c r="AY8" s="374"/>
      <c r="AZ8" s="372">
        <f>BF4*13</f>
        <v>0</v>
      </c>
      <c r="BA8" s="434"/>
      <c r="BB8" s="357"/>
      <c r="BC8" s="363"/>
      <c r="BD8" s="357"/>
      <c r="BE8" s="435"/>
      <c r="BF8" s="357"/>
      <c r="BH8" s="300"/>
      <c r="BI8" s="374"/>
      <c r="BJ8" s="372">
        <f>BP4*13</f>
        <v>0</v>
      </c>
      <c r="BK8" s="434"/>
      <c r="BL8" s="357"/>
      <c r="BM8" s="363"/>
      <c r="BN8" s="357"/>
      <c r="BO8" s="435"/>
      <c r="BP8" s="357"/>
    </row>
    <row r="9" spans="2:68" ht="18.75">
      <c r="B9" s="278">
        <v>42680</v>
      </c>
      <c r="G9" s="150">
        <f t="shared" si="0"/>
        <v>0</v>
      </c>
      <c r="H9" s="150">
        <f t="shared" si="1"/>
        <v>0</v>
      </c>
      <c r="K9" s="356"/>
      <c r="L9" s="375"/>
      <c r="M9" s="286" t="s">
        <v>97</v>
      </c>
      <c r="N9" s="287" t="e">
        <f>N6/((N4*EFFICIENCY!$H$28))</f>
        <v>#DIV/0!</v>
      </c>
      <c r="O9" s="286" t="s">
        <v>97</v>
      </c>
      <c r="P9" s="287" t="e">
        <f>P6/(P4*EFFICIENCY!$H$28)</f>
        <v>#DIV/0!</v>
      </c>
      <c r="Q9" s="286" t="s">
        <v>97</v>
      </c>
      <c r="R9" s="287" t="e">
        <f>R6/(R4*EFFICIENCY!$H$28)</f>
        <v>#DIV/0!</v>
      </c>
      <c r="S9" s="295"/>
      <c r="T9" s="300"/>
      <c r="U9" s="356"/>
      <c r="V9" s="375"/>
      <c r="W9" s="286" t="s">
        <v>97</v>
      </c>
      <c r="X9" s="287" t="e">
        <f>X6/((X4*EFFICIENCY!$H$28))</f>
        <v>#DIV/0!</v>
      </c>
      <c r="Y9" s="286" t="s">
        <v>97</v>
      </c>
      <c r="Z9" s="287" t="e">
        <f>Z6/(Z4*EFFICIENCY!$H$28)</f>
        <v>#DIV/0!</v>
      </c>
      <c r="AA9" s="286" t="s">
        <v>97</v>
      </c>
      <c r="AB9" s="287" t="e">
        <f>AB6/(AB4*EFFICIENCY!$H$28)</f>
        <v>#DIV/0!</v>
      </c>
      <c r="AD9" s="300"/>
      <c r="AE9" s="356"/>
      <c r="AF9" s="375"/>
      <c r="AG9" s="286" t="s">
        <v>97</v>
      </c>
      <c r="AH9" s="287" t="e">
        <f>AH6/((AH4*EFFICIENCY!$H$28))</f>
        <v>#DIV/0!</v>
      </c>
      <c r="AI9" s="286" t="s">
        <v>97</v>
      </c>
      <c r="AJ9" s="287" t="e">
        <f>AJ6/(AJ4*EFFICIENCY!$H$28)</f>
        <v>#DIV/0!</v>
      </c>
      <c r="AK9" s="286" t="s">
        <v>97</v>
      </c>
      <c r="AL9" s="287" t="e">
        <f>AL6/(AL4*EFFICIENCY!$H$28)</f>
        <v>#DIV/0!</v>
      </c>
      <c r="AN9" s="300"/>
      <c r="AO9" s="356"/>
      <c r="AP9" s="375"/>
      <c r="AQ9" s="286" t="s">
        <v>97</v>
      </c>
      <c r="AR9" s="287" t="e">
        <f>AR6/((AR4*EFFICIENCY!$H$28))</f>
        <v>#DIV/0!</v>
      </c>
      <c r="AS9" s="286" t="s">
        <v>97</v>
      </c>
      <c r="AT9" s="287" t="e">
        <f>AT6/(AT4*EFFICIENCY!$H$28)</f>
        <v>#DIV/0!</v>
      </c>
      <c r="AU9" s="286" t="s">
        <v>97</v>
      </c>
      <c r="AV9" s="287" t="e">
        <f>AV6/(AV4*EFFICIENCY!$H$28)</f>
        <v>#DIV/0!</v>
      </c>
      <c r="AX9" s="300"/>
      <c r="AY9" s="356"/>
      <c r="AZ9" s="375"/>
      <c r="BA9" s="286" t="s">
        <v>97</v>
      </c>
      <c r="BB9" s="287" t="e">
        <f>BB6/((BB4*EFFICIENCY!$H$28))</f>
        <v>#DIV/0!</v>
      </c>
      <c r="BC9" s="286" t="s">
        <v>97</v>
      </c>
      <c r="BD9" s="287" t="e">
        <f>BD6/(BD4*EFFICIENCY!$H$28)</f>
        <v>#DIV/0!</v>
      </c>
      <c r="BE9" s="286" t="s">
        <v>97</v>
      </c>
      <c r="BF9" s="287" t="e">
        <f>BF6/(BF4*EFFICIENCY!$H$28)</f>
        <v>#DIV/0!</v>
      </c>
      <c r="BH9" s="300"/>
      <c r="BI9" s="356"/>
      <c r="BJ9" s="375"/>
      <c r="BK9" s="286" t="s">
        <v>97</v>
      </c>
      <c r="BL9" s="287" t="e">
        <f>BL6/((BL4*EFFICIENCY!$H$28))</f>
        <v>#DIV/0!</v>
      </c>
      <c r="BM9" s="286" t="s">
        <v>97</v>
      </c>
      <c r="BN9" s="287" t="e">
        <f>BN6/(BN4*EFFICIENCY!$H$28)</f>
        <v>#DIV/0!</v>
      </c>
      <c r="BO9" s="286" t="s">
        <v>97</v>
      </c>
      <c r="BP9" s="287" t="e">
        <f>BP6/(BP4*EFFICIENCY!$H$28)</f>
        <v>#DIV/0!</v>
      </c>
    </row>
    <row r="10" spans="2:68" ht="18.75" customHeight="1">
      <c r="B10" s="278">
        <v>42681</v>
      </c>
      <c r="G10" s="150">
        <f t="shared" si="0"/>
        <v>0</v>
      </c>
      <c r="H10" s="150">
        <f t="shared" si="1"/>
        <v>0</v>
      </c>
      <c r="K10" s="356"/>
      <c r="L10" s="355"/>
      <c r="M10" s="280" t="s">
        <v>96</v>
      </c>
      <c r="N10" s="281" t="e">
        <f>N6/(N4*EFFICIENCY!$I$28)</f>
        <v>#DIV/0!</v>
      </c>
      <c r="O10" s="280" t="s">
        <v>96</v>
      </c>
      <c r="P10" s="281" t="e">
        <f>P6/(P4*EFFICIENCY!$I$28)</f>
        <v>#DIV/0!</v>
      </c>
      <c r="Q10" s="280" t="s">
        <v>96</v>
      </c>
      <c r="R10" s="281" t="e">
        <f>R6/(R4*EFFICIENCY!$I$28)</f>
        <v>#DIV/0!</v>
      </c>
      <c r="S10" s="296"/>
      <c r="T10" s="300"/>
      <c r="U10" s="356"/>
      <c r="V10" s="355"/>
      <c r="W10" s="280" t="s">
        <v>96</v>
      </c>
      <c r="X10" s="281" t="e">
        <f>X6/(X4*EFFICIENCY!$I$28)</f>
        <v>#DIV/0!</v>
      </c>
      <c r="Y10" s="280" t="s">
        <v>96</v>
      </c>
      <c r="Z10" s="281" t="e">
        <f>Z6/(Z4*EFFICIENCY!$I$28)</f>
        <v>#DIV/0!</v>
      </c>
      <c r="AA10" s="280" t="s">
        <v>96</v>
      </c>
      <c r="AB10" s="281" t="e">
        <f>AB6/(AB4*EFFICIENCY!$I$28)</f>
        <v>#DIV/0!</v>
      </c>
      <c r="AD10" s="300"/>
      <c r="AE10" s="356"/>
      <c r="AF10" s="355"/>
      <c r="AG10" s="280" t="s">
        <v>96</v>
      </c>
      <c r="AH10" s="281" t="e">
        <f>AH6/(AH4*EFFICIENCY!$I$28)</f>
        <v>#DIV/0!</v>
      </c>
      <c r="AI10" s="280" t="s">
        <v>96</v>
      </c>
      <c r="AJ10" s="281" t="e">
        <f>AJ6/(AJ4*EFFICIENCY!$I$28)</f>
        <v>#DIV/0!</v>
      </c>
      <c r="AK10" s="280" t="s">
        <v>96</v>
      </c>
      <c r="AL10" s="281" t="e">
        <f>AL6/(AL4*EFFICIENCY!$I$28)</f>
        <v>#DIV/0!</v>
      </c>
      <c r="AN10" s="300"/>
      <c r="AO10" s="356"/>
      <c r="AP10" s="355"/>
      <c r="AQ10" s="280" t="s">
        <v>96</v>
      </c>
      <c r="AR10" s="281" t="e">
        <f>AR6/(AR4*EFFICIENCY!$I$28)</f>
        <v>#DIV/0!</v>
      </c>
      <c r="AS10" s="280" t="s">
        <v>96</v>
      </c>
      <c r="AT10" s="281" t="e">
        <f>AT6/(AT4*EFFICIENCY!$I$28)</f>
        <v>#DIV/0!</v>
      </c>
      <c r="AU10" s="280" t="s">
        <v>96</v>
      </c>
      <c r="AV10" s="281" t="e">
        <f>AV6/(AV4*EFFICIENCY!$I$28)</f>
        <v>#DIV/0!</v>
      </c>
      <c r="AX10" s="300"/>
      <c r="AY10" s="356"/>
      <c r="AZ10" s="355"/>
      <c r="BA10" s="280" t="s">
        <v>96</v>
      </c>
      <c r="BB10" s="281" t="e">
        <f>BB6/(BB4*EFFICIENCY!$I$28)</f>
        <v>#DIV/0!</v>
      </c>
      <c r="BC10" s="280" t="s">
        <v>96</v>
      </c>
      <c r="BD10" s="281" t="e">
        <f>BD6/(BD4*EFFICIENCY!$I$28)</f>
        <v>#DIV/0!</v>
      </c>
      <c r="BE10" s="280" t="s">
        <v>96</v>
      </c>
      <c r="BF10" s="281" t="e">
        <f>BF6/(BF4*EFFICIENCY!$I$28)</f>
        <v>#DIV/0!</v>
      </c>
      <c r="BH10" s="300"/>
      <c r="BI10" s="356"/>
      <c r="BJ10" s="355"/>
      <c r="BK10" s="280" t="s">
        <v>96</v>
      </c>
      <c r="BL10" s="281" t="e">
        <f>BL6/(BL4*EFFICIENCY!$I$28)</f>
        <v>#DIV/0!</v>
      </c>
      <c r="BM10" s="280" t="s">
        <v>96</v>
      </c>
      <c r="BN10" s="281" t="e">
        <f>BN6/(BN4*EFFICIENCY!$I$28)</f>
        <v>#DIV/0!</v>
      </c>
      <c r="BO10" s="280" t="s">
        <v>96</v>
      </c>
      <c r="BP10" s="281" t="e">
        <f>BP6/(BP4*EFFICIENCY!$I$28)</f>
        <v>#DIV/0!</v>
      </c>
    </row>
    <row r="11" spans="2:68" ht="17.25" customHeight="1" thickBot="1">
      <c r="B11" s="278">
        <v>42682</v>
      </c>
      <c r="G11" s="150">
        <f t="shared" si="0"/>
        <v>0</v>
      </c>
      <c r="H11" s="150">
        <f t="shared" si="1"/>
        <v>0</v>
      </c>
      <c r="K11" s="692" t="s">
        <v>156</v>
      </c>
      <c r="L11" s="693"/>
      <c r="M11" s="284" t="s">
        <v>94</v>
      </c>
      <c r="N11" s="285" t="e">
        <f>N6/((N4*EFFICIENCY!$K$28))</f>
        <v>#DIV/0!</v>
      </c>
      <c r="O11" s="288" t="s">
        <v>94</v>
      </c>
      <c r="P11" s="285" t="e">
        <f>P6/((P4*EFFICIENCY!$K$28))</f>
        <v>#DIV/0!</v>
      </c>
      <c r="Q11" s="284" t="s">
        <v>94</v>
      </c>
      <c r="R11" s="285" t="e">
        <f>R6/((R4*EFFICIENCY!$K$28))</f>
        <v>#DIV/0!</v>
      </c>
      <c r="S11" s="297"/>
      <c r="T11" s="300"/>
      <c r="U11" s="692" t="s">
        <v>156</v>
      </c>
      <c r="V11" s="693"/>
      <c r="W11" s="284" t="s">
        <v>94</v>
      </c>
      <c r="X11" s="285" t="e">
        <f>X6/((X4*EFFICIENCY!$K$28))</f>
        <v>#DIV/0!</v>
      </c>
      <c r="Y11" s="288" t="s">
        <v>94</v>
      </c>
      <c r="Z11" s="285" t="e">
        <f>Z6/((Z4*EFFICIENCY!$K$28))</f>
        <v>#DIV/0!</v>
      </c>
      <c r="AA11" s="284" t="s">
        <v>94</v>
      </c>
      <c r="AB11" s="285" t="e">
        <f>AB6/((AB4*EFFICIENCY!$K$28))</f>
        <v>#DIV/0!</v>
      </c>
      <c r="AD11" s="300"/>
      <c r="AE11" s="692" t="s">
        <v>156</v>
      </c>
      <c r="AF11" s="693"/>
      <c r="AG11" s="284" t="s">
        <v>94</v>
      </c>
      <c r="AH11" s="285" t="e">
        <f>AH6/((AH4*EFFICIENCY!$K$28))</f>
        <v>#DIV/0!</v>
      </c>
      <c r="AI11" s="288" t="s">
        <v>94</v>
      </c>
      <c r="AJ11" s="285" t="e">
        <f>AJ6/((AJ4*EFFICIENCY!$K$28))</f>
        <v>#DIV/0!</v>
      </c>
      <c r="AK11" s="284" t="s">
        <v>94</v>
      </c>
      <c r="AL11" s="285" t="e">
        <f>AL6/((AL4*EFFICIENCY!$K$28))</f>
        <v>#DIV/0!</v>
      </c>
      <c r="AN11" s="300"/>
      <c r="AO11" s="692" t="s">
        <v>156</v>
      </c>
      <c r="AP11" s="693"/>
      <c r="AQ11" s="284" t="s">
        <v>94</v>
      </c>
      <c r="AR11" s="285" t="e">
        <f>AR6/((AR4*EFFICIENCY!$K$28))</f>
        <v>#DIV/0!</v>
      </c>
      <c r="AS11" s="288" t="s">
        <v>94</v>
      </c>
      <c r="AT11" s="285" t="e">
        <f>AT6/((AT4*EFFICIENCY!$K$28))</f>
        <v>#DIV/0!</v>
      </c>
      <c r="AU11" s="284" t="s">
        <v>94</v>
      </c>
      <c r="AV11" s="285" t="e">
        <f>AV6/((AV4*EFFICIENCY!$K$28))</f>
        <v>#DIV/0!</v>
      </c>
      <c r="AX11" s="300"/>
      <c r="AY11" s="692" t="s">
        <v>156</v>
      </c>
      <c r="AZ11" s="693"/>
      <c r="BA11" s="284" t="s">
        <v>94</v>
      </c>
      <c r="BB11" s="285" t="e">
        <f>BB6/((BB4*EFFICIENCY!$K$28))</f>
        <v>#DIV/0!</v>
      </c>
      <c r="BC11" s="288" t="s">
        <v>94</v>
      </c>
      <c r="BD11" s="285" t="e">
        <f>BD6/((BD4*EFFICIENCY!$K$28))</f>
        <v>#DIV/0!</v>
      </c>
      <c r="BE11" s="284" t="s">
        <v>94</v>
      </c>
      <c r="BF11" s="285" t="e">
        <f>BF6/((BF4*EFFICIENCY!$K$28))</f>
        <v>#DIV/0!</v>
      </c>
      <c r="BH11" s="300"/>
      <c r="BI11" s="692" t="s">
        <v>156</v>
      </c>
      <c r="BJ11" s="693"/>
      <c r="BK11" s="284" t="s">
        <v>94</v>
      </c>
      <c r="BL11" s="285" t="e">
        <f>BL6/((BL4*EFFICIENCY!$K$28))</f>
        <v>#DIV/0!</v>
      </c>
      <c r="BM11" s="288" t="s">
        <v>94</v>
      </c>
      <c r="BN11" s="285" t="e">
        <f>BN6/((BN4*EFFICIENCY!$K$28))</f>
        <v>#DIV/0!</v>
      </c>
      <c r="BO11" s="284" t="s">
        <v>94</v>
      </c>
      <c r="BP11" s="285" t="e">
        <f>BP6/((BP4*EFFICIENCY!$K$28))</f>
        <v>#DIV/0!</v>
      </c>
    </row>
    <row r="12" spans="2:68" ht="16.5" thickBot="1">
      <c r="B12" s="278">
        <v>42683</v>
      </c>
      <c r="G12" s="150">
        <f t="shared" si="0"/>
        <v>0</v>
      </c>
      <c r="H12" s="150">
        <f t="shared" si="1"/>
        <v>0</v>
      </c>
      <c r="K12" s="376"/>
      <c r="L12" s="377" t="e">
        <f>R6/R4</f>
        <v>#DIV/0!</v>
      </c>
      <c r="M12" s="678" t="s">
        <v>153</v>
      </c>
      <c r="N12" s="679"/>
      <c r="O12" s="290"/>
      <c r="P12" s="431"/>
      <c r="Q12" s="431" t="s">
        <v>154</v>
      </c>
      <c r="R12" s="366"/>
      <c r="S12" s="298"/>
      <c r="T12" s="300"/>
      <c r="U12" s="376"/>
      <c r="V12" s="377" t="e">
        <f>AB6/AB4</f>
        <v>#DIV/0!</v>
      </c>
      <c r="W12" s="678" t="s">
        <v>153</v>
      </c>
      <c r="X12" s="679"/>
      <c r="Y12" s="290"/>
      <c r="Z12" s="431"/>
      <c r="AA12" s="431" t="s">
        <v>154</v>
      </c>
      <c r="AB12" s="366">
        <f>Y12-AB6</f>
        <v>0</v>
      </c>
      <c r="AD12" s="300"/>
      <c r="AE12" s="376"/>
      <c r="AF12" s="377" t="e">
        <f>AL6/AL4</f>
        <v>#DIV/0!</v>
      </c>
      <c r="AG12" s="678" t="s">
        <v>153</v>
      </c>
      <c r="AH12" s="679"/>
      <c r="AI12" s="290"/>
      <c r="AJ12" s="431"/>
      <c r="AK12" s="431" t="s">
        <v>154</v>
      </c>
      <c r="AL12" s="366">
        <f>AI12-AL6</f>
        <v>0</v>
      </c>
      <c r="AN12" s="300"/>
      <c r="AO12" s="376"/>
      <c r="AP12" s="377" t="e">
        <f>AV6/AV4</f>
        <v>#DIV/0!</v>
      </c>
      <c r="AQ12" s="678" t="s">
        <v>153</v>
      </c>
      <c r="AR12" s="679"/>
      <c r="AS12" s="290"/>
      <c r="AT12" s="431"/>
      <c r="AU12" s="431" t="s">
        <v>154</v>
      </c>
      <c r="AV12" s="366">
        <f>AS12-AV6</f>
        <v>0</v>
      </c>
      <c r="AX12" s="300"/>
      <c r="AY12" s="376"/>
      <c r="AZ12" s="377" t="e">
        <f>BF6/BF4</f>
        <v>#DIV/0!</v>
      </c>
      <c r="BA12" s="678" t="s">
        <v>153</v>
      </c>
      <c r="BB12" s="679"/>
      <c r="BC12" s="290"/>
      <c r="BD12" s="431"/>
      <c r="BE12" s="431" t="s">
        <v>154</v>
      </c>
      <c r="BF12" s="366">
        <f>BC12-BF6</f>
        <v>0</v>
      </c>
      <c r="BH12" s="300"/>
      <c r="BI12" s="376"/>
      <c r="BJ12" s="377" t="e">
        <f>BP6/BP4</f>
        <v>#DIV/0!</v>
      </c>
      <c r="BK12" s="678" t="s">
        <v>153</v>
      </c>
      <c r="BL12" s="679"/>
      <c r="BM12" s="290"/>
      <c r="BN12" s="431"/>
      <c r="BO12" s="431" t="s">
        <v>154</v>
      </c>
      <c r="BP12" s="366">
        <f>BM12-BP6</f>
        <v>0</v>
      </c>
    </row>
    <row r="13" spans="2:68" ht="15.75" customHeight="1">
      <c r="B13" s="278">
        <v>42684</v>
      </c>
      <c r="G13" s="150">
        <f t="shared" si="0"/>
        <v>0</v>
      </c>
      <c r="H13" s="150">
        <f t="shared" si="1"/>
        <v>0</v>
      </c>
      <c r="L13" s="154"/>
      <c r="T13" s="300"/>
      <c r="V13" s="154"/>
      <c r="AD13" s="300"/>
      <c r="AF13" s="154"/>
      <c r="AN13" s="300"/>
      <c r="AP13" s="154"/>
      <c r="AX13" s="300"/>
      <c r="AZ13" s="154"/>
      <c r="BH13" s="300"/>
      <c r="BJ13" s="154"/>
    </row>
    <row r="14" spans="2:68" ht="15" customHeight="1" thickBot="1">
      <c r="B14" s="278">
        <v>42685</v>
      </c>
      <c r="G14" s="150">
        <f t="shared" si="0"/>
        <v>0</v>
      </c>
      <c r="H14" s="150">
        <f t="shared" si="1"/>
        <v>0</v>
      </c>
      <c r="K14" s="291"/>
      <c r="L14" s="291"/>
      <c r="M14" s="291"/>
      <c r="N14" s="291"/>
      <c r="O14" s="291"/>
      <c r="P14" s="291"/>
      <c r="Q14" s="291"/>
      <c r="R14" s="291"/>
      <c r="S14" s="299"/>
      <c r="T14" s="301"/>
      <c r="U14" s="291"/>
      <c r="V14" s="291"/>
      <c r="W14" s="291"/>
      <c r="X14" s="291"/>
      <c r="Y14" s="291"/>
      <c r="Z14" s="291"/>
      <c r="AA14" s="291"/>
      <c r="AB14" s="291"/>
      <c r="AC14" s="291"/>
      <c r="AD14" s="301"/>
      <c r="AE14" s="291"/>
      <c r="AF14" s="291"/>
      <c r="AG14" s="291"/>
      <c r="AH14" s="291"/>
      <c r="AI14" s="291"/>
      <c r="AJ14" s="291"/>
      <c r="AK14" s="291"/>
      <c r="AL14" s="291"/>
      <c r="AM14" s="291"/>
      <c r="AN14" s="301"/>
      <c r="AO14" s="291"/>
      <c r="AP14" s="291"/>
      <c r="AQ14" s="291"/>
      <c r="AR14" s="291"/>
      <c r="AS14" s="291"/>
      <c r="AT14" s="291"/>
      <c r="AU14" s="291"/>
      <c r="AV14" s="291"/>
      <c r="AW14" s="291"/>
      <c r="AX14" s="301"/>
      <c r="AY14" s="291"/>
      <c r="AZ14" s="291"/>
      <c r="BA14" s="291"/>
      <c r="BB14" s="291"/>
      <c r="BC14" s="291"/>
      <c r="BD14" s="291"/>
      <c r="BE14" s="291"/>
      <c r="BF14" s="291"/>
      <c r="BG14" s="291"/>
      <c r="BH14" s="300"/>
      <c r="BI14" s="291"/>
      <c r="BJ14" s="291"/>
      <c r="BK14" s="291"/>
      <c r="BL14" s="291"/>
      <c r="BM14" s="291"/>
      <c r="BN14" s="291"/>
      <c r="BO14" s="291"/>
      <c r="BP14" s="291"/>
    </row>
    <row r="15" spans="2:68" ht="15.75" thickBot="1">
      <c r="B15" s="278">
        <v>42686</v>
      </c>
      <c r="G15" s="150">
        <f t="shared" si="0"/>
        <v>0</v>
      </c>
      <c r="H15" s="150">
        <f t="shared" si="1"/>
        <v>0</v>
      </c>
      <c r="K15" s="378" t="s">
        <v>7</v>
      </c>
      <c r="L15" s="533">
        <f>B10</f>
        <v>42681</v>
      </c>
      <c r="M15" s="663" t="s">
        <v>100</v>
      </c>
      <c r="N15" s="664"/>
      <c r="O15" s="665" t="s">
        <v>99</v>
      </c>
      <c r="P15" s="666"/>
      <c r="Q15" s="667" t="s">
        <v>16</v>
      </c>
      <c r="R15" s="668"/>
      <c r="S15" s="293"/>
      <c r="T15" s="302"/>
      <c r="U15" s="378" t="s">
        <v>7</v>
      </c>
      <c r="V15" s="533">
        <f>B11</f>
        <v>42682</v>
      </c>
      <c r="W15" s="663" t="s">
        <v>100</v>
      </c>
      <c r="X15" s="664"/>
      <c r="Y15" s="665" t="s">
        <v>99</v>
      </c>
      <c r="Z15" s="666"/>
      <c r="AA15" s="667" t="s">
        <v>16</v>
      </c>
      <c r="AB15" s="668"/>
      <c r="AD15" s="300"/>
      <c r="AE15" s="378" t="s">
        <v>7</v>
      </c>
      <c r="AF15" s="533">
        <f>B12</f>
        <v>42683</v>
      </c>
      <c r="AG15" s="663" t="s">
        <v>100</v>
      </c>
      <c r="AH15" s="664"/>
      <c r="AI15" s="665" t="s">
        <v>99</v>
      </c>
      <c r="AJ15" s="666"/>
      <c r="AK15" s="667" t="s">
        <v>16</v>
      </c>
      <c r="AL15" s="668"/>
      <c r="AN15" s="300"/>
      <c r="AO15" s="378" t="s">
        <v>7</v>
      </c>
      <c r="AP15" s="533">
        <f>B13</f>
        <v>42684</v>
      </c>
      <c r="AQ15" s="663" t="s">
        <v>100</v>
      </c>
      <c r="AR15" s="664"/>
      <c r="AS15" s="665" t="s">
        <v>99</v>
      </c>
      <c r="AT15" s="666"/>
      <c r="AU15" s="667" t="s">
        <v>16</v>
      </c>
      <c r="AV15" s="668"/>
      <c r="AX15" s="300"/>
      <c r="AY15" s="378" t="s">
        <v>7</v>
      </c>
      <c r="AZ15" s="533">
        <f>B14</f>
        <v>42685</v>
      </c>
      <c r="BA15" s="663" t="s">
        <v>100</v>
      </c>
      <c r="BB15" s="664"/>
      <c r="BC15" s="665" t="s">
        <v>99</v>
      </c>
      <c r="BD15" s="666"/>
      <c r="BE15" s="667" t="s">
        <v>16</v>
      </c>
      <c r="BF15" s="668"/>
      <c r="BH15" s="300"/>
      <c r="BI15" s="378" t="s">
        <v>7</v>
      </c>
      <c r="BJ15" s="533">
        <f>B15</f>
        <v>42686</v>
      </c>
      <c r="BK15" s="663" t="s">
        <v>100</v>
      </c>
      <c r="BL15" s="664"/>
      <c r="BM15" s="665" t="s">
        <v>99</v>
      </c>
      <c r="BN15" s="666"/>
      <c r="BO15" s="667" t="s">
        <v>16</v>
      </c>
      <c r="BP15" s="668"/>
    </row>
    <row r="16" spans="2:68" ht="13.5" thickBot="1">
      <c r="B16" s="278">
        <v>42687</v>
      </c>
      <c r="G16" s="150">
        <f t="shared" si="0"/>
        <v>0</v>
      </c>
      <c r="H16" s="150">
        <f t="shared" si="1"/>
        <v>0</v>
      </c>
      <c r="K16" s="339"/>
      <c r="L16" s="338"/>
      <c r="M16" s="339"/>
      <c r="N16" s="340"/>
      <c r="O16" s="339"/>
      <c r="P16" s="340"/>
      <c r="Q16" s="338"/>
      <c r="R16" s="340"/>
      <c r="S16" s="156"/>
      <c r="T16" s="302"/>
      <c r="U16" s="339"/>
      <c r="V16" s="338"/>
      <c r="W16" s="339"/>
      <c r="X16" s="340"/>
      <c r="Y16" s="339"/>
      <c r="Z16" s="340"/>
      <c r="AA16" s="338"/>
      <c r="AB16" s="340"/>
      <c r="AD16" s="300"/>
      <c r="AE16" s="339"/>
      <c r="AF16" s="338"/>
      <c r="AG16" s="339"/>
      <c r="AH16" s="340"/>
      <c r="AI16" s="339"/>
      <c r="AJ16" s="340"/>
      <c r="AK16" s="338"/>
      <c r="AL16" s="340"/>
      <c r="AN16" s="300"/>
      <c r="AO16" s="339"/>
      <c r="AP16" s="338"/>
      <c r="AQ16" s="339"/>
      <c r="AR16" s="340"/>
      <c r="AS16" s="339"/>
      <c r="AT16" s="340"/>
      <c r="AU16" s="338"/>
      <c r="AV16" s="340"/>
      <c r="AX16" s="300"/>
      <c r="AY16" s="339"/>
      <c r="AZ16" s="338"/>
      <c r="BA16" s="339"/>
      <c r="BB16" s="340"/>
      <c r="BC16" s="339"/>
      <c r="BD16" s="340"/>
      <c r="BE16" s="338"/>
      <c r="BF16" s="340"/>
      <c r="BH16" s="300"/>
      <c r="BI16" s="339"/>
      <c r="BJ16" s="338"/>
      <c r="BK16" s="339"/>
      <c r="BL16" s="340"/>
      <c r="BM16" s="339"/>
      <c r="BN16" s="340"/>
      <c r="BO16" s="338"/>
      <c r="BP16" s="340"/>
    </row>
    <row r="17" spans="2:68" ht="16.5" thickBot="1">
      <c r="B17" s="278">
        <v>42688</v>
      </c>
      <c r="G17" s="150">
        <f t="shared" si="0"/>
        <v>0</v>
      </c>
      <c r="H17" s="150">
        <f t="shared" si="1"/>
        <v>0</v>
      </c>
      <c r="K17" s="339"/>
      <c r="L17" s="432" t="s">
        <v>155</v>
      </c>
      <c r="M17" s="342" t="s">
        <v>103</v>
      </c>
      <c r="N17" s="279"/>
      <c r="O17" s="342" t="s">
        <v>103</v>
      </c>
      <c r="P17" s="279"/>
      <c r="Q17" s="343" t="s">
        <v>103</v>
      </c>
      <c r="R17" s="344">
        <f>SUM(N17,P17)</f>
        <v>0</v>
      </c>
      <c r="S17" s="294"/>
      <c r="T17" s="302"/>
      <c r="U17" s="339"/>
      <c r="V17" s="432" t="s">
        <v>155</v>
      </c>
      <c r="W17" s="342" t="s">
        <v>103</v>
      </c>
      <c r="X17" s="279"/>
      <c r="Y17" s="342" t="s">
        <v>103</v>
      </c>
      <c r="Z17" s="279"/>
      <c r="AA17" s="343" t="s">
        <v>103</v>
      </c>
      <c r="AB17" s="344">
        <f>SUM(X17,Z17)</f>
        <v>0</v>
      </c>
      <c r="AD17" s="300"/>
      <c r="AE17" s="339"/>
      <c r="AF17" s="432" t="s">
        <v>155</v>
      </c>
      <c r="AG17" s="342" t="s">
        <v>103</v>
      </c>
      <c r="AH17" s="279"/>
      <c r="AI17" s="342" t="s">
        <v>103</v>
      </c>
      <c r="AJ17" s="279"/>
      <c r="AK17" s="343" t="s">
        <v>103</v>
      </c>
      <c r="AL17" s="344">
        <f>SUM(AH17,AJ17)</f>
        <v>0</v>
      </c>
      <c r="AN17" s="300"/>
      <c r="AO17" s="339"/>
      <c r="AP17" s="432" t="s">
        <v>155</v>
      </c>
      <c r="AQ17" s="342" t="s">
        <v>103</v>
      </c>
      <c r="AR17" s="279"/>
      <c r="AS17" s="342" t="s">
        <v>103</v>
      </c>
      <c r="AT17" s="279"/>
      <c r="AU17" s="343" t="s">
        <v>103</v>
      </c>
      <c r="AV17" s="344">
        <f>SUM(AR17,AT17)</f>
        <v>0</v>
      </c>
      <c r="AX17" s="300"/>
      <c r="AY17" s="339"/>
      <c r="AZ17" s="432" t="s">
        <v>155</v>
      </c>
      <c r="BA17" s="342" t="s">
        <v>103</v>
      </c>
      <c r="BB17" s="279"/>
      <c r="BC17" s="342" t="s">
        <v>103</v>
      </c>
      <c r="BD17" s="279"/>
      <c r="BE17" s="343" t="s">
        <v>103</v>
      </c>
      <c r="BF17" s="344">
        <f>SUM(BB17,BD17)</f>
        <v>0</v>
      </c>
      <c r="BH17" s="300"/>
      <c r="BI17" s="339"/>
      <c r="BJ17" s="432" t="s">
        <v>155</v>
      </c>
      <c r="BK17" s="342" t="s">
        <v>103</v>
      </c>
      <c r="BL17" s="279"/>
      <c r="BM17" s="342" t="s">
        <v>103</v>
      </c>
      <c r="BN17" s="279"/>
      <c r="BO17" s="343" t="s">
        <v>103</v>
      </c>
      <c r="BP17" s="344">
        <f>SUM(BL17,BN17)</f>
        <v>0</v>
      </c>
    </row>
    <row r="18" spans="2:68" ht="18.75" thickBot="1">
      <c r="B18" s="278">
        <v>42689</v>
      </c>
      <c r="G18" s="150">
        <f t="shared" si="0"/>
        <v>0</v>
      </c>
      <c r="H18" s="150">
        <f t="shared" si="1"/>
        <v>0</v>
      </c>
      <c r="K18" s="339"/>
      <c r="L18" s="289">
        <v>8</v>
      </c>
      <c r="M18" s="345" t="s">
        <v>5</v>
      </c>
      <c r="N18" s="346">
        <f>VLOOKUP(L15, $B$3:$E$109, 4, FALSE)</f>
        <v>0</v>
      </c>
      <c r="O18" s="345" t="s">
        <v>5</v>
      </c>
      <c r="P18" s="347">
        <f>VLOOKUP(L15, $B$3:$F$109, 5, FALSE)</f>
        <v>0</v>
      </c>
      <c r="Q18" s="348" t="s">
        <v>5</v>
      </c>
      <c r="R18" s="344">
        <f>SUM(N18,P18)</f>
        <v>0</v>
      </c>
      <c r="S18" s="294"/>
      <c r="T18" s="302"/>
      <c r="U18" s="339"/>
      <c r="V18" s="289">
        <v>8</v>
      </c>
      <c r="W18" s="345" t="s">
        <v>5</v>
      </c>
      <c r="X18" s="346">
        <f>VLOOKUP(V15, $B$3:$E$109, 4, FALSE)</f>
        <v>0</v>
      </c>
      <c r="Y18" s="345" t="s">
        <v>5</v>
      </c>
      <c r="Z18" s="347">
        <f>VLOOKUP(V15, $B$3:$F$109, 5, FALSE)</f>
        <v>0</v>
      </c>
      <c r="AA18" s="348" t="s">
        <v>5</v>
      </c>
      <c r="AB18" s="344">
        <f>SUM(X18,Z18)</f>
        <v>0</v>
      </c>
      <c r="AD18" s="300"/>
      <c r="AE18" s="339"/>
      <c r="AF18" s="289">
        <v>8</v>
      </c>
      <c r="AG18" s="345" t="s">
        <v>5</v>
      </c>
      <c r="AH18" s="346">
        <f>VLOOKUP(AF15, $B$3:$E$109, 4, FALSE)</f>
        <v>0</v>
      </c>
      <c r="AI18" s="345" t="s">
        <v>5</v>
      </c>
      <c r="AJ18" s="347">
        <f>VLOOKUP(AF15, $B$3:$F$109, 5, FALSE)</f>
        <v>0</v>
      </c>
      <c r="AK18" s="348" t="s">
        <v>5</v>
      </c>
      <c r="AL18" s="344">
        <f>SUM(AH18,AJ18)</f>
        <v>0</v>
      </c>
      <c r="AN18" s="300"/>
      <c r="AO18" s="339"/>
      <c r="AP18" s="289">
        <v>8</v>
      </c>
      <c r="AQ18" s="345" t="s">
        <v>5</v>
      </c>
      <c r="AR18" s="346">
        <f>VLOOKUP(AP15, $B$3:$E$109, 4, FALSE)</f>
        <v>0</v>
      </c>
      <c r="AS18" s="345" t="s">
        <v>5</v>
      </c>
      <c r="AT18" s="347">
        <f>VLOOKUP(AP15, $B$3:$F$109, 5, FALSE)</f>
        <v>0</v>
      </c>
      <c r="AU18" s="348" t="s">
        <v>5</v>
      </c>
      <c r="AV18" s="344">
        <f>SUM(AR18,AT18)</f>
        <v>0</v>
      </c>
      <c r="AX18" s="300"/>
      <c r="AY18" s="339"/>
      <c r="AZ18" s="289">
        <v>8</v>
      </c>
      <c r="BA18" s="345" t="s">
        <v>5</v>
      </c>
      <c r="BB18" s="346">
        <f>VLOOKUP(AZ15, $B$3:$E$109, 4, FALSE)</f>
        <v>0</v>
      </c>
      <c r="BC18" s="345" t="s">
        <v>5</v>
      </c>
      <c r="BD18" s="347">
        <f>VLOOKUP(AZ15, $B$3:$F$109, 5, FALSE)</f>
        <v>0</v>
      </c>
      <c r="BE18" s="348" t="s">
        <v>5</v>
      </c>
      <c r="BF18" s="344">
        <f>SUM(BB18,BD18)</f>
        <v>0</v>
      </c>
      <c r="BH18" s="300"/>
      <c r="BI18" s="339"/>
      <c r="BJ18" s="289">
        <v>8</v>
      </c>
      <c r="BK18" s="345" t="s">
        <v>5</v>
      </c>
      <c r="BL18" s="346">
        <f>VLOOKUP(BJ15, $B$3:$E$109, 4, FALSE)</f>
        <v>0</v>
      </c>
      <c r="BM18" s="345" t="s">
        <v>5</v>
      </c>
      <c r="BN18" s="347">
        <f>VLOOKUP(BJ15, $B$3:$F$109, 5, FALSE)</f>
        <v>0</v>
      </c>
      <c r="BO18" s="348" t="s">
        <v>5</v>
      </c>
      <c r="BP18" s="344">
        <f>SUM(BL18,BN18)</f>
        <v>0</v>
      </c>
    </row>
    <row r="19" spans="2:68" ht="15.75" customHeight="1">
      <c r="B19" s="278">
        <v>42690</v>
      </c>
      <c r="G19" s="150">
        <f t="shared" si="0"/>
        <v>0</v>
      </c>
      <c r="H19" s="150">
        <f t="shared" si="1"/>
        <v>0</v>
      </c>
      <c r="K19" s="339"/>
      <c r="L19" s="338"/>
      <c r="M19" s="669" t="s">
        <v>105</v>
      </c>
      <c r="N19" s="346">
        <f>VLOOKUP(L15, $B$3:$E$109, 2, FALSE)</f>
        <v>0</v>
      </c>
      <c r="O19" s="669" t="s">
        <v>105</v>
      </c>
      <c r="P19" s="347">
        <f>VLOOKUP(L15, $B$3:$E$109, 3, FALSE)</f>
        <v>0</v>
      </c>
      <c r="Q19" s="670" t="s">
        <v>105</v>
      </c>
      <c r="R19" s="344">
        <f>SUM(N19,P19)</f>
        <v>0</v>
      </c>
      <c r="S19" s="294"/>
      <c r="T19" s="302"/>
      <c r="U19" s="339"/>
      <c r="V19" s="338"/>
      <c r="W19" s="669" t="s">
        <v>105</v>
      </c>
      <c r="X19" s="346">
        <f>VLOOKUP(V15, $B$3:$E$109, 2, FALSE)</f>
        <v>0</v>
      </c>
      <c r="Y19" s="669" t="s">
        <v>105</v>
      </c>
      <c r="Z19" s="347">
        <f>VLOOKUP(V15, $B$3:$E$109, 3, FALSE)</f>
        <v>0</v>
      </c>
      <c r="AA19" s="670" t="s">
        <v>105</v>
      </c>
      <c r="AB19" s="344">
        <f>SUM(X19,Z19)</f>
        <v>0</v>
      </c>
      <c r="AD19" s="300"/>
      <c r="AE19" s="339"/>
      <c r="AF19" s="338"/>
      <c r="AG19" s="669" t="s">
        <v>105</v>
      </c>
      <c r="AH19" s="346">
        <f>VLOOKUP(AF15, $B$3:$E$109, 2, FALSE)</f>
        <v>0</v>
      </c>
      <c r="AI19" s="669" t="s">
        <v>105</v>
      </c>
      <c r="AJ19" s="347">
        <f>VLOOKUP(AF15, $B$3:$E$109, 3, FALSE)</f>
        <v>0</v>
      </c>
      <c r="AK19" s="670" t="s">
        <v>105</v>
      </c>
      <c r="AL19" s="344">
        <f>SUM(AH19,AJ19)</f>
        <v>0</v>
      </c>
      <c r="AN19" s="300"/>
      <c r="AO19" s="339"/>
      <c r="AP19" s="338"/>
      <c r="AQ19" s="669" t="s">
        <v>105</v>
      </c>
      <c r="AR19" s="346">
        <f>VLOOKUP(AP15, $B$3:$E$109, 2, FALSE)</f>
        <v>0</v>
      </c>
      <c r="AS19" s="669" t="s">
        <v>105</v>
      </c>
      <c r="AT19" s="347">
        <f>VLOOKUP(AP15, $B$3:$E$109, 3, FALSE)</f>
        <v>0</v>
      </c>
      <c r="AU19" s="670" t="s">
        <v>105</v>
      </c>
      <c r="AV19" s="344">
        <f>SUM(AR19,AT19)</f>
        <v>0</v>
      </c>
      <c r="AX19" s="300"/>
      <c r="AY19" s="339"/>
      <c r="AZ19" s="338"/>
      <c r="BA19" s="669" t="s">
        <v>105</v>
      </c>
      <c r="BB19" s="346">
        <f>VLOOKUP(AZ15, $B$3:$E$109, 2, FALSE)</f>
        <v>0</v>
      </c>
      <c r="BC19" s="669" t="s">
        <v>105</v>
      </c>
      <c r="BD19" s="347">
        <f>VLOOKUP(AZ15, $B$3:$E$109, 3, FALSE)</f>
        <v>0</v>
      </c>
      <c r="BE19" s="670" t="s">
        <v>105</v>
      </c>
      <c r="BF19" s="344">
        <f>SUM(BB19,BD19)</f>
        <v>0</v>
      </c>
      <c r="BH19" s="300"/>
      <c r="BI19" s="339"/>
      <c r="BJ19" s="338"/>
      <c r="BK19" s="669" t="s">
        <v>105</v>
      </c>
      <c r="BL19" s="346">
        <f>VLOOKUP(BJ15, $B$3:$E$109, 2, FALSE)</f>
        <v>0</v>
      </c>
      <c r="BM19" s="669" t="s">
        <v>105</v>
      </c>
      <c r="BN19" s="347">
        <f>VLOOKUP(BJ15, $B$3:$E$109, 3, FALSE)</f>
        <v>0</v>
      </c>
      <c r="BO19" s="670" t="s">
        <v>105</v>
      </c>
      <c r="BP19" s="344">
        <f>SUM(BL19,BN19)</f>
        <v>0</v>
      </c>
    </row>
    <row r="20" spans="2:68" ht="12.75" customHeight="1">
      <c r="B20" s="278">
        <v>42691</v>
      </c>
      <c r="G20" s="150">
        <f t="shared" si="0"/>
        <v>0</v>
      </c>
      <c r="H20" s="150">
        <f t="shared" si="1"/>
        <v>0</v>
      </c>
      <c r="K20" s="698" t="s">
        <v>157</v>
      </c>
      <c r="L20" s="699"/>
      <c r="M20" s="670"/>
      <c r="N20" s="340"/>
      <c r="O20" s="669"/>
      <c r="P20" s="340"/>
      <c r="Q20" s="670"/>
      <c r="R20" s="340"/>
      <c r="S20" s="156"/>
      <c r="T20" s="302"/>
      <c r="U20" s="698" t="s">
        <v>157</v>
      </c>
      <c r="V20" s="699"/>
      <c r="W20" s="670"/>
      <c r="X20" s="340"/>
      <c r="Y20" s="669"/>
      <c r="Z20" s="340"/>
      <c r="AA20" s="670"/>
      <c r="AB20" s="340"/>
      <c r="AD20" s="300"/>
      <c r="AE20" s="698" t="s">
        <v>157</v>
      </c>
      <c r="AF20" s="699"/>
      <c r="AG20" s="670"/>
      <c r="AH20" s="340"/>
      <c r="AI20" s="669"/>
      <c r="AJ20" s="340"/>
      <c r="AK20" s="670"/>
      <c r="AL20" s="340"/>
      <c r="AN20" s="300"/>
      <c r="AO20" s="698" t="s">
        <v>157</v>
      </c>
      <c r="AP20" s="699"/>
      <c r="AQ20" s="670"/>
      <c r="AR20" s="340"/>
      <c r="AS20" s="669"/>
      <c r="AT20" s="340"/>
      <c r="AU20" s="670"/>
      <c r="AV20" s="340"/>
      <c r="AX20" s="300"/>
      <c r="AY20" s="698" t="s">
        <v>157</v>
      </c>
      <c r="AZ20" s="699"/>
      <c r="BA20" s="670"/>
      <c r="BB20" s="340"/>
      <c r="BC20" s="669"/>
      <c r="BD20" s="340"/>
      <c r="BE20" s="670"/>
      <c r="BF20" s="340"/>
      <c r="BH20" s="300"/>
      <c r="BI20" s="698" t="s">
        <v>157</v>
      </c>
      <c r="BJ20" s="699"/>
      <c r="BK20" s="670"/>
      <c r="BL20" s="340"/>
      <c r="BM20" s="669"/>
      <c r="BN20" s="340"/>
      <c r="BO20" s="670"/>
      <c r="BP20" s="340"/>
    </row>
    <row r="21" spans="2:68" ht="15.75">
      <c r="B21" s="278">
        <v>42692</v>
      </c>
      <c r="G21" s="150">
        <f t="shared" si="0"/>
        <v>0</v>
      </c>
      <c r="H21" s="150">
        <f t="shared" si="1"/>
        <v>0</v>
      </c>
      <c r="K21" s="379"/>
      <c r="L21" s="349">
        <f>R17*13</f>
        <v>0</v>
      </c>
      <c r="M21" s="429"/>
      <c r="N21" s="340"/>
      <c r="O21" s="351"/>
      <c r="P21" s="340"/>
      <c r="Q21" s="430"/>
      <c r="R21" s="340"/>
      <c r="S21" s="156"/>
      <c r="T21" s="302"/>
      <c r="U21" s="379"/>
      <c r="V21" s="349">
        <f>AB17*13</f>
        <v>0</v>
      </c>
      <c r="W21" s="429"/>
      <c r="X21" s="340"/>
      <c r="Y21" s="351"/>
      <c r="Z21" s="340"/>
      <c r="AA21" s="430"/>
      <c r="AB21" s="340"/>
      <c r="AD21" s="300"/>
      <c r="AE21" s="379"/>
      <c r="AF21" s="349">
        <f>AL17*13</f>
        <v>0</v>
      </c>
      <c r="AG21" s="429"/>
      <c r="AH21" s="340"/>
      <c r="AI21" s="351"/>
      <c r="AJ21" s="340"/>
      <c r="AK21" s="430"/>
      <c r="AL21" s="340"/>
      <c r="AN21" s="300"/>
      <c r="AO21" s="379"/>
      <c r="AP21" s="349">
        <f>AV17*13</f>
        <v>0</v>
      </c>
      <c r="AQ21" s="429"/>
      <c r="AR21" s="340"/>
      <c r="AS21" s="351"/>
      <c r="AT21" s="340"/>
      <c r="AU21" s="430"/>
      <c r="AV21" s="340"/>
      <c r="AX21" s="300"/>
      <c r="AY21" s="379"/>
      <c r="AZ21" s="349">
        <f>BF17*13</f>
        <v>0</v>
      </c>
      <c r="BA21" s="429"/>
      <c r="BB21" s="340"/>
      <c r="BC21" s="351"/>
      <c r="BD21" s="340"/>
      <c r="BE21" s="430"/>
      <c r="BF21" s="340"/>
      <c r="BH21" s="300"/>
      <c r="BI21" s="379"/>
      <c r="BJ21" s="349">
        <f>BP17*13</f>
        <v>0</v>
      </c>
      <c r="BK21" s="429"/>
      <c r="BL21" s="340"/>
      <c r="BM21" s="351"/>
      <c r="BN21" s="340"/>
      <c r="BO21" s="430"/>
      <c r="BP21" s="340"/>
    </row>
    <row r="22" spans="2:68" ht="18.75">
      <c r="B22" s="278">
        <v>42693</v>
      </c>
      <c r="G22" s="150">
        <f t="shared" si="0"/>
        <v>0</v>
      </c>
      <c r="H22" s="150">
        <f t="shared" si="1"/>
        <v>0</v>
      </c>
      <c r="K22" s="339"/>
      <c r="L22" s="380"/>
      <c r="M22" s="286" t="s">
        <v>97</v>
      </c>
      <c r="N22" s="287" t="e">
        <f>N19/((N17*EFFICIENCY!$H$28))</f>
        <v>#DIV/0!</v>
      </c>
      <c r="O22" s="286" t="s">
        <v>97</v>
      </c>
      <c r="P22" s="287" t="e">
        <f>P19/(P17*EFFICIENCY!$H$28)</f>
        <v>#DIV/0!</v>
      </c>
      <c r="Q22" s="286" t="s">
        <v>97</v>
      </c>
      <c r="R22" s="287" t="e">
        <f>R19/(R17*EFFICIENCY!$H$28)</f>
        <v>#DIV/0!</v>
      </c>
      <c r="S22" s="295"/>
      <c r="T22" s="302"/>
      <c r="U22" s="339"/>
      <c r="V22" s="380"/>
      <c r="W22" s="286" t="s">
        <v>97</v>
      </c>
      <c r="X22" s="287" t="e">
        <f>X19/((X17*EFFICIENCY!$H$28))</f>
        <v>#DIV/0!</v>
      </c>
      <c r="Y22" s="286" t="s">
        <v>97</v>
      </c>
      <c r="Z22" s="287" t="e">
        <f>Z19/(Z17*EFFICIENCY!$H$28)</f>
        <v>#DIV/0!</v>
      </c>
      <c r="AA22" s="286" t="s">
        <v>97</v>
      </c>
      <c r="AB22" s="287" t="e">
        <f>AB19/(AB17*EFFICIENCY!$H$28)</f>
        <v>#DIV/0!</v>
      </c>
      <c r="AD22" s="300"/>
      <c r="AE22" s="339"/>
      <c r="AF22" s="380"/>
      <c r="AG22" s="286" t="s">
        <v>97</v>
      </c>
      <c r="AH22" s="287" t="e">
        <f>AH19/((AH17*EFFICIENCY!$H$28))</f>
        <v>#DIV/0!</v>
      </c>
      <c r="AI22" s="286" t="s">
        <v>97</v>
      </c>
      <c r="AJ22" s="287" t="e">
        <f>AJ19/(AJ17*EFFICIENCY!$H$28)</f>
        <v>#DIV/0!</v>
      </c>
      <c r="AK22" s="286" t="s">
        <v>97</v>
      </c>
      <c r="AL22" s="287" t="e">
        <f>AL19/(AL17*EFFICIENCY!$H$28)</f>
        <v>#DIV/0!</v>
      </c>
      <c r="AN22" s="300"/>
      <c r="AO22" s="339"/>
      <c r="AP22" s="380"/>
      <c r="AQ22" s="286" t="s">
        <v>97</v>
      </c>
      <c r="AR22" s="287" t="e">
        <f>AR19/((AR17*EFFICIENCY!$H$28))</f>
        <v>#DIV/0!</v>
      </c>
      <c r="AS22" s="286" t="s">
        <v>97</v>
      </c>
      <c r="AT22" s="287" t="e">
        <f>AT19/(AT17*EFFICIENCY!$H$28)</f>
        <v>#DIV/0!</v>
      </c>
      <c r="AU22" s="286" t="s">
        <v>97</v>
      </c>
      <c r="AV22" s="287" t="e">
        <f>AV19/(AV17*EFFICIENCY!$H$28)</f>
        <v>#DIV/0!</v>
      </c>
      <c r="AX22" s="300"/>
      <c r="AY22" s="339"/>
      <c r="AZ22" s="380"/>
      <c r="BA22" s="286" t="s">
        <v>97</v>
      </c>
      <c r="BB22" s="287" t="e">
        <f>BB19/((BB17*EFFICIENCY!$H$28))</f>
        <v>#DIV/0!</v>
      </c>
      <c r="BC22" s="286" t="s">
        <v>97</v>
      </c>
      <c r="BD22" s="287" t="e">
        <f>BD19/(BD17*EFFICIENCY!$H$28)</f>
        <v>#DIV/0!</v>
      </c>
      <c r="BE22" s="286" t="s">
        <v>97</v>
      </c>
      <c r="BF22" s="287" t="e">
        <f>BF19/(BF17*EFFICIENCY!$H$28)</f>
        <v>#DIV/0!</v>
      </c>
      <c r="BH22" s="300"/>
      <c r="BI22" s="339"/>
      <c r="BJ22" s="380"/>
      <c r="BK22" s="286" t="s">
        <v>97</v>
      </c>
      <c r="BL22" s="287" t="e">
        <f>BL19/((BL17*EFFICIENCY!$H$28))</f>
        <v>#DIV/0!</v>
      </c>
      <c r="BM22" s="286" t="s">
        <v>97</v>
      </c>
      <c r="BN22" s="287" t="e">
        <f>BN19/(BN17*EFFICIENCY!$H$28)</f>
        <v>#DIV/0!</v>
      </c>
      <c r="BO22" s="286" t="s">
        <v>97</v>
      </c>
      <c r="BP22" s="287" t="e">
        <f>BP19/(BP17*EFFICIENCY!$H$28)</f>
        <v>#DIV/0!</v>
      </c>
    </row>
    <row r="23" spans="2:68" ht="18.75">
      <c r="B23" s="278">
        <v>42694</v>
      </c>
      <c r="G23" s="150">
        <f t="shared" si="0"/>
        <v>0</v>
      </c>
      <c r="H23" s="150">
        <f t="shared" si="1"/>
        <v>0</v>
      </c>
      <c r="K23" s="339"/>
      <c r="L23" s="338"/>
      <c r="M23" s="280" t="s">
        <v>96</v>
      </c>
      <c r="N23" s="281" t="e">
        <f>N19/(N17*EFFICIENCY!$I$28)</f>
        <v>#DIV/0!</v>
      </c>
      <c r="O23" s="280" t="s">
        <v>96</v>
      </c>
      <c r="P23" s="281" t="e">
        <f>P19/(P17*EFFICIENCY!$I$28)</f>
        <v>#DIV/0!</v>
      </c>
      <c r="Q23" s="280" t="s">
        <v>96</v>
      </c>
      <c r="R23" s="281" t="e">
        <f>R19/(R17*EFFICIENCY!$I$28)</f>
        <v>#DIV/0!</v>
      </c>
      <c r="S23" s="296"/>
      <c r="T23" s="302"/>
      <c r="U23" s="339"/>
      <c r="V23" s="338"/>
      <c r="W23" s="280" t="s">
        <v>96</v>
      </c>
      <c r="X23" s="281" t="e">
        <f>X19/(X17*EFFICIENCY!$I$28)</f>
        <v>#DIV/0!</v>
      </c>
      <c r="Y23" s="280" t="s">
        <v>96</v>
      </c>
      <c r="Z23" s="281" t="e">
        <f>Z19/(Z17*EFFICIENCY!$I$28)</f>
        <v>#DIV/0!</v>
      </c>
      <c r="AA23" s="280" t="s">
        <v>96</v>
      </c>
      <c r="AB23" s="281" t="e">
        <f>AB19/(AB17*EFFICIENCY!$I$28)</f>
        <v>#DIV/0!</v>
      </c>
      <c r="AD23" s="300"/>
      <c r="AE23" s="339"/>
      <c r="AF23" s="338"/>
      <c r="AG23" s="280" t="s">
        <v>96</v>
      </c>
      <c r="AH23" s="281" t="e">
        <f>AH19/(AH17*EFFICIENCY!$I$28)</f>
        <v>#DIV/0!</v>
      </c>
      <c r="AI23" s="280" t="s">
        <v>96</v>
      </c>
      <c r="AJ23" s="281" t="e">
        <f>AJ19/(AJ17*EFFICIENCY!$I$28)</f>
        <v>#DIV/0!</v>
      </c>
      <c r="AK23" s="280" t="s">
        <v>96</v>
      </c>
      <c r="AL23" s="281" t="e">
        <f>AL19/(AL17*EFFICIENCY!$I$28)</f>
        <v>#DIV/0!</v>
      </c>
      <c r="AN23" s="300"/>
      <c r="AO23" s="339"/>
      <c r="AP23" s="338"/>
      <c r="AQ23" s="280" t="s">
        <v>96</v>
      </c>
      <c r="AR23" s="281" t="e">
        <f>AR19/(AR17*EFFICIENCY!$I$28)</f>
        <v>#DIV/0!</v>
      </c>
      <c r="AS23" s="280" t="s">
        <v>96</v>
      </c>
      <c r="AT23" s="281" t="e">
        <f>AT19/(AT17*EFFICIENCY!$I$28)</f>
        <v>#DIV/0!</v>
      </c>
      <c r="AU23" s="280" t="s">
        <v>96</v>
      </c>
      <c r="AV23" s="281" t="e">
        <f>AV19/(AV17*EFFICIENCY!$I$28)</f>
        <v>#DIV/0!</v>
      </c>
      <c r="AX23" s="300"/>
      <c r="AY23" s="339"/>
      <c r="AZ23" s="338"/>
      <c r="BA23" s="280" t="s">
        <v>96</v>
      </c>
      <c r="BB23" s="281" t="e">
        <f>BB19/(BB17*EFFICIENCY!$I$28)</f>
        <v>#DIV/0!</v>
      </c>
      <c r="BC23" s="280" t="s">
        <v>96</v>
      </c>
      <c r="BD23" s="281" t="e">
        <f>BD19/(BD17*EFFICIENCY!$I$28)</f>
        <v>#DIV/0!</v>
      </c>
      <c r="BE23" s="280" t="s">
        <v>96</v>
      </c>
      <c r="BF23" s="281" t="e">
        <f>BF19/(BF17*EFFICIENCY!$I$28)</f>
        <v>#DIV/0!</v>
      </c>
      <c r="BH23" s="300"/>
      <c r="BI23" s="339"/>
      <c r="BJ23" s="338"/>
      <c r="BK23" s="280" t="s">
        <v>96</v>
      </c>
      <c r="BL23" s="281" t="e">
        <f>BL19/(BL17*EFFICIENCY!$I$28)</f>
        <v>#DIV/0!</v>
      </c>
      <c r="BM23" s="280" t="s">
        <v>96</v>
      </c>
      <c r="BN23" s="281" t="e">
        <f>BN19/(BN17*EFFICIENCY!$I$28)</f>
        <v>#DIV/0!</v>
      </c>
      <c r="BO23" s="280" t="s">
        <v>96</v>
      </c>
      <c r="BP23" s="281" t="e">
        <f>BP19/(BP17*EFFICIENCY!$I$28)</f>
        <v>#DIV/0!</v>
      </c>
    </row>
    <row r="24" spans="2:68" ht="19.5" customHeight="1" thickBot="1">
      <c r="B24" s="278">
        <v>42695</v>
      </c>
      <c r="G24" s="150">
        <f t="shared" si="0"/>
        <v>0</v>
      </c>
      <c r="H24" s="150">
        <f t="shared" si="1"/>
        <v>0</v>
      </c>
      <c r="K24" s="694" t="s">
        <v>156</v>
      </c>
      <c r="L24" s="695"/>
      <c r="M24" s="284" t="s">
        <v>94</v>
      </c>
      <c r="N24" s="285" t="e">
        <f>N19/((N17*EFFICIENCY!$K$28))</f>
        <v>#DIV/0!</v>
      </c>
      <c r="O24" s="288" t="s">
        <v>94</v>
      </c>
      <c r="P24" s="285" t="e">
        <f>P19/((P17*EFFICIENCY!$K$28))</f>
        <v>#DIV/0!</v>
      </c>
      <c r="Q24" s="284" t="s">
        <v>94</v>
      </c>
      <c r="R24" s="285" t="e">
        <f>R19/((R17*EFFICIENCY!$K$28))</f>
        <v>#DIV/0!</v>
      </c>
      <c r="S24" s="297"/>
      <c r="T24" s="302"/>
      <c r="U24" s="694" t="s">
        <v>156</v>
      </c>
      <c r="V24" s="695"/>
      <c r="W24" s="284" t="s">
        <v>94</v>
      </c>
      <c r="X24" s="285" t="e">
        <f>X19/((X17*EFFICIENCY!$K$28))</f>
        <v>#DIV/0!</v>
      </c>
      <c r="Y24" s="288" t="s">
        <v>94</v>
      </c>
      <c r="Z24" s="285" t="e">
        <f>Z19/((Z17*EFFICIENCY!$K$28))</f>
        <v>#DIV/0!</v>
      </c>
      <c r="AA24" s="284" t="s">
        <v>94</v>
      </c>
      <c r="AB24" s="285" t="e">
        <f>AB19/((AB17*EFFICIENCY!$K$28))</f>
        <v>#DIV/0!</v>
      </c>
      <c r="AD24" s="300"/>
      <c r="AE24" s="694" t="s">
        <v>156</v>
      </c>
      <c r="AF24" s="695"/>
      <c r="AG24" s="284" t="s">
        <v>94</v>
      </c>
      <c r="AH24" s="285" t="e">
        <f>AH19/((AH17*EFFICIENCY!$K$28))</f>
        <v>#DIV/0!</v>
      </c>
      <c r="AI24" s="288" t="s">
        <v>94</v>
      </c>
      <c r="AJ24" s="285" t="e">
        <f>AJ19/((AJ17*EFFICIENCY!$K$28))</f>
        <v>#DIV/0!</v>
      </c>
      <c r="AK24" s="284" t="s">
        <v>94</v>
      </c>
      <c r="AL24" s="285" t="e">
        <f>AL19/((AL17*EFFICIENCY!$K$28))</f>
        <v>#DIV/0!</v>
      </c>
      <c r="AN24" s="300"/>
      <c r="AO24" s="694" t="s">
        <v>156</v>
      </c>
      <c r="AP24" s="695"/>
      <c r="AQ24" s="284" t="s">
        <v>94</v>
      </c>
      <c r="AR24" s="285" t="e">
        <f>AR19/((AR17*EFFICIENCY!$K$28))</f>
        <v>#DIV/0!</v>
      </c>
      <c r="AS24" s="288" t="s">
        <v>94</v>
      </c>
      <c r="AT24" s="285" t="e">
        <f>AT19/((AT17*EFFICIENCY!$K$28))</f>
        <v>#DIV/0!</v>
      </c>
      <c r="AU24" s="284" t="s">
        <v>94</v>
      </c>
      <c r="AV24" s="285" t="e">
        <f>AV19/((AV17*EFFICIENCY!$K$28))</f>
        <v>#DIV/0!</v>
      </c>
      <c r="AX24" s="300"/>
      <c r="AY24" s="694" t="s">
        <v>156</v>
      </c>
      <c r="AZ24" s="695"/>
      <c r="BA24" s="284" t="s">
        <v>94</v>
      </c>
      <c r="BB24" s="285" t="e">
        <f>BB19/((BB17*EFFICIENCY!$K$28))</f>
        <v>#DIV/0!</v>
      </c>
      <c r="BC24" s="288" t="s">
        <v>94</v>
      </c>
      <c r="BD24" s="285" t="e">
        <f>BD19/((BD17*EFFICIENCY!$K$28))</f>
        <v>#DIV/0!</v>
      </c>
      <c r="BE24" s="284" t="s">
        <v>94</v>
      </c>
      <c r="BF24" s="285" t="e">
        <f>BF19/((BF17*EFFICIENCY!$K$28))</f>
        <v>#DIV/0!</v>
      </c>
      <c r="BH24" s="300"/>
      <c r="BI24" s="694" t="s">
        <v>156</v>
      </c>
      <c r="BJ24" s="695"/>
      <c r="BK24" s="284" t="s">
        <v>94</v>
      </c>
      <c r="BL24" s="285" t="e">
        <f>BL19/((BL17*EFFICIENCY!$K$28))</f>
        <v>#DIV/0!</v>
      </c>
      <c r="BM24" s="288" t="s">
        <v>94</v>
      </c>
      <c r="BN24" s="285" t="e">
        <f>BN19/((BN17*EFFICIENCY!$K$28))</f>
        <v>#DIV/0!</v>
      </c>
      <c r="BO24" s="284" t="s">
        <v>94</v>
      </c>
      <c r="BP24" s="285" t="e">
        <f>BP19/((BP17*EFFICIENCY!$K$28))</f>
        <v>#DIV/0!</v>
      </c>
    </row>
    <row r="25" spans="2:68" ht="16.5" thickBot="1">
      <c r="B25" s="278">
        <v>42696</v>
      </c>
      <c r="G25" s="150">
        <f t="shared" si="0"/>
        <v>0</v>
      </c>
      <c r="H25" s="150">
        <f t="shared" si="1"/>
        <v>0</v>
      </c>
      <c r="K25" s="381"/>
      <c r="L25" s="382" t="e">
        <f>R19/R17</f>
        <v>#DIV/0!</v>
      </c>
      <c r="M25" s="661" t="s">
        <v>153</v>
      </c>
      <c r="N25" s="662"/>
      <c r="O25" s="290"/>
      <c r="P25" s="427"/>
      <c r="Q25" s="427" t="s">
        <v>154</v>
      </c>
      <c r="R25" s="354">
        <f>O25-R19</f>
        <v>0</v>
      </c>
      <c r="S25" s="298"/>
      <c r="T25" s="300"/>
      <c r="U25" s="381"/>
      <c r="V25" s="382" t="e">
        <f>AB19/AB17</f>
        <v>#DIV/0!</v>
      </c>
      <c r="W25" s="661" t="s">
        <v>153</v>
      </c>
      <c r="X25" s="662"/>
      <c r="Y25" s="290"/>
      <c r="Z25" s="427"/>
      <c r="AA25" s="427" t="s">
        <v>154</v>
      </c>
      <c r="AB25" s="354">
        <f>Y25-AB19</f>
        <v>0</v>
      </c>
      <c r="AD25" s="300"/>
      <c r="AE25" s="381"/>
      <c r="AF25" s="382" t="e">
        <f>AL19/AL17</f>
        <v>#DIV/0!</v>
      </c>
      <c r="AG25" s="661" t="s">
        <v>153</v>
      </c>
      <c r="AH25" s="662"/>
      <c r="AI25" s="290"/>
      <c r="AJ25" s="427"/>
      <c r="AK25" s="427" t="s">
        <v>154</v>
      </c>
      <c r="AL25" s="354">
        <f>AI25-AL19</f>
        <v>0</v>
      </c>
      <c r="AN25" s="300"/>
      <c r="AO25" s="381"/>
      <c r="AP25" s="382" t="e">
        <f>AV19/AV17</f>
        <v>#DIV/0!</v>
      </c>
      <c r="AQ25" s="661" t="s">
        <v>153</v>
      </c>
      <c r="AR25" s="662"/>
      <c r="AS25" s="290"/>
      <c r="AT25" s="427"/>
      <c r="AU25" s="427" t="s">
        <v>154</v>
      </c>
      <c r="AV25" s="354">
        <f>AS25-AV19</f>
        <v>0</v>
      </c>
      <c r="AX25" s="300"/>
      <c r="AY25" s="381"/>
      <c r="AZ25" s="382" t="e">
        <f>BF19/BF17</f>
        <v>#DIV/0!</v>
      </c>
      <c r="BA25" s="661" t="s">
        <v>153</v>
      </c>
      <c r="BB25" s="662"/>
      <c r="BC25" s="290"/>
      <c r="BD25" s="427"/>
      <c r="BE25" s="427" t="s">
        <v>154</v>
      </c>
      <c r="BF25" s="354">
        <f>BC25-BF19</f>
        <v>0</v>
      </c>
      <c r="BH25" s="300"/>
      <c r="BI25" s="381"/>
      <c r="BJ25" s="382" t="e">
        <f>BP19/BP17</f>
        <v>#DIV/0!</v>
      </c>
      <c r="BK25" s="661" t="s">
        <v>153</v>
      </c>
      <c r="BL25" s="662"/>
      <c r="BM25" s="290"/>
      <c r="BN25" s="427"/>
      <c r="BO25" s="427" t="s">
        <v>154</v>
      </c>
      <c r="BP25" s="354">
        <f>BM25-BP19</f>
        <v>0</v>
      </c>
    </row>
    <row r="26" spans="2:68">
      <c r="B26" s="278">
        <v>42697</v>
      </c>
      <c r="G26" s="150">
        <f t="shared" si="0"/>
        <v>0</v>
      </c>
      <c r="H26" s="150">
        <f t="shared" si="1"/>
        <v>0</v>
      </c>
      <c r="T26" s="300"/>
      <c r="AD26" s="300"/>
      <c r="AN26" s="300"/>
      <c r="AX26" s="300"/>
      <c r="BH26" s="300"/>
    </row>
    <row r="27" spans="2:68" ht="13.5" thickBot="1">
      <c r="B27" s="278">
        <v>42698</v>
      </c>
      <c r="G27" s="150">
        <f t="shared" si="0"/>
        <v>0</v>
      </c>
      <c r="H27" s="150">
        <f t="shared" si="1"/>
        <v>0</v>
      </c>
      <c r="J27" s="291"/>
      <c r="K27" s="291"/>
      <c r="L27" s="291"/>
      <c r="M27" s="291"/>
      <c r="N27" s="291"/>
      <c r="O27" s="291"/>
      <c r="P27" s="291"/>
      <c r="Q27" s="291"/>
      <c r="R27" s="291"/>
      <c r="S27" s="299"/>
      <c r="T27" s="301"/>
      <c r="U27" s="291"/>
      <c r="V27" s="291"/>
      <c r="W27" s="291"/>
      <c r="X27" s="291"/>
      <c r="Y27" s="291"/>
      <c r="Z27" s="291"/>
      <c r="AA27" s="291"/>
      <c r="AB27" s="291"/>
      <c r="AC27" s="291"/>
      <c r="AD27" s="301"/>
      <c r="AE27" s="291"/>
      <c r="AF27" s="291"/>
      <c r="AG27" s="291"/>
      <c r="AH27" s="291"/>
      <c r="AI27" s="291"/>
      <c r="AJ27" s="291"/>
      <c r="AK27" s="291"/>
      <c r="AL27" s="291"/>
      <c r="AM27" s="291"/>
      <c r="AN27" s="301"/>
      <c r="AO27" s="291"/>
      <c r="AP27" s="291"/>
      <c r="AQ27" s="291"/>
      <c r="AR27" s="291"/>
      <c r="AS27" s="291"/>
      <c r="AT27" s="291"/>
      <c r="AU27" s="291"/>
      <c r="AV27" s="291"/>
      <c r="AW27" s="291"/>
      <c r="AX27" s="301"/>
      <c r="AY27" s="291"/>
      <c r="AZ27" s="291"/>
      <c r="BA27" s="291"/>
      <c r="BB27" s="291"/>
      <c r="BC27" s="291"/>
      <c r="BD27" s="291"/>
      <c r="BE27" s="291"/>
      <c r="BF27" s="291"/>
      <c r="BG27" s="291"/>
      <c r="BH27" s="301"/>
      <c r="BI27" s="291"/>
      <c r="BJ27" s="291"/>
      <c r="BK27" s="291"/>
      <c r="BL27" s="291"/>
      <c r="BM27" s="291"/>
      <c r="BN27" s="291"/>
      <c r="BO27" s="291"/>
      <c r="BP27" s="291"/>
    </row>
    <row r="28" spans="2:68" ht="15.75" thickBot="1">
      <c r="B28" s="278">
        <v>42699</v>
      </c>
      <c r="G28" s="150">
        <f t="shared" si="0"/>
        <v>0</v>
      </c>
      <c r="H28" s="150">
        <f t="shared" si="1"/>
        <v>0</v>
      </c>
      <c r="J28" s="154"/>
      <c r="K28" s="383" t="s">
        <v>7</v>
      </c>
      <c r="L28" s="534">
        <f>B17</f>
        <v>42688</v>
      </c>
      <c r="M28" s="680" t="s">
        <v>100</v>
      </c>
      <c r="N28" s="681"/>
      <c r="O28" s="682" t="s">
        <v>99</v>
      </c>
      <c r="P28" s="683"/>
      <c r="Q28" s="684" t="s">
        <v>16</v>
      </c>
      <c r="R28" s="685"/>
      <c r="S28" s="293"/>
      <c r="T28" s="300"/>
      <c r="U28" s="383" t="s">
        <v>7</v>
      </c>
      <c r="V28" s="534">
        <f>B18</f>
        <v>42689</v>
      </c>
      <c r="W28" s="680" t="s">
        <v>100</v>
      </c>
      <c r="X28" s="681"/>
      <c r="Y28" s="682" t="s">
        <v>99</v>
      </c>
      <c r="Z28" s="683"/>
      <c r="AA28" s="684" t="s">
        <v>16</v>
      </c>
      <c r="AB28" s="685"/>
      <c r="AC28" s="154"/>
      <c r="AD28" s="300"/>
      <c r="AE28" s="383" t="s">
        <v>7</v>
      </c>
      <c r="AF28" s="534">
        <f>B19</f>
        <v>42690</v>
      </c>
      <c r="AG28" s="680" t="s">
        <v>100</v>
      </c>
      <c r="AH28" s="681"/>
      <c r="AI28" s="682" t="s">
        <v>99</v>
      </c>
      <c r="AJ28" s="683"/>
      <c r="AK28" s="684" t="s">
        <v>16</v>
      </c>
      <c r="AL28" s="685"/>
      <c r="AM28" s="154"/>
      <c r="AN28" s="300"/>
      <c r="AO28" s="383" t="s">
        <v>7</v>
      </c>
      <c r="AP28" s="534">
        <f>B20</f>
        <v>42691</v>
      </c>
      <c r="AQ28" s="680" t="s">
        <v>100</v>
      </c>
      <c r="AR28" s="681"/>
      <c r="AS28" s="682" t="s">
        <v>99</v>
      </c>
      <c r="AT28" s="683"/>
      <c r="AU28" s="684" t="s">
        <v>16</v>
      </c>
      <c r="AV28" s="685"/>
      <c r="AW28" s="154"/>
      <c r="AX28" s="300"/>
      <c r="AY28" s="383" t="s">
        <v>7</v>
      </c>
      <c r="AZ28" s="534">
        <f>B21</f>
        <v>42692</v>
      </c>
      <c r="BA28" s="680" t="s">
        <v>100</v>
      </c>
      <c r="BB28" s="681"/>
      <c r="BC28" s="682" t="s">
        <v>99</v>
      </c>
      <c r="BD28" s="683"/>
      <c r="BE28" s="684" t="s">
        <v>16</v>
      </c>
      <c r="BF28" s="685"/>
      <c r="BG28" s="154"/>
      <c r="BH28" s="300"/>
      <c r="BI28" s="383" t="s">
        <v>7</v>
      </c>
      <c r="BJ28" s="534">
        <f>B22</f>
        <v>42693</v>
      </c>
      <c r="BK28" s="680" t="s">
        <v>100</v>
      </c>
      <c r="BL28" s="681"/>
      <c r="BM28" s="682" t="s">
        <v>99</v>
      </c>
      <c r="BN28" s="683"/>
      <c r="BO28" s="684" t="s">
        <v>16</v>
      </c>
      <c r="BP28" s="685"/>
    </row>
    <row r="29" spans="2:68" ht="13.5" thickBot="1">
      <c r="B29" s="278">
        <v>42700</v>
      </c>
      <c r="G29" s="150">
        <f t="shared" si="0"/>
        <v>0</v>
      </c>
      <c r="H29" s="150">
        <f t="shared" si="1"/>
        <v>0</v>
      </c>
      <c r="K29" s="304"/>
      <c r="L29" s="303"/>
      <c r="M29" s="304"/>
      <c r="N29" s="305"/>
      <c r="O29" s="304"/>
      <c r="P29" s="305"/>
      <c r="Q29" s="303"/>
      <c r="R29" s="305"/>
      <c r="S29" s="156"/>
      <c r="T29" s="300"/>
      <c r="U29" s="304"/>
      <c r="V29" s="303"/>
      <c r="W29" s="304"/>
      <c r="X29" s="305"/>
      <c r="Y29" s="304"/>
      <c r="Z29" s="305"/>
      <c r="AA29" s="303"/>
      <c r="AB29" s="305"/>
      <c r="AD29" s="300"/>
      <c r="AE29" s="304"/>
      <c r="AF29" s="303"/>
      <c r="AG29" s="304"/>
      <c r="AH29" s="305"/>
      <c r="AI29" s="304"/>
      <c r="AJ29" s="305"/>
      <c r="AK29" s="303"/>
      <c r="AL29" s="305"/>
      <c r="AN29" s="300"/>
      <c r="AO29" s="304"/>
      <c r="AP29" s="303"/>
      <c r="AQ29" s="304"/>
      <c r="AR29" s="305"/>
      <c r="AS29" s="304"/>
      <c r="AT29" s="305"/>
      <c r="AU29" s="303"/>
      <c r="AV29" s="305"/>
      <c r="AX29" s="300"/>
      <c r="AY29" s="304"/>
      <c r="AZ29" s="303"/>
      <c r="BA29" s="304"/>
      <c r="BB29" s="305"/>
      <c r="BC29" s="304"/>
      <c r="BD29" s="305"/>
      <c r="BE29" s="303"/>
      <c r="BF29" s="305"/>
      <c r="BH29" s="300"/>
      <c r="BI29" s="304"/>
      <c r="BJ29" s="303"/>
      <c r="BK29" s="304"/>
      <c r="BL29" s="305"/>
      <c r="BM29" s="304"/>
      <c r="BN29" s="305"/>
      <c r="BO29" s="303"/>
      <c r="BP29" s="305"/>
    </row>
    <row r="30" spans="2:68" ht="16.5" thickBot="1">
      <c r="B30" s="278">
        <v>42701</v>
      </c>
      <c r="G30" s="150">
        <f t="shared" si="0"/>
        <v>0</v>
      </c>
      <c r="H30" s="150">
        <f t="shared" si="1"/>
        <v>0</v>
      </c>
      <c r="K30" s="304"/>
      <c r="L30" s="428" t="s">
        <v>155</v>
      </c>
      <c r="M30" s="307" t="s">
        <v>103</v>
      </c>
      <c r="N30" s="279"/>
      <c r="O30" s="307" t="s">
        <v>103</v>
      </c>
      <c r="P30" s="279"/>
      <c r="Q30" s="308" t="s">
        <v>103</v>
      </c>
      <c r="R30" s="309">
        <f>SUM(N30,P30)</f>
        <v>0</v>
      </c>
      <c r="S30" s="294"/>
      <c r="T30" s="300"/>
      <c r="U30" s="304"/>
      <c r="V30" s="428" t="s">
        <v>155</v>
      </c>
      <c r="W30" s="307" t="s">
        <v>103</v>
      </c>
      <c r="X30" s="279"/>
      <c r="Y30" s="307" t="s">
        <v>103</v>
      </c>
      <c r="Z30" s="279"/>
      <c r="AA30" s="308" t="s">
        <v>103</v>
      </c>
      <c r="AB30" s="309">
        <f>SUM(X30,Z30)</f>
        <v>0</v>
      </c>
      <c r="AD30" s="300"/>
      <c r="AE30" s="304"/>
      <c r="AF30" s="428" t="s">
        <v>155</v>
      </c>
      <c r="AG30" s="307" t="s">
        <v>103</v>
      </c>
      <c r="AH30" s="279"/>
      <c r="AI30" s="307" t="s">
        <v>103</v>
      </c>
      <c r="AJ30" s="279"/>
      <c r="AK30" s="308" t="s">
        <v>103</v>
      </c>
      <c r="AL30" s="309">
        <f>SUM(AH30,AJ30)</f>
        <v>0</v>
      </c>
      <c r="AN30" s="300"/>
      <c r="AO30" s="304"/>
      <c r="AP30" s="428" t="s">
        <v>155</v>
      </c>
      <c r="AQ30" s="307" t="s">
        <v>103</v>
      </c>
      <c r="AR30" s="279"/>
      <c r="AS30" s="307" t="s">
        <v>103</v>
      </c>
      <c r="AT30" s="279"/>
      <c r="AU30" s="308" t="s">
        <v>103</v>
      </c>
      <c r="AV30" s="309">
        <f>SUM(AR30,AT30)</f>
        <v>0</v>
      </c>
      <c r="AX30" s="300"/>
      <c r="AY30" s="304"/>
      <c r="AZ30" s="428" t="s">
        <v>155</v>
      </c>
      <c r="BA30" s="307" t="s">
        <v>103</v>
      </c>
      <c r="BB30" s="279"/>
      <c r="BC30" s="307" t="s">
        <v>103</v>
      </c>
      <c r="BD30" s="279"/>
      <c r="BE30" s="308" t="s">
        <v>103</v>
      </c>
      <c r="BF30" s="309">
        <f>SUM(BB30,BD30)</f>
        <v>0</v>
      </c>
      <c r="BH30" s="300"/>
      <c r="BI30" s="304"/>
      <c r="BJ30" s="428" t="s">
        <v>155</v>
      </c>
      <c r="BK30" s="307" t="s">
        <v>103</v>
      </c>
      <c r="BL30" s="279"/>
      <c r="BM30" s="307" t="s">
        <v>103</v>
      </c>
      <c r="BN30" s="279"/>
      <c r="BO30" s="308" t="s">
        <v>103</v>
      </c>
      <c r="BP30" s="309">
        <f>SUM(BL30,BN30)</f>
        <v>0</v>
      </c>
    </row>
    <row r="31" spans="2:68" ht="18.75" thickBot="1">
      <c r="B31" s="278">
        <v>42702</v>
      </c>
      <c r="G31" s="150">
        <f t="shared" si="0"/>
        <v>0</v>
      </c>
      <c r="H31" s="150">
        <f t="shared" si="1"/>
        <v>0</v>
      </c>
      <c r="K31" s="304"/>
      <c r="L31" s="289">
        <v>8</v>
      </c>
      <c r="M31" s="310" t="s">
        <v>5</v>
      </c>
      <c r="N31" s="311">
        <f>VLOOKUP(L28, $B$3:$E$109, 4, FALSE)</f>
        <v>0</v>
      </c>
      <c r="O31" s="310" t="s">
        <v>5</v>
      </c>
      <c r="P31" s="312">
        <f>VLOOKUP(L28, $B$3:$F$109, 5, FALSE)</f>
        <v>0</v>
      </c>
      <c r="Q31" s="313" t="s">
        <v>5</v>
      </c>
      <c r="R31" s="309">
        <f>SUM(N31,P31)</f>
        <v>0</v>
      </c>
      <c r="S31" s="294"/>
      <c r="T31" s="300"/>
      <c r="U31" s="304"/>
      <c r="V31" s="289">
        <v>8</v>
      </c>
      <c r="W31" s="310" t="s">
        <v>5</v>
      </c>
      <c r="X31" s="311">
        <f>VLOOKUP(V28, $B$3:$E$109, 4, FALSE)</f>
        <v>0</v>
      </c>
      <c r="Y31" s="310" t="s">
        <v>5</v>
      </c>
      <c r="Z31" s="312">
        <f>VLOOKUP(V28, $B$3:$F$109, 5, FALSE)</f>
        <v>0</v>
      </c>
      <c r="AA31" s="313" t="s">
        <v>5</v>
      </c>
      <c r="AB31" s="309">
        <f>SUM(X31,Z31)</f>
        <v>0</v>
      </c>
      <c r="AD31" s="300"/>
      <c r="AE31" s="304"/>
      <c r="AF31" s="289">
        <v>8</v>
      </c>
      <c r="AG31" s="310" t="s">
        <v>5</v>
      </c>
      <c r="AH31" s="311">
        <f>VLOOKUP(AF28, $B$3:$E$109, 4, FALSE)</f>
        <v>0</v>
      </c>
      <c r="AI31" s="310" t="s">
        <v>5</v>
      </c>
      <c r="AJ31" s="312">
        <f>VLOOKUP(AF28, $B$3:$F$109, 5, FALSE)</f>
        <v>0</v>
      </c>
      <c r="AK31" s="313" t="s">
        <v>5</v>
      </c>
      <c r="AL31" s="309">
        <f>SUM(AH31,AJ31)</f>
        <v>0</v>
      </c>
      <c r="AN31" s="300"/>
      <c r="AO31" s="304"/>
      <c r="AP31" s="289">
        <v>8</v>
      </c>
      <c r="AQ31" s="310" t="s">
        <v>5</v>
      </c>
      <c r="AR31" s="311">
        <f>VLOOKUP(AP28, $B$3:$E$109, 4, FALSE)</f>
        <v>0</v>
      </c>
      <c r="AS31" s="310" t="s">
        <v>5</v>
      </c>
      <c r="AT31" s="312">
        <f>VLOOKUP(AP28, $B$3:$F$109, 5, FALSE)</f>
        <v>0</v>
      </c>
      <c r="AU31" s="313" t="s">
        <v>5</v>
      </c>
      <c r="AV31" s="309">
        <f>SUM(AR31,AT31)</f>
        <v>0</v>
      </c>
      <c r="AX31" s="300"/>
      <c r="AY31" s="304"/>
      <c r="AZ31" s="289">
        <v>8</v>
      </c>
      <c r="BA31" s="310" t="s">
        <v>5</v>
      </c>
      <c r="BB31" s="311">
        <f>VLOOKUP(AZ28, $B$3:$E$109, 4, FALSE)</f>
        <v>0</v>
      </c>
      <c r="BC31" s="310" t="s">
        <v>5</v>
      </c>
      <c r="BD31" s="312">
        <f>VLOOKUP(AZ28, $B$3:$F$109, 5, FALSE)</f>
        <v>0</v>
      </c>
      <c r="BE31" s="313" t="s">
        <v>5</v>
      </c>
      <c r="BF31" s="309">
        <f>SUM(BB31,BD31)</f>
        <v>0</v>
      </c>
      <c r="BH31" s="300"/>
      <c r="BI31" s="304"/>
      <c r="BJ31" s="289">
        <v>8</v>
      </c>
      <c r="BK31" s="310" t="s">
        <v>5</v>
      </c>
      <c r="BL31" s="311">
        <f>VLOOKUP(BJ28, $B$3:$E$109, 4, FALSE)</f>
        <v>0</v>
      </c>
      <c r="BM31" s="310" t="s">
        <v>5</v>
      </c>
      <c r="BN31" s="312">
        <f>VLOOKUP(BJ28, $B$3:$F$109, 5, FALSE)</f>
        <v>0</v>
      </c>
      <c r="BO31" s="313" t="s">
        <v>5</v>
      </c>
      <c r="BP31" s="309">
        <f>SUM(BL31,BN31)</f>
        <v>0</v>
      </c>
    </row>
    <row r="32" spans="2:68" ht="15.75" customHeight="1">
      <c r="B32" s="278">
        <v>42703</v>
      </c>
      <c r="G32" s="150">
        <f t="shared" si="0"/>
        <v>0</v>
      </c>
      <c r="H32" s="150">
        <f t="shared" si="1"/>
        <v>0</v>
      </c>
      <c r="K32" s="304"/>
      <c r="L32" s="303"/>
      <c r="M32" s="659" t="s">
        <v>105</v>
      </c>
      <c r="N32" s="311">
        <f>VLOOKUP(L28, $B$3:$E$109, 2, FALSE)</f>
        <v>0</v>
      </c>
      <c r="O32" s="659" t="s">
        <v>105</v>
      </c>
      <c r="P32" s="312">
        <f>VLOOKUP(L28, $B$3:$E$109, 3, FALSE)</f>
        <v>0</v>
      </c>
      <c r="Q32" s="660" t="s">
        <v>105</v>
      </c>
      <c r="R32" s="309">
        <f>SUM(N32,P32)</f>
        <v>0</v>
      </c>
      <c r="S32" s="294"/>
      <c r="T32" s="300"/>
      <c r="U32" s="304"/>
      <c r="V32" s="303"/>
      <c r="W32" s="659" t="s">
        <v>105</v>
      </c>
      <c r="X32" s="311">
        <f>VLOOKUP(V28, $B$3:$E$109, 2, FALSE)</f>
        <v>0</v>
      </c>
      <c r="Y32" s="659" t="s">
        <v>105</v>
      </c>
      <c r="Z32" s="312">
        <f>VLOOKUP(V28, $B$3:$E$109, 3, FALSE)</f>
        <v>0</v>
      </c>
      <c r="AA32" s="660" t="s">
        <v>105</v>
      </c>
      <c r="AB32" s="309">
        <f>SUM(X32,Z32)</f>
        <v>0</v>
      </c>
      <c r="AD32" s="300"/>
      <c r="AE32" s="304"/>
      <c r="AF32" s="303"/>
      <c r="AG32" s="659" t="s">
        <v>105</v>
      </c>
      <c r="AH32" s="311">
        <f>VLOOKUP(AF28, $B$3:$E$109, 2, FALSE)</f>
        <v>0</v>
      </c>
      <c r="AI32" s="659" t="s">
        <v>105</v>
      </c>
      <c r="AJ32" s="312">
        <f>VLOOKUP(AF28, $B$3:$E$109, 3, FALSE)</f>
        <v>0</v>
      </c>
      <c r="AK32" s="660" t="s">
        <v>105</v>
      </c>
      <c r="AL32" s="309">
        <f>SUM(AH32,AJ32)</f>
        <v>0</v>
      </c>
      <c r="AN32" s="300"/>
      <c r="AO32" s="304"/>
      <c r="AP32" s="303"/>
      <c r="AQ32" s="659" t="s">
        <v>105</v>
      </c>
      <c r="AR32" s="311">
        <f>VLOOKUP(AP28, $B$3:$E$109, 2, FALSE)</f>
        <v>0</v>
      </c>
      <c r="AS32" s="659" t="s">
        <v>105</v>
      </c>
      <c r="AT32" s="312">
        <f>VLOOKUP(AP28, $B$3:$E$109, 3, FALSE)</f>
        <v>0</v>
      </c>
      <c r="AU32" s="660" t="s">
        <v>105</v>
      </c>
      <c r="AV32" s="309">
        <f>SUM(AR32,AT32)</f>
        <v>0</v>
      </c>
      <c r="AX32" s="300"/>
      <c r="AY32" s="304"/>
      <c r="AZ32" s="303"/>
      <c r="BA32" s="659" t="s">
        <v>105</v>
      </c>
      <c r="BB32" s="311">
        <f>VLOOKUP(AZ28, $B$3:$E$109, 2, FALSE)</f>
        <v>0</v>
      </c>
      <c r="BC32" s="659" t="s">
        <v>105</v>
      </c>
      <c r="BD32" s="312">
        <f>VLOOKUP(AZ28, $B$3:$E$109, 3, FALSE)</f>
        <v>0</v>
      </c>
      <c r="BE32" s="660" t="s">
        <v>105</v>
      </c>
      <c r="BF32" s="309">
        <f>SUM(BB32,BD32)</f>
        <v>0</v>
      </c>
      <c r="BH32" s="300"/>
      <c r="BI32" s="304"/>
      <c r="BJ32" s="303"/>
      <c r="BK32" s="659" t="s">
        <v>105</v>
      </c>
      <c r="BL32" s="311">
        <f>VLOOKUP(BJ28, $B$3:$E$109, 2, FALSE)</f>
        <v>0</v>
      </c>
      <c r="BM32" s="659" t="s">
        <v>105</v>
      </c>
      <c r="BN32" s="312">
        <f>VLOOKUP(BJ28, $B$3:$E$109, 3, FALSE)</f>
        <v>0</v>
      </c>
      <c r="BO32" s="660" t="s">
        <v>105</v>
      </c>
      <c r="BP32" s="309">
        <f>SUM(BL32,BN32)</f>
        <v>0</v>
      </c>
    </row>
    <row r="33" spans="2:68" ht="12.75" customHeight="1">
      <c r="B33" s="278">
        <v>42704</v>
      </c>
      <c r="G33" s="150">
        <f>C33+D33</f>
        <v>0</v>
      </c>
      <c r="H33" s="150">
        <f>E33+F33</f>
        <v>0</v>
      </c>
      <c r="K33" s="700" t="s">
        <v>157</v>
      </c>
      <c r="L33" s="701"/>
      <c r="M33" s="660"/>
      <c r="N33" s="305"/>
      <c r="O33" s="659"/>
      <c r="P33" s="305"/>
      <c r="Q33" s="660"/>
      <c r="R33" s="305"/>
      <c r="S33" s="156"/>
      <c r="T33" s="300"/>
      <c r="U33" s="700" t="s">
        <v>157</v>
      </c>
      <c r="V33" s="701"/>
      <c r="W33" s="660"/>
      <c r="X33" s="305"/>
      <c r="Y33" s="659"/>
      <c r="Z33" s="305"/>
      <c r="AA33" s="660"/>
      <c r="AB33" s="305"/>
      <c r="AD33" s="300"/>
      <c r="AE33" s="700" t="s">
        <v>157</v>
      </c>
      <c r="AF33" s="701"/>
      <c r="AG33" s="660"/>
      <c r="AH33" s="305"/>
      <c r="AI33" s="659"/>
      <c r="AJ33" s="305"/>
      <c r="AK33" s="660"/>
      <c r="AL33" s="305"/>
      <c r="AN33" s="300"/>
      <c r="AO33" s="700" t="s">
        <v>157</v>
      </c>
      <c r="AP33" s="701"/>
      <c r="AQ33" s="660"/>
      <c r="AR33" s="305"/>
      <c r="AS33" s="659"/>
      <c r="AT33" s="305"/>
      <c r="AU33" s="660"/>
      <c r="AV33" s="305"/>
      <c r="AX33" s="300"/>
      <c r="AY33" s="700" t="s">
        <v>157</v>
      </c>
      <c r="AZ33" s="701"/>
      <c r="BA33" s="660"/>
      <c r="BB33" s="305"/>
      <c r="BC33" s="659"/>
      <c r="BD33" s="305"/>
      <c r="BE33" s="660"/>
      <c r="BF33" s="305"/>
      <c r="BH33" s="300"/>
      <c r="BI33" s="700" t="s">
        <v>157</v>
      </c>
      <c r="BJ33" s="701"/>
      <c r="BK33" s="660"/>
      <c r="BL33" s="305"/>
      <c r="BM33" s="659"/>
      <c r="BN33" s="305"/>
      <c r="BO33" s="660"/>
      <c r="BP33" s="305"/>
    </row>
    <row r="34" spans="2:68" ht="15.75">
      <c r="B34" s="278">
        <v>42705</v>
      </c>
      <c r="G34" s="150">
        <f>C34+D34</f>
        <v>0</v>
      </c>
      <c r="H34" s="150">
        <f>E34+F34</f>
        <v>0</v>
      </c>
      <c r="K34" s="384"/>
      <c r="L34" s="314">
        <f>R30*13</f>
        <v>0</v>
      </c>
      <c r="M34" s="425"/>
      <c r="N34" s="305"/>
      <c r="O34" s="316"/>
      <c r="P34" s="305"/>
      <c r="Q34" s="426"/>
      <c r="R34" s="305"/>
      <c r="S34" s="156"/>
      <c r="T34" s="300"/>
      <c r="U34" s="384"/>
      <c r="V34" s="314">
        <f>AB30*13</f>
        <v>0</v>
      </c>
      <c r="W34" s="425"/>
      <c r="X34" s="305"/>
      <c r="Y34" s="316"/>
      <c r="Z34" s="305"/>
      <c r="AA34" s="426"/>
      <c r="AB34" s="305"/>
      <c r="AD34" s="300"/>
      <c r="AE34" s="384"/>
      <c r="AF34" s="314">
        <f>AL30*13</f>
        <v>0</v>
      </c>
      <c r="AG34" s="425"/>
      <c r="AH34" s="305"/>
      <c r="AI34" s="316"/>
      <c r="AJ34" s="305"/>
      <c r="AK34" s="426"/>
      <c r="AL34" s="305"/>
      <c r="AN34" s="300"/>
      <c r="AO34" s="384"/>
      <c r="AP34" s="314">
        <f>AV30*13</f>
        <v>0</v>
      </c>
      <c r="AQ34" s="425"/>
      <c r="AR34" s="305"/>
      <c r="AS34" s="316"/>
      <c r="AT34" s="305"/>
      <c r="AU34" s="426"/>
      <c r="AV34" s="305"/>
      <c r="AX34" s="300"/>
      <c r="AY34" s="384"/>
      <c r="AZ34" s="314">
        <f>BF30*13</f>
        <v>0</v>
      </c>
      <c r="BA34" s="425"/>
      <c r="BB34" s="305"/>
      <c r="BC34" s="316"/>
      <c r="BD34" s="305"/>
      <c r="BE34" s="426"/>
      <c r="BF34" s="305"/>
      <c r="BH34" s="300"/>
      <c r="BI34" s="384"/>
      <c r="BJ34" s="314">
        <f>BP30*13</f>
        <v>0</v>
      </c>
      <c r="BK34" s="425"/>
      <c r="BL34" s="305"/>
      <c r="BM34" s="316"/>
      <c r="BN34" s="305"/>
      <c r="BO34" s="426"/>
      <c r="BP34" s="305"/>
    </row>
    <row r="35" spans="2:68" ht="18.75">
      <c r="B35" s="278">
        <v>42706</v>
      </c>
      <c r="G35" s="150">
        <f>C35+D35</f>
        <v>0</v>
      </c>
      <c r="H35" s="150">
        <f>E35+F35</f>
        <v>0</v>
      </c>
      <c r="K35" s="304"/>
      <c r="L35" s="385"/>
      <c r="M35" s="286" t="s">
        <v>97</v>
      </c>
      <c r="N35" s="287" t="e">
        <f>N32/((N30*EFFICIENCY!$H$28))</f>
        <v>#DIV/0!</v>
      </c>
      <c r="O35" s="286" t="s">
        <v>97</v>
      </c>
      <c r="P35" s="287" t="e">
        <f>P32/(P30*EFFICIENCY!$H$28)</f>
        <v>#DIV/0!</v>
      </c>
      <c r="Q35" s="286" t="s">
        <v>97</v>
      </c>
      <c r="R35" s="287" t="e">
        <f>R32/(R30*EFFICIENCY!$H$28)</f>
        <v>#DIV/0!</v>
      </c>
      <c r="S35" s="295"/>
      <c r="T35" s="300"/>
      <c r="U35" s="304"/>
      <c r="V35" s="385"/>
      <c r="W35" s="286" t="s">
        <v>97</v>
      </c>
      <c r="X35" s="287" t="e">
        <f>X32/((X30*EFFICIENCY!$H$28))</f>
        <v>#DIV/0!</v>
      </c>
      <c r="Y35" s="286" t="s">
        <v>97</v>
      </c>
      <c r="Z35" s="287" t="e">
        <f>Z32/(Z30*EFFICIENCY!$H$28)</f>
        <v>#DIV/0!</v>
      </c>
      <c r="AA35" s="286" t="s">
        <v>97</v>
      </c>
      <c r="AB35" s="287" t="e">
        <f>AB32/(AB30*EFFICIENCY!$H$28)</f>
        <v>#DIV/0!</v>
      </c>
      <c r="AD35" s="300"/>
      <c r="AE35" s="304"/>
      <c r="AF35" s="385"/>
      <c r="AG35" s="286" t="s">
        <v>97</v>
      </c>
      <c r="AH35" s="287" t="e">
        <f>AH32/((AH30*EFFICIENCY!$H$28))</f>
        <v>#DIV/0!</v>
      </c>
      <c r="AI35" s="286" t="s">
        <v>97</v>
      </c>
      <c r="AJ35" s="287" t="e">
        <f>AJ32/(AJ30*EFFICIENCY!$H$28)</f>
        <v>#DIV/0!</v>
      </c>
      <c r="AK35" s="286" t="s">
        <v>97</v>
      </c>
      <c r="AL35" s="287" t="e">
        <f>AL32/(AL30*EFFICIENCY!$H$28)</f>
        <v>#DIV/0!</v>
      </c>
      <c r="AN35" s="300"/>
      <c r="AO35" s="304"/>
      <c r="AP35" s="385"/>
      <c r="AQ35" s="286" t="s">
        <v>97</v>
      </c>
      <c r="AR35" s="287" t="e">
        <f>AR32/((AR30*EFFICIENCY!$H$28))</f>
        <v>#DIV/0!</v>
      </c>
      <c r="AS35" s="286" t="s">
        <v>97</v>
      </c>
      <c r="AT35" s="287" t="e">
        <f>AT32/(AT30*EFFICIENCY!$H$28)</f>
        <v>#DIV/0!</v>
      </c>
      <c r="AU35" s="286" t="s">
        <v>97</v>
      </c>
      <c r="AV35" s="287" t="e">
        <f>AV32/(AV30*EFFICIENCY!$H$28)</f>
        <v>#DIV/0!</v>
      </c>
      <c r="AX35" s="300"/>
      <c r="AY35" s="304"/>
      <c r="AZ35" s="385"/>
      <c r="BA35" s="286" t="s">
        <v>97</v>
      </c>
      <c r="BB35" s="287" t="e">
        <f>BB32/((BB30*EFFICIENCY!$H$28))</f>
        <v>#DIV/0!</v>
      </c>
      <c r="BC35" s="286" t="s">
        <v>97</v>
      </c>
      <c r="BD35" s="287" t="e">
        <f>BD32/(BD30*EFFICIENCY!$H$28)</f>
        <v>#DIV/0!</v>
      </c>
      <c r="BE35" s="286" t="s">
        <v>97</v>
      </c>
      <c r="BF35" s="287" t="e">
        <f>BF32/(BF30*EFFICIENCY!$H$28)</f>
        <v>#DIV/0!</v>
      </c>
      <c r="BH35" s="300"/>
      <c r="BI35" s="304"/>
      <c r="BJ35" s="385"/>
      <c r="BK35" s="286" t="s">
        <v>97</v>
      </c>
      <c r="BL35" s="287" t="e">
        <f>BL32/((BL30*EFFICIENCY!$H$28))</f>
        <v>#DIV/0!</v>
      </c>
      <c r="BM35" s="286" t="s">
        <v>97</v>
      </c>
      <c r="BN35" s="287" t="e">
        <f>BN32/(BN30*EFFICIENCY!$H$28)</f>
        <v>#DIV/0!</v>
      </c>
      <c r="BO35" s="286" t="s">
        <v>97</v>
      </c>
      <c r="BP35" s="287" t="e">
        <f>BP32/(BP30*EFFICIENCY!$H$28)</f>
        <v>#DIV/0!</v>
      </c>
    </row>
    <row r="36" spans="2:68" ht="18.75">
      <c r="B36" s="278">
        <v>42707</v>
      </c>
      <c r="G36" s="150">
        <f>C36+D36</f>
        <v>0</v>
      </c>
      <c r="H36" s="150">
        <f>E36+F36</f>
        <v>0</v>
      </c>
      <c r="K36" s="304"/>
      <c r="L36" s="303"/>
      <c r="M36" s="280" t="s">
        <v>96</v>
      </c>
      <c r="N36" s="281" t="e">
        <f>N32/(N30*EFFICIENCY!$I$28)</f>
        <v>#DIV/0!</v>
      </c>
      <c r="O36" s="280" t="s">
        <v>96</v>
      </c>
      <c r="P36" s="281" t="e">
        <f>P32/(P30*EFFICIENCY!$I$28)</f>
        <v>#DIV/0!</v>
      </c>
      <c r="Q36" s="280" t="s">
        <v>96</v>
      </c>
      <c r="R36" s="281" t="e">
        <f>R32/(R30*EFFICIENCY!$I$28)</f>
        <v>#DIV/0!</v>
      </c>
      <c r="S36" s="296"/>
      <c r="T36" s="300"/>
      <c r="U36" s="304"/>
      <c r="V36" s="303"/>
      <c r="W36" s="280" t="s">
        <v>96</v>
      </c>
      <c r="X36" s="281" t="e">
        <f>X32/(X30*EFFICIENCY!$I$28)</f>
        <v>#DIV/0!</v>
      </c>
      <c r="Y36" s="280" t="s">
        <v>96</v>
      </c>
      <c r="Z36" s="281" t="e">
        <f>Z32/(Z30*EFFICIENCY!$I$28)</f>
        <v>#DIV/0!</v>
      </c>
      <c r="AA36" s="280" t="s">
        <v>96</v>
      </c>
      <c r="AB36" s="281" t="e">
        <f>AB32/(AB30*EFFICIENCY!$I$28)</f>
        <v>#DIV/0!</v>
      </c>
      <c r="AD36" s="300"/>
      <c r="AE36" s="304"/>
      <c r="AF36" s="303"/>
      <c r="AG36" s="280" t="s">
        <v>96</v>
      </c>
      <c r="AH36" s="281" t="e">
        <f>AH32/(AH30*EFFICIENCY!$I$28)</f>
        <v>#DIV/0!</v>
      </c>
      <c r="AI36" s="280" t="s">
        <v>96</v>
      </c>
      <c r="AJ36" s="281" t="e">
        <f>AJ32/(AJ30*EFFICIENCY!$I$28)</f>
        <v>#DIV/0!</v>
      </c>
      <c r="AK36" s="280" t="s">
        <v>96</v>
      </c>
      <c r="AL36" s="281" t="e">
        <f>AL32/(AL30*EFFICIENCY!$I$28)</f>
        <v>#DIV/0!</v>
      </c>
      <c r="AN36" s="300"/>
      <c r="AO36" s="304"/>
      <c r="AP36" s="303"/>
      <c r="AQ36" s="280" t="s">
        <v>96</v>
      </c>
      <c r="AR36" s="281" t="e">
        <f>AR32/(AR30*EFFICIENCY!$I$28)</f>
        <v>#DIV/0!</v>
      </c>
      <c r="AS36" s="280" t="s">
        <v>96</v>
      </c>
      <c r="AT36" s="281" t="e">
        <f>AT32/(AT30*EFFICIENCY!$I$28)</f>
        <v>#DIV/0!</v>
      </c>
      <c r="AU36" s="280" t="s">
        <v>96</v>
      </c>
      <c r="AV36" s="281" t="e">
        <f>AV32/(AV30*EFFICIENCY!$I$28)</f>
        <v>#DIV/0!</v>
      </c>
      <c r="AX36" s="300"/>
      <c r="AY36" s="304"/>
      <c r="AZ36" s="303"/>
      <c r="BA36" s="280" t="s">
        <v>96</v>
      </c>
      <c r="BB36" s="281" t="e">
        <f>BB32/(BB30*EFFICIENCY!$I$28)</f>
        <v>#DIV/0!</v>
      </c>
      <c r="BC36" s="280" t="s">
        <v>96</v>
      </c>
      <c r="BD36" s="281" t="e">
        <f>BD32/(BD30*EFFICIENCY!$I$28)</f>
        <v>#DIV/0!</v>
      </c>
      <c r="BE36" s="280" t="s">
        <v>96</v>
      </c>
      <c r="BF36" s="281" t="e">
        <f>BF32/(BF30*EFFICIENCY!$I$28)</f>
        <v>#DIV/0!</v>
      </c>
      <c r="BH36" s="300"/>
      <c r="BI36" s="304"/>
      <c r="BJ36" s="303"/>
      <c r="BK36" s="280" t="s">
        <v>96</v>
      </c>
      <c r="BL36" s="281" t="e">
        <f>BL32/(BL30*EFFICIENCY!$I$28)</f>
        <v>#DIV/0!</v>
      </c>
      <c r="BM36" s="280" t="s">
        <v>96</v>
      </c>
      <c r="BN36" s="281" t="e">
        <f>BN32/(BN30*EFFICIENCY!$I$28)</f>
        <v>#DIV/0!</v>
      </c>
      <c r="BO36" s="280" t="s">
        <v>96</v>
      </c>
      <c r="BP36" s="281" t="e">
        <f>BP32/(BP30*EFFICIENCY!$I$28)</f>
        <v>#DIV/0!</v>
      </c>
    </row>
    <row r="37" spans="2:68" ht="19.5" customHeight="1" thickBot="1">
      <c r="B37" s="278"/>
      <c r="K37" s="696" t="s">
        <v>156</v>
      </c>
      <c r="L37" s="697"/>
      <c r="M37" s="284" t="s">
        <v>94</v>
      </c>
      <c r="N37" s="285" t="e">
        <f>N32/((N30*EFFICIENCY!$K$28))</f>
        <v>#DIV/0!</v>
      </c>
      <c r="O37" s="288" t="s">
        <v>94</v>
      </c>
      <c r="P37" s="285" t="e">
        <f>P32/((P30*EFFICIENCY!$K$28))</f>
        <v>#DIV/0!</v>
      </c>
      <c r="Q37" s="284" t="s">
        <v>94</v>
      </c>
      <c r="R37" s="285" t="e">
        <f>R32/((R30*EFFICIENCY!$K$28))</f>
        <v>#DIV/0!</v>
      </c>
      <c r="S37" s="297"/>
      <c r="T37" s="300"/>
      <c r="U37" s="696" t="s">
        <v>156</v>
      </c>
      <c r="V37" s="697"/>
      <c r="W37" s="284" t="s">
        <v>94</v>
      </c>
      <c r="X37" s="285" t="e">
        <f>X32/((X30*EFFICIENCY!$K$28))</f>
        <v>#DIV/0!</v>
      </c>
      <c r="Y37" s="288" t="s">
        <v>94</v>
      </c>
      <c r="Z37" s="285" t="e">
        <f>Z32/((Z30*EFFICIENCY!$K$28))</f>
        <v>#DIV/0!</v>
      </c>
      <c r="AA37" s="284" t="s">
        <v>94</v>
      </c>
      <c r="AB37" s="285" t="e">
        <f>AB32/((AB30*EFFICIENCY!$K$28))</f>
        <v>#DIV/0!</v>
      </c>
      <c r="AD37" s="300"/>
      <c r="AE37" s="696" t="s">
        <v>156</v>
      </c>
      <c r="AF37" s="697"/>
      <c r="AG37" s="284" t="s">
        <v>94</v>
      </c>
      <c r="AH37" s="285" t="e">
        <f>AH32/((AH30*EFFICIENCY!$K$28))</f>
        <v>#DIV/0!</v>
      </c>
      <c r="AI37" s="288" t="s">
        <v>94</v>
      </c>
      <c r="AJ37" s="285" t="e">
        <f>AJ32/((AJ30*EFFICIENCY!$K$28))</f>
        <v>#DIV/0!</v>
      </c>
      <c r="AK37" s="284" t="s">
        <v>94</v>
      </c>
      <c r="AL37" s="285" t="e">
        <f>AL32/((AL30*EFFICIENCY!$K$28))</f>
        <v>#DIV/0!</v>
      </c>
      <c r="AN37" s="300"/>
      <c r="AO37" s="696" t="s">
        <v>156</v>
      </c>
      <c r="AP37" s="697"/>
      <c r="AQ37" s="284" t="s">
        <v>94</v>
      </c>
      <c r="AR37" s="285" t="e">
        <f>AR32/((AR30*EFFICIENCY!$K$28))</f>
        <v>#DIV/0!</v>
      </c>
      <c r="AS37" s="288" t="s">
        <v>94</v>
      </c>
      <c r="AT37" s="285" t="e">
        <f>AT32/((AT30*EFFICIENCY!$K$28))</f>
        <v>#DIV/0!</v>
      </c>
      <c r="AU37" s="284" t="s">
        <v>94</v>
      </c>
      <c r="AV37" s="285" t="e">
        <f>AV32/((AV30*EFFICIENCY!$K$28))</f>
        <v>#DIV/0!</v>
      </c>
      <c r="AX37" s="300"/>
      <c r="AY37" s="696" t="s">
        <v>156</v>
      </c>
      <c r="AZ37" s="697"/>
      <c r="BA37" s="284" t="s">
        <v>94</v>
      </c>
      <c r="BB37" s="285" t="e">
        <f>BB32/((BB30*EFFICIENCY!$K$28))</f>
        <v>#DIV/0!</v>
      </c>
      <c r="BC37" s="288" t="s">
        <v>94</v>
      </c>
      <c r="BD37" s="285" t="e">
        <f>BD32/((BD30*EFFICIENCY!$K$28))</f>
        <v>#DIV/0!</v>
      </c>
      <c r="BE37" s="284" t="s">
        <v>94</v>
      </c>
      <c r="BF37" s="285" t="e">
        <f>BF32/((BF30*EFFICIENCY!$K$28))</f>
        <v>#DIV/0!</v>
      </c>
      <c r="BH37" s="300"/>
      <c r="BI37" s="696" t="s">
        <v>156</v>
      </c>
      <c r="BJ37" s="697"/>
      <c r="BK37" s="284" t="s">
        <v>94</v>
      </c>
      <c r="BL37" s="285" t="e">
        <f>BL32/((BL30*EFFICIENCY!$K$28))</f>
        <v>#DIV/0!</v>
      </c>
      <c r="BM37" s="288" t="s">
        <v>94</v>
      </c>
      <c r="BN37" s="285" t="e">
        <f>BN32/((BN30*EFFICIENCY!$K$28))</f>
        <v>#DIV/0!</v>
      </c>
      <c r="BO37" s="284" t="s">
        <v>94</v>
      </c>
      <c r="BP37" s="285" t="e">
        <f>BP32/((BP30*EFFICIENCY!$K$28))</f>
        <v>#DIV/0!</v>
      </c>
    </row>
    <row r="38" spans="2:68" ht="16.5" thickBot="1">
      <c r="K38" s="386"/>
      <c r="L38" s="387" t="e">
        <f>R32/R30</f>
        <v>#DIV/0!</v>
      </c>
      <c r="M38" s="637" t="s">
        <v>153</v>
      </c>
      <c r="N38" s="638"/>
      <c r="O38" s="290"/>
      <c r="P38" s="421"/>
      <c r="Q38" s="421" t="s">
        <v>154</v>
      </c>
      <c r="R38" s="319">
        <f>O38-R32</f>
        <v>0</v>
      </c>
      <c r="S38" s="298"/>
      <c r="T38" s="300"/>
      <c r="U38" s="386"/>
      <c r="V38" s="387" t="e">
        <f>AB32/AB30</f>
        <v>#DIV/0!</v>
      </c>
      <c r="W38" s="637" t="s">
        <v>153</v>
      </c>
      <c r="X38" s="638"/>
      <c r="Y38" s="290"/>
      <c r="Z38" s="421"/>
      <c r="AA38" s="421" t="s">
        <v>154</v>
      </c>
      <c r="AB38" s="319">
        <f>Y38-AB32</f>
        <v>0</v>
      </c>
      <c r="AD38" s="300"/>
      <c r="AE38" s="386"/>
      <c r="AF38" s="387" t="e">
        <f>AL32/AL30</f>
        <v>#DIV/0!</v>
      </c>
      <c r="AG38" s="637" t="s">
        <v>153</v>
      </c>
      <c r="AH38" s="638"/>
      <c r="AI38" s="290"/>
      <c r="AJ38" s="421"/>
      <c r="AK38" s="421" t="s">
        <v>154</v>
      </c>
      <c r="AL38" s="319">
        <f>AI38-AL32</f>
        <v>0</v>
      </c>
      <c r="AN38" s="300"/>
      <c r="AO38" s="386"/>
      <c r="AP38" s="387" t="e">
        <f>AV32/AV30</f>
        <v>#DIV/0!</v>
      </c>
      <c r="AQ38" s="637" t="s">
        <v>153</v>
      </c>
      <c r="AR38" s="638"/>
      <c r="AS38" s="290"/>
      <c r="AT38" s="421"/>
      <c r="AU38" s="421" t="s">
        <v>154</v>
      </c>
      <c r="AV38" s="319">
        <f>AS38-AV32</f>
        <v>0</v>
      </c>
      <c r="AX38" s="300"/>
      <c r="AY38" s="386"/>
      <c r="AZ38" s="387" t="e">
        <f>BF32/BF30</f>
        <v>#DIV/0!</v>
      </c>
      <c r="BA38" s="637" t="s">
        <v>153</v>
      </c>
      <c r="BB38" s="638"/>
      <c r="BC38" s="290"/>
      <c r="BD38" s="421"/>
      <c r="BE38" s="421" t="s">
        <v>154</v>
      </c>
      <c r="BF38" s="319">
        <f>BC38-BF32</f>
        <v>0</v>
      </c>
      <c r="BH38" s="300"/>
      <c r="BI38" s="386"/>
      <c r="BJ38" s="387" t="e">
        <f>BP32/BP30</f>
        <v>#DIV/0!</v>
      </c>
      <c r="BK38" s="637" t="s">
        <v>153</v>
      </c>
      <c r="BL38" s="638"/>
      <c r="BM38" s="290"/>
      <c r="BN38" s="421"/>
      <c r="BO38" s="421" t="s">
        <v>154</v>
      </c>
      <c r="BP38" s="319">
        <f>BM38-BP32</f>
        <v>0</v>
      </c>
    </row>
    <row r="39" spans="2:68">
      <c r="T39" s="300"/>
      <c r="AD39" s="300"/>
      <c r="AN39" s="300"/>
      <c r="AX39" s="300"/>
      <c r="BH39" s="300"/>
    </row>
    <row r="40" spans="2:68" ht="13.5" thickBot="1">
      <c r="K40" s="291"/>
      <c r="L40" s="291"/>
      <c r="M40" s="291"/>
      <c r="N40" s="291"/>
      <c r="O40" s="291"/>
      <c r="P40" s="291"/>
      <c r="Q40" s="291"/>
      <c r="R40" s="291"/>
      <c r="S40" s="299"/>
      <c r="T40" s="301"/>
      <c r="U40" s="291"/>
      <c r="V40" s="291"/>
      <c r="W40" s="291"/>
      <c r="X40" s="291"/>
      <c r="Y40" s="291"/>
      <c r="Z40" s="291"/>
      <c r="AA40" s="291"/>
      <c r="AB40" s="291"/>
      <c r="AC40" s="291"/>
      <c r="AD40" s="301"/>
      <c r="AE40" s="291"/>
      <c r="AF40" s="291"/>
      <c r="AG40" s="291"/>
      <c r="AH40" s="291"/>
      <c r="AI40" s="291"/>
      <c r="AJ40" s="291"/>
      <c r="AK40" s="291"/>
      <c r="AL40" s="291"/>
      <c r="AM40" s="291"/>
      <c r="AN40" s="301"/>
      <c r="AO40" s="291"/>
      <c r="AP40" s="291"/>
      <c r="AQ40" s="291"/>
      <c r="AR40" s="291"/>
      <c r="AS40" s="291"/>
      <c r="AT40" s="291"/>
      <c r="AU40" s="291"/>
      <c r="AV40" s="291"/>
      <c r="AW40" s="291"/>
      <c r="AX40" s="301"/>
      <c r="AY40" s="291"/>
      <c r="AZ40" s="291"/>
      <c r="BA40" s="291"/>
      <c r="BB40" s="291"/>
      <c r="BC40" s="291"/>
      <c r="BD40" s="291"/>
      <c r="BE40" s="291"/>
      <c r="BF40" s="291"/>
      <c r="BG40" s="291"/>
      <c r="BH40" s="301"/>
      <c r="BI40" s="291"/>
      <c r="BJ40" s="291"/>
      <c r="BK40" s="291"/>
      <c r="BL40" s="291"/>
      <c r="BM40" s="291"/>
      <c r="BN40" s="291"/>
      <c r="BO40" s="291"/>
      <c r="BP40" s="291"/>
    </row>
    <row r="41" spans="2:68" ht="15.75" thickBot="1">
      <c r="K41" s="388" t="s">
        <v>7</v>
      </c>
      <c r="L41" s="535">
        <f>B24</f>
        <v>42695</v>
      </c>
      <c r="M41" s="639" t="s">
        <v>100</v>
      </c>
      <c r="N41" s="640"/>
      <c r="O41" s="641" t="s">
        <v>99</v>
      </c>
      <c r="P41" s="642"/>
      <c r="Q41" s="643" t="s">
        <v>16</v>
      </c>
      <c r="R41" s="644"/>
      <c r="S41" s="293"/>
      <c r="T41" s="300"/>
      <c r="U41" s="388" t="s">
        <v>7</v>
      </c>
      <c r="V41" s="535">
        <f>B25</f>
        <v>42696</v>
      </c>
      <c r="W41" s="639" t="s">
        <v>100</v>
      </c>
      <c r="X41" s="640"/>
      <c r="Y41" s="641" t="s">
        <v>99</v>
      </c>
      <c r="Z41" s="642"/>
      <c r="AA41" s="643" t="s">
        <v>16</v>
      </c>
      <c r="AB41" s="644"/>
      <c r="AC41" s="154"/>
      <c r="AD41" s="300"/>
      <c r="AE41" s="388" t="s">
        <v>7</v>
      </c>
      <c r="AF41" s="535">
        <f>B26</f>
        <v>42697</v>
      </c>
      <c r="AG41" s="639" t="s">
        <v>100</v>
      </c>
      <c r="AH41" s="640"/>
      <c r="AI41" s="641" t="s">
        <v>99</v>
      </c>
      <c r="AJ41" s="642"/>
      <c r="AK41" s="643" t="s">
        <v>16</v>
      </c>
      <c r="AL41" s="644"/>
      <c r="AM41" s="154"/>
      <c r="AN41" s="300"/>
      <c r="AO41" s="388" t="s">
        <v>7</v>
      </c>
      <c r="AP41" s="535">
        <f>B27</f>
        <v>42698</v>
      </c>
      <c r="AQ41" s="639" t="s">
        <v>100</v>
      </c>
      <c r="AR41" s="640"/>
      <c r="AS41" s="641" t="s">
        <v>99</v>
      </c>
      <c r="AT41" s="642"/>
      <c r="AU41" s="643" t="s">
        <v>16</v>
      </c>
      <c r="AV41" s="644"/>
      <c r="AW41" s="154"/>
      <c r="AX41" s="300"/>
      <c r="AY41" s="388" t="s">
        <v>7</v>
      </c>
      <c r="AZ41" s="535">
        <f>B28</f>
        <v>42699</v>
      </c>
      <c r="BA41" s="639" t="s">
        <v>100</v>
      </c>
      <c r="BB41" s="640"/>
      <c r="BC41" s="641" t="s">
        <v>99</v>
      </c>
      <c r="BD41" s="642"/>
      <c r="BE41" s="643" t="s">
        <v>16</v>
      </c>
      <c r="BF41" s="644"/>
      <c r="BG41" s="154"/>
      <c r="BH41" s="300"/>
      <c r="BI41" s="388" t="s">
        <v>7</v>
      </c>
      <c r="BJ41" s="535">
        <f>B29</f>
        <v>42700</v>
      </c>
      <c r="BK41" s="639" t="s">
        <v>100</v>
      </c>
      <c r="BL41" s="640"/>
      <c r="BM41" s="641" t="s">
        <v>99</v>
      </c>
      <c r="BN41" s="642"/>
      <c r="BO41" s="643" t="s">
        <v>16</v>
      </c>
      <c r="BP41" s="644"/>
    </row>
    <row r="42" spans="2:68" ht="13.5" thickBot="1">
      <c r="K42" s="321"/>
      <c r="L42" s="320"/>
      <c r="M42" s="321"/>
      <c r="N42" s="322"/>
      <c r="O42" s="321"/>
      <c r="P42" s="322"/>
      <c r="Q42" s="320"/>
      <c r="R42" s="322"/>
      <c r="S42" s="156"/>
      <c r="T42" s="300"/>
      <c r="U42" s="321"/>
      <c r="V42" s="320"/>
      <c r="W42" s="321"/>
      <c r="X42" s="322"/>
      <c r="Y42" s="321"/>
      <c r="Z42" s="322"/>
      <c r="AA42" s="320"/>
      <c r="AB42" s="322"/>
      <c r="AC42" s="154"/>
      <c r="AD42" s="300"/>
      <c r="AE42" s="321"/>
      <c r="AF42" s="320"/>
      <c r="AG42" s="321"/>
      <c r="AH42" s="322"/>
      <c r="AI42" s="321"/>
      <c r="AJ42" s="322"/>
      <c r="AK42" s="320"/>
      <c r="AL42" s="322"/>
      <c r="AM42" s="154"/>
      <c r="AN42" s="300"/>
      <c r="AO42" s="321"/>
      <c r="AP42" s="320"/>
      <c r="AQ42" s="321"/>
      <c r="AR42" s="322"/>
      <c r="AS42" s="321"/>
      <c r="AT42" s="322"/>
      <c r="AU42" s="320"/>
      <c r="AV42" s="322"/>
      <c r="AW42" s="154"/>
      <c r="AX42" s="300"/>
      <c r="AY42" s="321"/>
      <c r="AZ42" s="320"/>
      <c r="BA42" s="321"/>
      <c r="BB42" s="322"/>
      <c r="BC42" s="321"/>
      <c r="BD42" s="322"/>
      <c r="BE42" s="320"/>
      <c r="BF42" s="322"/>
      <c r="BG42" s="154"/>
      <c r="BH42" s="300"/>
      <c r="BI42" s="321"/>
      <c r="BJ42" s="320"/>
      <c r="BK42" s="321"/>
      <c r="BL42" s="322"/>
      <c r="BM42" s="321"/>
      <c r="BN42" s="322"/>
      <c r="BO42" s="320"/>
      <c r="BP42" s="322"/>
    </row>
    <row r="43" spans="2:68" ht="16.5" thickBot="1">
      <c r="K43" s="321"/>
      <c r="L43" s="422" t="s">
        <v>155</v>
      </c>
      <c r="M43" s="324" t="s">
        <v>103</v>
      </c>
      <c r="N43" s="279"/>
      <c r="O43" s="324" t="s">
        <v>103</v>
      </c>
      <c r="P43" s="279"/>
      <c r="Q43" s="325" t="s">
        <v>103</v>
      </c>
      <c r="R43" s="326">
        <f>SUM(N43,P43)</f>
        <v>0</v>
      </c>
      <c r="S43" s="294"/>
      <c r="T43" s="300"/>
      <c r="U43" s="321"/>
      <c r="V43" s="422" t="s">
        <v>155</v>
      </c>
      <c r="W43" s="324" t="s">
        <v>103</v>
      </c>
      <c r="X43" s="279"/>
      <c r="Y43" s="324" t="s">
        <v>103</v>
      </c>
      <c r="Z43" s="279"/>
      <c r="AA43" s="325" t="s">
        <v>103</v>
      </c>
      <c r="AB43" s="326">
        <f>SUM(X43,Z43)</f>
        <v>0</v>
      </c>
      <c r="AD43" s="300"/>
      <c r="AE43" s="321"/>
      <c r="AF43" s="422" t="s">
        <v>155</v>
      </c>
      <c r="AG43" s="324" t="s">
        <v>103</v>
      </c>
      <c r="AH43" s="279"/>
      <c r="AI43" s="324" t="s">
        <v>103</v>
      </c>
      <c r="AJ43" s="279"/>
      <c r="AK43" s="325" t="s">
        <v>103</v>
      </c>
      <c r="AL43" s="326">
        <f>SUM(AH43,AJ43)</f>
        <v>0</v>
      </c>
      <c r="AN43" s="300"/>
      <c r="AO43" s="321"/>
      <c r="AP43" s="422" t="s">
        <v>155</v>
      </c>
      <c r="AQ43" s="324" t="s">
        <v>103</v>
      </c>
      <c r="AR43" s="279"/>
      <c r="AS43" s="324" t="s">
        <v>103</v>
      </c>
      <c r="AT43" s="279"/>
      <c r="AU43" s="325" t="s">
        <v>103</v>
      </c>
      <c r="AV43" s="326">
        <f>SUM(AR43,AT43)</f>
        <v>0</v>
      </c>
      <c r="AX43" s="300"/>
      <c r="AY43" s="321"/>
      <c r="AZ43" s="422" t="s">
        <v>155</v>
      </c>
      <c r="BA43" s="324" t="s">
        <v>103</v>
      </c>
      <c r="BB43" s="279"/>
      <c r="BC43" s="324" t="s">
        <v>103</v>
      </c>
      <c r="BD43" s="279"/>
      <c r="BE43" s="325" t="s">
        <v>103</v>
      </c>
      <c r="BF43" s="326">
        <f>SUM(BB43,BD43)</f>
        <v>0</v>
      </c>
      <c r="BH43" s="300"/>
      <c r="BI43" s="321"/>
      <c r="BJ43" s="422" t="s">
        <v>155</v>
      </c>
      <c r="BK43" s="324" t="s">
        <v>103</v>
      </c>
      <c r="BL43" s="279"/>
      <c r="BM43" s="324" t="s">
        <v>103</v>
      </c>
      <c r="BN43" s="279"/>
      <c r="BO43" s="325" t="s">
        <v>103</v>
      </c>
      <c r="BP43" s="326">
        <f>SUM(BL43,BN43)</f>
        <v>0</v>
      </c>
    </row>
    <row r="44" spans="2:68" ht="18.75" thickBot="1">
      <c r="K44" s="321"/>
      <c r="L44" s="289">
        <v>8</v>
      </c>
      <c r="M44" s="327" t="s">
        <v>5</v>
      </c>
      <c r="N44" s="328">
        <f>VLOOKUP(L41, $B$3:$E$109, 4, FALSE)</f>
        <v>0</v>
      </c>
      <c r="O44" s="327" t="s">
        <v>5</v>
      </c>
      <c r="P44" s="329">
        <f>VLOOKUP(L41, $B$3:$F$109, 5, FALSE)</f>
        <v>0</v>
      </c>
      <c r="Q44" s="330" t="s">
        <v>5</v>
      </c>
      <c r="R44" s="326">
        <f>SUM(N44,P44)</f>
        <v>0</v>
      </c>
      <c r="S44" s="294"/>
      <c r="T44" s="300"/>
      <c r="U44" s="321"/>
      <c r="V44" s="289">
        <v>8</v>
      </c>
      <c r="W44" s="327" t="s">
        <v>5</v>
      </c>
      <c r="X44" s="328">
        <f>VLOOKUP(V41, $B$3:$E$109, 4, FALSE)</f>
        <v>0</v>
      </c>
      <c r="Y44" s="327" t="s">
        <v>5</v>
      </c>
      <c r="Z44" s="329">
        <f>VLOOKUP(V41, $B$3:$F$109, 5, FALSE)</f>
        <v>0</v>
      </c>
      <c r="AA44" s="330" t="s">
        <v>5</v>
      </c>
      <c r="AB44" s="326">
        <f>SUM(X44,Z44)</f>
        <v>0</v>
      </c>
      <c r="AD44" s="300"/>
      <c r="AE44" s="321"/>
      <c r="AF44" s="289">
        <v>8</v>
      </c>
      <c r="AG44" s="327" t="s">
        <v>5</v>
      </c>
      <c r="AH44" s="328">
        <f>VLOOKUP(AF41, $B$3:$E$109, 4, FALSE)</f>
        <v>0</v>
      </c>
      <c r="AI44" s="327" t="s">
        <v>5</v>
      </c>
      <c r="AJ44" s="329">
        <f>VLOOKUP(AF41, $B$3:$F$109, 5, FALSE)</f>
        <v>0</v>
      </c>
      <c r="AK44" s="330" t="s">
        <v>5</v>
      </c>
      <c r="AL44" s="326">
        <f>SUM(AH44,AJ44)</f>
        <v>0</v>
      </c>
      <c r="AN44" s="300"/>
      <c r="AO44" s="321"/>
      <c r="AP44" s="289">
        <v>8</v>
      </c>
      <c r="AQ44" s="327" t="s">
        <v>5</v>
      </c>
      <c r="AR44" s="328">
        <f>VLOOKUP(AP41, $B$3:$E$109, 4, FALSE)</f>
        <v>0</v>
      </c>
      <c r="AS44" s="327" t="s">
        <v>5</v>
      </c>
      <c r="AT44" s="329">
        <f>VLOOKUP(AP41, $B$3:$F$109, 5, FALSE)</f>
        <v>0</v>
      </c>
      <c r="AU44" s="330" t="s">
        <v>5</v>
      </c>
      <c r="AV44" s="326">
        <f>SUM(AR44,AT44)</f>
        <v>0</v>
      </c>
      <c r="AX44" s="300"/>
      <c r="AY44" s="321"/>
      <c r="AZ44" s="289">
        <v>8</v>
      </c>
      <c r="BA44" s="327" t="s">
        <v>5</v>
      </c>
      <c r="BB44" s="328">
        <f>VLOOKUP(AZ41, $B$3:$E$109, 4, FALSE)</f>
        <v>0</v>
      </c>
      <c r="BC44" s="327" t="s">
        <v>5</v>
      </c>
      <c r="BD44" s="329">
        <f>VLOOKUP(AZ41, $B$3:$F$109, 5, FALSE)</f>
        <v>0</v>
      </c>
      <c r="BE44" s="330" t="s">
        <v>5</v>
      </c>
      <c r="BF44" s="326">
        <f>SUM(BB44,BD44)</f>
        <v>0</v>
      </c>
      <c r="BH44" s="300"/>
      <c r="BI44" s="321"/>
      <c r="BJ44" s="289">
        <v>8</v>
      </c>
      <c r="BK44" s="327" t="s">
        <v>5</v>
      </c>
      <c r="BL44" s="328">
        <f>VLOOKUP(BJ41, $B$3:$E$109, 4, FALSE)</f>
        <v>0</v>
      </c>
      <c r="BM44" s="327" t="s">
        <v>5</v>
      </c>
      <c r="BN44" s="329">
        <f>VLOOKUP(BJ41, $B$3:$F$109, 5, FALSE)</f>
        <v>0</v>
      </c>
      <c r="BO44" s="330" t="s">
        <v>5</v>
      </c>
      <c r="BP44" s="326">
        <f>SUM(BL44,BN44)</f>
        <v>0</v>
      </c>
    </row>
    <row r="45" spans="2:68" ht="15.75" customHeight="1">
      <c r="K45" s="321"/>
      <c r="L45" s="320"/>
      <c r="M45" s="645" t="s">
        <v>105</v>
      </c>
      <c r="N45" s="328">
        <f>VLOOKUP(L41, $B$3:$E$109, 2, FALSE)</f>
        <v>0</v>
      </c>
      <c r="O45" s="645" t="s">
        <v>105</v>
      </c>
      <c r="P45" s="329">
        <f>VLOOKUP(L41, $B$3:$E$109, 3, FALSE)</f>
        <v>0</v>
      </c>
      <c r="Q45" s="646" t="s">
        <v>105</v>
      </c>
      <c r="R45" s="326">
        <f>SUM(N45,P45)</f>
        <v>0</v>
      </c>
      <c r="S45" s="294"/>
      <c r="T45" s="300"/>
      <c r="U45" s="321"/>
      <c r="V45" s="320"/>
      <c r="W45" s="645" t="s">
        <v>105</v>
      </c>
      <c r="X45" s="328">
        <f>VLOOKUP(V41, $B$3:$E$109, 2, FALSE)</f>
        <v>0</v>
      </c>
      <c r="Y45" s="645" t="s">
        <v>105</v>
      </c>
      <c r="Z45" s="329">
        <f>VLOOKUP(V41, $B$3:$E$109, 3, FALSE)</f>
        <v>0</v>
      </c>
      <c r="AA45" s="646" t="s">
        <v>105</v>
      </c>
      <c r="AB45" s="326">
        <f>SUM(X45,Z45)</f>
        <v>0</v>
      </c>
      <c r="AD45" s="300"/>
      <c r="AE45" s="321"/>
      <c r="AF45" s="320"/>
      <c r="AG45" s="645" t="s">
        <v>105</v>
      </c>
      <c r="AH45" s="328">
        <f>VLOOKUP(AF41, $B$3:$E$109, 2, FALSE)</f>
        <v>0</v>
      </c>
      <c r="AI45" s="645" t="s">
        <v>105</v>
      </c>
      <c r="AJ45" s="329">
        <f>VLOOKUP(AF41, $B$3:$E$109, 3, FALSE)</f>
        <v>0</v>
      </c>
      <c r="AK45" s="646" t="s">
        <v>105</v>
      </c>
      <c r="AL45" s="326">
        <f>SUM(AH45,AJ45)</f>
        <v>0</v>
      </c>
      <c r="AN45" s="300"/>
      <c r="AO45" s="321"/>
      <c r="AP45" s="320"/>
      <c r="AQ45" s="645" t="s">
        <v>105</v>
      </c>
      <c r="AR45" s="328">
        <f>VLOOKUP(AP41, $B$3:$E$109, 2, FALSE)</f>
        <v>0</v>
      </c>
      <c r="AS45" s="645" t="s">
        <v>105</v>
      </c>
      <c r="AT45" s="329">
        <f>VLOOKUP(AP41, $B$3:$E$109, 3, FALSE)</f>
        <v>0</v>
      </c>
      <c r="AU45" s="646" t="s">
        <v>105</v>
      </c>
      <c r="AV45" s="326">
        <f>SUM(AR45,AT45)</f>
        <v>0</v>
      </c>
      <c r="AX45" s="300"/>
      <c r="AY45" s="321"/>
      <c r="AZ45" s="320"/>
      <c r="BA45" s="645" t="s">
        <v>105</v>
      </c>
      <c r="BB45" s="328">
        <f>VLOOKUP(AZ41, $B$3:$E$109, 2, FALSE)</f>
        <v>0</v>
      </c>
      <c r="BC45" s="645" t="s">
        <v>105</v>
      </c>
      <c r="BD45" s="329">
        <f>VLOOKUP(AZ41, $B$3:$E$109, 3, FALSE)</f>
        <v>0</v>
      </c>
      <c r="BE45" s="646" t="s">
        <v>105</v>
      </c>
      <c r="BF45" s="326">
        <f>SUM(BB45,BD45)</f>
        <v>0</v>
      </c>
      <c r="BH45" s="300"/>
      <c r="BI45" s="321"/>
      <c r="BJ45" s="320"/>
      <c r="BK45" s="645" t="s">
        <v>105</v>
      </c>
      <c r="BL45" s="328">
        <f>VLOOKUP(BJ41, $B$3:$E$109, 2, FALSE)</f>
        <v>0</v>
      </c>
      <c r="BM45" s="645" t="s">
        <v>105</v>
      </c>
      <c r="BN45" s="329">
        <f>VLOOKUP(BJ41, $B$3:$E$109, 3, FALSE)</f>
        <v>0</v>
      </c>
      <c r="BO45" s="646" t="s">
        <v>105</v>
      </c>
      <c r="BP45" s="326">
        <f>SUM(BL45,BN45)</f>
        <v>0</v>
      </c>
    </row>
    <row r="46" spans="2:68" ht="12.75" customHeight="1">
      <c r="K46" s="702" t="s">
        <v>157</v>
      </c>
      <c r="L46" s="703"/>
      <c r="M46" s="646"/>
      <c r="N46" s="322"/>
      <c r="O46" s="645"/>
      <c r="P46" s="322"/>
      <c r="Q46" s="646"/>
      <c r="R46" s="322"/>
      <c r="S46" s="156"/>
      <c r="T46" s="300"/>
      <c r="U46" s="702" t="s">
        <v>157</v>
      </c>
      <c r="V46" s="703"/>
      <c r="W46" s="646"/>
      <c r="X46" s="322"/>
      <c r="Y46" s="645"/>
      <c r="Z46" s="322"/>
      <c r="AA46" s="646"/>
      <c r="AB46" s="322"/>
      <c r="AD46" s="300"/>
      <c r="AE46" s="702" t="s">
        <v>157</v>
      </c>
      <c r="AF46" s="703"/>
      <c r="AG46" s="646"/>
      <c r="AH46" s="322"/>
      <c r="AI46" s="645"/>
      <c r="AJ46" s="322"/>
      <c r="AK46" s="646"/>
      <c r="AL46" s="322"/>
      <c r="AN46" s="300"/>
      <c r="AO46" s="702" t="s">
        <v>157</v>
      </c>
      <c r="AP46" s="703"/>
      <c r="AQ46" s="646"/>
      <c r="AR46" s="322"/>
      <c r="AS46" s="645"/>
      <c r="AT46" s="322"/>
      <c r="AU46" s="646"/>
      <c r="AV46" s="322"/>
      <c r="AX46" s="300"/>
      <c r="AY46" s="702" t="s">
        <v>157</v>
      </c>
      <c r="AZ46" s="703"/>
      <c r="BA46" s="646"/>
      <c r="BB46" s="322"/>
      <c r="BC46" s="645"/>
      <c r="BD46" s="322"/>
      <c r="BE46" s="646"/>
      <c r="BF46" s="322"/>
      <c r="BH46" s="300"/>
      <c r="BI46" s="702" t="s">
        <v>157</v>
      </c>
      <c r="BJ46" s="703"/>
      <c r="BK46" s="646"/>
      <c r="BL46" s="322"/>
      <c r="BM46" s="645"/>
      <c r="BN46" s="322"/>
      <c r="BO46" s="646"/>
      <c r="BP46" s="322"/>
    </row>
    <row r="47" spans="2:68" ht="15.75">
      <c r="K47" s="389"/>
      <c r="L47" s="331">
        <f>R43*13</f>
        <v>0</v>
      </c>
      <c r="M47" s="423"/>
      <c r="N47" s="322"/>
      <c r="O47" s="333"/>
      <c r="P47" s="322"/>
      <c r="Q47" s="424"/>
      <c r="R47" s="322"/>
      <c r="S47" s="156"/>
      <c r="T47" s="300"/>
      <c r="U47" s="389"/>
      <c r="V47" s="331">
        <f>AB43*13</f>
        <v>0</v>
      </c>
      <c r="W47" s="423"/>
      <c r="X47" s="322"/>
      <c r="Y47" s="333"/>
      <c r="Z47" s="322"/>
      <c r="AA47" s="424"/>
      <c r="AB47" s="322"/>
      <c r="AD47" s="300"/>
      <c r="AE47" s="389"/>
      <c r="AF47" s="331">
        <f>AL43*13</f>
        <v>0</v>
      </c>
      <c r="AG47" s="423"/>
      <c r="AH47" s="322"/>
      <c r="AI47" s="333"/>
      <c r="AJ47" s="322"/>
      <c r="AK47" s="424"/>
      <c r="AL47" s="322"/>
      <c r="AN47" s="300"/>
      <c r="AO47" s="389"/>
      <c r="AP47" s="331">
        <f>AV43*13</f>
        <v>0</v>
      </c>
      <c r="AQ47" s="423"/>
      <c r="AR47" s="322"/>
      <c r="AS47" s="333"/>
      <c r="AT47" s="322"/>
      <c r="AU47" s="424"/>
      <c r="AV47" s="322"/>
      <c r="AX47" s="300"/>
      <c r="AY47" s="389"/>
      <c r="AZ47" s="331">
        <f>BF43*13</f>
        <v>0</v>
      </c>
      <c r="BA47" s="423"/>
      <c r="BB47" s="322"/>
      <c r="BC47" s="333"/>
      <c r="BD47" s="322"/>
      <c r="BE47" s="424"/>
      <c r="BF47" s="322"/>
      <c r="BH47" s="300"/>
      <c r="BI47" s="389"/>
      <c r="BJ47" s="331">
        <f>BP43*13</f>
        <v>0</v>
      </c>
      <c r="BK47" s="423"/>
      <c r="BL47" s="322"/>
      <c r="BM47" s="333"/>
      <c r="BN47" s="322"/>
      <c r="BO47" s="424"/>
      <c r="BP47" s="322"/>
    </row>
    <row r="48" spans="2:68" ht="18.75">
      <c r="K48" s="321"/>
      <c r="L48" s="390"/>
      <c r="M48" s="286" t="s">
        <v>97</v>
      </c>
      <c r="N48" s="287" t="e">
        <f>N45/((N43*EFFICIENCY!$H$28))</f>
        <v>#DIV/0!</v>
      </c>
      <c r="O48" s="286" t="s">
        <v>97</v>
      </c>
      <c r="P48" s="287" t="e">
        <f>P45/(P43*EFFICIENCY!$H$28)</f>
        <v>#DIV/0!</v>
      </c>
      <c r="Q48" s="286" t="s">
        <v>97</v>
      </c>
      <c r="R48" s="287" t="e">
        <f>R45/(R43*EFFICIENCY!$H$28)</f>
        <v>#DIV/0!</v>
      </c>
      <c r="S48" s="295"/>
      <c r="T48" s="300"/>
      <c r="U48" s="321"/>
      <c r="V48" s="390"/>
      <c r="W48" s="286" t="s">
        <v>97</v>
      </c>
      <c r="X48" s="287" t="e">
        <f>X45/((X43*EFFICIENCY!$H$28))</f>
        <v>#DIV/0!</v>
      </c>
      <c r="Y48" s="286" t="s">
        <v>97</v>
      </c>
      <c r="Z48" s="287" t="e">
        <f>Z45/(Z43*EFFICIENCY!$H$28)</f>
        <v>#DIV/0!</v>
      </c>
      <c r="AA48" s="286" t="s">
        <v>97</v>
      </c>
      <c r="AB48" s="287" t="e">
        <f>AB45/(AB43*EFFICIENCY!$H$28)</f>
        <v>#DIV/0!</v>
      </c>
      <c r="AD48" s="300"/>
      <c r="AE48" s="321"/>
      <c r="AF48" s="390"/>
      <c r="AG48" s="286" t="s">
        <v>97</v>
      </c>
      <c r="AH48" s="287" t="e">
        <f>AH45/((AH43*EFFICIENCY!$H$28))</f>
        <v>#DIV/0!</v>
      </c>
      <c r="AI48" s="286" t="s">
        <v>97</v>
      </c>
      <c r="AJ48" s="287" t="e">
        <f>AJ45/(AJ43*EFFICIENCY!$H$28)</f>
        <v>#DIV/0!</v>
      </c>
      <c r="AK48" s="286" t="s">
        <v>97</v>
      </c>
      <c r="AL48" s="287" t="e">
        <f>AL45/(AL43*EFFICIENCY!$H$28)</f>
        <v>#DIV/0!</v>
      </c>
      <c r="AN48" s="300"/>
      <c r="AO48" s="321"/>
      <c r="AP48" s="390"/>
      <c r="AQ48" s="286" t="s">
        <v>97</v>
      </c>
      <c r="AR48" s="287" t="e">
        <f>AR45/((AR43*EFFICIENCY!$H$28))</f>
        <v>#DIV/0!</v>
      </c>
      <c r="AS48" s="286" t="s">
        <v>97</v>
      </c>
      <c r="AT48" s="287" t="e">
        <f>AT45/(AT43*EFFICIENCY!$H$28)</f>
        <v>#DIV/0!</v>
      </c>
      <c r="AU48" s="286" t="s">
        <v>97</v>
      </c>
      <c r="AV48" s="287" t="e">
        <f>AV45/(AV43*EFFICIENCY!$H$28)</f>
        <v>#DIV/0!</v>
      </c>
      <c r="AX48" s="300"/>
      <c r="AY48" s="321"/>
      <c r="AZ48" s="390"/>
      <c r="BA48" s="286" t="s">
        <v>97</v>
      </c>
      <c r="BB48" s="287" t="e">
        <f>BB45/((BB43*EFFICIENCY!$H$28))</f>
        <v>#DIV/0!</v>
      </c>
      <c r="BC48" s="286" t="s">
        <v>97</v>
      </c>
      <c r="BD48" s="287" t="e">
        <f>BD45/(BD43*EFFICIENCY!$H$28)</f>
        <v>#DIV/0!</v>
      </c>
      <c r="BE48" s="286" t="s">
        <v>97</v>
      </c>
      <c r="BF48" s="287" t="e">
        <f>BF45/(BF43*EFFICIENCY!$H$28)</f>
        <v>#DIV/0!</v>
      </c>
      <c r="BH48" s="300"/>
      <c r="BI48" s="321"/>
      <c r="BJ48" s="390"/>
      <c r="BK48" s="286" t="s">
        <v>97</v>
      </c>
      <c r="BL48" s="287" t="e">
        <f>BL45/((BL43*EFFICIENCY!$H$28))</f>
        <v>#DIV/0!</v>
      </c>
      <c r="BM48" s="286" t="s">
        <v>97</v>
      </c>
      <c r="BN48" s="287" t="e">
        <f>BN45/(BN43*EFFICIENCY!$H$28)</f>
        <v>#DIV/0!</v>
      </c>
      <c r="BO48" s="286" t="s">
        <v>97</v>
      </c>
      <c r="BP48" s="287" t="e">
        <f>BP45/(BP43*EFFICIENCY!$H$28)</f>
        <v>#DIV/0!</v>
      </c>
    </row>
    <row r="49" spans="10:68" ht="18.75">
      <c r="K49" s="321"/>
      <c r="L49" s="320"/>
      <c r="M49" s="280" t="s">
        <v>96</v>
      </c>
      <c r="N49" s="281" t="e">
        <f>N45/(N43*EFFICIENCY!$I$28)</f>
        <v>#DIV/0!</v>
      </c>
      <c r="O49" s="280" t="s">
        <v>96</v>
      </c>
      <c r="P49" s="281" t="e">
        <f>P45/(P43*EFFICIENCY!$I$28)</f>
        <v>#DIV/0!</v>
      </c>
      <c r="Q49" s="280" t="s">
        <v>96</v>
      </c>
      <c r="R49" s="281" t="e">
        <f>R45/(R43*EFFICIENCY!$I$28)</f>
        <v>#DIV/0!</v>
      </c>
      <c r="S49" s="296"/>
      <c r="T49" s="300"/>
      <c r="U49" s="321"/>
      <c r="V49" s="320"/>
      <c r="W49" s="280" t="s">
        <v>96</v>
      </c>
      <c r="X49" s="281" t="e">
        <f>X45/(X43*EFFICIENCY!$I$28)</f>
        <v>#DIV/0!</v>
      </c>
      <c r="Y49" s="280" t="s">
        <v>96</v>
      </c>
      <c r="Z49" s="281" t="e">
        <f>Z45/(Z43*EFFICIENCY!$I$28)</f>
        <v>#DIV/0!</v>
      </c>
      <c r="AA49" s="280" t="s">
        <v>96</v>
      </c>
      <c r="AB49" s="281" t="e">
        <f>AB45/(AB43*EFFICIENCY!$I$28)</f>
        <v>#DIV/0!</v>
      </c>
      <c r="AD49" s="300"/>
      <c r="AE49" s="321"/>
      <c r="AF49" s="320"/>
      <c r="AG49" s="280" t="s">
        <v>96</v>
      </c>
      <c r="AH49" s="281" t="e">
        <f>AH45/(AH43*EFFICIENCY!$I$28)</f>
        <v>#DIV/0!</v>
      </c>
      <c r="AI49" s="280" t="s">
        <v>96</v>
      </c>
      <c r="AJ49" s="281" t="e">
        <f>AJ45/(AJ43*EFFICIENCY!$I$28)</f>
        <v>#DIV/0!</v>
      </c>
      <c r="AK49" s="280" t="s">
        <v>96</v>
      </c>
      <c r="AL49" s="281" t="e">
        <f>AL45/(AL43*EFFICIENCY!$I$28)</f>
        <v>#DIV/0!</v>
      </c>
      <c r="AN49" s="300"/>
      <c r="AO49" s="321"/>
      <c r="AP49" s="320"/>
      <c r="AQ49" s="280" t="s">
        <v>96</v>
      </c>
      <c r="AR49" s="281" t="e">
        <f>AR45/(AR43*EFFICIENCY!$I$28)</f>
        <v>#DIV/0!</v>
      </c>
      <c r="AS49" s="280" t="s">
        <v>96</v>
      </c>
      <c r="AT49" s="281" t="e">
        <f>AT45/(AT43*EFFICIENCY!$I$28)</f>
        <v>#DIV/0!</v>
      </c>
      <c r="AU49" s="280" t="s">
        <v>96</v>
      </c>
      <c r="AV49" s="281" t="e">
        <f>AV45/(AV43*EFFICIENCY!$I$28)</f>
        <v>#DIV/0!</v>
      </c>
      <c r="AX49" s="300"/>
      <c r="AY49" s="321"/>
      <c r="AZ49" s="320"/>
      <c r="BA49" s="280" t="s">
        <v>96</v>
      </c>
      <c r="BB49" s="281" t="e">
        <f>BB45/(BB43*EFFICIENCY!$I$28)</f>
        <v>#DIV/0!</v>
      </c>
      <c r="BC49" s="280" t="s">
        <v>96</v>
      </c>
      <c r="BD49" s="281" t="e">
        <f>BD45/(BD43*EFFICIENCY!$I$28)</f>
        <v>#DIV/0!</v>
      </c>
      <c r="BE49" s="280" t="s">
        <v>96</v>
      </c>
      <c r="BF49" s="281" t="e">
        <f>BF45/(BF43*EFFICIENCY!$I$28)</f>
        <v>#DIV/0!</v>
      </c>
      <c r="BH49" s="300"/>
      <c r="BI49" s="321"/>
      <c r="BJ49" s="320"/>
      <c r="BK49" s="280" t="s">
        <v>96</v>
      </c>
      <c r="BL49" s="281" t="e">
        <f>BL45/(BL43*EFFICIENCY!$I$28)</f>
        <v>#DIV/0!</v>
      </c>
      <c r="BM49" s="280" t="s">
        <v>96</v>
      </c>
      <c r="BN49" s="281" t="e">
        <f>BN45/(BN43*EFFICIENCY!$I$28)</f>
        <v>#DIV/0!</v>
      </c>
      <c r="BO49" s="280" t="s">
        <v>96</v>
      </c>
      <c r="BP49" s="281" t="e">
        <f>BP45/(BP43*EFFICIENCY!$I$28)</f>
        <v>#DIV/0!</v>
      </c>
    </row>
    <row r="50" spans="10:68" ht="19.5" customHeight="1" thickBot="1">
      <c r="K50" s="686" t="s">
        <v>156</v>
      </c>
      <c r="L50" s="687"/>
      <c r="M50" s="284" t="s">
        <v>94</v>
      </c>
      <c r="N50" s="285" t="e">
        <f>N45/((N43*EFFICIENCY!$K$28))</f>
        <v>#DIV/0!</v>
      </c>
      <c r="O50" s="288" t="s">
        <v>94</v>
      </c>
      <c r="P50" s="285" t="e">
        <f>P45/((P43*EFFICIENCY!$K$28))</f>
        <v>#DIV/0!</v>
      </c>
      <c r="Q50" s="284" t="s">
        <v>94</v>
      </c>
      <c r="R50" s="285" t="e">
        <f>R45/((R43*EFFICIENCY!$K$28))</f>
        <v>#DIV/0!</v>
      </c>
      <c r="S50" s="297"/>
      <c r="T50" s="300"/>
      <c r="U50" s="686" t="s">
        <v>156</v>
      </c>
      <c r="V50" s="687"/>
      <c r="W50" s="284" t="s">
        <v>94</v>
      </c>
      <c r="X50" s="285" t="e">
        <f>X45/((X43*EFFICIENCY!$K$28))</f>
        <v>#DIV/0!</v>
      </c>
      <c r="Y50" s="288" t="s">
        <v>94</v>
      </c>
      <c r="Z50" s="285" t="e">
        <f>Z45/((Z43*EFFICIENCY!$K$28))</f>
        <v>#DIV/0!</v>
      </c>
      <c r="AA50" s="284" t="s">
        <v>94</v>
      </c>
      <c r="AB50" s="285" t="e">
        <f>AB45/((AB43*EFFICIENCY!$K$28))</f>
        <v>#DIV/0!</v>
      </c>
      <c r="AD50" s="300"/>
      <c r="AE50" s="686" t="s">
        <v>156</v>
      </c>
      <c r="AF50" s="687"/>
      <c r="AG50" s="284" t="s">
        <v>94</v>
      </c>
      <c r="AH50" s="285" t="e">
        <f>AH45/((AH43*EFFICIENCY!$K$28))</f>
        <v>#DIV/0!</v>
      </c>
      <c r="AI50" s="288" t="s">
        <v>94</v>
      </c>
      <c r="AJ50" s="285" t="e">
        <f>AJ45/((AJ43*EFFICIENCY!$K$28))</f>
        <v>#DIV/0!</v>
      </c>
      <c r="AK50" s="284" t="s">
        <v>94</v>
      </c>
      <c r="AL50" s="285" t="e">
        <f>AL45/((AL43*EFFICIENCY!$K$28))</f>
        <v>#DIV/0!</v>
      </c>
      <c r="AN50" s="300"/>
      <c r="AO50" s="686" t="s">
        <v>156</v>
      </c>
      <c r="AP50" s="687"/>
      <c r="AQ50" s="284" t="s">
        <v>94</v>
      </c>
      <c r="AR50" s="285" t="e">
        <f>AR45/((AR43*EFFICIENCY!$K$28))</f>
        <v>#DIV/0!</v>
      </c>
      <c r="AS50" s="288" t="s">
        <v>94</v>
      </c>
      <c r="AT50" s="285" t="e">
        <f>AT45/((AT43*EFFICIENCY!$K$28))</f>
        <v>#DIV/0!</v>
      </c>
      <c r="AU50" s="284" t="s">
        <v>94</v>
      </c>
      <c r="AV50" s="285" t="e">
        <f>AV45/((AV43*EFFICIENCY!$K$28))</f>
        <v>#DIV/0!</v>
      </c>
      <c r="AX50" s="300"/>
      <c r="AY50" s="686" t="s">
        <v>156</v>
      </c>
      <c r="AZ50" s="687"/>
      <c r="BA50" s="284" t="s">
        <v>94</v>
      </c>
      <c r="BB50" s="285" t="e">
        <f>BB45/((BB43*EFFICIENCY!$K$28))</f>
        <v>#DIV/0!</v>
      </c>
      <c r="BC50" s="288" t="s">
        <v>94</v>
      </c>
      <c r="BD50" s="285" t="e">
        <f>BD45/((BD43*EFFICIENCY!$K$28))</f>
        <v>#DIV/0!</v>
      </c>
      <c r="BE50" s="284" t="s">
        <v>94</v>
      </c>
      <c r="BF50" s="285" t="e">
        <f>BF45/((BF43*EFFICIENCY!$K$28))</f>
        <v>#DIV/0!</v>
      </c>
      <c r="BH50" s="300"/>
      <c r="BI50" s="686" t="s">
        <v>156</v>
      </c>
      <c r="BJ50" s="687"/>
      <c r="BK50" s="284" t="s">
        <v>94</v>
      </c>
      <c r="BL50" s="285" t="e">
        <f>BL45/((BL43*EFFICIENCY!$K$28))</f>
        <v>#DIV/0!</v>
      </c>
      <c r="BM50" s="288" t="s">
        <v>94</v>
      </c>
      <c r="BN50" s="285" t="e">
        <f>BN45/((BN43*EFFICIENCY!$K$28))</f>
        <v>#DIV/0!</v>
      </c>
      <c r="BO50" s="284" t="s">
        <v>94</v>
      </c>
      <c r="BP50" s="285" t="e">
        <f>BP45/((BP43*EFFICIENCY!$K$28))</f>
        <v>#DIV/0!</v>
      </c>
    </row>
    <row r="51" spans="10:68" ht="16.5" thickBot="1">
      <c r="K51" s="391"/>
      <c r="L51" s="392" t="e">
        <f>R45/R43</f>
        <v>#DIV/0!</v>
      </c>
      <c r="M51" s="649" t="s">
        <v>153</v>
      </c>
      <c r="N51" s="650"/>
      <c r="O51" s="290"/>
      <c r="P51" s="420"/>
      <c r="Q51" s="420" t="s">
        <v>154</v>
      </c>
      <c r="R51" s="336">
        <f>O51-R45</f>
        <v>0</v>
      </c>
      <c r="S51" s="298"/>
      <c r="T51" s="300"/>
      <c r="U51" s="391"/>
      <c r="V51" s="392" t="e">
        <f>AB45/AB43</f>
        <v>#DIV/0!</v>
      </c>
      <c r="W51" s="649" t="s">
        <v>153</v>
      </c>
      <c r="X51" s="650"/>
      <c r="Y51" s="290"/>
      <c r="Z51" s="420"/>
      <c r="AA51" s="420" t="s">
        <v>154</v>
      </c>
      <c r="AB51" s="336">
        <f>Y51-AB45</f>
        <v>0</v>
      </c>
      <c r="AD51" s="300"/>
      <c r="AE51" s="391"/>
      <c r="AF51" s="392" t="e">
        <f>AL45/AL43</f>
        <v>#DIV/0!</v>
      </c>
      <c r="AG51" s="649" t="s">
        <v>153</v>
      </c>
      <c r="AH51" s="650"/>
      <c r="AI51" s="290"/>
      <c r="AJ51" s="420"/>
      <c r="AK51" s="420" t="s">
        <v>154</v>
      </c>
      <c r="AL51" s="336">
        <f>AI51-AL45</f>
        <v>0</v>
      </c>
      <c r="AN51" s="300"/>
      <c r="AO51" s="391"/>
      <c r="AP51" s="392" t="e">
        <f>AV45/AV43</f>
        <v>#DIV/0!</v>
      </c>
      <c r="AQ51" s="649" t="s">
        <v>153</v>
      </c>
      <c r="AR51" s="650"/>
      <c r="AS51" s="290"/>
      <c r="AT51" s="420"/>
      <c r="AU51" s="420" t="s">
        <v>154</v>
      </c>
      <c r="AV51" s="336">
        <f>AS51-AV45</f>
        <v>0</v>
      </c>
      <c r="AX51" s="300"/>
      <c r="AY51" s="391"/>
      <c r="AZ51" s="392" t="e">
        <f>BF45/BF43</f>
        <v>#DIV/0!</v>
      </c>
      <c r="BA51" s="649" t="s">
        <v>153</v>
      </c>
      <c r="BB51" s="650"/>
      <c r="BC51" s="290"/>
      <c r="BD51" s="420"/>
      <c r="BE51" s="420" t="s">
        <v>154</v>
      </c>
      <c r="BF51" s="336">
        <f>BC51-BF45</f>
        <v>0</v>
      </c>
      <c r="BH51" s="300"/>
      <c r="BI51" s="391"/>
      <c r="BJ51" s="392" t="e">
        <f>BP45/BP43</f>
        <v>#DIV/0!</v>
      </c>
      <c r="BK51" s="649" t="s">
        <v>153</v>
      </c>
      <c r="BL51" s="650"/>
      <c r="BM51" s="290"/>
      <c r="BN51" s="420"/>
      <c r="BO51" s="420" t="s">
        <v>154</v>
      </c>
      <c r="BP51" s="336">
        <f>BM51-BP45</f>
        <v>0</v>
      </c>
    </row>
    <row r="52" spans="10:68">
      <c r="T52" s="300"/>
      <c r="AD52" s="300"/>
      <c r="AN52" s="300"/>
      <c r="AX52" s="300"/>
      <c r="BH52" s="300"/>
    </row>
    <row r="53" spans="10:68" ht="13.5" thickBot="1">
      <c r="J53" s="291"/>
      <c r="K53" s="291"/>
      <c r="L53" s="291"/>
      <c r="M53" s="291"/>
      <c r="N53" s="291"/>
      <c r="O53" s="291"/>
      <c r="P53" s="291"/>
      <c r="Q53" s="291"/>
      <c r="R53" s="291"/>
      <c r="S53" s="299"/>
      <c r="T53" s="301"/>
      <c r="U53" s="291"/>
      <c r="V53" s="291"/>
      <c r="W53" s="291"/>
      <c r="X53" s="291"/>
      <c r="Y53" s="291"/>
      <c r="Z53" s="291"/>
      <c r="AA53" s="291"/>
      <c r="AB53" s="291"/>
      <c r="AC53" s="291"/>
      <c r="AD53" s="301"/>
      <c r="AE53" s="291"/>
      <c r="AF53" s="291"/>
      <c r="AG53" s="291"/>
      <c r="AH53" s="291"/>
      <c r="AI53" s="291"/>
      <c r="AJ53" s="291"/>
      <c r="AK53" s="291"/>
      <c r="AL53" s="291"/>
      <c r="AM53" s="291"/>
      <c r="AN53" s="301"/>
      <c r="AO53" s="291"/>
      <c r="AP53" s="291"/>
      <c r="AQ53" s="291"/>
      <c r="AR53" s="291"/>
      <c r="AS53" s="291"/>
      <c r="AT53" s="291"/>
      <c r="AU53" s="291"/>
      <c r="AV53" s="291"/>
      <c r="AW53" s="291"/>
      <c r="AX53" s="301"/>
      <c r="AY53" s="291"/>
      <c r="AZ53" s="291"/>
      <c r="BA53" s="291"/>
      <c r="BB53" s="291"/>
      <c r="BC53" s="291"/>
      <c r="BD53" s="291"/>
      <c r="BE53" s="291"/>
      <c r="BF53" s="291"/>
      <c r="BG53" s="291"/>
      <c r="BH53" s="301"/>
      <c r="BI53" s="291"/>
      <c r="BJ53" s="291"/>
      <c r="BK53" s="291"/>
      <c r="BL53" s="291"/>
      <c r="BM53" s="291"/>
      <c r="BN53" s="291"/>
      <c r="BO53" s="291"/>
      <c r="BP53" s="291"/>
    </row>
    <row r="54" spans="10:68" ht="15.75" thickBot="1">
      <c r="J54" s="154"/>
      <c r="K54" s="409" t="s">
        <v>7</v>
      </c>
      <c r="L54" s="536">
        <f>B31</f>
        <v>42702</v>
      </c>
      <c r="M54" s="651" t="s">
        <v>100</v>
      </c>
      <c r="N54" s="652"/>
      <c r="O54" s="653" t="s">
        <v>99</v>
      </c>
      <c r="P54" s="654"/>
      <c r="Q54" s="655" t="s">
        <v>16</v>
      </c>
      <c r="R54" s="656"/>
      <c r="S54" s="293"/>
      <c r="T54" s="300"/>
      <c r="U54" s="409" t="s">
        <v>7</v>
      </c>
      <c r="V54" s="536">
        <f>B32</f>
        <v>42703</v>
      </c>
      <c r="W54" s="651" t="s">
        <v>100</v>
      </c>
      <c r="X54" s="652"/>
      <c r="Y54" s="653" t="s">
        <v>99</v>
      </c>
      <c r="Z54" s="654"/>
      <c r="AA54" s="655" t="s">
        <v>16</v>
      </c>
      <c r="AB54" s="656"/>
      <c r="AC54" s="154"/>
      <c r="AD54" s="300"/>
      <c r="AE54" s="409" t="s">
        <v>7</v>
      </c>
      <c r="AF54" s="536">
        <f>B33</f>
        <v>42704</v>
      </c>
      <c r="AG54" s="651" t="s">
        <v>100</v>
      </c>
      <c r="AH54" s="652"/>
      <c r="AI54" s="653" t="s">
        <v>99</v>
      </c>
      <c r="AJ54" s="654"/>
      <c r="AK54" s="655" t="s">
        <v>16</v>
      </c>
      <c r="AL54" s="656"/>
      <c r="AM54" s="154"/>
      <c r="AN54" s="300"/>
      <c r="AO54" s="409" t="s">
        <v>7</v>
      </c>
      <c r="AP54" s="536">
        <f>B34</f>
        <v>42705</v>
      </c>
      <c r="AQ54" s="651" t="s">
        <v>100</v>
      </c>
      <c r="AR54" s="652"/>
      <c r="AS54" s="653" t="s">
        <v>99</v>
      </c>
      <c r="AT54" s="654"/>
      <c r="AU54" s="655" t="s">
        <v>16</v>
      </c>
      <c r="AV54" s="656"/>
      <c r="AW54" s="154"/>
      <c r="AX54" s="300"/>
      <c r="AY54" s="409" t="s">
        <v>7</v>
      </c>
      <c r="AZ54" s="536">
        <f>B35</f>
        <v>42706</v>
      </c>
      <c r="BA54" s="651" t="s">
        <v>100</v>
      </c>
      <c r="BB54" s="652"/>
      <c r="BC54" s="653" t="s">
        <v>99</v>
      </c>
      <c r="BD54" s="654"/>
      <c r="BE54" s="655" t="s">
        <v>16</v>
      </c>
      <c r="BF54" s="656"/>
      <c r="BG54" s="154"/>
      <c r="BH54" s="300"/>
      <c r="BI54" s="409" t="s">
        <v>7</v>
      </c>
      <c r="BJ54" s="536">
        <f>B36</f>
        <v>42707</v>
      </c>
      <c r="BK54" s="651" t="s">
        <v>100</v>
      </c>
      <c r="BL54" s="652"/>
      <c r="BM54" s="653" t="s">
        <v>99</v>
      </c>
      <c r="BN54" s="654"/>
      <c r="BO54" s="655" t="s">
        <v>16</v>
      </c>
      <c r="BP54" s="656"/>
    </row>
    <row r="55" spans="10:68" ht="13.5" thickBot="1">
      <c r="J55" s="154"/>
      <c r="K55" s="394"/>
      <c r="L55" s="393"/>
      <c r="M55" s="394"/>
      <c r="N55" s="395"/>
      <c r="O55" s="394"/>
      <c r="P55" s="395"/>
      <c r="Q55" s="393"/>
      <c r="R55" s="395"/>
      <c r="S55" s="156"/>
      <c r="T55" s="300"/>
      <c r="U55" s="394"/>
      <c r="V55" s="393"/>
      <c r="W55" s="394"/>
      <c r="X55" s="395"/>
      <c r="Y55" s="394"/>
      <c r="Z55" s="395"/>
      <c r="AA55" s="393"/>
      <c r="AB55" s="395"/>
      <c r="AC55" s="154"/>
      <c r="AD55" s="300"/>
      <c r="AE55" s="394"/>
      <c r="AF55" s="393"/>
      <c r="AG55" s="394"/>
      <c r="AH55" s="395"/>
      <c r="AI55" s="394"/>
      <c r="AJ55" s="395"/>
      <c r="AK55" s="393"/>
      <c r="AL55" s="395"/>
      <c r="AM55" s="154"/>
      <c r="AN55" s="300"/>
      <c r="AO55" s="394"/>
      <c r="AP55" s="393"/>
      <c r="AQ55" s="394"/>
      <c r="AR55" s="395"/>
      <c r="AS55" s="394"/>
      <c r="AT55" s="395"/>
      <c r="AU55" s="393"/>
      <c r="AV55" s="395"/>
      <c r="AW55" s="154"/>
      <c r="AX55" s="300"/>
      <c r="AY55" s="394"/>
      <c r="AZ55" s="393"/>
      <c r="BA55" s="394"/>
      <c r="BB55" s="395"/>
      <c r="BC55" s="394"/>
      <c r="BD55" s="395"/>
      <c r="BE55" s="393"/>
      <c r="BF55" s="395"/>
      <c r="BG55" s="154"/>
      <c r="BH55" s="300"/>
      <c r="BI55" s="394"/>
      <c r="BJ55" s="393"/>
      <c r="BK55" s="394"/>
      <c r="BL55" s="395"/>
      <c r="BM55" s="394"/>
      <c r="BN55" s="395"/>
      <c r="BO55" s="393"/>
      <c r="BP55" s="395"/>
    </row>
    <row r="56" spans="10:68" ht="16.5" thickBot="1">
      <c r="J56" s="154"/>
      <c r="K56" s="394"/>
      <c r="L56" s="417" t="s">
        <v>155</v>
      </c>
      <c r="M56" s="397" t="s">
        <v>103</v>
      </c>
      <c r="N56" s="279"/>
      <c r="O56" s="397" t="s">
        <v>103</v>
      </c>
      <c r="P56" s="279"/>
      <c r="Q56" s="398" t="s">
        <v>103</v>
      </c>
      <c r="R56" s="399">
        <f>SUM(N56,P56)</f>
        <v>0</v>
      </c>
      <c r="S56" s="294"/>
      <c r="T56" s="300"/>
      <c r="U56" s="394"/>
      <c r="V56" s="417" t="s">
        <v>155</v>
      </c>
      <c r="W56" s="397" t="s">
        <v>103</v>
      </c>
      <c r="X56" s="279"/>
      <c r="Y56" s="397" t="s">
        <v>103</v>
      </c>
      <c r="Z56" s="279"/>
      <c r="AA56" s="398" t="s">
        <v>103</v>
      </c>
      <c r="AB56" s="399">
        <f>SUM(X56,Z56)</f>
        <v>0</v>
      </c>
      <c r="AC56" s="154"/>
      <c r="AD56" s="300"/>
      <c r="AE56" s="394"/>
      <c r="AF56" s="417" t="s">
        <v>155</v>
      </c>
      <c r="AG56" s="397" t="s">
        <v>103</v>
      </c>
      <c r="AH56" s="279"/>
      <c r="AI56" s="397" t="s">
        <v>103</v>
      </c>
      <c r="AJ56" s="279"/>
      <c r="AK56" s="398" t="s">
        <v>103</v>
      </c>
      <c r="AL56" s="399">
        <f>SUM(AH56,AJ56)</f>
        <v>0</v>
      </c>
      <c r="AM56" s="154"/>
      <c r="AN56" s="300"/>
      <c r="AO56" s="394"/>
      <c r="AP56" s="417" t="s">
        <v>155</v>
      </c>
      <c r="AQ56" s="397" t="s">
        <v>103</v>
      </c>
      <c r="AR56" s="279"/>
      <c r="AS56" s="397" t="s">
        <v>103</v>
      </c>
      <c r="AT56" s="279"/>
      <c r="AU56" s="398" t="s">
        <v>103</v>
      </c>
      <c r="AV56" s="399">
        <f>SUM(AR56,AT56)</f>
        <v>0</v>
      </c>
      <c r="AW56" s="154"/>
      <c r="AX56" s="300"/>
      <c r="AY56" s="394"/>
      <c r="AZ56" s="417" t="s">
        <v>155</v>
      </c>
      <c r="BA56" s="397" t="s">
        <v>103</v>
      </c>
      <c r="BB56" s="279"/>
      <c r="BC56" s="397" t="s">
        <v>103</v>
      </c>
      <c r="BD56" s="279"/>
      <c r="BE56" s="398" t="s">
        <v>103</v>
      </c>
      <c r="BF56" s="399">
        <f>SUM(BB56,BD56)</f>
        <v>0</v>
      </c>
      <c r="BG56" s="154"/>
      <c r="BH56" s="300"/>
      <c r="BI56" s="394"/>
      <c r="BJ56" s="417" t="s">
        <v>155</v>
      </c>
      <c r="BK56" s="397" t="s">
        <v>103</v>
      </c>
      <c r="BL56" s="279"/>
      <c r="BM56" s="397" t="s">
        <v>103</v>
      </c>
      <c r="BN56" s="279"/>
      <c r="BO56" s="398" t="s">
        <v>103</v>
      </c>
      <c r="BP56" s="399">
        <f>SUM(BL56,BN56)</f>
        <v>0</v>
      </c>
    </row>
    <row r="57" spans="10:68" ht="18.75" thickBot="1">
      <c r="K57" s="394"/>
      <c r="L57" s="289">
        <v>8</v>
      </c>
      <c r="M57" s="400" t="s">
        <v>5</v>
      </c>
      <c r="N57" s="401">
        <f>VLOOKUP(L54, $B$3:$E$109, 4, FALSE)</f>
        <v>0</v>
      </c>
      <c r="O57" s="400" t="s">
        <v>5</v>
      </c>
      <c r="P57" s="402">
        <f>VLOOKUP(L54, $B$3:$F$109, 5, FALSE)</f>
        <v>0</v>
      </c>
      <c r="Q57" s="403" t="s">
        <v>5</v>
      </c>
      <c r="R57" s="399">
        <f>SUM(N57,P57)</f>
        <v>0</v>
      </c>
      <c r="S57" s="294"/>
      <c r="T57" s="300"/>
      <c r="U57" s="394"/>
      <c r="V57" s="289">
        <v>8</v>
      </c>
      <c r="W57" s="400" t="s">
        <v>5</v>
      </c>
      <c r="X57" s="401">
        <f>VLOOKUP(V54, $B$3:$E$109, 4, FALSE)</f>
        <v>0</v>
      </c>
      <c r="Y57" s="400" t="s">
        <v>5</v>
      </c>
      <c r="Z57" s="402">
        <f>VLOOKUP(V54, $B$3:$F$109, 5, FALSE)</f>
        <v>0</v>
      </c>
      <c r="AA57" s="403" t="s">
        <v>5</v>
      </c>
      <c r="AB57" s="399">
        <f>SUM(X57,Z57)</f>
        <v>0</v>
      </c>
      <c r="AD57" s="300"/>
      <c r="AE57" s="394"/>
      <c r="AF57" s="289">
        <v>8</v>
      </c>
      <c r="AG57" s="400" t="s">
        <v>5</v>
      </c>
      <c r="AH57" s="401">
        <f>VLOOKUP(AF54, $B$3:$E$109, 4, FALSE)</f>
        <v>0</v>
      </c>
      <c r="AI57" s="400" t="s">
        <v>5</v>
      </c>
      <c r="AJ57" s="402">
        <f>VLOOKUP(AF54, $B$3:$F$109, 5, FALSE)</f>
        <v>0</v>
      </c>
      <c r="AK57" s="403" t="s">
        <v>5</v>
      </c>
      <c r="AL57" s="399">
        <f>SUM(AH57,AJ57)</f>
        <v>0</v>
      </c>
      <c r="AN57" s="300"/>
      <c r="AO57" s="394"/>
      <c r="AP57" s="289">
        <v>8</v>
      </c>
      <c r="AQ57" s="400" t="s">
        <v>5</v>
      </c>
      <c r="AR57" s="401">
        <f>VLOOKUP(AP54, $B$3:$E$109, 4, FALSE)</f>
        <v>0</v>
      </c>
      <c r="AS57" s="400" t="s">
        <v>5</v>
      </c>
      <c r="AT57" s="402">
        <f>VLOOKUP(AP54, $B$3:$F$109, 5, FALSE)</f>
        <v>0</v>
      </c>
      <c r="AU57" s="403" t="s">
        <v>5</v>
      </c>
      <c r="AV57" s="399">
        <f>SUM(AR57,AT57)</f>
        <v>0</v>
      </c>
      <c r="AX57" s="300"/>
      <c r="AY57" s="394"/>
      <c r="AZ57" s="289">
        <v>8</v>
      </c>
      <c r="BA57" s="400" t="s">
        <v>5</v>
      </c>
      <c r="BB57" s="401">
        <f>VLOOKUP(AZ54, $B$3:$E$109, 4, FALSE)</f>
        <v>0</v>
      </c>
      <c r="BC57" s="400" t="s">
        <v>5</v>
      </c>
      <c r="BD57" s="402">
        <f>VLOOKUP(AZ54, $B$3:$F$109, 5, FALSE)</f>
        <v>0</v>
      </c>
      <c r="BE57" s="403" t="s">
        <v>5</v>
      </c>
      <c r="BF57" s="399">
        <f>SUM(BB57,BD57)</f>
        <v>0</v>
      </c>
      <c r="BH57" s="300"/>
      <c r="BI57" s="394"/>
      <c r="BJ57" s="289">
        <v>8</v>
      </c>
      <c r="BK57" s="400" t="s">
        <v>5</v>
      </c>
      <c r="BL57" s="401">
        <f>VLOOKUP(BJ54, $B$3:$E$109, 4, FALSE)</f>
        <v>0</v>
      </c>
      <c r="BM57" s="400" t="s">
        <v>5</v>
      </c>
      <c r="BN57" s="402">
        <f>VLOOKUP(BJ54, $B$3:$F$109, 5, FALSE)</f>
        <v>0</v>
      </c>
      <c r="BO57" s="403" t="s">
        <v>5</v>
      </c>
      <c r="BP57" s="399">
        <f>SUM(BL57,BN57)</f>
        <v>0</v>
      </c>
    </row>
    <row r="58" spans="10:68" ht="15.75" customHeight="1">
      <c r="K58" s="394"/>
      <c r="L58" s="393"/>
      <c r="M58" s="657" t="s">
        <v>105</v>
      </c>
      <c r="N58" s="401">
        <f>VLOOKUP(L54, $B$3:$E$109, 2, FALSE)</f>
        <v>0</v>
      </c>
      <c r="O58" s="657" t="s">
        <v>105</v>
      </c>
      <c r="P58" s="402">
        <f>VLOOKUP(L54, $B$3:$E$109, 3, FALSE)</f>
        <v>0</v>
      </c>
      <c r="Q58" s="658" t="s">
        <v>105</v>
      </c>
      <c r="R58" s="399">
        <f>SUM(N58,P58)</f>
        <v>0</v>
      </c>
      <c r="S58" s="294"/>
      <c r="T58" s="300"/>
      <c r="U58" s="394"/>
      <c r="V58" s="393"/>
      <c r="W58" s="657" t="s">
        <v>105</v>
      </c>
      <c r="X58" s="401">
        <f>VLOOKUP(V54, $B$3:$E$109, 2, FALSE)</f>
        <v>0</v>
      </c>
      <c r="Y58" s="657" t="s">
        <v>105</v>
      </c>
      <c r="Z58" s="402">
        <f>VLOOKUP(V54, $B$3:$E$109, 3, FALSE)</f>
        <v>0</v>
      </c>
      <c r="AA58" s="658" t="s">
        <v>105</v>
      </c>
      <c r="AB58" s="399">
        <f>SUM(X58,Z58)</f>
        <v>0</v>
      </c>
      <c r="AD58" s="300"/>
      <c r="AE58" s="394"/>
      <c r="AF58" s="393"/>
      <c r="AG58" s="657" t="s">
        <v>105</v>
      </c>
      <c r="AH58" s="401">
        <f>VLOOKUP(AF54, $B$3:$E$109, 2, FALSE)</f>
        <v>0</v>
      </c>
      <c r="AI58" s="657" t="s">
        <v>105</v>
      </c>
      <c r="AJ58" s="402">
        <f>VLOOKUP(AF54, $B$3:$E$109, 3, FALSE)</f>
        <v>0</v>
      </c>
      <c r="AK58" s="658" t="s">
        <v>105</v>
      </c>
      <c r="AL58" s="399">
        <f>SUM(AH58,AJ58)</f>
        <v>0</v>
      </c>
      <c r="AN58" s="300"/>
      <c r="AO58" s="394"/>
      <c r="AP58" s="393"/>
      <c r="AQ58" s="657" t="s">
        <v>105</v>
      </c>
      <c r="AR58" s="401">
        <f>VLOOKUP(AP54, $B$3:$E$109, 2, FALSE)</f>
        <v>0</v>
      </c>
      <c r="AS58" s="657" t="s">
        <v>105</v>
      </c>
      <c r="AT58" s="402">
        <f>VLOOKUP(AP54, $B$3:$E$109, 3, FALSE)</f>
        <v>0</v>
      </c>
      <c r="AU58" s="658" t="s">
        <v>105</v>
      </c>
      <c r="AV58" s="399">
        <f>SUM(AR58,AT58)</f>
        <v>0</v>
      </c>
      <c r="AX58" s="300"/>
      <c r="AY58" s="394"/>
      <c r="AZ58" s="393"/>
      <c r="BA58" s="657" t="s">
        <v>105</v>
      </c>
      <c r="BB58" s="401">
        <f>VLOOKUP(AZ54, $B$3:$E$109, 2, FALSE)</f>
        <v>0</v>
      </c>
      <c r="BC58" s="657" t="s">
        <v>105</v>
      </c>
      <c r="BD58" s="402">
        <f>VLOOKUP(AZ54, $B$3:$E$109, 3, FALSE)</f>
        <v>0</v>
      </c>
      <c r="BE58" s="658" t="s">
        <v>105</v>
      </c>
      <c r="BF58" s="399">
        <f>SUM(BB58,BD58)</f>
        <v>0</v>
      </c>
      <c r="BH58" s="300"/>
      <c r="BI58" s="394"/>
      <c r="BJ58" s="393"/>
      <c r="BK58" s="657" t="s">
        <v>105</v>
      </c>
      <c r="BL58" s="401">
        <f>VLOOKUP(BJ54, $B$3:$E$109, 2, FALSE)</f>
        <v>0</v>
      </c>
      <c r="BM58" s="657" t="s">
        <v>105</v>
      </c>
      <c r="BN58" s="402">
        <f>VLOOKUP(BJ54, $B$3:$E$109, 3, FALSE)</f>
        <v>0</v>
      </c>
      <c r="BO58" s="658" t="s">
        <v>105</v>
      </c>
      <c r="BP58" s="399">
        <f>SUM(BL58,BN58)</f>
        <v>0</v>
      </c>
    </row>
    <row r="59" spans="10:68" ht="12.75" customHeight="1">
      <c r="K59" s="688" t="s">
        <v>157</v>
      </c>
      <c r="L59" s="689"/>
      <c r="M59" s="658"/>
      <c r="N59" s="395"/>
      <c r="O59" s="657"/>
      <c r="P59" s="395"/>
      <c r="Q59" s="658"/>
      <c r="R59" s="395"/>
      <c r="S59" s="156"/>
      <c r="T59" s="300"/>
      <c r="U59" s="688" t="s">
        <v>157</v>
      </c>
      <c r="V59" s="689"/>
      <c r="W59" s="658"/>
      <c r="X59" s="395"/>
      <c r="Y59" s="657"/>
      <c r="Z59" s="395"/>
      <c r="AA59" s="658"/>
      <c r="AB59" s="395"/>
      <c r="AD59" s="300"/>
      <c r="AE59" s="688" t="s">
        <v>157</v>
      </c>
      <c r="AF59" s="689"/>
      <c r="AG59" s="658"/>
      <c r="AH59" s="395"/>
      <c r="AI59" s="657"/>
      <c r="AJ59" s="395"/>
      <c r="AK59" s="658"/>
      <c r="AL59" s="395"/>
      <c r="AN59" s="300"/>
      <c r="AO59" s="688" t="s">
        <v>157</v>
      </c>
      <c r="AP59" s="689"/>
      <c r="AQ59" s="658"/>
      <c r="AR59" s="395"/>
      <c r="AS59" s="657"/>
      <c r="AT59" s="395"/>
      <c r="AU59" s="658"/>
      <c r="AV59" s="395"/>
      <c r="AX59" s="300"/>
      <c r="AY59" s="688" t="s">
        <v>157</v>
      </c>
      <c r="AZ59" s="689"/>
      <c r="BA59" s="658"/>
      <c r="BB59" s="395"/>
      <c r="BC59" s="657"/>
      <c r="BD59" s="395"/>
      <c r="BE59" s="658"/>
      <c r="BF59" s="395"/>
      <c r="BH59" s="300"/>
      <c r="BI59" s="688" t="s">
        <v>157</v>
      </c>
      <c r="BJ59" s="689"/>
      <c r="BK59" s="658"/>
      <c r="BL59" s="395"/>
      <c r="BM59" s="657"/>
      <c r="BN59" s="395"/>
      <c r="BO59" s="658"/>
      <c r="BP59" s="395"/>
    </row>
    <row r="60" spans="10:68" ht="15.75">
      <c r="K60" s="411"/>
      <c r="L60" s="404">
        <f>R56*13</f>
        <v>0</v>
      </c>
      <c r="M60" s="418"/>
      <c r="N60" s="395"/>
      <c r="O60" s="406"/>
      <c r="P60" s="395"/>
      <c r="Q60" s="419"/>
      <c r="R60" s="395"/>
      <c r="S60" s="156"/>
      <c r="T60" s="300"/>
      <c r="U60" s="411"/>
      <c r="V60" s="404">
        <f>AB56*13</f>
        <v>0</v>
      </c>
      <c r="W60" s="418"/>
      <c r="X60" s="395"/>
      <c r="Y60" s="406"/>
      <c r="Z60" s="395"/>
      <c r="AA60" s="419"/>
      <c r="AB60" s="395"/>
      <c r="AD60" s="300"/>
      <c r="AE60" s="411"/>
      <c r="AF60" s="404">
        <f>AL56*13</f>
        <v>0</v>
      </c>
      <c r="AG60" s="418"/>
      <c r="AH60" s="395"/>
      <c r="AI60" s="406"/>
      <c r="AJ60" s="395"/>
      <c r="AK60" s="419"/>
      <c r="AL60" s="395"/>
      <c r="AN60" s="300"/>
      <c r="AO60" s="411"/>
      <c r="AP60" s="404">
        <f>AV56*13</f>
        <v>0</v>
      </c>
      <c r="AQ60" s="418"/>
      <c r="AR60" s="395"/>
      <c r="AS60" s="406"/>
      <c r="AT60" s="395"/>
      <c r="AU60" s="419"/>
      <c r="AV60" s="395"/>
      <c r="AX60" s="300"/>
      <c r="AY60" s="411"/>
      <c r="AZ60" s="404">
        <f>BF56*13</f>
        <v>0</v>
      </c>
      <c r="BA60" s="418"/>
      <c r="BB60" s="395"/>
      <c r="BC60" s="406"/>
      <c r="BD60" s="395"/>
      <c r="BE60" s="419"/>
      <c r="BF60" s="395"/>
      <c r="BH60" s="300"/>
      <c r="BI60" s="411"/>
      <c r="BJ60" s="404">
        <f>BP56*13</f>
        <v>0</v>
      </c>
      <c r="BK60" s="418"/>
      <c r="BL60" s="395"/>
      <c r="BM60" s="406"/>
      <c r="BN60" s="395"/>
      <c r="BO60" s="419"/>
      <c r="BP60" s="395"/>
    </row>
    <row r="61" spans="10:68" ht="18.75">
      <c r="K61" s="394"/>
      <c r="L61" s="412"/>
      <c r="M61" s="286" t="s">
        <v>97</v>
      </c>
      <c r="N61" s="287" t="e">
        <f>N58/((N56*EFFICIENCY!$H$28))</f>
        <v>#DIV/0!</v>
      </c>
      <c r="O61" s="286" t="s">
        <v>97</v>
      </c>
      <c r="P61" s="287" t="e">
        <f>P58/(P56*EFFICIENCY!$H$28)</f>
        <v>#DIV/0!</v>
      </c>
      <c r="Q61" s="286" t="s">
        <v>97</v>
      </c>
      <c r="R61" s="287" t="e">
        <f>R58/(R56*EFFICIENCY!$H$28)</f>
        <v>#DIV/0!</v>
      </c>
      <c r="S61" s="295"/>
      <c r="T61" s="300"/>
      <c r="U61" s="394"/>
      <c r="V61" s="412"/>
      <c r="W61" s="286" t="s">
        <v>97</v>
      </c>
      <c r="X61" s="287" t="e">
        <f>X58/((X56*EFFICIENCY!$H$28))</f>
        <v>#DIV/0!</v>
      </c>
      <c r="Y61" s="286" t="s">
        <v>97</v>
      </c>
      <c r="Z61" s="287" t="e">
        <f>Z58/(Z56*EFFICIENCY!$H$28)</f>
        <v>#DIV/0!</v>
      </c>
      <c r="AA61" s="286" t="s">
        <v>97</v>
      </c>
      <c r="AB61" s="287" t="e">
        <f>AB58/(AB56*EFFICIENCY!$H$28)</f>
        <v>#DIV/0!</v>
      </c>
      <c r="AD61" s="300"/>
      <c r="AE61" s="394"/>
      <c r="AF61" s="412"/>
      <c r="AG61" s="286" t="s">
        <v>97</v>
      </c>
      <c r="AH61" s="287" t="e">
        <f>AH58/((AH56*EFFICIENCY!$H$28))</f>
        <v>#DIV/0!</v>
      </c>
      <c r="AI61" s="286" t="s">
        <v>97</v>
      </c>
      <c r="AJ61" s="287" t="e">
        <f>AJ58/(AJ56*EFFICIENCY!$H$28)</f>
        <v>#DIV/0!</v>
      </c>
      <c r="AK61" s="286" t="s">
        <v>97</v>
      </c>
      <c r="AL61" s="287" t="e">
        <f>AL58/(AL56*EFFICIENCY!$H$28)</f>
        <v>#DIV/0!</v>
      </c>
      <c r="AN61" s="300"/>
      <c r="AO61" s="394"/>
      <c r="AP61" s="412"/>
      <c r="AQ61" s="286" t="s">
        <v>97</v>
      </c>
      <c r="AR61" s="287" t="e">
        <f>AR58/((AR56*EFFICIENCY!$H$28))</f>
        <v>#DIV/0!</v>
      </c>
      <c r="AS61" s="286" t="s">
        <v>97</v>
      </c>
      <c r="AT61" s="287" t="e">
        <f>AT58/(AT56*EFFICIENCY!$H$28)</f>
        <v>#DIV/0!</v>
      </c>
      <c r="AU61" s="286" t="s">
        <v>97</v>
      </c>
      <c r="AV61" s="287" t="e">
        <f>AV58/(AV56*EFFICIENCY!$H$28)</f>
        <v>#DIV/0!</v>
      </c>
      <c r="AX61" s="300"/>
      <c r="AY61" s="394"/>
      <c r="AZ61" s="412"/>
      <c r="BA61" s="286" t="s">
        <v>97</v>
      </c>
      <c r="BB61" s="287" t="e">
        <f>BB58/((BB56*EFFICIENCY!$H$28))</f>
        <v>#DIV/0!</v>
      </c>
      <c r="BC61" s="286" t="s">
        <v>97</v>
      </c>
      <c r="BD61" s="287" t="e">
        <f>BD58/(BD56*EFFICIENCY!$H$28)</f>
        <v>#DIV/0!</v>
      </c>
      <c r="BE61" s="286" t="s">
        <v>97</v>
      </c>
      <c r="BF61" s="287" t="e">
        <f>BF58/(BF56*EFFICIENCY!$H$28)</f>
        <v>#DIV/0!</v>
      </c>
      <c r="BH61" s="300"/>
      <c r="BI61" s="394"/>
      <c r="BJ61" s="412"/>
      <c r="BK61" s="286" t="s">
        <v>97</v>
      </c>
      <c r="BL61" s="287" t="e">
        <f>BL58/((BL56*EFFICIENCY!$H$28))</f>
        <v>#DIV/0!</v>
      </c>
      <c r="BM61" s="286" t="s">
        <v>97</v>
      </c>
      <c r="BN61" s="287" t="e">
        <f>BN58/(BN56*EFFICIENCY!$H$28)</f>
        <v>#DIV/0!</v>
      </c>
      <c r="BO61" s="286" t="s">
        <v>97</v>
      </c>
      <c r="BP61" s="287" t="e">
        <f>BP58/(BP56*EFFICIENCY!$H$28)</f>
        <v>#DIV/0!</v>
      </c>
    </row>
    <row r="62" spans="10:68" ht="18.75">
      <c r="K62" s="394"/>
      <c r="L62" s="393"/>
      <c r="M62" s="280" t="s">
        <v>96</v>
      </c>
      <c r="N62" s="281" t="e">
        <f>N58/(N56*EFFICIENCY!$I$28)</f>
        <v>#DIV/0!</v>
      </c>
      <c r="O62" s="280" t="s">
        <v>96</v>
      </c>
      <c r="P62" s="281" t="e">
        <f>P58/(P56*EFFICIENCY!$I$28)</f>
        <v>#DIV/0!</v>
      </c>
      <c r="Q62" s="280" t="s">
        <v>96</v>
      </c>
      <c r="R62" s="281" t="e">
        <f>R58/(R56*EFFICIENCY!$I$28)</f>
        <v>#DIV/0!</v>
      </c>
      <c r="S62" s="296"/>
      <c r="T62" s="300"/>
      <c r="U62" s="394"/>
      <c r="V62" s="393"/>
      <c r="W62" s="280" t="s">
        <v>96</v>
      </c>
      <c r="X62" s="281" t="e">
        <f>X58/(X56*EFFICIENCY!$I$28)</f>
        <v>#DIV/0!</v>
      </c>
      <c r="Y62" s="280" t="s">
        <v>96</v>
      </c>
      <c r="Z62" s="281" t="e">
        <f>Z58/(Z56*EFFICIENCY!$I$28)</f>
        <v>#DIV/0!</v>
      </c>
      <c r="AA62" s="280" t="s">
        <v>96</v>
      </c>
      <c r="AB62" s="281" t="e">
        <f>AB58/(AB56*EFFICIENCY!$I$28)</f>
        <v>#DIV/0!</v>
      </c>
      <c r="AD62" s="300"/>
      <c r="AE62" s="394"/>
      <c r="AF62" s="393"/>
      <c r="AG62" s="280" t="s">
        <v>96</v>
      </c>
      <c r="AH62" s="281" t="e">
        <f>AH58/(AH56*EFFICIENCY!$I$28)</f>
        <v>#DIV/0!</v>
      </c>
      <c r="AI62" s="280" t="s">
        <v>96</v>
      </c>
      <c r="AJ62" s="281" t="e">
        <f>AJ58/(AJ56*EFFICIENCY!$I$28)</f>
        <v>#DIV/0!</v>
      </c>
      <c r="AK62" s="280" t="s">
        <v>96</v>
      </c>
      <c r="AL62" s="281" t="e">
        <f>AL58/(AL56*EFFICIENCY!$I$28)</f>
        <v>#DIV/0!</v>
      </c>
      <c r="AN62" s="300"/>
      <c r="AO62" s="394"/>
      <c r="AP62" s="393"/>
      <c r="AQ62" s="280" t="s">
        <v>96</v>
      </c>
      <c r="AR62" s="281" t="e">
        <f>AR58/(AR56*EFFICIENCY!$I$28)</f>
        <v>#DIV/0!</v>
      </c>
      <c r="AS62" s="280" t="s">
        <v>96</v>
      </c>
      <c r="AT62" s="281" t="e">
        <f>AT58/(AT56*EFFICIENCY!$I$28)</f>
        <v>#DIV/0!</v>
      </c>
      <c r="AU62" s="280" t="s">
        <v>96</v>
      </c>
      <c r="AV62" s="281" t="e">
        <f>AV58/(AV56*EFFICIENCY!$I$28)</f>
        <v>#DIV/0!</v>
      </c>
      <c r="AX62" s="300"/>
      <c r="AY62" s="394"/>
      <c r="AZ62" s="393"/>
      <c r="BA62" s="280" t="s">
        <v>96</v>
      </c>
      <c r="BB62" s="281" t="e">
        <f>BB58/(BB56*EFFICIENCY!$I$28)</f>
        <v>#DIV/0!</v>
      </c>
      <c r="BC62" s="280" t="s">
        <v>96</v>
      </c>
      <c r="BD62" s="281" t="e">
        <f>BD58/(BD56*EFFICIENCY!$I$28)</f>
        <v>#DIV/0!</v>
      </c>
      <c r="BE62" s="280" t="s">
        <v>96</v>
      </c>
      <c r="BF62" s="281" t="e">
        <f>BF58/(BF56*EFFICIENCY!$I$28)</f>
        <v>#DIV/0!</v>
      </c>
      <c r="BH62" s="300"/>
      <c r="BI62" s="394"/>
      <c r="BJ62" s="393"/>
      <c r="BK62" s="280" t="s">
        <v>96</v>
      </c>
      <c r="BL62" s="281" t="e">
        <f>BL58/(BL56*EFFICIENCY!$I$28)</f>
        <v>#DIV/0!</v>
      </c>
      <c r="BM62" s="280" t="s">
        <v>96</v>
      </c>
      <c r="BN62" s="281" t="e">
        <f>BN58/(BN56*EFFICIENCY!$I$28)</f>
        <v>#DIV/0!</v>
      </c>
      <c r="BO62" s="280" t="s">
        <v>96</v>
      </c>
      <c r="BP62" s="281" t="e">
        <f>BP58/(BP56*EFFICIENCY!$I$28)</f>
        <v>#DIV/0!</v>
      </c>
    </row>
    <row r="63" spans="10:68" ht="19.5" customHeight="1" thickBot="1">
      <c r="K63" s="690" t="s">
        <v>156</v>
      </c>
      <c r="L63" s="691"/>
      <c r="M63" s="284" t="s">
        <v>94</v>
      </c>
      <c r="N63" s="285" t="e">
        <f>N58/((N56*EFFICIENCY!$K$28))</f>
        <v>#DIV/0!</v>
      </c>
      <c r="O63" s="288" t="s">
        <v>94</v>
      </c>
      <c r="P63" s="285" t="e">
        <f>P58/((P56*EFFICIENCY!$K$28))</f>
        <v>#DIV/0!</v>
      </c>
      <c r="Q63" s="284" t="s">
        <v>94</v>
      </c>
      <c r="R63" s="285" t="e">
        <f>R58/((R56*EFFICIENCY!$K$28))</f>
        <v>#DIV/0!</v>
      </c>
      <c r="S63" s="297"/>
      <c r="T63" s="300"/>
      <c r="U63" s="690" t="s">
        <v>156</v>
      </c>
      <c r="V63" s="691"/>
      <c r="W63" s="284" t="s">
        <v>94</v>
      </c>
      <c r="X63" s="285" t="e">
        <f>X58/((X56*EFFICIENCY!$K$28))</f>
        <v>#DIV/0!</v>
      </c>
      <c r="Y63" s="288" t="s">
        <v>94</v>
      </c>
      <c r="Z63" s="285" t="e">
        <f>Z58/((Z56*EFFICIENCY!$K$28))</f>
        <v>#DIV/0!</v>
      </c>
      <c r="AA63" s="284" t="s">
        <v>94</v>
      </c>
      <c r="AB63" s="285" t="e">
        <f>AB58/((AB56*EFFICIENCY!$K$28))</f>
        <v>#DIV/0!</v>
      </c>
      <c r="AD63" s="300"/>
      <c r="AE63" s="690" t="s">
        <v>156</v>
      </c>
      <c r="AF63" s="691"/>
      <c r="AG63" s="284" t="s">
        <v>94</v>
      </c>
      <c r="AH63" s="285" t="e">
        <f>AH58/((AH56*EFFICIENCY!$K$28))</f>
        <v>#DIV/0!</v>
      </c>
      <c r="AI63" s="288" t="s">
        <v>94</v>
      </c>
      <c r="AJ63" s="285" t="e">
        <f>AJ58/((AJ56*EFFICIENCY!$K$28))</f>
        <v>#DIV/0!</v>
      </c>
      <c r="AK63" s="284" t="s">
        <v>94</v>
      </c>
      <c r="AL63" s="285" t="e">
        <f>AL58/((AL56*EFFICIENCY!$K$28))</f>
        <v>#DIV/0!</v>
      </c>
      <c r="AN63" s="300"/>
      <c r="AO63" s="690" t="s">
        <v>156</v>
      </c>
      <c r="AP63" s="691"/>
      <c r="AQ63" s="284" t="s">
        <v>94</v>
      </c>
      <c r="AR63" s="285" t="e">
        <f>AR58/((AR56*EFFICIENCY!$K$28))</f>
        <v>#DIV/0!</v>
      </c>
      <c r="AS63" s="288" t="s">
        <v>94</v>
      </c>
      <c r="AT63" s="285" t="e">
        <f>AT58/((AT56*EFFICIENCY!$K$28))</f>
        <v>#DIV/0!</v>
      </c>
      <c r="AU63" s="284" t="s">
        <v>94</v>
      </c>
      <c r="AV63" s="285" t="e">
        <f>AV58/((AV56*EFFICIENCY!$K$28))</f>
        <v>#DIV/0!</v>
      </c>
      <c r="AX63" s="300"/>
      <c r="AY63" s="690" t="s">
        <v>156</v>
      </c>
      <c r="AZ63" s="691"/>
      <c r="BA63" s="284" t="s">
        <v>94</v>
      </c>
      <c r="BB63" s="285" t="e">
        <f>BB58/((BB56*EFFICIENCY!$K$28))</f>
        <v>#DIV/0!</v>
      </c>
      <c r="BC63" s="288" t="s">
        <v>94</v>
      </c>
      <c r="BD63" s="285" t="e">
        <f>BD58/((BD56*EFFICIENCY!$K$28))</f>
        <v>#DIV/0!</v>
      </c>
      <c r="BE63" s="284" t="s">
        <v>94</v>
      </c>
      <c r="BF63" s="285" t="e">
        <f>BF58/((BF56*EFFICIENCY!$K$28))</f>
        <v>#DIV/0!</v>
      </c>
      <c r="BH63" s="300"/>
      <c r="BI63" s="690" t="s">
        <v>156</v>
      </c>
      <c r="BJ63" s="691"/>
      <c r="BK63" s="284" t="s">
        <v>94</v>
      </c>
      <c r="BL63" s="285" t="e">
        <f>BL58/((BL56*EFFICIENCY!$K$28))</f>
        <v>#DIV/0!</v>
      </c>
      <c r="BM63" s="288" t="s">
        <v>94</v>
      </c>
      <c r="BN63" s="285" t="e">
        <f>BN58/((BN56*EFFICIENCY!$K$28))</f>
        <v>#DIV/0!</v>
      </c>
      <c r="BO63" s="284" t="s">
        <v>94</v>
      </c>
      <c r="BP63" s="285" t="e">
        <f>BP58/((BP56*EFFICIENCY!$K$28))</f>
        <v>#DIV/0!</v>
      </c>
    </row>
    <row r="64" spans="10:68" ht="16.5" thickBot="1">
      <c r="K64" s="413"/>
      <c r="L64" s="414" t="e">
        <f>R58/R56</f>
        <v>#DIV/0!</v>
      </c>
      <c r="M64" s="647" t="s">
        <v>153</v>
      </c>
      <c r="N64" s="648"/>
      <c r="O64" s="290"/>
      <c r="P64" s="416"/>
      <c r="Q64" s="416" t="s">
        <v>154</v>
      </c>
      <c r="R64" s="415">
        <f>O64-R58</f>
        <v>0</v>
      </c>
      <c r="S64" s="298"/>
      <c r="T64" s="300"/>
      <c r="U64" s="413"/>
      <c r="V64" s="414" t="e">
        <f>AB58/AB56</f>
        <v>#DIV/0!</v>
      </c>
      <c r="W64" s="647" t="s">
        <v>153</v>
      </c>
      <c r="X64" s="648"/>
      <c r="Y64" s="290"/>
      <c r="Z64" s="416"/>
      <c r="AA64" s="416" t="s">
        <v>154</v>
      </c>
      <c r="AB64" s="415">
        <f>Y64-AB58</f>
        <v>0</v>
      </c>
      <c r="AD64" s="300"/>
      <c r="AE64" s="413"/>
      <c r="AF64" s="414" t="e">
        <f>AL58/AL56</f>
        <v>#DIV/0!</v>
      </c>
      <c r="AG64" s="647" t="s">
        <v>153</v>
      </c>
      <c r="AH64" s="648"/>
      <c r="AI64" s="290"/>
      <c r="AJ64" s="416"/>
      <c r="AK64" s="416" t="s">
        <v>154</v>
      </c>
      <c r="AL64" s="415">
        <f>AI64-AL58</f>
        <v>0</v>
      </c>
      <c r="AN64" s="300"/>
      <c r="AO64" s="413"/>
      <c r="AP64" s="414" t="e">
        <f>AV58/AV56</f>
        <v>#DIV/0!</v>
      </c>
      <c r="AQ64" s="647" t="s">
        <v>153</v>
      </c>
      <c r="AR64" s="648"/>
      <c r="AS64" s="290"/>
      <c r="AT64" s="416"/>
      <c r="AU64" s="416" t="s">
        <v>154</v>
      </c>
      <c r="AV64" s="415">
        <f>AS64-AV58</f>
        <v>0</v>
      </c>
      <c r="AX64" s="300"/>
      <c r="AY64" s="413"/>
      <c r="AZ64" s="414" t="e">
        <f>BF58/BF56</f>
        <v>#DIV/0!</v>
      </c>
      <c r="BA64" s="647" t="s">
        <v>153</v>
      </c>
      <c r="BB64" s="648"/>
      <c r="BC64" s="290"/>
      <c r="BD64" s="416"/>
      <c r="BE64" s="416" t="s">
        <v>154</v>
      </c>
      <c r="BF64" s="415">
        <f>BC64-BF58</f>
        <v>0</v>
      </c>
      <c r="BH64" s="300"/>
      <c r="BI64" s="413"/>
      <c r="BJ64" s="414" t="e">
        <f>BP58/BP56</f>
        <v>#DIV/0!</v>
      </c>
      <c r="BK64" s="647" t="s">
        <v>153</v>
      </c>
      <c r="BL64" s="648"/>
      <c r="BM64" s="290"/>
      <c r="BN64" s="416"/>
      <c r="BO64" s="416" t="s">
        <v>154</v>
      </c>
      <c r="BP64" s="415">
        <f>BM64-BP58</f>
        <v>0</v>
      </c>
    </row>
    <row r="65" spans="20:60">
      <c r="T65" s="300"/>
      <c r="AD65" s="300"/>
      <c r="AN65" s="300"/>
      <c r="AX65" s="300"/>
      <c r="BH65" s="300"/>
    </row>
    <row r="66" spans="20:60">
      <c r="T66" s="300"/>
      <c r="BH66" s="300"/>
    </row>
    <row r="67" spans="20:60">
      <c r="T67" s="300"/>
      <c r="BH67" s="300"/>
    </row>
    <row r="68" spans="20:60">
      <c r="T68" s="300"/>
      <c r="BH68" s="300"/>
    </row>
    <row r="69" spans="20:60">
      <c r="T69" s="300"/>
      <c r="BH69" s="300"/>
    </row>
    <row r="70" spans="20:60">
      <c r="T70" s="300"/>
      <c r="BH70" s="300"/>
    </row>
  </sheetData>
  <mergeCells count="276">
    <mergeCell ref="M64:N64"/>
    <mergeCell ref="W64:X64"/>
    <mergeCell ref="AG64:AH64"/>
    <mergeCell ref="AQ64:AR64"/>
    <mergeCell ref="BA64:BB64"/>
    <mergeCell ref="BK64:BL64"/>
    <mergeCell ref="K63:L63"/>
    <mergeCell ref="U63:V63"/>
    <mergeCell ref="AE63:AF63"/>
    <mergeCell ref="AO63:AP63"/>
    <mergeCell ref="AY63:AZ63"/>
    <mergeCell ref="BI63:BJ63"/>
    <mergeCell ref="K59:L59"/>
    <mergeCell ref="U59:V59"/>
    <mergeCell ref="AE59:AF59"/>
    <mergeCell ref="AO59:AP59"/>
    <mergeCell ref="AY59:AZ59"/>
    <mergeCell ref="BI59:BJ59"/>
    <mergeCell ref="BA58:BA59"/>
    <mergeCell ref="BC58:BC59"/>
    <mergeCell ref="BE58:BE59"/>
    <mergeCell ref="M58:M59"/>
    <mergeCell ref="O58:O59"/>
    <mergeCell ref="Q58:Q59"/>
    <mergeCell ref="W58:W59"/>
    <mergeCell ref="Y58:Y59"/>
    <mergeCell ref="AA58:AA59"/>
    <mergeCell ref="BK58:BK59"/>
    <mergeCell ref="BM58:BM59"/>
    <mergeCell ref="BO58:BO59"/>
    <mergeCell ref="AG58:AG59"/>
    <mergeCell ref="AI58:AI59"/>
    <mergeCell ref="AK58:AK59"/>
    <mergeCell ref="AQ58:AQ59"/>
    <mergeCell ref="AS58:AS59"/>
    <mergeCell ref="AU58:AU59"/>
    <mergeCell ref="BA54:BB54"/>
    <mergeCell ref="BC54:BD54"/>
    <mergeCell ref="BE54:BF54"/>
    <mergeCell ref="BK54:BL54"/>
    <mergeCell ref="BM54:BN54"/>
    <mergeCell ref="BO54:BP54"/>
    <mergeCell ref="AG54:AH54"/>
    <mergeCell ref="AI54:AJ54"/>
    <mergeCell ref="AK54:AL54"/>
    <mergeCell ref="AQ54:AR54"/>
    <mergeCell ref="AS54:AT54"/>
    <mergeCell ref="AU54:AV54"/>
    <mergeCell ref="M54:N54"/>
    <mergeCell ref="O54:P54"/>
    <mergeCell ref="Q54:R54"/>
    <mergeCell ref="W54:X54"/>
    <mergeCell ref="Y54:Z54"/>
    <mergeCell ref="AA54:AB54"/>
    <mergeCell ref="M51:N51"/>
    <mergeCell ref="W51:X51"/>
    <mergeCell ref="AG51:AH51"/>
    <mergeCell ref="AQ51:AR51"/>
    <mergeCell ref="BA51:BB51"/>
    <mergeCell ref="BK51:BL51"/>
    <mergeCell ref="K50:L50"/>
    <mergeCell ref="U50:V50"/>
    <mergeCell ref="AE50:AF50"/>
    <mergeCell ref="AO50:AP50"/>
    <mergeCell ref="AY50:AZ50"/>
    <mergeCell ref="BI50:BJ50"/>
    <mergeCell ref="K46:L46"/>
    <mergeCell ref="U46:V46"/>
    <mergeCell ref="AE46:AF46"/>
    <mergeCell ref="AO46:AP46"/>
    <mergeCell ref="AY46:AZ46"/>
    <mergeCell ref="BI46:BJ46"/>
    <mergeCell ref="BA45:BA46"/>
    <mergeCell ref="BC45:BC46"/>
    <mergeCell ref="BE45:BE46"/>
    <mergeCell ref="M45:M46"/>
    <mergeCell ref="O45:O46"/>
    <mergeCell ref="Q45:Q46"/>
    <mergeCell ref="W45:W46"/>
    <mergeCell ref="Y45:Y46"/>
    <mergeCell ref="AA45:AA46"/>
    <mergeCell ref="BK45:BK46"/>
    <mergeCell ref="BM45:BM46"/>
    <mergeCell ref="BO45:BO46"/>
    <mergeCell ref="AG45:AG46"/>
    <mergeCell ref="AI45:AI46"/>
    <mergeCell ref="AK45:AK46"/>
    <mergeCell ref="AQ45:AQ46"/>
    <mergeCell ref="AS45:AS46"/>
    <mergeCell ref="AU45:AU46"/>
    <mergeCell ref="BA41:BB41"/>
    <mergeCell ref="BC41:BD41"/>
    <mergeCell ref="BE41:BF41"/>
    <mergeCell ref="BK41:BL41"/>
    <mergeCell ref="BM41:BN41"/>
    <mergeCell ref="BO41:BP41"/>
    <mergeCell ref="AG41:AH41"/>
    <mergeCell ref="AI41:AJ41"/>
    <mergeCell ref="AK41:AL41"/>
    <mergeCell ref="AQ41:AR41"/>
    <mergeCell ref="AS41:AT41"/>
    <mergeCell ref="AU41:AV41"/>
    <mergeCell ref="M41:N41"/>
    <mergeCell ref="O41:P41"/>
    <mergeCell ref="Q41:R41"/>
    <mergeCell ref="W41:X41"/>
    <mergeCell ref="Y41:Z41"/>
    <mergeCell ref="AA41:AB41"/>
    <mergeCell ref="M38:N38"/>
    <mergeCell ref="W38:X38"/>
    <mergeCell ref="AG38:AH38"/>
    <mergeCell ref="AQ38:AR38"/>
    <mergeCell ref="BA38:BB38"/>
    <mergeCell ref="BK38:BL38"/>
    <mergeCell ref="K37:L37"/>
    <mergeCell ref="U37:V37"/>
    <mergeCell ref="AE37:AF37"/>
    <mergeCell ref="AO37:AP37"/>
    <mergeCell ref="AY37:AZ37"/>
    <mergeCell ref="BI37:BJ37"/>
    <mergeCell ref="K33:L33"/>
    <mergeCell ref="U33:V33"/>
    <mergeCell ref="AE33:AF33"/>
    <mergeCell ref="AO33:AP33"/>
    <mergeCell ref="AY33:AZ33"/>
    <mergeCell ref="BI33:BJ33"/>
    <mergeCell ref="BA32:BA33"/>
    <mergeCell ref="BC32:BC33"/>
    <mergeCell ref="BE32:BE33"/>
    <mergeCell ref="M32:M33"/>
    <mergeCell ref="O32:O33"/>
    <mergeCell ref="Q32:Q33"/>
    <mergeCell ref="W32:W33"/>
    <mergeCell ref="Y32:Y33"/>
    <mergeCell ref="AA32:AA33"/>
    <mergeCell ref="BK32:BK33"/>
    <mergeCell ref="BM32:BM33"/>
    <mergeCell ref="BO32:BO33"/>
    <mergeCell ref="AG32:AG33"/>
    <mergeCell ref="AI32:AI33"/>
    <mergeCell ref="AK32:AK33"/>
    <mergeCell ref="AQ32:AQ33"/>
    <mergeCell ref="AS32:AS33"/>
    <mergeCell ref="AU32:AU33"/>
    <mergeCell ref="BA28:BB28"/>
    <mergeCell ref="BC28:BD28"/>
    <mergeCell ref="BE28:BF28"/>
    <mergeCell ref="BK28:BL28"/>
    <mergeCell ref="BM28:BN28"/>
    <mergeCell ref="BO28:BP28"/>
    <mergeCell ref="AG28:AH28"/>
    <mergeCell ref="AI28:AJ28"/>
    <mergeCell ref="AK28:AL28"/>
    <mergeCell ref="AQ28:AR28"/>
    <mergeCell ref="AS28:AT28"/>
    <mergeCell ref="AU28:AV28"/>
    <mergeCell ref="M28:N28"/>
    <mergeCell ref="O28:P28"/>
    <mergeCell ref="Q28:R28"/>
    <mergeCell ref="W28:X28"/>
    <mergeCell ref="Y28:Z28"/>
    <mergeCell ref="AA28:AB28"/>
    <mergeCell ref="M25:N25"/>
    <mergeCell ref="W25:X25"/>
    <mergeCell ref="AG25:AH25"/>
    <mergeCell ref="AQ25:AR25"/>
    <mergeCell ref="BA25:BB25"/>
    <mergeCell ref="BK25:BL25"/>
    <mergeCell ref="K24:L24"/>
    <mergeCell ref="U24:V24"/>
    <mergeCell ref="AE24:AF24"/>
    <mergeCell ref="AO24:AP24"/>
    <mergeCell ref="AY24:AZ24"/>
    <mergeCell ref="BI24:BJ24"/>
    <mergeCell ref="K20:L20"/>
    <mergeCell ref="U20:V20"/>
    <mergeCell ref="AE20:AF20"/>
    <mergeCell ref="AO20:AP20"/>
    <mergeCell ref="AY20:AZ20"/>
    <mergeCell ref="BI20:BJ20"/>
    <mergeCell ref="BA19:BA20"/>
    <mergeCell ref="BC19:BC20"/>
    <mergeCell ref="BE19:BE20"/>
    <mergeCell ref="M19:M20"/>
    <mergeCell ref="O19:O20"/>
    <mergeCell ref="Q19:Q20"/>
    <mergeCell ref="W19:W20"/>
    <mergeCell ref="Y19:Y20"/>
    <mergeCell ref="AA19:AA20"/>
    <mergeCell ref="BK19:BK20"/>
    <mergeCell ref="BM19:BM20"/>
    <mergeCell ref="BO19:BO20"/>
    <mergeCell ref="AG19:AG20"/>
    <mergeCell ref="AI19:AI20"/>
    <mergeCell ref="AK19:AK20"/>
    <mergeCell ref="AQ19:AQ20"/>
    <mergeCell ref="AS19:AS20"/>
    <mergeCell ref="AU19:AU20"/>
    <mergeCell ref="BA15:BB15"/>
    <mergeCell ref="BC15:BD15"/>
    <mergeCell ref="BE15:BF15"/>
    <mergeCell ref="BK15:BL15"/>
    <mergeCell ref="BM15:BN15"/>
    <mergeCell ref="BO15:BP15"/>
    <mergeCell ref="AG15:AH15"/>
    <mergeCell ref="AI15:AJ15"/>
    <mergeCell ref="AK15:AL15"/>
    <mergeCell ref="AQ15:AR15"/>
    <mergeCell ref="AS15:AT15"/>
    <mergeCell ref="AU15:AV15"/>
    <mergeCell ref="M15:N15"/>
    <mergeCell ref="O15:P15"/>
    <mergeCell ref="Q15:R15"/>
    <mergeCell ref="W15:X15"/>
    <mergeCell ref="Y15:Z15"/>
    <mergeCell ref="AA15:AB15"/>
    <mergeCell ref="M12:N12"/>
    <mergeCell ref="W12:X12"/>
    <mergeCell ref="AG12:AH12"/>
    <mergeCell ref="AQ12:AR12"/>
    <mergeCell ref="BA12:BB12"/>
    <mergeCell ref="BK12:BL12"/>
    <mergeCell ref="K11:L11"/>
    <mergeCell ref="U11:V11"/>
    <mergeCell ref="AE11:AF11"/>
    <mergeCell ref="AO11:AP11"/>
    <mergeCell ref="AY11:AZ11"/>
    <mergeCell ref="BI11:BJ11"/>
    <mergeCell ref="K7:L7"/>
    <mergeCell ref="U7:V7"/>
    <mergeCell ref="AE7:AF7"/>
    <mergeCell ref="AO7:AP7"/>
    <mergeCell ref="AY7:AZ7"/>
    <mergeCell ref="BI7:BJ7"/>
    <mergeCell ref="BA6:BA7"/>
    <mergeCell ref="BC6:BC7"/>
    <mergeCell ref="BE6:BE7"/>
    <mergeCell ref="M6:M7"/>
    <mergeCell ref="O6:O7"/>
    <mergeCell ref="Q6:Q7"/>
    <mergeCell ref="W6:W7"/>
    <mergeCell ref="Y6:Y7"/>
    <mergeCell ref="AA6:AA7"/>
    <mergeCell ref="BM2:BN2"/>
    <mergeCell ref="BO2:BP2"/>
    <mergeCell ref="AG2:AH2"/>
    <mergeCell ref="AI2:AJ2"/>
    <mergeCell ref="AK2:AL2"/>
    <mergeCell ref="AQ2:AR2"/>
    <mergeCell ref="AS2:AT2"/>
    <mergeCell ref="AU2:AV2"/>
    <mergeCell ref="BK6:BK7"/>
    <mergeCell ref="BM6:BM7"/>
    <mergeCell ref="BO6:BO7"/>
    <mergeCell ref="AG6:AG7"/>
    <mergeCell ref="AI6:AI7"/>
    <mergeCell ref="AK6:AK7"/>
    <mergeCell ref="AQ6:AQ7"/>
    <mergeCell ref="AS6:AS7"/>
    <mergeCell ref="AU6:AU7"/>
    <mergeCell ref="AQ1:AR1"/>
    <mergeCell ref="BA1:BB1"/>
    <mergeCell ref="BK1:BL1"/>
    <mergeCell ref="M2:N2"/>
    <mergeCell ref="O2:P2"/>
    <mergeCell ref="Q2:R2"/>
    <mergeCell ref="W2:X2"/>
    <mergeCell ref="Y2:Z2"/>
    <mergeCell ref="AA2:AB2"/>
    <mergeCell ref="M1:N1"/>
    <mergeCell ref="W1:X1"/>
    <mergeCell ref="AG1:AH1"/>
    <mergeCell ref="BA2:BB2"/>
    <mergeCell ref="BC2:BD2"/>
    <mergeCell ref="BE2:BF2"/>
    <mergeCell ref="BK2:BL2"/>
  </mergeCells>
  <dataValidations count="1">
    <dataValidation type="list" allowBlank="1" showInputMessage="1" showErrorMessage="1" sqref="L5 L18 L31 L44 L57 V5 V18 V31 V44 V57 AF5 AF18 AF31 AF44 AF57 AP5 AP18 AP31 AP44 AP57 AZ5 AZ18 AZ31 AZ44 AZ57 BJ5 BJ18 BJ31 BJ44 BJ57" xr:uid="{00000000-0002-0000-1000-000000000000}">
      <formula1>"8, 10, 12"</formula1>
    </dataValidation>
  </dataValidation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B1:BP70"/>
  <sheetViews>
    <sheetView zoomScale="85" zoomScaleNormal="85" workbookViewId="0">
      <selection activeCell="C5" sqref="C5"/>
    </sheetView>
  </sheetViews>
  <sheetFormatPr defaultRowHeight="12.75"/>
  <cols>
    <col min="1" max="1" width="9.140625" style="150"/>
    <col min="2" max="2" width="12.28515625" style="150" customWidth="1"/>
    <col min="3" max="11" width="9.140625" style="150"/>
    <col min="12" max="12" width="13.42578125" style="150" customWidth="1"/>
    <col min="13" max="13" width="10.5703125" style="150" customWidth="1"/>
    <col min="14" max="14" width="11.28515625" style="150" customWidth="1"/>
    <col min="15" max="15" width="10.5703125" style="150" customWidth="1"/>
    <col min="16" max="16" width="10.28515625" style="150" customWidth="1"/>
    <col min="17" max="17" width="10.140625" style="150" customWidth="1"/>
    <col min="18" max="18" width="10" style="150" bestFit="1" customWidth="1"/>
    <col min="19" max="19" width="7.42578125" style="151" customWidth="1"/>
    <col min="20" max="20" width="7" style="150" customWidth="1"/>
    <col min="21" max="21" width="9.140625" style="150"/>
    <col min="22" max="22" width="13.7109375" style="150" customWidth="1"/>
    <col min="23" max="23" width="10.5703125" style="150" customWidth="1"/>
    <col min="24" max="24" width="11.28515625" style="150" customWidth="1"/>
    <col min="25" max="25" width="10.5703125" style="150" customWidth="1"/>
    <col min="26" max="26" width="10.28515625" style="150" customWidth="1"/>
    <col min="27" max="27" width="10.140625" style="150" customWidth="1"/>
    <col min="28" max="28" width="10" style="150" bestFit="1" customWidth="1"/>
    <col min="29" max="31" width="9.140625" style="150"/>
    <col min="32" max="32" width="12.85546875" style="150" customWidth="1"/>
    <col min="33" max="33" width="10.5703125" style="150" customWidth="1"/>
    <col min="34" max="34" width="11.28515625" style="150" customWidth="1"/>
    <col min="35" max="35" width="10.5703125" style="150" customWidth="1"/>
    <col min="36" max="36" width="10.28515625" style="150" customWidth="1"/>
    <col min="37" max="37" width="10.140625" style="150" customWidth="1"/>
    <col min="38" max="38" width="10" style="150" bestFit="1" customWidth="1"/>
    <col min="39" max="41" width="9.140625" style="150"/>
    <col min="42" max="42" width="13.140625" style="150" customWidth="1"/>
    <col min="43" max="43" width="10.5703125" style="150" customWidth="1"/>
    <col min="44" max="44" width="11.28515625" style="150" customWidth="1"/>
    <col min="45" max="45" width="10.5703125" style="150" customWidth="1"/>
    <col min="46" max="46" width="10.28515625" style="150" customWidth="1"/>
    <col min="47" max="47" width="10.140625" style="150" customWidth="1"/>
    <col min="48" max="48" width="10" style="150" bestFit="1" customWidth="1"/>
    <col min="49" max="51" width="9.140625" style="150"/>
    <col min="52" max="52" width="11.140625" style="150" customWidth="1"/>
    <col min="53" max="53" width="10.5703125" style="150" customWidth="1"/>
    <col min="54" max="54" width="11.28515625" style="150" customWidth="1"/>
    <col min="55" max="55" width="10.5703125" style="150" customWidth="1"/>
    <col min="56" max="56" width="10.28515625" style="150" customWidth="1"/>
    <col min="57" max="57" width="10.140625" style="150" customWidth="1"/>
    <col min="58" max="58" width="10" style="150" bestFit="1" customWidth="1"/>
    <col min="59" max="61" width="9.140625" style="150"/>
    <col min="62" max="62" width="11.140625" style="150" customWidth="1"/>
    <col min="63" max="63" width="10.5703125" style="150" customWidth="1"/>
    <col min="64" max="64" width="11.28515625" style="150" customWidth="1"/>
    <col min="65" max="65" width="10.5703125" style="150" customWidth="1"/>
    <col min="66" max="66" width="10.28515625" style="150" customWidth="1"/>
    <col min="67" max="67" width="10.140625" style="150" customWidth="1"/>
    <col min="68" max="68" width="10" style="150" bestFit="1" customWidth="1"/>
    <col min="69" max="16384" width="9.140625" style="150"/>
  </cols>
  <sheetData>
    <row r="1" spans="2:68" ht="13.5" thickBot="1">
      <c r="L1" s="154"/>
      <c r="M1" s="671"/>
      <c r="N1" s="671"/>
      <c r="O1" s="154"/>
      <c r="P1" s="154"/>
      <c r="Q1" s="228">
        <v>13</v>
      </c>
      <c r="R1" s="228">
        <v>15</v>
      </c>
      <c r="S1" s="292"/>
      <c r="T1" s="228">
        <v>18</v>
      </c>
      <c r="V1" s="154"/>
      <c r="W1" s="671"/>
      <c r="X1" s="671"/>
      <c r="Y1" s="154"/>
      <c r="Z1" s="154"/>
      <c r="AA1" s="228"/>
      <c r="AB1" s="228"/>
      <c r="AD1" s="300"/>
      <c r="AF1" s="154"/>
      <c r="AG1" s="671"/>
      <c r="AH1" s="671"/>
      <c r="AI1" s="154"/>
      <c r="AJ1" s="154"/>
      <c r="AK1" s="228"/>
      <c r="AL1" s="228"/>
      <c r="AN1" s="300"/>
      <c r="AP1" s="154"/>
      <c r="AQ1" s="671"/>
      <c r="AR1" s="671"/>
      <c r="AS1" s="154"/>
      <c r="AT1" s="154"/>
      <c r="AU1" s="228"/>
      <c r="AV1" s="228"/>
      <c r="AX1" s="300"/>
      <c r="AZ1" s="154"/>
      <c r="BA1" s="671"/>
      <c r="BB1" s="671"/>
      <c r="BC1" s="154"/>
      <c r="BD1" s="154"/>
      <c r="BE1" s="228"/>
      <c r="BF1" s="228"/>
      <c r="BH1" s="300"/>
      <c r="BJ1" s="154"/>
      <c r="BK1" s="671"/>
      <c r="BL1" s="671"/>
      <c r="BM1" s="154"/>
      <c r="BN1" s="154"/>
      <c r="BO1" s="228"/>
      <c r="BP1" s="228"/>
    </row>
    <row r="2" spans="2:68" ht="15.75" thickBot="1">
      <c r="K2" s="203"/>
      <c r="L2" s="443"/>
      <c r="M2" s="444"/>
      <c r="N2" s="444"/>
      <c r="O2" s="444"/>
      <c r="P2" s="444"/>
      <c r="Q2" s="444"/>
      <c r="R2" s="444"/>
      <c r="S2" s="293"/>
      <c r="T2" s="156"/>
      <c r="U2" s="203"/>
      <c r="V2" s="443"/>
      <c r="W2" s="444"/>
      <c r="X2" s="444"/>
      <c r="Y2" s="444"/>
      <c r="Z2" s="444"/>
      <c r="AA2" s="444"/>
      <c r="AB2" s="444"/>
      <c r="AC2" s="156"/>
      <c r="AD2" s="156"/>
      <c r="AE2" s="203"/>
      <c r="AF2" s="443"/>
      <c r="AG2" s="444"/>
      <c r="AH2" s="444"/>
      <c r="AI2" s="444"/>
      <c r="AJ2" s="444"/>
      <c r="AK2" s="444"/>
      <c r="AL2" s="444"/>
      <c r="AN2" s="300"/>
      <c r="AO2" s="373" t="s">
        <v>7</v>
      </c>
      <c r="AP2" s="532">
        <f>B5</f>
        <v>42705</v>
      </c>
      <c r="AQ2" s="674" t="s">
        <v>100</v>
      </c>
      <c r="AR2" s="675"/>
      <c r="AS2" s="674" t="s">
        <v>99</v>
      </c>
      <c r="AT2" s="675"/>
      <c r="AU2" s="709" t="s">
        <v>16</v>
      </c>
      <c r="AV2" s="677"/>
      <c r="AX2" s="300"/>
      <c r="AY2" s="373" t="s">
        <v>7</v>
      </c>
      <c r="AZ2" s="532">
        <f>B6</f>
        <v>42706</v>
      </c>
      <c r="BA2" s="674" t="s">
        <v>100</v>
      </c>
      <c r="BB2" s="675"/>
      <c r="BC2" s="674" t="s">
        <v>99</v>
      </c>
      <c r="BD2" s="675"/>
      <c r="BE2" s="709" t="s">
        <v>16</v>
      </c>
      <c r="BF2" s="677"/>
      <c r="BH2" s="300"/>
      <c r="BI2" s="373" t="s">
        <v>7</v>
      </c>
      <c r="BJ2" s="532">
        <f>B7</f>
        <v>42707</v>
      </c>
      <c r="BK2" s="674" t="s">
        <v>100</v>
      </c>
      <c r="BL2" s="675"/>
      <c r="BM2" s="674" t="s">
        <v>99</v>
      </c>
      <c r="BN2" s="675"/>
      <c r="BO2" s="676" t="s">
        <v>16</v>
      </c>
      <c r="BP2" s="677"/>
    </row>
    <row r="3" spans="2:68" ht="13.5" thickBot="1">
      <c r="C3" s="277" t="s">
        <v>149</v>
      </c>
      <c r="D3" s="277" t="s">
        <v>149</v>
      </c>
      <c r="E3" s="150" t="s">
        <v>5</v>
      </c>
      <c r="F3" s="150" t="s">
        <v>5</v>
      </c>
      <c r="G3" s="277" t="s">
        <v>149</v>
      </c>
      <c r="H3" s="150" t="s">
        <v>5</v>
      </c>
      <c r="K3" s="156"/>
      <c r="L3" s="156"/>
      <c r="M3" s="156"/>
      <c r="N3" s="156"/>
      <c r="O3" s="224"/>
      <c r="P3" s="224"/>
      <c r="Q3" s="224"/>
      <c r="R3" s="224"/>
      <c r="S3" s="156"/>
      <c r="T3" s="156"/>
      <c r="U3" s="156"/>
      <c r="V3" s="156"/>
      <c r="W3" s="156"/>
      <c r="X3" s="156"/>
      <c r="Y3" s="224"/>
      <c r="Z3" s="224"/>
      <c r="AA3" s="224"/>
      <c r="AB3" s="224"/>
      <c r="AC3" s="156"/>
      <c r="AD3" s="156"/>
      <c r="AE3" s="156"/>
      <c r="AF3" s="156"/>
      <c r="AG3" s="156"/>
      <c r="AH3" s="156"/>
      <c r="AI3" s="224"/>
      <c r="AJ3" s="224"/>
      <c r="AK3" s="224"/>
      <c r="AL3" s="224"/>
      <c r="AN3" s="300"/>
      <c r="AO3" s="356"/>
      <c r="AP3" s="355"/>
      <c r="AQ3" s="356"/>
      <c r="AR3" s="357"/>
      <c r="AS3" s="367"/>
      <c r="AT3" s="368"/>
      <c r="AU3" s="369"/>
      <c r="AV3" s="368"/>
      <c r="AX3" s="300"/>
      <c r="AY3" s="356"/>
      <c r="AZ3" s="355"/>
      <c r="BA3" s="356"/>
      <c r="BB3" s="357"/>
      <c r="BC3" s="367"/>
      <c r="BD3" s="368"/>
      <c r="BE3" s="369"/>
      <c r="BF3" s="368"/>
      <c r="BH3" s="300"/>
      <c r="BI3" s="356"/>
      <c r="BJ3" s="355"/>
      <c r="BK3" s="356"/>
      <c r="BL3" s="357"/>
      <c r="BM3" s="367"/>
      <c r="BN3" s="368"/>
      <c r="BO3" s="369"/>
      <c r="BP3" s="368"/>
    </row>
    <row r="4" spans="2:68" ht="16.5" thickBot="1">
      <c r="B4" s="277" t="s">
        <v>150</v>
      </c>
      <c r="C4" s="277" t="s">
        <v>151</v>
      </c>
      <c r="D4" s="277" t="s">
        <v>137</v>
      </c>
      <c r="E4" s="277" t="s">
        <v>151</v>
      </c>
      <c r="F4" s="277" t="s">
        <v>137</v>
      </c>
      <c r="G4" s="277" t="s">
        <v>152</v>
      </c>
      <c r="H4" s="277" t="s">
        <v>152</v>
      </c>
      <c r="K4" s="156"/>
      <c r="L4" s="445"/>
      <c r="M4" s="439"/>
      <c r="N4" s="446"/>
      <c r="O4" s="439"/>
      <c r="P4" s="446"/>
      <c r="Q4" s="439"/>
      <c r="R4" s="447"/>
      <c r="S4" s="294"/>
      <c r="T4" s="156"/>
      <c r="U4" s="156"/>
      <c r="V4" s="445"/>
      <c r="W4" s="439"/>
      <c r="X4" s="446"/>
      <c r="Y4" s="439"/>
      <c r="Z4" s="446"/>
      <c r="AA4" s="439"/>
      <c r="AB4" s="447"/>
      <c r="AC4" s="156"/>
      <c r="AD4" s="156"/>
      <c r="AE4" s="156"/>
      <c r="AF4" s="445"/>
      <c r="AG4" s="439"/>
      <c r="AH4" s="446"/>
      <c r="AI4" s="439"/>
      <c r="AJ4" s="446"/>
      <c r="AK4" s="439"/>
      <c r="AL4" s="447"/>
      <c r="AN4" s="300"/>
      <c r="AO4" s="356"/>
      <c r="AP4" s="433" t="s">
        <v>155</v>
      </c>
      <c r="AQ4" s="358" t="s">
        <v>103</v>
      </c>
      <c r="AR4" s="279"/>
      <c r="AS4" s="358" t="s">
        <v>103</v>
      </c>
      <c r="AT4" s="279"/>
      <c r="AU4" s="359" t="s">
        <v>103</v>
      </c>
      <c r="AV4" s="370">
        <f>SUM(AR4,AT4)</f>
        <v>0</v>
      </c>
      <c r="AX4" s="300"/>
      <c r="AY4" s="356"/>
      <c r="AZ4" s="433" t="s">
        <v>155</v>
      </c>
      <c r="BA4" s="358" t="s">
        <v>103</v>
      </c>
      <c r="BB4" s="279"/>
      <c r="BC4" s="358" t="s">
        <v>103</v>
      </c>
      <c r="BD4" s="279"/>
      <c r="BE4" s="359" t="s">
        <v>103</v>
      </c>
      <c r="BF4" s="370">
        <f>SUM(BB4,BD4)</f>
        <v>0</v>
      </c>
      <c r="BH4" s="300"/>
      <c r="BI4" s="356"/>
      <c r="BJ4" s="433" t="s">
        <v>155</v>
      </c>
      <c r="BK4" s="358" t="s">
        <v>103</v>
      </c>
      <c r="BL4" s="279"/>
      <c r="BM4" s="358" t="s">
        <v>103</v>
      </c>
      <c r="BN4" s="279"/>
      <c r="BO4" s="359" t="s">
        <v>103</v>
      </c>
      <c r="BP4" s="370">
        <f>SUM(BL4,BN4)</f>
        <v>0</v>
      </c>
    </row>
    <row r="5" spans="2:68" ht="18.75" thickBot="1">
      <c r="B5" s="278">
        <v>42705</v>
      </c>
      <c r="D5" s="2"/>
      <c r="E5" s="2"/>
      <c r="F5" s="2"/>
      <c r="G5" s="2">
        <f t="shared" ref="G5:G35" si="0">C5+D5</f>
        <v>0</v>
      </c>
      <c r="H5" s="2">
        <f t="shared" ref="H5:H35" si="1">E5+F5</f>
        <v>0</v>
      </c>
      <c r="K5" s="156"/>
      <c r="L5" s="448"/>
      <c r="M5" s="449"/>
      <c r="N5" s="450"/>
      <c r="O5" s="439"/>
      <c r="P5" s="450"/>
      <c r="Q5" s="439"/>
      <c r="R5" s="447"/>
      <c r="S5" s="294"/>
      <c r="T5" s="156"/>
      <c r="U5" s="156"/>
      <c r="V5" s="448"/>
      <c r="W5" s="449"/>
      <c r="X5" s="450"/>
      <c r="Y5" s="439"/>
      <c r="Z5" s="450"/>
      <c r="AA5" s="439"/>
      <c r="AB5" s="447"/>
      <c r="AC5" s="156"/>
      <c r="AD5" s="156"/>
      <c r="AE5" s="156"/>
      <c r="AF5" s="448"/>
      <c r="AG5" s="449"/>
      <c r="AH5" s="450"/>
      <c r="AI5" s="439"/>
      <c r="AJ5" s="450"/>
      <c r="AK5" s="439"/>
      <c r="AL5" s="447"/>
      <c r="AN5" s="300"/>
      <c r="AO5" s="356"/>
      <c r="AP5" s="289">
        <v>8</v>
      </c>
      <c r="AQ5" s="360" t="s">
        <v>5</v>
      </c>
      <c r="AR5" s="361">
        <f>VLOOKUP(AP2, $B$3:$E$109, 4, FALSE)</f>
        <v>0</v>
      </c>
      <c r="AS5" s="358" t="s">
        <v>5</v>
      </c>
      <c r="AT5" s="361">
        <f>VLOOKUP(AP2, $B$3:$F$109, 5, FALSE)</f>
        <v>0</v>
      </c>
      <c r="AU5" s="359" t="s">
        <v>5</v>
      </c>
      <c r="AV5" s="370">
        <f>SUM(AR5,AT5)</f>
        <v>0</v>
      </c>
      <c r="AX5" s="300"/>
      <c r="AY5" s="356"/>
      <c r="AZ5" s="289">
        <v>8</v>
      </c>
      <c r="BA5" s="360" t="s">
        <v>5</v>
      </c>
      <c r="BB5" s="361">
        <f>VLOOKUP(AZ2, $B$3:$E$109, 4, FALSE)</f>
        <v>0</v>
      </c>
      <c r="BC5" s="358" t="s">
        <v>5</v>
      </c>
      <c r="BD5" s="361">
        <f>VLOOKUP(AZ2, $B$3:$F$109, 5, FALSE)</f>
        <v>0</v>
      </c>
      <c r="BE5" s="359" t="s">
        <v>5</v>
      </c>
      <c r="BF5" s="370">
        <f>SUM(BB5,BD5)</f>
        <v>0</v>
      </c>
      <c r="BH5" s="300"/>
      <c r="BI5" s="356"/>
      <c r="BJ5" s="289">
        <v>8</v>
      </c>
      <c r="BK5" s="360" t="s">
        <v>5</v>
      </c>
      <c r="BL5" s="361">
        <f>VLOOKUP(BJ2, $B$3:$E$109, 4, FALSE)</f>
        <v>0</v>
      </c>
      <c r="BM5" s="358" t="s">
        <v>5</v>
      </c>
      <c r="BN5" s="361">
        <f>VLOOKUP(BJ2, $B$3:$F$109, 5, FALSE)</f>
        <v>0</v>
      </c>
      <c r="BO5" s="359" t="s">
        <v>5</v>
      </c>
      <c r="BP5" s="370">
        <f>SUM(BL5,BN5)</f>
        <v>0</v>
      </c>
    </row>
    <row r="6" spans="2:68" ht="15.75" customHeight="1">
      <c r="B6" s="278">
        <v>42706</v>
      </c>
      <c r="C6" s="2"/>
      <c r="D6" s="337"/>
      <c r="E6" s="2"/>
      <c r="F6" s="2"/>
      <c r="G6" s="337">
        <f t="shared" si="0"/>
        <v>0</v>
      </c>
      <c r="H6" s="2">
        <f t="shared" si="1"/>
        <v>0</v>
      </c>
      <c r="K6" s="156"/>
      <c r="L6" s="156"/>
      <c r="M6" s="440"/>
      <c r="N6" s="450"/>
      <c r="O6" s="440"/>
      <c r="P6" s="450"/>
      <c r="Q6" s="440"/>
      <c r="R6" s="447"/>
      <c r="S6" s="294"/>
      <c r="T6" s="156"/>
      <c r="U6" s="156"/>
      <c r="V6" s="156"/>
      <c r="W6" s="440"/>
      <c r="X6" s="450"/>
      <c r="Y6" s="440"/>
      <c r="Z6" s="450"/>
      <c r="AA6" s="440"/>
      <c r="AB6" s="447"/>
      <c r="AC6" s="156"/>
      <c r="AD6" s="156"/>
      <c r="AE6" s="156"/>
      <c r="AF6" s="156"/>
      <c r="AG6" s="440"/>
      <c r="AH6" s="450"/>
      <c r="AI6" s="440"/>
      <c r="AJ6" s="450"/>
      <c r="AK6" s="440"/>
      <c r="AL6" s="447"/>
      <c r="AN6" s="300"/>
      <c r="AO6" s="356"/>
      <c r="AP6" s="355"/>
      <c r="AQ6" s="673" t="s">
        <v>105</v>
      </c>
      <c r="AR6" s="361">
        <f>VLOOKUP(AP2, $B$3:$E$109, 2, FALSE)</f>
        <v>0</v>
      </c>
      <c r="AS6" s="672" t="s">
        <v>105</v>
      </c>
      <c r="AT6" s="361">
        <f>VLOOKUP(AP2, $B$3:$E$109, 3, FALSE)</f>
        <v>0</v>
      </c>
      <c r="AU6" s="672" t="s">
        <v>105</v>
      </c>
      <c r="AV6" s="370">
        <f>SUM(AR6,AT6)</f>
        <v>0</v>
      </c>
      <c r="AX6" s="300"/>
      <c r="AY6" s="356"/>
      <c r="AZ6" s="355"/>
      <c r="BA6" s="673" t="s">
        <v>105</v>
      </c>
      <c r="BB6" s="361">
        <f>VLOOKUP(AZ2, $B$3:$E$109, 2, FALSE)</f>
        <v>0</v>
      </c>
      <c r="BC6" s="672" t="s">
        <v>105</v>
      </c>
      <c r="BD6" s="361">
        <f>VLOOKUP(AZ2, $B$3:$E$109, 3, FALSE)</f>
        <v>0</v>
      </c>
      <c r="BE6" s="672" t="s">
        <v>105</v>
      </c>
      <c r="BF6" s="370">
        <f>SUM(BB6,BD6)</f>
        <v>0</v>
      </c>
      <c r="BH6" s="300"/>
      <c r="BI6" s="356"/>
      <c r="BJ6" s="355"/>
      <c r="BK6" s="672" t="s">
        <v>105</v>
      </c>
      <c r="BL6" s="361">
        <f>VLOOKUP(BJ2, $B$3:$E$109, 2, FALSE)</f>
        <v>0</v>
      </c>
      <c r="BM6" s="672" t="s">
        <v>105</v>
      </c>
      <c r="BN6" s="361">
        <f>VLOOKUP(BJ2, $B$3:$E$109, 3, FALSE)</f>
        <v>0</v>
      </c>
      <c r="BO6" s="673" t="s">
        <v>105</v>
      </c>
      <c r="BP6" s="370">
        <f>SUM(BL6,BN6)</f>
        <v>0</v>
      </c>
    </row>
    <row r="7" spans="2:68" ht="17.25" customHeight="1">
      <c r="B7" s="278">
        <v>42707</v>
      </c>
      <c r="C7" s="2"/>
      <c r="G7" s="150">
        <f t="shared" si="0"/>
        <v>0</v>
      </c>
      <c r="H7" s="150">
        <f t="shared" si="1"/>
        <v>0</v>
      </c>
      <c r="K7" s="451"/>
      <c r="L7" s="451"/>
      <c r="M7" s="440"/>
      <c r="N7" s="156"/>
      <c r="O7" s="440"/>
      <c r="P7" s="224"/>
      <c r="Q7" s="440"/>
      <c r="R7" s="224"/>
      <c r="S7" s="156"/>
      <c r="T7" s="156"/>
      <c r="U7" s="451"/>
      <c r="V7" s="451"/>
      <c r="W7" s="440"/>
      <c r="X7" s="156"/>
      <c r="Y7" s="440"/>
      <c r="Z7" s="224"/>
      <c r="AA7" s="440"/>
      <c r="AB7" s="224"/>
      <c r="AC7" s="156"/>
      <c r="AD7" s="156"/>
      <c r="AE7" s="451"/>
      <c r="AF7" s="451"/>
      <c r="AG7" s="440"/>
      <c r="AH7" s="156"/>
      <c r="AI7" s="440"/>
      <c r="AJ7" s="224"/>
      <c r="AK7" s="440"/>
      <c r="AL7" s="224"/>
      <c r="AN7" s="300"/>
      <c r="AO7" s="704" t="s">
        <v>157</v>
      </c>
      <c r="AP7" s="705"/>
      <c r="AQ7" s="673"/>
      <c r="AR7" s="357"/>
      <c r="AS7" s="672"/>
      <c r="AT7" s="368"/>
      <c r="AU7" s="672"/>
      <c r="AV7" s="368"/>
      <c r="AX7" s="300"/>
      <c r="AY7" s="704" t="s">
        <v>157</v>
      </c>
      <c r="AZ7" s="705"/>
      <c r="BA7" s="673"/>
      <c r="BB7" s="357"/>
      <c r="BC7" s="672"/>
      <c r="BD7" s="368"/>
      <c r="BE7" s="672"/>
      <c r="BF7" s="368"/>
      <c r="BH7" s="300"/>
      <c r="BI7" s="704" t="s">
        <v>157</v>
      </c>
      <c r="BJ7" s="705"/>
      <c r="BK7" s="673"/>
      <c r="BL7" s="357"/>
      <c r="BM7" s="672"/>
      <c r="BN7" s="368"/>
      <c r="BO7" s="673"/>
      <c r="BP7" s="368"/>
    </row>
    <row r="8" spans="2:68" ht="15.75">
      <c r="B8" s="278">
        <v>42708</v>
      </c>
      <c r="G8" s="150">
        <f t="shared" si="0"/>
        <v>0</v>
      </c>
      <c r="H8" s="150">
        <f t="shared" si="1"/>
        <v>0</v>
      </c>
      <c r="K8" s="451"/>
      <c r="L8" s="441"/>
      <c r="M8" s="442"/>
      <c r="N8" s="156"/>
      <c r="O8" s="440"/>
      <c r="P8" s="156"/>
      <c r="Q8" s="442"/>
      <c r="R8" s="156"/>
      <c r="S8" s="156"/>
      <c r="T8" s="156"/>
      <c r="U8" s="451"/>
      <c r="V8" s="441"/>
      <c r="W8" s="442"/>
      <c r="X8" s="156"/>
      <c r="Y8" s="440"/>
      <c r="Z8" s="156"/>
      <c r="AA8" s="442"/>
      <c r="AB8" s="156"/>
      <c r="AC8" s="156"/>
      <c r="AD8" s="156"/>
      <c r="AE8" s="451"/>
      <c r="AF8" s="441"/>
      <c r="AG8" s="442"/>
      <c r="AH8" s="156"/>
      <c r="AI8" s="440"/>
      <c r="AJ8" s="156"/>
      <c r="AK8" s="442"/>
      <c r="AL8" s="156"/>
      <c r="AN8" s="300"/>
      <c r="AO8" s="374"/>
      <c r="AP8" s="372">
        <f>AV4*13</f>
        <v>0</v>
      </c>
      <c r="AQ8" s="434"/>
      <c r="AR8" s="357"/>
      <c r="AS8" s="363"/>
      <c r="AT8" s="357"/>
      <c r="AU8" s="435"/>
      <c r="AV8" s="357"/>
      <c r="AX8" s="300"/>
      <c r="AY8" s="374"/>
      <c r="AZ8" s="372">
        <f>BF4*13</f>
        <v>0</v>
      </c>
      <c r="BA8" s="434"/>
      <c r="BB8" s="357"/>
      <c r="BC8" s="363"/>
      <c r="BD8" s="357"/>
      <c r="BE8" s="435"/>
      <c r="BF8" s="357"/>
      <c r="BH8" s="300"/>
      <c r="BI8" s="374"/>
      <c r="BJ8" s="372">
        <f>BP4*13</f>
        <v>0</v>
      </c>
      <c r="BK8" s="434"/>
      <c r="BL8" s="357"/>
      <c r="BM8" s="363"/>
      <c r="BN8" s="357"/>
      <c r="BO8" s="435"/>
      <c r="BP8" s="357"/>
    </row>
    <row r="9" spans="2:68" ht="18.75">
      <c r="B9" s="278">
        <v>42709</v>
      </c>
      <c r="G9" s="150">
        <f t="shared" si="0"/>
        <v>0</v>
      </c>
      <c r="H9" s="150">
        <f t="shared" si="1"/>
        <v>0</v>
      </c>
      <c r="K9" s="156"/>
      <c r="L9" s="98"/>
      <c r="M9" s="452"/>
      <c r="N9" s="295"/>
      <c r="O9" s="452"/>
      <c r="P9" s="295"/>
      <c r="Q9" s="452"/>
      <c r="R9" s="295"/>
      <c r="S9" s="295"/>
      <c r="T9" s="156"/>
      <c r="U9" s="156"/>
      <c r="V9" s="98"/>
      <c r="W9" s="452"/>
      <c r="X9" s="295"/>
      <c r="Y9" s="452"/>
      <c r="Z9" s="295"/>
      <c r="AA9" s="452"/>
      <c r="AB9" s="295"/>
      <c r="AC9" s="156"/>
      <c r="AD9" s="156"/>
      <c r="AE9" s="156"/>
      <c r="AF9" s="98"/>
      <c r="AG9" s="452"/>
      <c r="AH9" s="295"/>
      <c r="AI9" s="452"/>
      <c r="AJ9" s="295"/>
      <c r="AK9" s="452"/>
      <c r="AL9" s="295"/>
      <c r="AN9" s="300"/>
      <c r="AO9" s="356"/>
      <c r="AP9" s="375"/>
      <c r="AQ9" s="286" t="s">
        <v>97</v>
      </c>
      <c r="AR9" s="287" t="e">
        <f>AR6/((AR4*EFFICIENCY!$H$28))</f>
        <v>#DIV/0!</v>
      </c>
      <c r="AS9" s="286" t="s">
        <v>97</v>
      </c>
      <c r="AT9" s="287" t="e">
        <f>AT6/(AT4*EFFICIENCY!$H$28)</f>
        <v>#DIV/0!</v>
      </c>
      <c r="AU9" s="286" t="s">
        <v>97</v>
      </c>
      <c r="AV9" s="287" t="e">
        <f>AV6/(AV4*EFFICIENCY!$H$28)</f>
        <v>#DIV/0!</v>
      </c>
      <c r="AX9" s="300"/>
      <c r="AY9" s="356"/>
      <c r="AZ9" s="375"/>
      <c r="BA9" s="286" t="s">
        <v>97</v>
      </c>
      <c r="BB9" s="287" t="e">
        <f>BB6/((BB4*EFFICIENCY!$H$28))</f>
        <v>#DIV/0!</v>
      </c>
      <c r="BC9" s="286" t="s">
        <v>97</v>
      </c>
      <c r="BD9" s="287" t="e">
        <f>BD6/(BD4*EFFICIENCY!$H$28)</f>
        <v>#DIV/0!</v>
      </c>
      <c r="BE9" s="286" t="s">
        <v>97</v>
      </c>
      <c r="BF9" s="287" t="e">
        <f>BF6/(BF4*EFFICIENCY!$H$28)</f>
        <v>#DIV/0!</v>
      </c>
      <c r="BH9" s="300"/>
      <c r="BI9" s="356"/>
      <c r="BJ9" s="375"/>
      <c r="BK9" s="286" t="s">
        <v>97</v>
      </c>
      <c r="BL9" s="287" t="e">
        <f>BL6/((BL4*EFFICIENCY!$H$28))</f>
        <v>#DIV/0!</v>
      </c>
      <c r="BM9" s="286" t="s">
        <v>97</v>
      </c>
      <c r="BN9" s="287" t="e">
        <f>BN6/(BN4*EFFICIENCY!$H$28)</f>
        <v>#DIV/0!</v>
      </c>
      <c r="BO9" s="286" t="s">
        <v>97</v>
      </c>
      <c r="BP9" s="287" t="e">
        <f>BP6/(BP4*EFFICIENCY!$H$28)</f>
        <v>#DIV/0!</v>
      </c>
    </row>
    <row r="10" spans="2:68" ht="18.75" customHeight="1">
      <c r="B10" s="278">
        <v>42710</v>
      </c>
      <c r="G10" s="150">
        <f t="shared" si="0"/>
        <v>0</v>
      </c>
      <c r="H10" s="150">
        <f t="shared" si="1"/>
        <v>0</v>
      </c>
      <c r="K10" s="156"/>
      <c r="L10" s="156"/>
      <c r="M10" s="453"/>
      <c r="N10" s="296"/>
      <c r="O10" s="453"/>
      <c r="P10" s="296"/>
      <c r="Q10" s="453"/>
      <c r="R10" s="296"/>
      <c r="S10" s="296"/>
      <c r="T10" s="156"/>
      <c r="U10" s="156"/>
      <c r="V10" s="156"/>
      <c r="W10" s="453"/>
      <c r="X10" s="296"/>
      <c r="Y10" s="453"/>
      <c r="Z10" s="296"/>
      <c r="AA10" s="453"/>
      <c r="AB10" s="296"/>
      <c r="AC10" s="156"/>
      <c r="AD10" s="156"/>
      <c r="AE10" s="156"/>
      <c r="AF10" s="156"/>
      <c r="AG10" s="453"/>
      <c r="AH10" s="296"/>
      <c r="AI10" s="453"/>
      <c r="AJ10" s="296"/>
      <c r="AK10" s="453"/>
      <c r="AL10" s="296"/>
      <c r="AN10" s="300"/>
      <c r="AO10" s="356"/>
      <c r="AP10" s="355"/>
      <c r="AQ10" s="280" t="s">
        <v>96</v>
      </c>
      <c r="AR10" s="281" t="e">
        <f>AR6/(AR4*EFFICIENCY!$I$28)</f>
        <v>#DIV/0!</v>
      </c>
      <c r="AS10" s="280" t="s">
        <v>96</v>
      </c>
      <c r="AT10" s="281" t="e">
        <f>AT6/(AT4*EFFICIENCY!$I$28)</f>
        <v>#DIV/0!</v>
      </c>
      <c r="AU10" s="280" t="s">
        <v>96</v>
      </c>
      <c r="AV10" s="281" t="e">
        <f>AV6/(AV4*EFFICIENCY!$I$28)</f>
        <v>#DIV/0!</v>
      </c>
      <c r="AX10" s="300"/>
      <c r="AY10" s="356"/>
      <c r="AZ10" s="355"/>
      <c r="BA10" s="280" t="s">
        <v>96</v>
      </c>
      <c r="BB10" s="281" t="e">
        <f>BB6/(BB4*EFFICIENCY!$I$28)</f>
        <v>#DIV/0!</v>
      </c>
      <c r="BC10" s="280" t="s">
        <v>96</v>
      </c>
      <c r="BD10" s="281" t="e">
        <f>BD6/(BD4*EFFICIENCY!$I$28)</f>
        <v>#DIV/0!</v>
      </c>
      <c r="BE10" s="280" t="s">
        <v>96</v>
      </c>
      <c r="BF10" s="281" t="e">
        <f>BF6/(BF4*EFFICIENCY!$I$28)</f>
        <v>#DIV/0!</v>
      </c>
      <c r="BH10" s="300"/>
      <c r="BI10" s="356"/>
      <c r="BJ10" s="355"/>
      <c r="BK10" s="280" t="s">
        <v>96</v>
      </c>
      <c r="BL10" s="281" t="e">
        <f>BL6/(BL4*EFFICIENCY!$I$28)</f>
        <v>#DIV/0!</v>
      </c>
      <c r="BM10" s="280" t="s">
        <v>96</v>
      </c>
      <c r="BN10" s="281" t="e">
        <f>BN6/(BN4*EFFICIENCY!$I$28)</f>
        <v>#DIV/0!</v>
      </c>
      <c r="BO10" s="280" t="s">
        <v>96</v>
      </c>
      <c r="BP10" s="281" t="e">
        <f>BP6/(BP4*EFFICIENCY!$I$28)</f>
        <v>#DIV/0!</v>
      </c>
    </row>
    <row r="11" spans="2:68" ht="17.25" customHeight="1" thickBot="1">
      <c r="B11" s="278">
        <v>42711</v>
      </c>
      <c r="G11" s="150">
        <f t="shared" si="0"/>
        <v>0</v>
      </c>
      <c r="H11" s="150">
        <f t="shared" si="1"/>
        <v>0</v>
      </c>
      <c r="K11" s="454"/>
      <c r="L11" s="454"/>
      <c r="M11" s="455"/>
      <c r="N11" s="297"/>
      <c r="O11" s="455"/>
      <c r="P11" s="297"/>
      <c r="Q11" s="455"/>
      <c r="R11" s="297"/>
      <c r="S11" s="297"/>
      <c r="T11" s="156"/>
      <c r="U11" s="454"/>
      <c r="V11" s="454"/>
      <c r="W11" s="455"/>
      <c r="X11" s="297"/>
      <c r="Y11" s="455"/>
      <c r="Z11" s="297"/>
      <c r="AA11" s="455"/>
      <c r="AB11" s="297"/>
      <c r="AC11" s="156"/>
      <c r="AD11" s="156"/>
      <c r="AE11" s="454"/>
      <c r="AF11" s="454"/>
      <c r="AG11" s="455"/>
      <c r="AH11" s="297"/>
      <c r="AI11" s="455"/>
      <c r="AJ11" s="297"/>
      <c r="AK11" s="455"/>
      <c r="AL11" s="297"/>
      <c r="AN11" s="300"/>
      <c r="AO11" s="692" t="s">
        <v>156</v>
      </c>
      <c r="AP11" s="708"/>
      <c r="AQ11" s="284" t="s">
        <v>94</v>
      </c>
      <c r="AR11" s="285" t="e">
        <f>AR6/((AR4*EFFICIENCY!$K$28))</f>
        <v>#DIV/0!</v>
      </c>
      <c r="AS11" s="288" t="s">
        <v>94</v>
      </c>
      <c r="AT11" s="285" t="e">
        <f>AT6/((AT4*EFFICIENCY!$K$28))</f>
        <v>#DIV/0!</v>
      </c>
      <c r="AU11" s="284" t="s">
        <v>94</v>
      </c>
      <c r="AV11" s="285" t="e">
        <f>AV6/((AV4*EFFICIENCY!$K$28))</f>
        <v>#DIV/0!</v>
      </c>
      <c r="AX11" s="300"/>
      <c r="AY11" s="692" t="s">
        <v>156</v>
      </c>
      <c r="AZ11" s="708"/>
      <c r="BA11" s="284" t="s">
        <v>94</v>
      </c>
      <c r="BB11" s="285" t="e">
        <f>BB6/((BB4*EFFICIENCY!$K$28))</f>
        <v>#DIV/0!</v>
      </c>
      <c r="BC11" s="288" t="s">
        <v>94</v>
      </c>
      <c r="BD11" s="285" t="e">
        <f>BD6/((BD4*EFFICIENCY!$K$28))</f>
        <v>#DIV/0!</v>
      </c>
      <c r="BE11" s="284" t="s">
        <v>94</v>
      </c>
      <c r="BF11" s="285" t="e">
        <f>BF6/((BF4*EFFICIENCY!$K$28))</f>
        <v>#DIV/0!</v>
      </c>
      <c r="BH11" s="300"/>
      <c r="BI11" s="692" t="s">
        <v>156</v>
      </c>
      <c r="BJ11" s="693"/>
      <c r="BK11" s="284" t="s">
        <v>94</v>
      </c>
      <c r="BL11" s="285" t="e">
        <f>BL6/((BL4*EFFICIENCY!$K$28))</f>
        <v>#DIV/0!</v>
      </c>
      <c r="BM11" s="288" t="s">
        <v>94</v>
      </c>
      <c r="BN11" s="285" t="e">
        <f>BN6/((BN4*EFFICIENCY!$K$28))</f>
        <v>#DIV/0!</v>
      </c>
      <c r="BO11" s="284" t="s">
        <v>94</v>
      </c>
      <c r="BP11" s="285" t="e">
        <f>BP6/((BP4*EFFICIENCY!$K$28))</f>
        <v>#DIV/0!</v>
      </c>
    </row>
    <row r="12" spans="2:68" ht="16.5" thickBot="1">
      <c r="B12" s="278">
        <v>42712</v>
      </c>
      <c r="G12" s="150">
        <f t="shared" si="0"/>
        <v>0</v>
      </c>
      <c r="H12" s="150">
        <f t="shared" si="1"/>
        <v>0</v>
      </c>
      <c r="K12" s="156"/>
      <c r="L12" s="441"/>
      <c r="M12" s="456"/>
      <c r="N12" s="456"/>
      <c r="O12" s="457"/>
      <c r="P12" s="458"/>
      <c r="Q12" s="458"/>
      <c r="R12" s="298"/>
      <c r="S12" s="298"/>
      <c r="T12" s="156"/>
      <c r="U12" s="156"/>
      <c r="V12" s="441"/>
      <c r="W12" s="456"/>
      <c r="X12" s="456"/>
      <c r="Y12" s="457"/>
      <c r="Z12" s="458"/>
      <c r="AA12" s="458"/>
      <c r="AB12" s="298"/>
      <c r="AC12" s="156"/>
      <c r="AD12" s="156"/>
      <c r="AE12" s="156"/>
      <c r="AF12" s="441"/>
      <c r="AG12" s="456"/>
      <c r="AH12" s="456"/>
      <c r="AI12" s="457"/>
      <c r="AJ12" s="458"/>
      <c r="AK12" s="458"/>
      <c r="AL12" s="298"/>
      <c r="AN12" s="300"/>
      <c r="AO12" s="376"/>
      <c r="AP12" s="377" t="e">
        <f>AV6/AV4</f>
        <v>#DIV/0!</v>
      </c>
      <c r="AQ12" s="706" t="s">
        <v>153</v>
      </c>
      <c r="AR12" s="707"/>
      <c r="AS12" s="290"/>
      <c r="AT12" s="431"/>
      <c r="AU12" s="431" t="s">
        <v>154</v>
      </c>
      <c r="AV12" s="366">
        <f>AS12-AV6</f>
        <v>0</v>
      </c>
      <c r="AX12" s="300"/>
      <c r="AY12" s="376"/>
      <c r="AZ12" s="377" t="e">
        <f>BF6/BF4</f>
        <v>#DIV/0!</v>
      </c>
      <c r="BA12" s="706" t="s">
        <v>153</v>
      </c>
      <c r="BB12" s="707"/>
      <c r="BC12" s="290"/>
      <c r="BD12" s="431"/>
      <c r="BE12" s="431" t="s">
        <v>154</v>
      </c>
      <c r="BF12" s="366">
        <f>BC12-BF6</f>
        <v>0</v>
      </c>
      <c r="BH12" s="300"/>
      <c r="BI12" s="376"/>
      <c r="BJ12" s="377" t="e">
        <f>BP6/BP4</f>
        <v>#DIV/0!</v>
      </c>
      <c r="BK12" s="678" t="s">
        <v>153</v>
      </c>
      <c r="BL12" s="679"/>
      <c r="BM12" s="290"/>
      <c r="BN12" s="431"/>
      <c r="BO12" s="431" t="s">
        <v>154</v>
      </c>
      <c r="BP12" s="366">
        <f>BM12-BP6</f>
        <v>0</v>
      </c>
    </row>
    <row r="13" spans="2:68" ht="15.75" customHeight="1">
      <c r="B13" s="278">
        <v>42713</v>
      </c>
      <c r="G13" s="150">
        <f t="shared" si="0"/>
        <v>0</v>
      </c>
      <c r="H13" s="150">
        <f t="shared" si="1"/>
        <v>0</v>
      </c>
      <c r="L13" s="154"/>
      <c r="T13" s="300"/>
      <c r="V13" s="154"/>
      <c r="AD13" s="300"/>
      <c r="AF13" s="154"/>
      <c r="AN13" s="300"/>
      <c r="AP13" s="154"/>
      <c r="AX13" s="300"/>
      <c r="AZ13" s="154"/>
      <c r="BH13" s="300"/>
      <c r="BJ13" s="154"/>
    </row>
    <row r="14" spans="2:68" ht="15" customHeight="1" thickBot="1">
      <c r="B14" s="278">
        <v>42714</v>
      </c>
      <c r="G14" s="150">
        <f t="shared" si="0"/>
        <v>0</v>
      </c>
      <c r="H14" s="150">
        <f t="shared" si="1"/>
        <v>0</v>
      </c>
      <c r="K14" s="291"/>
      <c r="L14" s="291"/>
      <c r="M14" s="291"/>
      <c r="N14" s="291"/>
      <c r="O14" s="291"/>
      <c r="P14" s="291"/>
      <c r="Q14" s="291"/>
      <c r="R14" s="291"/>
      <c r="S14" s="299"/>
      <c r="T14" s="301"/>
      <c r="U14" s="291"/>
      <c r="V14" s="291"/>
      <c r="W14" s="291"/>
      <c r="X14" s="291"/>
      <c r="Y14" s="291"/>
      <c r="Z14" s="291"/>
      <c r="AA14" s="291"/>
      <c r="AB14" s="291"/>
      <c r="AC14" s="291"/>
      <c r="AD14" s="301"/>
      <c r="AE14" s="291"/>
      <c r="AF14" s="291"/>
      <c r="AG14" s="291"/>
      <c r="AH14" s="291"/>
      <c r="AI14" s="291"/>
      <c r="AJ14" s="291"/>
      <c r="AK14" s="291"/>
      <c r="AL14" s="291"/>
      <c r="AM14" s="291"/>
      <c r="AN14" s="301"/>
      <c r="AO14" s="291"/>
      <c r="AP14" s="291"/>
      <c r="AQ14" s="291"/>
      <c r="AR14" s="291"/>
      <c r="AS14" s="291"/>
      <c r="AT14" s="291"/>
      <c r="AU14" s="291"/>
      <c r="AV14" s="291"/>
      <c r="AW14" s="291"/>
      <c r="AX14" s="301"/>
      <c r="AY14" s="291"/>
      <c r="AZ14" s="291"/>
      <c r="BA14" s="291"/>
      <c r="BB14" s="291"/>
      <c r="BC14" s="291"/>
      <c r="BD14" s="291"/>
      <c r="BE14" s="291"/>
      <c r="BF14" s="291"/>
      <c r="BG14" s="291"/>
      <c r="BH14" s="300"/>
      <c r="BI14" s="291"/>
      <c r="BJ14" s="291"/>
      <c r="BK14" s="291"/>
      <c r="BL14" s="291"/>
      <c r="BM14" s="291"/>
      <c r="BN14" s="291"/>
      <c r="BO14" s="291"/>
      <c r="BP14" s="291"/>
    </row>
    <row r="15" spans="2:68" ht="15.75" thickBot="1">
      <c r="B15" s="278">
        <v>42715</v>
      </c>
      <c r="G15" s="150">
        <f t="shared" si="0"/>
        <v>0</v>
      </c>
      <c r="H15" s="150">
        <f t="shared" si="1"/>
        <v>0</v>
      </c>
      <c r="K15" s="378" t="s">
        <v>7</v>
      </c>
      <c r="L15" s="533">
        <f>B9</f>
        <v>42709</v>
      </c>
      <c r="M15" s="663" t="s">
        <v>100</v>
      </c>
      <c r="N15" s="664"/>
      <c r="O15" s="665" t="s">
        <v>99</v>
      </c>
      <c r="P15" s="666"/>
      <c r="Q15" s="667" t="s">
        <v>16</v>
      </c>
      <c r="R15" s="668"/>
      <c r="S15" s="293"/>
      <c r="T15" s="302"/>
      <c r="U15" s="378" t="s">
        <v>7</v>
      </c>
      <c r="V15" s="533">
        <f>B10</f>
        <v>42710</v>
      </c>
      <c r="W15" s="663" t="s">
        <v>100</v>
      </c>
      <c r="X15" s="664"/>
      <c r="Y15" s="665" t="s">
        <v>99</v>
      </c>
      <c r="Z15" s="666"/>
      <c r="AA15" s="667" t="s">
        <v>16</v>
      </c>
      <c r="AB15" s="668"/>
      <c r="AD15" s="300"/>
      <c r="AE15" s="378" t="s">
        <v>7</v>
      </c>
      <c r="AF15" s="533">
        <f>B11</f>
        <v>42711</v>
      </c>
      <c r="AG15" s="663" t="s">
        <v>100</v>
      </c>
      <c r="AH15" s="664"/>
      <c r="AI15" s="665" t="s">
        <v>99</v>
      </c>
      <c r="AJ15" s="666"/>
      <c r="AK15" s="667" t="s">
        <v>16</v>
      </c>
      <c r="AL15" s="668"/>
      <c r="AN15" s="300"/>
      <c r="AO15" s="378" t="s">
        <v>7</v>
      </c>
      <c r="AP15" s="533">
        <f>B12</f>
        <v>42712</v>
      </c>
      <c r="AQ15" s="663" t="s">
        <v>100</v>
      </c>
      <c r="AR15" s="664"/>
      <c r="AS15" s="665" t="s">
        <v>99</v>
      </c>
      <c r="AT15" s="666"/>
      <c r="AU15" s="667" t="s">
        <v>16</v>
      </c>
      <c r="AV15" s="668"/>
      <c r="AX15" s="300"/>
      <c r="AY15" s="378" t="s">
        <v>7</v>
      </c>
      <c r="AZ15" s="533">
        <f>B13</f>
        <v>42713</v>
      </c>
      <c r="BA15" s="663" t="s">
        <v>100</v>
      </c>
      <c r="BB15" s="664"/>
      <c r="BC15" s="665" t="s">
        <v>99</v>
      </c>
      <c r="BD15" s="666"/>
      <c r="BE15" s="667" t="s">
        <v>16</v>
      </c>
      <c r="BF15" s="668"/>
      <c r="BH15" s="300"/>
      <c r="BI15" s="378" t="s">
        <v>7</v>
      </c>
      <c r="BJ15" s="533">
        <f>B14</f>
        <v>42714</v>
      </c>
      <c r="BK15" s="663" t="s">
        <v>100</v>
      </c>
      <c r="BL15" s="664"/>
      <c r="BM15" s="665" t="s">
        <v>99</v>
      </c>
      <c r="BN15" s="666"/>
      <c r="BO15" s="667" t="s">
        <v>16</v>
      </c>
      <c r="BP15" s="668"/>
    </row>
    <row r="16" spans="2:68" ht="13.5" thickBot="1">
      <c r="B16" s="278">
        <v>42716</v>
      </c>
      <c r="G16" s="150">
        <f t="shared" si="0"/>
        <v>0</v>
      </c>
      <c r="H16" s="150">
        <f t="shared" si="1"/>
        <v>0</v>
      </c>
      <c r="K16" s="339"/>
      <c r="L16" s="338"/>
      <c r="M16" s="339"/>
      <c r="N16" s="340"/>
      <c r="O16" s="339"/>
      <c r="P16" s="340"/>
      <c r="Q16" s="338"/>
      <c r="R16" s="340"/>
      <c r="S16" s="156"/>
      <c r="T16" s="302"/>
      <c r="U16" s="339"/>
      <c r="V16" s="338"/>
      <c r="W16" s="339"/>
      <c r="X16" s="340"/>
      <c r="Y16" s="339"/>
      <c r="Z16" s="340"/>
      <c r="AA16" s="338"/>
      <c r="AB16" s="340"/>
      <c r="AD16" s="300"/>
      <c r="AE16" s="339"/>
      <c r="AF16" s="338"/>
      <c r="AG16" s="339"/>
      <c r="AH16" s="340"/>
      <c r="AI16" s="339"/>
      <c r="AJ16" s="340"/>
      <c r="AK16" s="338"/>
      <c r="AL16" s="340"/>
      <c r="AN16" s="300"/>
      <c r="AO16" s="339"/>
      <c r="AP16" s="338"/>
      <c r="AQ16" s="339"/>
      <c r="AR16" s="340"/>
      <c r="AS16" s="339"/>
      <c r="AT16" s="340"/>
      <c r="AU16" s="338"/>
      <c r="AV16" s="340"/>
      <c r="AX16" s="300"/>
      <c r="AY16" s="339"/>
      <c r="AZ16" s="338"/>
      <c r="BA16" s="339"/>
      <c r="BB16" s="340"/>
      <c r="BC16" s="339"/>
      <c r="BD16" s="340"/>
      <c r="BE16" s="338"/>
      <c r="BF16" s="340"/>
      <c r="BH16" s="300"/>
      <c r="BI16" s="339"/>
      <c r="BJ16" s="338"/>
      <c r="BK16" s="339"/>
      <c r="BL16" s="340"/>
      <c r="BM16" s="339"/>
      <c r="BN16" s="340"/>
      <c r="BO16" s="338"/>
      <c r="BP16" s="340"/>
    </row>
    <row r="17" spans="2:68" ht="16.5" thickBot="1">
      <c r="B17" s="278">
        <v>42717</v>
      </c>
      <c r="G17" s="150">
        <f t="shared" si="0"/>
        <v>0</v>
      </c>
      <c r="H17" s="150">
        <f t="shared" si="1"/>
        <v>0</v>
      </c>
      <c r="K17" s="339"/>
      <c r="L17" s="432" t="s">
        <v>155</v>
      </c>
      <c r="M17" s="342" t="s">
        <v>103</v>
      </c>
      <c r="N17" s="279"/>
      <c r="O17" s="342" t="s">
        <v>103</v>
      </c>
      <c r="P17" s="279"/>
      <c r="Q17" s="343" t="s">
        <v>103</v>
      </c>
      <c r="R17" s="344">
        <f>SUM(N17,P17)</f>
        <v>0</v>
      </c>
      <c r="S17" s="294"/>
      <c r="T17" s="302"/>
      <c r="U17" s="339"/>
      <c r="V17" s="432" t="s">
        <v>155</v>
      </c>
      <c r="W17" s="342" t="s">
        <v>103</v>
      </c>
      <c r="X17" s="279"/>
      <c r="Y17" s="342" t="s">
        <v>103</v>
      </c>
      <c r="Z17" s="279"/>
      <c r="AA17" s="343" t="s">
        <v>103</v>
      </c>
      <c r="AB17" s="344">
        <f>SUM(X17,Z17)</f>
        <v>0</v>
      </c>
      <c r="AD17" s="300"/>
      <c r="AE17" s="339"/>
      <c r="AF17" s="432" t="s">
        <v>155</v>
      </c>
      <c r="AG17" s="342" t="s">
        <v>103</v>
      </c>
      <c r="AH17" s="279"/>
      <c r="AI17" s="342" t="s">
        <v>103</v>
      </c>
      <c r="AJ17" s="279"/>
      <c r="AK17" s="343" t="s">
        <v>103</v>
      </c>
      <c r="AL17" s="344">
        <f>SUM(AH17,AJ17)</f>
        <v>0</v>
      </c>
      <c r="AN17" s="300"/>
      <c r="AO17" s="339"/>
      <c r="AP17" s="432" t="s">
        <v>155</v>
      </c>
      <c r="AQ17" s="342" t="s">
        <v>103</v>
      </c>
      <c r="AR17" s="279"/>
      <c r="AS17" s="342" t="s">
        <v>103</v>
      </c>
      <c r="AT17" s="279"/>
      <c r="AU17" s="343" t="s">
        <v>103</v>
      </c>
      <c r="AV17" s="344">
        <f>SUM(AR17,AT17)</f>
        <v>0</v>
      </c>
      <c r="AX17" s="300"/>
      <c r="AY17" s="339"/>
      <c r="AZ17" s="432" t="s">
        <v>155</v>
      </c>
      <c r="BA17" s="342" t="s">
        <v>103</v>
      </c>
      <c r="BB17" s="279"/>
      <c r="BC17" s="342" t="s">
        <v>103</v>
      </c>
      <c r="BD17" s="279"/>
      <c r="BE17" s="343" t="s">
        <v>103</v>
      </c>
      <c r="BF17" s="344">
        <f>SUM(BB17,BD17)</f>
        <v>0</v>
      </c>
      <c r="BH17" s="300"/>
      <c r="BI17" s="339"/>
      <c r="BJ17" s="432" t="s">
        <v>155</v>
      </c>
      <c r="BK17" s="342" t="s">
        <v>103</v>
      </c>
      <c r="BL17" s="279"/>
      <c r="BM17" s="342" t="s">
        <v>103</v>
      </c>
      <c r="BN17" s="279"/>
      <c r="BO17" s="343" t="s">
        <v>103</v>
      </c>
      <c r="BP17" s="344">
        <f>SUM(BL17,BN17)</f>
        <v>0</v>
      </c>
    </row>
    <row r="18" spans="2:68" ht="18.75" thickBot="1">
      <c r="B18" s="278">
        <v>42718</v>
      </c>
      <c r="G18" s="150">
        <f t="shared" si="0"/>
        <v>0</v>
      </c>
      <c r="H18" s="150">
        <f t="shared" si="1"/>
        <v>0</v>
      </c>
      <c r="K18" s="339"/>
      <c r="L18" s="289">
        <v>8</v>
      </c>
      <c r="M18" s="345" t="s">
        <v>5</v>
      </c>
      <c r="N18" s="346">
        <f>VLOOKUP(L15, $B$3:$E$109, 4, FALSE)</f>
        <v>0</v>
      </c>
      <c r="O18" s="345" t="s">
        <v>5</v>
      </c>
      <c r="P18" s="347">
        <f>VLOOKUP(L15, $B$3:$F$109, 5, FALSE)</f>
        <v>0</v>
      </c>
      <c r="Q18" s="348" t="s">
        <v>5</v>
      </c>
      <c r="R18" s="344">
        <f>SUM(N18,P18)</f>
        <v>0</v>
      </c>
      <c r="S18" s="294"/>
      <c r="T18" s="302"/>
      <c r="U18" s="339"/>
      <c r="V18" s="289">
        <v>8</v>
      </c>
      <c r="W18" s="345" t="s">
        <v>5</v>
      </c>
      <c r="X18" s="346">
        <f>VLOOKUP(V15, $B$3:$E$109, 4, FALSE)</f>
        <v>0</v>
      </c>
      <c r="Y18" s="345" t="s">
        <v>5</v>
      </c>
      <c r="Z18" s="347">
        <f>VLOOKUP(V15, $B$3:$F$109, 5, FALSE)</f>
        <v>0</v>
      </c>
      <c r="AA18" s="348" t="s">
        <v>5</v>
      </c>
      <c r="AB18" s="344">
        <f>SUM(X18,Z18)</f>
        <v>0</v>
      </c>
      <c r="AD18" s="300"/>
      <c r="AE18" s="339"/>
      <c r="AF18" s="289">
        <v>8</v>
      </c>
      <c r="AG18" s="345" t="s">
        <v>5</v>
      </c>
      <c r="AH18" s="346">
        <f>VLOOKUP(AF15, $B$3:$E$109, 4, FALSE)</f>
        <v>0</v>
      </c>
      <c r="AI18" s="345" t="s">
        <v>5</v>
      </c>
      <c r="AJ18" s="347">
        <f>VLOOKUP(AF15, $B$3:$F$109, 5, FALSE)</f>
        <v>0</v>
      </c>
      <c r="AK18" s="348" t="s">
        <v>5</v>
      </c>
      <c r="AL18" s="344">
        <f>SUM(AH18,AJ18)</f>
        <v>0</v>
      </c>
      <c r="AN18" s="300"/>
      <c r="AO18" s="339"/>
      <c r="AP18" s="289">
        <v>8</v>
      </c>
      <c r="AQ18" s="345" t="s">
        <v>5</v>
      </c>
      <c r="AR18" s="346">
        <f>VLOOKUP(AP15, $B$3:$E$109, 4, FALSE)</f>
        <v>0</v>
      </c>
      <c r="AS18" s="345" t="s">
        <v>5</v>
      </c>
      <c r="AT18" s="347">
        <f>VLOOKUP(AP15, $B$3:$F$109, 5, FALSE)</f>
        <v>0</v>
      </c>
      <c r="AU18" s="348" t="s">
        <v>5</v>
      </c>
      <c r="AV18" s="344">
        <f>SUM(AR18,AT18)</f>
        <v>0</v>
      </c>
      <c r="AX18" s="300"/>
      <c r="AY18" s="339"/>
      <c r="AZ18" s="289">
        <v>8</v>
      </c>
      <c r="BA18" s="345" t="s">
        <v>5</v>
      </c>
      <c r="BB18" s="346">
        <f>VLOOKUP(AZ15, $B$3:$E$109, 4, FALSE)</f>
        <v>0</v>
      </c>
      <c r="BC18" s="345" t="s">
        <v>5</v>
      </c>
      <c r="BD18" s="347">
        <f>VLOOKUP(AZ15, $B$3:$F$109, 5, FALSE)</f>
        <v>0</v>
      </c>
      <c r="BE18" s="348" t="s">
        <v>5</v>
      </c>
      <c r="BF18" s="344">
        <f>SUM(BB18,BD18)</f>
        <v>0</v>
      </c>
      <c r="BH18" s="300"/>
      <c r="BI18" s="339"/>
      <c r="BJ18" s="289">
        <v>8</v>
      </c>
      <c r="BK18" s="345" t="s">
        <v>5</v>
      </c>
      <c r="BL18" s="346">
        <f>VLOOKUP(BJ15, $B$3:$E$109, 4, FALSE)</f>
        <v>0</v>
      </c>
      <c r="BM18" s="345" t="s">
        <v>5</v>
      </c>
      <c r="BN18" s="347">
        <f>VLOOKUP(BJ15, $B$3:$F$109, 5, FALSE)</f>
        <v>0</v>
      </c>
      <c r="BO18" s="348" t="s">
        <v>5</v>
      </c>
      <c r="BP18" s="344">
        <f>SUM(BL18,BN18)</f>
        <v>0</v>
      </c>
    </row>
    <row r="19" spans="2:68" ht="15.75" customHeight="1">
      <c r="B19" s="278">
        <v>42719</v>
      </c>
      <c r="G19" s="150">
        <f t="shared" si="0"/>
        <v>0</v>
      </c>
      <c r="H19" s="150">
        <f t="shared" si="1"/>
        <v>0</v>
      </c>
      <c r="K19" s="339"/>
      <c r="L19" s="338"/>
      <c r="M19" s="669" t="s">
        <v>105</v>
      </c>
      <c r="N19" s="346">
        <f>VLOOKUP(L15, $B$3:$E$109, 2, FALSE)</f>
        <v>0</v>
      </c>
      <c r="O19" s="669" t="s">
        <v>105</v>
      </c>
      <c r="P19" s="347">
        <f>VLOOKUP(L15, $B$3:$E$109, 3, FALSE)</f>
        <v>0</v>
      </c>
      <c r="Q19" s="670" t="s">
        <v>105</v>
      </c>
      <c r="R19" s="344">
        <f>SUM(N19,P19)</f>
        <v>0</v>
      </c>
      <c r="S19" s="294"/>
      <c r="T19" s="302"/>
      <c r="U19" s="339"/>
      <c r="V19" s="338"/>
      <c r="W19" s="669" t="s">
        <v>105</v>
      </c>
      <c r="X19" s="346">
        <f>VLOOKUP(V15, $B$3:$E$109, 2, FALSE)</f>
        <v>0</v>
      </c>
      <c r="Y19" s="669" t="s">
        <v>105</v>
      </c>
      <c r="Z19" s="347">
        <f>VLOOKUP(V15, $B$3:$E$109, 3, FALSE)</f>
        <v>0</v>
      </c>
      <c r="AA19" s="670" t="s">
        <v>105</v>
      </c>
      <c r="AB19" s="344">
        <f>SUM(X19,Z19)</f>
        <v>0</v>
      </c>
      <c r="AD19" s="300"/>
      <c r="AE19" s="339"/>
      <c r="AF19" s="338"/>
      <c r="AG19" s="669" t="s">
        <v>105</v>
      </c>
      <c r="AH19" s="346">
        <f>VLOOKUP(AF15, $B$3:$E$109, 2, FALSE)</f>
        <v>0</v>
      </c>
      <c r="AI19" s="669" t="s">
        <v>105</v>
      </c>
      <c r="AJ19" s="347">
        <f>VLOOKUP(AF15, $B$3:$E$109, 3, FALSE)</f>
        <v>0</v>
      </c>
      <c r="AK19" s="670" t="s">
        <v>105</v>
      </c>
      <c r="AL19" s="344">
        <f>SUM(AH19,AJ19)</f>
        <v>0</v>
      </c>
      <c r="AN19" s="300"/>
      <c r="AO19" s="339"/>
      <c r="AP19" s="338"/>
      <c r="AQ19" s="669" t="s">
        <v>105</v>
      </c>
      <c r="AR19" s="346">
        <f>VLOOKUP(AP15, $B$3:$E$109, 2, FALSE)</f>
        <v>0</v>
      </c>
      <c r="AS19" s="669" t="s">
        <v>105</v>
      </c>
      <c r="AT19" s="347">
        <f>VLOOKUP(AP15, $B$3:$E$109, 3, FALSE)</f>
        <v>0</v>
      </c>
      <c r="AU19" s="670" t="s">
        <v>105</v>
      </c>
      <c r="AV19" s="344">
        <f>SUM(AR19,AT19)</f>
        <v>0</v>
      </c>
      <c r="AX19" s="300"/>
      <c r="AY19" s="339"/>
      <c r="AZ19" s="338"/>
      <c r="BA19" s="669" t="s">
        <v>105</v>
      </c>
      <c r="BB19" s="346">
        <f>VLOOKUP(AZ15, $B$3:$E$109, 2, FALSE)</f>
        <v>0</v>
      </c>
      <c r="BC19" s="669" t="s">
        <v>105</v>
      </c>
      <c r="BD19" s="347">
        <f>VLOOKUP(AZ15, $B$3:$E$109, 3, FALSE)</f>
        <v>0</v>
      </c>
      <c r="BE19" s="670" t="s">
        <v>105</v>
      </c>
      <c r="BF19" s="344">
        <f>SUM(BB19,BD19)</f>
        <v>0</v>
      </c>
      <c r="BH19" s="300"/>
      <c r="BI19" s="339"/>
      <c r="BJ19" s="338"/>
      <c r="BK19" s="669" t="s">
        <v>105</v>
      </c>
      <c r="BL19" s="346">
        <f>VLOOKUP(BJ15, $B$3:$E$109, 2, FALSE)</f>
        <v>0</v>
      </c>
      <c r="BM19" s="669" t="s">
        <v>105</v>
      </c>
      <c r="BN19" s="347">
        <f>VLOOKUP(BJ15, $B$3:$E$109, 3, FALSE)</f>
        <v>0</v>
      </c>
      <c r="BO19" s="670" t="s">
        <v>105</v>
      </c>
      <c r="BP19" s="344">
        <f>SUM(BL19,BN19)</f>
        <v>0</v>
      </c>
    </row>
    <row r="20" spans="2:68" ht="12.75" customHeight="1">
      <c r="B20" s="278">
        <v>42720</v>
      </c>
      <c r="G20" s="150">
        <f t="shared" si="0"/>
        <v>0</v>
      </c>
      <c r="H20" s="150">
        <f t="shared" si="1"/>
        <v>0</v>
      </c>
      <c r="K20" s="698" t="s">
        <v>157</v>
      </c>
      <c r="L20" s="699"/>
      <c r="M20" s="670"/>
      <c r="N20" s="340"/>
      <c r="O20" s="669"/>
      <c r="P20" s="340"/>
      <c r="Q20" s="670"/>
      <c r="R20" s="340"/>
      <c r="S20" s="156"/>
      <c r="T20" s="302"/>
      <c r="U20" s="698" t="s">
        <v>157</v>
      </c>
      <c r="V20" s="699"/>
      <c r="W20" s="670"/>
      <c r="X20" s="340"/>
      <c r="Y20" s="669"/>
      <c r="Z20" s="340"/>
      <c r="AA20" s="670"/>
      <c r="AB20" s="340"/>
      <c r="AD20" s="300"/>
      <c r="AE20" s="698" t="s">
        <v>157</v>
      </c>
      <c r="AF20" s="699"/>
      <c r="AG20" s="670"/>
      <c r="AH20" s="340"/>
      <c r="AI20" s="669"/>
      <c r="AJ20" s="340"/>
      <c r="AK20" s="670"/>
      <c r="AL20" s="340"/>
      <c r="AN20" s="300"/>
      <c r="AO20" s="698" t="s">
        <v>157</v>
      </c>
      <c r="AP20" s="699"/>
      <c r="AQ20" s="670"/>
      <c r="AR20" s="340"/>
      <c r="AS20" s="669"/>
      <c r="AT20" s="340"/>
      <c r="AU20" s="670"/>
      <c r="AV20" s="340"/>
      <c r="AX20" s="300"/>
      <c r="AY20" s="698" t="s">
        <v>157</v>
      </c>
      <c r="AZ20" s="699"/>
      <c r="BA20" s="670"/>
      <c r="BB20" s="340"/>
      <c r="BC20" s="669"/>
      <c r="BD20" s="340"/>
      <c r="BE20" s="670"/>
      <c r="BF20" s="340"/>
      <c r="BH20" s="300"/>
      <c r="BI20" s="698" t="s">
        <v>157</v>
      </c>
      <c r="BJ20" s="699"/>
      <c r="BK20" s="670"/>
      <c r="BL20" s="340"/>
      <c r="BM20" s="669"/>
      <c r="BN20" s="340"/>
      <c r="BO20" s="670"/>
      <c r="BP20" s="340"/>
    </row>
    <row r="21" spans="2:68" ht="15.75">
      <c r="B21" s="278">
        <v>42721</v>
      </c>
      <c r="G21" s="150">
        <f t="shared" si="0"/>
        <v>0</v>
      </c>
      <c r="H21" s="150">
        <f t="shared" si="1"/>
        <v>0</v>
      </c>
      <c r="K21" s="379"/>
      <c r="L21" s="349">
        <f>R17*13</f>
        <v>0</v>
      </c>
      <c r="M21" s="429"/>
      <c r="N21" s="340"/>
      <c r="O21" s="351"/>
      <c r="P21" s="340"/>
      <c r="Q21" s="430"/>
      <c r="R21" s="340"/>
      <c r="S21" s="156"/>
      <c r="T21" s="302"/>
      <c r="U21" s="379"/>
      <c r="V21" s="349">
        <f>AB17*13</f>
        <v>0</v>
      </c>
      <c r="W21" s="429"/>
      <c r="X21" s="340"/>
      <c r="Y21" s="351"/>
      <c r="Z21" s="340"/>
      <c r="AA21" s="430"/>
      <c r="AB21" s="340"/>
      <c r="AD21" s="300"/>
      <c r="AE21" s="379"/>
      <c r="AF21" s="349">
        <f>AL17*13</f>
        <v>0</v>
      </c>
      <c r="AG21" s="429"/>
      <c r="AH21" s="340"/>
      <c r="AI21" s="351"/>
      <c r="AJ21" s="340"/>
      <c r="AK21" s="430"/>
      <c r="AL21" s="340"/>
      <c r="AN21" s="300"/>
      <c r="AO21" s="379"/>
      <c r="AP21" s="349">
        <f>AV17*13</f>
        <v>0</v>
      </c>
      <c r="AQ21" s="429"/>
      <c r="AR21" s="340"/>
      <c r="AS21" s="351"/>
      <c r="AT21" s="340"/>
      <c r="AU21" s="430"/>
      <c r="AV21" s="340"/>
      <c r="AX21" s="300"/>
      <c r="AY21" s="379"/>
      <c r="AZ21" s="349">
        <f>BF17*13</f>
        <v>0</v>
      </c>
      <c r="BA21" s="429"/>
      <c r="BB21" s="340"/>
      <c r="BC21" s="351"/>
      <c r="BD21" s="340"/>
      <c r="BE21" s="430"/>
      <c r="BF21" s="340"/>
      <c r="BH21" s="300"/>
      <c r="BI21" s="379"/>
      <c r="BJ21" s="349">
        <f>BP17*13</f>
        <v>0</v>
      </c>
      <c r="BK21" s="429"/>
      <c r="BL21" s="340"/>
      <c r="BM21" s="351"/>
      <c r="BN21" s="340"/>
      <c r="BO21" s="430"/>
      <c r="BP21" s="340"/>
    </row>
    <row r="22" spans="2:68" ht="18.75">
      <c r="B22" s="278">
        <v>42722</v>
      </c>
      <c r="G22" s="150">
        <f t="shared" si="0"/>
        <v>0</v>
      </c>
      <c r="H22" s="150">
        <f t="shared" si="1"/>
        <v>0</v>
      </c>
      <c r="K22" s="339"/>
      <c r="L22" s="380"/>
      <c r="M22" s="286" t="s">
        <v>97</v>
      </c>
      <c r="N22" s="287" t="e">
        <f>N19/((N17*EFFICIENCY!$H$28))</f>
        <v>#DIV/0!</v>
      </c>
      <c r="O22" s="286" t="s">
        <v>97</v>
      </c>
      <c r="P22" s="287" t="e">
        <f>P19/(P17*EFFICIENCY!$H$28)</f>
        <v>#DIV/0!</v>
      </c>
      <c r="Q22" s="286" t="s">
        <v>97</v>
      </c>
      <c r="R22" s="287" t="e">
        <f>R19/(R17*EFFICIENCY!$H$28)</f>
        <v>#DIV/0!</v>
      </c>
      <c r="S22" s="295"/>
      <c r="T22" s="302"/>
      <c r="U22" s="339"/>
      <c r="V22" s="380"/>
      <c r="W22" s="286" t="s">
        <v>97</v>
      </c>
      <c r="X22" s="287" t="e">
        <f>X19/((X17*EFFICIENCY!$H$28))</f>
        <v>#DIV/0!</v>
      </c>
      <c r="Y22" s="286" t="s">
        <v>97</v>
      </c>
      <c r="Z22" s="287" t="e">
        <f>Z19/(Z17*EFFICIENCY!$H$28)</f>
        <v>#DIV/0!</v>
      </c>
      <c r="AA22" s="286" t="s">
        <v>97</v>
      </c>
      <c r="AB22" s="287" t="e">
        <f>AB19/(AB17*EFFICIENCY!$H$28)</f>
        <v>#DIV/0!</v>
      </c>
      <c r="AD22" s="300"/>
      <c r="AE22" s="339"/>
      <c r="AF22" s="380"/>
      <c r="AG22" s="286" t="s">
        <v>97</v>
      </c>
      <c r="AH22" s="287" t="e">
        <f>AH19/((AH17*EFFICIENCY!$H$28))</f>
        <v>#DIV/0!</v>
      </c>
      <c r="AI22" s="286" t="s">
        <v>97</v>
      </c>
      <c r="AJ22" s="287" t="e">
        <f>AJ19/(AJ17*EFFICIENCY!$H$28)</f>
        <v>#DIV/0!</v>
      </c>
      <c r="AK22" s="286" t="s">
        <v>97</v>
      </c>
      <c r="AL22" s="287" t="e">
        <f>AL19/(AL17*EFFICIENCY!$H$28)</f>
        <v>#DIV/0!</v>
      </c>
      <c r="AN22" s="300"/>
      <c r="AO22" s="339"/>
      <c r="AP22" s="380"/>
      <c r="AQ22" s="286" t="s">
        <v>97</v>
      </c>
      <c r="AR22" s="287" t="e">
        <f>AR19/((AR17*EFFICIENCY!$H$28))</f>
        <v>#DIV/0!</v>
      </c>
      <c r="AS22" s="286" t="s">
        <v>97</v>
      </c>
      <c r="AT22" s="287" t="e">
        <f>AT19/(AT17*EFFICIENCY!$H$28)</f>
        <v>#DIV/0!</v>
      </c>
      <c r="AU22" s="286" t="s">
        <v>97</v>
      </c>
      <c r="AV22" s="287" t="e">
        <f>AV19/(AV17*EFFICIENCY!$H$28)</f>
        <v>#DIV/0!</v>
      </c>
      <c r="AX22" s="300"/>
      <c r="AY22" s="339"/>
      <c r="AZ22" s="380"/>
      <c r="BA22" s="286" t="s">
        <v>97</v>
      </c>
      <c r="BB22" s="287" t="e">
        <f>BB19/((BB17*EFFICIENCY!$H$28))</f>
        <v>#DIV/0!</v>
      </c>
      <c r="BC22" s="286" t="s">
        <v>97</v>
      </c>
      <c r="BD22" s="287" t="e">
        <f>BD19/(BD17*EFFICIENCY!$H$28)</f>
        <v>#DIV/0!</v>
      </c>
      <c r="BE22" s="286" t="s">
        <v>97</v>
      </c>
      <c r="BF22" s="287" t="e">
        <f>BF19/(BF17*EFFICIENCY!$H$28)</f>
        <v>#DIV/0!</v>
      </c>
      <c r="BH22" s="300"/>
      <c r="BI22" s="339"/>
      <c r="BJ22" s="380"/>
      <c r="BK22" s="286" t="s">
        <v>97</v>
      </c>
      <c r="BL22" s="287" t="e">
        <f>BL19/((BL17*EFFICIENCY!$H$28))</f>
        <v>#DIV/0!</v>
      </c>
      <c r="BM22" s="286" t="s">
        <v>97</v>
      </c>
      <c r="BN22" s="287" t="e">
        <f>BN19/(BN17*EFFICIENCY!$H$28)</f>
        <v>#DIV/0!</v>
      </c>
      <c r="BO22" s="286" t="s">
        <v>97</v>
      </c>
      <c r="BP22" s="287" t="e">
        <f>BP19/(BP17*EFFICIENCY!$H$28)</f>
        <v>#DIV/0!</v>
      </c>
    </row>
    <row r="23" spans="2:68" ht="18.75">
      <c r="B23" s="278">
        <v>42723</v>
      </c>
      <c r="G23" s="150">
        <f t="shared" si="0"/>
        <v>0</v>
      </c>
      <c r="H23" s="150">
        <f t="shared" si="1"/>
        <v>0</v>
      </c>
      <c r="K23" s="339"/>
      <c r="L23" s="338"/>
      <c r="M23" s="280" t="s">
        <v>96</v>
      </c>
      <c r="N23" s="281" t="e">
        <f>N19/(N17*EFFICIENCY!$I$28)</f>
        <v>#DIV/0!</v>
      </c>
      <c r="O23" s="280" t="s">
        <v>96</v>
      </c>
      <c r="P23" s="281" t="e">
        <f>P19/(P17*EFFICIENCY!$I$28)</f>
        <v>#DIV/0!</v>
      </c>
      <c r="Q23" s="280" t="s">
        <v>96</v>
      </c>
      <c r="R23" s="281" t="e">
        <f>R19/(R17*EFFICIENCY!$I$28)</f>
        <v>#DIV/0!</v>
      </c>
      <c r="S23" s="296"/>
      <c r="T23" s="302"/>
      <c r="U23" s="339"/>
      <c r="V23" s="338"/>
      <c r="W23" s="280" t="s">
        <v>96</v>
      </c>
      <c r="X23" s="281" t="e">
        <f>X19/(X17*EFFICIENCY!$I$28)</f>
        <v>#DIV/0!</v>
      </c>
      <c r="Y23" s="280" t="s">
        <v>96</v>
      </c>
      <c r="Z23" s="281" t="e">
        <f>Z19/(Z17*EFFICIENCY!$I$28)</f>
        <v>#DIV/0!</v>
      </c>
      <c r="AA23" s="280" t="s">
        <v>96</v>
      </c>
      <c r="AB23" s="281" t="e">
        <f>AB19/(AB17*EFFICIENCY!$I$28)</f>
        <v>#DIV/0!</v>
      </c>
      <c r="AD23" s="300"/>
      <c r="AE23" s="339"/>
      <c r="AF23" s="338"/>
      <c r="AG23" s="280" t="s">
        <v>96</v>
      </c>
      <c r="AH23" s="281" t="e">
        <f>AH19/(AH17*EFFICIENCY!$I$28)</f>
        <v>#DIV/0!</v>
      </c>
      <c r="AI23" s="280" t="s">
        <v>96</v>
      </c>
      <c r="AJ23" s="281" t="e">
        <f>AJ19/(AJ17*EFFICIENCY!$I$28)</f>
        <v>#DIV/0!</v>
      </c>
      <c r="AK23" s="280" t="s">
        <v>96</v>
      </c>
      <c r="AL23" s="281" t="e">
        <f>AL19/(AL17*EFFICIENCY!$I$28)</f>
        <v>#DIV/0!</v>
      </c>
      <c r="AN23" s="300"/>
      <c r="AO23" s="339"/>
      <c r="AP23" s="338"/>
      <c r="AQ23" s="280" t="s">
        <v>96</v>
      </c>
      <c r="AR23" s="281" t="e">
        <f>AR19/(AR17*EFFICIENCY!$I$28)</f>
        <v>#DIV/0!</v>
      </c>
      <c r="AS23" s="280" t="s">
        <v>96</v>
      </c>
      <c r="AT23" s="281" t="e">
        <f>AT19/(AT17*EFFICIENCY!$I$28)</f>
        <v>#DIV/0!</v>
      </c>
      <c r="AU23" s="280" t="s">
        <v>96</v>
      </c>
      <c r="AV23" s="281" t="e">
        <f>AV19/(AV17*EFFICIENCY!$I$28)</f>
        <v>#DIV/0!</v>
      </c>
      <c r="AX23" s="300"/>
      <c r="AY23" s="339"/>
      <c r="AZ23" s="338"/>
      <c r="BA23" s="280" t="s">
        <v>96</v>
      </c>
      <c r="BB23" s="281" t="e">
        <f>BB19/(BB17*EFFICIENCY!$I$28)</f>
        <v>#DIV/0!</v>
      </c>
      <c r="BC23" s="280" t="s">
        <v>96</v>
      </c>
      <c r="BD23" s="281" t="e">
        <f>BD19/(BD17*EFFICIENCY!$I$28)</f>
        <v>#DIV/0!</v>
      </c>
      <c r="BE23" s="280" t="s">
        <v>96</v>
      </c>
      <c r="BF23" s="281" t="e">
        <f>BF19/(BF17*EFFICIENCY!$I$28)</f>
        <v>#DIV/0!</v>
      </c>
      <c r="BH23" s="300"/>
      <c r="BI23" s="339"/>
      <c r="BJ23" s="338"/>
      <c r="BK23" s="280" t="s">
        <v>96</v>
      </c>
      <c r="BL23" s="281" t="e">
        <f>BL19/(BL17*EFFICIENCY!$I$28)</f>
        <v>#DIV/0!</v>
      </c>
      <c r="BM23" s="280" t="s">
        <v>96</v>
      </c>
      <c r="BN23" s="281" t="e">
        <f>BN19/(BN17*EFFICIENCY!$I$28)</f>
        <v>#DIV/0!</v>
      </c>
      <c r="BO23" s="280" t="s">
        <v>96</v>
      </c>
      <c r="BP23" s="281" t="e">
        <f>BP19/(BP17*EFFICIENCY!$I$28)</f>
        <v>#DIV/0!</v>
      </c>
    </row>
    <row r="24" spans="2:68" ht="19.5" customHeight="1" thickBot="1">
      <c r="B24" s="278">
        <v>42724</v>
      </c>
      <c r="G24" s="150">
        <f t="shared" si="0"/>
        <v>0</v>
      </c>
      <c r="H24" s="150">
        <f t="shared" si="1"/>
        <v>0</v>
      </c>
      <c r="K24" s="694" t="s">
        <v>156</v>
      </c>
      <c r="L24" s="695"/>
      <c r="M24" s="284" t="s">
        <v>94</v>
      </c>
      <c r="N24" s="285" t="e">
        <f>N19/((N17*EFFICIENCY!$K$28))</f>
        <v>#DIV/0!</v>
      </c>
      <c r="O24" s="288" t="s">
        <v>94</v>
      </c>
      <c r="P24" s="285" t="e">
        <f>P19/((P17*EFFICIENCY!$K$28))</f>
        <v>#DIV/0!</v>
      </c>
      <c r="Q24" s="284" t="s">
        <v>94</v>
      </c>
      <c r="R24" s="285" t="e">
        <f>R19/((R17*EFFICIENCY!$K$28))</f>
        <v>#DIV/0!</v>
      </c>
      <c r="S24" s="297"/>
      <c r="T24" s="302"/>
      <c r="U24" s="694" t="s">
        <v>156</v>
      </c>
      <c r="V24" s="695"/>
      <c r="W24" s="284" t="s">
        <v>94</v>
      </c>
      <c r="X24" s="285" t="e">
        <f>X19/((X17*EFFICIENCY!$K$28))</f>
        <v>#DIV/0!</v>
      </c>
      <c r="Y24" s="288" t="s">
        <v>94</v>
      </c>
      <c r="Z24" s="285" t="e">
        <f>Z19/((Z17*EFFICIENCY!$K$28))</f>
        <v>#DIV/0!</v>
      </c>
      <c r="AA24" s="284" t="s">
        <v>94</v>
      </c>
      <c r="AB24" s="285" t="e">
        <f>AB19/((AB17*EFFICIENCY!$K$28))</f>
        <v>#DIV/0!</v>
      </c>
      <c r="AD24" s="300"/>
      <c r="AE24" s="694" t="s">
        <v>156</v>
      </c>
      <c r="AF24" s="695"/>
      <c r="AG24" s="284" t="s">
        <v>94</v>
      </c>
      <c r="AH24" s="285" t="e">
        <f>AH19/((AH17*EFFICIENCY!$K$28))</f>
        <v>#DIV/0!</v>
      </c>
      <c r="AI24" s="288" t="s">
        <v>94</v>
      </c>
      <c r="AJ24" s="285" t="e">
        <f>AJ19/((AJ17*EFFICIENCY!$K$28))</f>
        <v>#DIV/0!</v>
      </c>
      <c r="AK24" s="284" t="s">
        <v>94</v>
      </c>
      <c r="AL24" s="285" t="e">
        <f>AL19/((AL17*EFFICIENCY!$K$28))</f>
        <v>#DIV/0!</v>
      </c>
      <c r="AN24" s="300"/>
      <c r="AO24" s="694" t="s">
        <v>156</v>
      </c>
      <c r="AP24" s="695"/>
      <c r="AQ24" s="284" t="s">
        <v>94</v>
      </c>
      <c r="AR24" s="285" t="e">
        <f>AR19/((AR17*EFFICIENCY!$K$28))</f>
        <v>#DIV/0!</v>
      </c>
      <c r="AS24" s="288" t="s">
        <v>94</v>
      </c>
      <c r="AT24" s="285" t="e">
        <f>AT19/((AT17*EFFICIENCY!$K$28))</f>
        <v>#DIV/0!</v>
      </c>
      <c r="AU24" s="284" t="s">
        <v>94</v>
      </c>
      <c r="AV24" s="285" t="e">
        <f>AV19/((AV17*EFFICIENCY!$K$28))</f>
        <v>#DIV/0!</v>
      </c>
      <c r="AX24" s="300"/>
      <c r="AY24" s="694" t="s">
        <v>156</v>
      </c>
      <c r="AZ24" s="695"/>
      <c r="BA24" s="284" t="s">
        <v>94</v>
      </c>
      <c r="BB24" s="285" t="e">
        <f>BB19/((BB17*EFFICIENCY!$K$28))</f>
        <v>#DIV/0!</v>
      </c>
      <c r="BC24" s="288" t="s">
        <v>94</v>
      </c>
      <c r="BD24" s="285" t="e">
        <f>BD19/((BD17*EFFICIENCY!$K$28))</f>
        <v>#DIV/0!</v>
      </c>
      <c r="BE24" s="284" t="s">
        <v>94</v>
      </c>
      <c r="BF24" s="285" t="e">
        <f>BF19/((BF17*EFFICIENCY!$K$28))</f>
        <v>#DIV/0!</v>
      </c>
      <c r="BH24" s="300"/>
      <c r="BI24" s="694" t="s">
        <v>156</v>
      </c>
      <c r="BJ24" s="695"/>
      <c r="BK24" s="284" t="s">
        <v>94</v>
      </c>
      <c r="BL24" s="285" t="e">
        <f>BL19/((BL17*EFFICIENCY!$K$28))</f>
        <v>#DIV/0!</v>
      </c>
      <c r="BM24" s="288" t="s">
        <v>94</v>
      </c>
      <c r="BN24" s="285" t="e">
        <f>BN19/((BN17*EFFICIENCY!$K$28))</f>
        <v>#DIV/0!</v>
      </c>
      <c r="BO24" s="284" t="s">
        <v>94</v>
      </c>
      <c r="BP24" s="285" t="e">
        <f>BP19/((BP17*EFFICIENCY!$K$28))</f>
        <v>#DIV/0!</v>
      </c>
    </row>
    <row r="25" spans="2:68" ht="16.5" thickBot="1">
      <c r="B25" s="278">
        <v>42725</v>
      </c>
      <c r="G25" s="150">
        <f t="shared" si="0"/>
        <v>0</v>
      </c>
      <c r="H25" s="150">
        <f t="shared" si="1"/>
        <v>0</v>
      </c>
      <c r="K25" s="381"/>
      <c r="L25" s="382" t="e">
        <f>R19/R17</f>
        <v>#DIV/0!</v>
      </c>
      <c r="M25" s="661" t="s">
        <v>153</v>
      </c>
      <c r="N25" s="662"/>
      <c r="O25" s="290"/>
      <c r="P25" s="427"/>
      <c r="Q25" s="427" t="s">
        <v>154</v>
      </c>
      <c r="R25" s="354">
        <f>O25-R19</f>
        <v>0</v>
      </c>
      <c r="S25" s="298"/>
      <c r="T25" s="300"/>
      <c r="U25" s="381"/>
      <c r="V25" s="382" t="e">
        <f>AB19/AB17</f>
        <v>#DIV/0!</v>
      </c>
      <c r="W25" s="661" t="s">
        <v>153</v>
      </c>
      <c r="X25" s="662"/>
      <c r="Y25" s="290"/>
      <c r="Z25" s="427"/>
      <c r="AA25" s="427" t="s">
        <v>154</v>
      </c>
      <c r="AB25" s="354">
        <f>Y25-AB19</f>
        <v>0</v>
      </c>
      <c r="AD25" s="300"/>
      <c r="AE25" s="381"/>
      <c r="AF25" s="382" t="e">
        <f>AL19/AL17</f>
        <v>#DIV/0!</v>
      </c>
      <c r="AG25" s="661" t="s">
        <v>153</v>
      </c>
      <c r="AH25" s="662"/>
      <c r="AI25" s="290"/>
      <c r="AJ25" s="427"/>
      <c r="AK25" s="427" t="s">
        <v>154</v>
      </c>
      <c r="AL25" s="354">
        <f>AI25-AL19</f>
        <v>0</v>
      </c>
      <c r="AN25" s="300"/>
      <c r="AO25" s="381"/>
      <c r="AP25" s="382" t="e">
        <f>AV19/AV17</f>
        <v>#DIV/0!</v>
      </c>
      <c r="AQ25" s="661" t="s">
        <v>153</v>
      </c>
      <c r="AR25" s="662"/>
      <c r="AS25" s="290"/>
      <c r="AT25" s="427"/>
      <c r="AU25" s="427" t="s">
        <v>154</v>
      </c>
      <c r="AV25" s="354">
        <f>AS25-AV19</f>
        <v>0</v>
      </c>
      <c r="AX25" s="300"/>
      <c r="AY25" s="381"/>
      <c r="AZ25" s="382" t="e">
        <f>BF19/BF17</f>
        <v>#DIV/0!</v>
      </c>
      <c r="BA25" s="661" t="s">
        <v>153</v>
      </c>
      <c r="BB25" s="662"/>
      <c r="BC25" s="290"/>
      <c r="BD25" s="427"/>
      <c r="BE25" s="427" t="s">
        <v>154</v>
      </c>
      <c r="BF25" s="354">
        <f>BC25-BF19</f>
        <v>0</v>
      </c>
      <c r="BH25" s="300"/>
      <c r="BI25" s="381"/>
      <c r="BJ25" s="382" t="e">
        <f>BP19/BP17</f>
        <v>#DIV/0!</v>
      </c>
      <c r="BK25" s="661" t="s">
        <v>153</v>
      </c>
      <c r="BL25" s="662"/>
      <c r="BM25" s="290"/>
      <c r="BN25" s="427"/>
      <c r="BO25" s="427" t="s">
        <v>154</v>
      </c>
      <c r="BP25" s="354">
        <f>BM25-BP19</f>
        <v>0</v>
      </c>
    </row>
    <row r="26" spans="2:68">
      <c r="B26" s="278">
        <v>42726</v>
      </c>
      <c r="G26" s="150">
        <f t="shared" si="0"/>
        <v>0</v>
      </c>
      <c r="H26" s="150">
        <f t="shared" si="1"/>
        <v>0</v>
      </c>
      <c r="T26" s="300"/>
      <c r="AD26" s="300"/>
      <c r="AN26" s="300"/>
      <c r="AX26" s="300"/>
      <c r="BH26" s="300"/>
    </row>
    <row r="27" spans="2:68" ht="13.5" thickBot="1">
      <c r="B27" s="278">
        <v>42727</v>
      </c>
      <c r="G27" s="150">
        <f t="shared" si="0"/>
        <v>0</v>
      </c>
      <c r="H27" s="150">
        <f t="shared" si="1"/>
        <v>0</v>
      </c>
      <c r="J27" s="291"/>
      <c r="K27" s="291"/>
      <c r="L27" s="291"/>
      <c r="M27" s="291"/>
      <c r="N27" s="291"/>
      <c r="O27" s="291"/>
      <c r="P27" s="291"/>
      <c r="Q27" s="291"/>
      <c r="R27" s="291"/>
      <c r="S27" s="299"/>
      <c r="T27" s="301"/>
      <c r="U27" s="291"/>
      <c r="V27" s="291"/>
      <c r="W27" s="291"/>
      <c r="X27" s="291"/>
      <c r="Y27" s="291"/>
      <c r="Z27" s="291"/>
      <c r="AA27" s="291"/>
      <c r="AB27" s="291"/>
      <c r="AC27" s="291"/>
      <c r="AD27" s="301"/>
      <c r="AE27" s="291"/>
      <c r="AF27" s="291"/>
      <c r="AG27" s="291"/>
      <c r="AH27" s="291"/>
      <c r="AI27" s="291"/>
      <c r="AJ27" s="291"/>
      <c r="AK27" s="291"/>
      <c r="AL27" s="291"/>
      <c r="AM27" s="291"/>
      <c r="AN27" s="301"/>
      <c r="AO27" s="291"/>
      <c r="AP27" s="291"/>
      <c r="AQ27" s="291"/>
      <c r="AR27" s="291"/>
      <c r="AS27" s="291"/>
      <c r="AT27" s="291"/>
      <c r="AU27" s="291"/>
      <c r="AV27" s="291"/>
      <c r="AW27" s="291"/>
      <c r="AX27" s="301"/>
      <c r="AY27" s="291"/>
      <c r="AZ27" s="291"/>
      <c r="BA27" s="291"/>
      <c r="BB27" s="291"/>
      <c r="BC27" s="291"/>
      <c r="BD27" s="291"/>
      <c r="BE27" s="291"/>
      <c r="BF27" s="291"/>
      <c r="BG27" s="291"/>
      <c r="BH27" s="301"/>
      <c r="BI27" s="291"/>
      <c r="BJ27" s="291"/>
      <c r="BK27" s="291"/>
      <c r="BL27" s="291"/>
      <c r="BM27" s="291"/>
      <c r="BN27" s="291"/>
      <c r="BO27" s="291"/>
      <c r="BP27" s="291"/>
    </row>
    <row r="28" spans="2:68" ht="15.75" thickBot="1">
      <c r="B28" s="278">
        <v>42728</v>
      </c>
      <c r="G28" s="150">
        <f t="shared" si="0"/>
        <v>0</v>
      </c>
      <c r="H28" s="150">
        <f t="shared" si="1"/>
        <v>0</v>
      </c>
      <c r="J28" s="154"/>
      <c r="K28" s="383" t="s">
        <v>7</v>
      </c>
      <c r="L28" s="534">
        <f>B16</f>
        <v>42716</v>
      </c>
      <c r="M28" s="680" t="s">
        <v>100</v>
      </c>
      <c r="N28" s="681"/>
      <c r="O28" s="682" t="s">
        <v>99</v>
      </c>
      <c r="P28" s="683"/>
      <c r="Q28" s="684" t="s">
        <v>16</v>
      </c>
      <c r="R28" s="685"/>
      <c r="S28" s="293"/>
      <c r="T28" s="300"/>
      <c r="U28" s="383" t="s">
        <v>7</v>
      </c>
      <c r="V28" s="534">
        <f>B17</f>
        <v>42717</v>
      </c>
      <c r="W28" s="680" t="s">
        <v>100</v>
      </c>
      <c r="X28" s="681"/>
      <c r="Y28" s="682" t="s">
        <v>99</v>
      </c>
      <c r="Z28" s="683"/>
      <c r="AA28" s="684" t="s">
        <v>16</v>
      </c>
      <c r="AB28" s="685"/>
      <c r="AC28" s="154"/>
      <c r="AD28" s="300"/>
      <c r="AE28" s="383" t="s">
        <v>7</v>
      </c>
      <c r="AF28" s="534">
        <f>B18</f>
        <v>42718</v>
      </c>
      <c r="AG28" s="680" t="s">
        <v>100</v>
      </c>
      <c r="AH28" s="681"/>
      <c r="AI28" s="682" t="s">
        <v>99</v>
      </c>
      <c r="AJ28" s="683"/>
      <c r="AK28" s="684" t="s">
        <v>16</v>
      </c>
      <c r="AL28" s="685"/>
      <c r="AM28" s="154"/>
      <c r="AN28" s="300"/>
      <c r="AO28" s="383" t="s">
        <v>7</v>
      </c>
      <c r="AP28" s="534">
        <f>B19</f>
        <v>42719</v>
      </c>
      <c r="AQ28" s="680" t="s">
        <v>100</v>
      </c>
      <c r="AR28" s="681"/>
      <c r="AS28" s="682" t="s">
        <v>99</v>
      </c>
      <c r="AT28" s="683"/>
      <c r="AU28" s="684" t="s">
        <v>16</v>
      </c>
      <c r="AV28" s="685"/>
      <c r="AW28" s="154"/>
      <c r="AX28" s="300"/>
      <c r="AY28" s="383" t="s">
        <v>7</v>
      </c>
      <c r="AZ28" s="534">
        <f>B20</f>
        <v>42720</v>
      </c>
      <c r="BA28" s="680" t="s">
        <v>100</v>
      </c>
      <c r="BB28" s="681"/>
      <c r="BC28" s="682" t="s">
        <v>99</v>
      </c>
      <c r="BD28" s="683"/>
      <c r="BE28" s="684" t="s">
        <v>16</v>
      </c>
      <c r="BF28" s="685"/>
      <c r="BG28" s="154"/>
      <c r="BH28" s="300"/>
      <c r="BI28" s="383" t="s">
        <v>7</v>
      </c>
      <c r="BJ28" s="534">
        <f>B21</f>
        <v>42721</v>
      </c>
      <c r="BK28" s="680" t="s">
        <v>100</v>
      </c>
      <c r="BL28" s="681"/>
      <c r="BM28" s="682" t="s">
        <v>99</v>
      </c>
      <c r="BN28" s="683"/>
      <c r="BO28" s="684" t="s">
        <v>16</v>
      </c>
      <c r="BP28" s="685"/>
    </row>
    <row r="29" spans="2:68" ht="13.5" thickBot="1">
      <c r="B29" s="278">
        <v>42729</v>
      </c>
      <c r="G29" s="150">
        <f t="shared" si="0"/>
        <v>0</v>
      </c>
      <c r="H29" s="150">
        <f t="shared" si="1"/>
        <v>0</v>
      </c>
      <c r="K29" s="304"/>
      <c r="L29" s="303"/>
      <c r="M29" s="304"/>
      <c r="N29" s="305"/>
      <c r="O29" s="304"/>
      <c r="P29" s="305"/>
      <c r="Q29" s="303"/>
      <c r="R29" s="305"/>
      <c r="S29" s="156"/>
      <c r="T29" s="300"/>
      <c r="U29" s="304"/>
      <c r="V29" s="303"/>
      <c r="W29" s="304"/>
      <c r="X29" s="305"/>
      <c r="Y29" s="304"/>
      <c r="Z29" s="305"/>
      <c r="AA29" s="303"/>
      <c r="AB29" s="305"/>
      <c r="AD29" s="300"/>
      <c r="AE29" s="304"/>
      <c r="AF29" s="303"/>
      <c r="AG29" s="304"/>
      <c r="AH29" s="305"/>
      <c r="AI29" s="304"/>
      <c r="AJ29" s="305"/>
      <c r="AK29" s="303"/>
      <c r="AL29" s="305"/>
      <c r="AN29" s="300"/>
      <c r="AO29" s="304"/>
      <c r="AP29" s="303"/>
      <c r="AQ29" s="304"/>
      <c r="AR29" s="305"/>
      <c r="AS29" s="304"/>
      <c r="AT29" s="305"/>
      <c r="AU29" s="303"/>
      <c r="AV29" s="305"/>
      <c r="AX29" s="300"/>
      <c r="AY29" s="304"/>
      <c r="AZ29" s="303"/>
      <c r="BA29" s="304"/>
      <c r="BB29" s="305"/>
      <c r="BC29" s="304"/>
      <c r="BD29" s="305"/>
      <c r="BE29" s="303"/>
      <c r="BF29" s="305"/>
      <c r="BH29" s="300"/>
      <c r="BI29" s="304"/>
      <c r="BJ29" s="303"/>
      <c r="BK29" s="304"/>
      <c r="BL29" s="305"/>
      <c r="BM29" s="304"/>
      <c r="BN29" s="305"/>
      <c r="BO29" s="303"/>
      <c r="BP29" s="305"/>
    </row>
    <row r="30" spans="2:68" ht="16.5" thickBot="1">
      <c r="B30" s="278">
        <v>42730</v>
      </c>
      <c r="G30" s="150">
        <f t="shared" si="0"/>
        <v>0</v>
      </c>
      <c r="H30" s="150">
        <f t="shared" si="1"/>
        <v>0</v>
      </c>
      <c r="K30" s="304"/>
      <c r="L30" s="428" t="s">
        <v>155</v>
      </c>
      <c r="M30" s="307" t="s">
        <v>103</v>
      </c>
      <c r="N30" s="279"/>
      <c r="O30" s="307" t="s">
        <v>103</v>
      </c>
      <c r="P30" s="279"/>
      <c r="Q30" s="308" t="s">
        <v>103</v>
      </c>
      <c r="R30" s="309">
        <f>SUM(N30,P30)</f>
        <v>0</v>
      </c>
      <c r="S30" s="294"/>
      <c r="T30" s="300"/>
      <c r="U30" s="304"/>
      <c r="V30" s="428" t="s">
        <v>155</v>
      </c>
      <c r="W30" s="307" t="s">
        <v>103</v>
      </c>
      <c r="X30" s="279"/>
      <c r="Y30" s="307" t="s">
        <v>103</v>
      </c>
      <c r="Z30" s="279"/>
      <c r="AA30" s="308" t="s">
        <v>103</v>
      </c>
      <c r="AB30" s="309">
        <f>SUM(X30,Z30)</f>
        <v>0</v>
      </c>
      <c r="AD30" s="300"/>
      <c r="AE30" s="304"/>
      <c r="AF30" s="428" t="s">
        <v>155</v>
      </c>
      <c r="AG30" s="307" t="s">
        <v>103</v>
      </c>
      <c r="AH30" s="279"/>
      <c r="AI30" s="307" t="s">
        <v>103</v>
      </c>
      <c r="AJ30" s="279"/>
      <c r="AK30" s="308" t="s">
        <v>103</v>
      </c>
      <c r="AL30" s="309">
        <f>SUM(AH30,AJ30)</f>
        <v>0</v>
      </c>
      <c r="AN30" s="300"/>
      <c r="AO30" s="304"/>
      <c r="AP30" s="428" t="s">
        <v>155</v>
      </c>
      <c r="AQ30" s="307" t="s">
        <v>103</v>
      </c>
      <c r="AR30" s="279"/>
      <c r="AS30" s="307" t="s">
        <v>103</v>
      </c>
      <c r="AT30" s="279"/>
      <c r="AU30" s="308" t="s">
        <v>103</v>
      </c>
      <c r="AV30" s="309">
        <f>SUM(AR30,AT30)</f>
        <v>0</v>
      </c>
      <c r="AX30" s="300"/>
      <c r="AY30" s="304"/>
      <c r="AZ30" s="428" t="s">
        <v>155</v>
      </c>
      <c r="BA30" s="307" t="s">
        <v>103</v>
      </c>
      <c r="BB30" s="279"/>
      <c r="BC30" s="307" t="s">
        <v>103</v>
      </c>
      <c r="BD30" s="279"/>
      <c r="BE30" s="308" t="s">
        <v>103</v>
      </c>
      <c r="BF30" s="309">
        <f>SUM(BB30,BD30)</f>
        <v>0</v>
      </c>
      <c r="BH30" s="300"/>
      <c r="BI30" s="304"/>
      <c r="BJ30" s="428" t="s">
        <v>155</v>
      </c>
      <c r="BK30" s="307" t="s">
        <v>103</v>
      </c>
      <c r="BL30" s="279"/>
      <c r="BM30" s="307" t="s">
        <v>103</v>
      </c>
      <c r="BN30" s="279"/>
      <c r="BO30" s="308" t="s">
        <v>103</v>
      </c>
      <c r="BP30" s="309">
        <f>SUM(BL30,BN30)</f>
        <v>0</v>
      </c>
    </row>
    <row r="31" spans="2:68" ht="18.75" thickBot="1">
      <c r="B31" s="278">
        <v>42731</v>
      </c>
      <c r="G31" s="150">
        <f t="shared" si="0"/>
        <v>0</v>
      </c>
      <c r="H31" s="150">
        <f t="shared" si="1"/>
        <v>0</v>
      </c>
      <c r="K31" s="304"/>
      <c r="L31" s="289">
        <v>8</v>
      </c>
      <c r="M31" s="310" t="s">
        <v>5</v>
      </c>
      <c r="N31" s="311">
        <f>VLOOKUP(L28, $B$3:$E$109, 4, FALSE)</f>
        <v>0</v>
      </c>
      <c r="O31" s="310" t="s">
        <v>5</v>
      </c>
      <c r="P31" s="312">
        <f>VLOOKUP(L28, $B$3:$F$109, 5, FALSE)</f>
        <v>0</v>
      </c>
      <c r="Q31" s="313" t="s">
        <v>5</v>
      </c>
      <c r="R31" s="309">
        <f>SUM(N31,P31)</f>
        <v>0</v>
      </c>
      <c r="S31" s="294"/>
      <c r="T31" s="300"/>
      <c r="U31" s="304"/>
      <c r="V31" s="289">
        <v>8</v>
      </c>
      <c r="W31" s="310" t="s">
        <v>5</v>
      </c>
      <c r="X31" s="311">
        <f>VLOOKUP(V28, $B$3:$E$109, 4, FALSE)</f>
        <v>0</v>
      </c>
      <c r="Y31" s="310" t="s">
        <v>5</v>
      </c>
      <c r="Z31" s="312">
        <f>VLOOKUP(V28, $B$3:$F$109, 5, FALSE)</f>
        <v>0</v>
      </c>
      <c r="AA31" s="313" t="s">
        <v>5</v>
      </c>
      <c r="AB31" s="309">
        <f>SUM(X31,Z31)</f>
        <v>0</v>
      </c>
      <c r="AD31" s="300"/>
      <c r="AE31" s="304"/>
      <c r="AF31" s="289">
        <v>8</v>
      </c>
      <c r="AG31" s="310" t="s">
        <v>5</v>
      </c>
      <c r="AH31" s="311">
        <f>VLOOKUP(AF28, $B$3:$E$109, 4, FALSE)</f>
        <v>0</v>
      </c>
      <c r="AI31" s="310" t="s">
        <v>5</v>
      </c>
      <c r="AJ31" s="312">
        <f>VLOOKUP(AF28, $B$3:$F$109, 5, FALSE)</f>
        <v>0</v>
      </c>
      <c r="AK31" s="313" t="s">
        <v>5</v>
      </c>
      <c r="AL31" s="309">
        <f>SUM(AH31,AJ31)</f>
        <v>0</v>
      </c>
      <c r="AN31" s="300"/>
      <c r="AO31" s="304"/>
      <c r="AP31" s="289">
        <v>8</v>
      </c>
      <c r="AQ31" s="310" t="s">
        <v>5</v>
      </c>
      <c r="AR31" s="311">
        <f>VLOOKUP(AP28, $B$3:$E$109, 4, FALSE)</f>
        <v>0</v>
      </c>
      <c r="AS31" s="310" t="s">
        <v>5</v>
      </c>
      <c r="AT31" s="312">
        <f>VLOOKUP(AP28, $B$3:$F$109, 5, FALSE)</f>
        <v>0</v>
      </c>
      <c r="AU31" s="313" t="s">
        <v>5</v>
      </c>
      <c r="AV31" s="309">
        <f>SUM(AR31,AT31)</f>
        <v>0</v>
      </c>
      <c r="AX31" s="300"/>
      <c r="AY31" s="304"/>
      <c r="AZ31" s="289">
        <v>8</v>
      </c>
      <c r="BA31" s="310" t="s">
        <v>5</v>
      </c>
      <c r="BB31" s="311">
        <f>VLOOKUP(AZ28, $B$3:$E$109, 4, FALSE)</f>
        <v>0</v>
      </c>
      <c r="BC31" s="310" t="s">
        <v>5</v>
      </c>
      <c r="BD31" s="312">
        <f>VLOOKUP(AZ28, $B$3:$F$109, 5, FALSE)</f>
        <v>0</v>
      </c>
      <c r="BE31" s="313" t="s">
        <v>5</v>
      </c>
      <c r="BF31" s="309">
        <f>SUM(BB31,BD31)</f>
        <v>0</v>
      </c>
      <c r="BH31" s="300"/>
      <c r="BI31" s="304"/>
      <c r="BJ31" s="289">
        <v>8</v>
      </c>
      <c r="BK31" s="310" t="s">
        <v>5</v>
      </c>
      <c r="BL31" s="311">
        <f>VLOOKUP(BJ28, $B$3:$E$109, 4, FALSE)</f>
        <v>0</v>
      </c>
      <c r="BM31" s="310" t="s">
        <v>5</v>
      </c>
      <c r="BN31" s="312">
        <f>VLOOKUP(BJ28, $B$3:$F$109, 5, FALSE)</f>
        <v>0</v>
      </c>
      <c r="BO31" s="313" t="s">
        <v>5</v>
      </c>
      <c r="BP31" s="309">
        <f>SUM(BL31,BN31)</f>
        <v>0</v>
      </c>
    </row>
    <row r="32" spans="2:68" ht="15.75" customHeight="1">
      <c r="B32" s="278">
        <v>42732</v>
      </c>
      <c r="G32" s="150">
        <f t="shared" si="0"/>
        <v>0</v>
      </c>
      <c r="H32" s="150">
        <f t="shared" si="1"/>
        <v>0</v>
      </c>
      <c r="K32" s="304"/>
      <c r="L32" s="303"/>
      <c r="M32" s="659" t="s">
        <v>105</v>
      </c>
      <c r="N32" s="311">
        <f>VLOOKUP(L28, $B$3:$E$109, 2, FALSE)</f>
        <v>0</v>
      </c>
      <c r="O32" s="659" t="s">
        <v>105</v>
      </c>
      <c r="P32" s="312">
        <f>VLOOKUP(L28, $B$3:$E$109, 3, FALSE)</f>
        <v>0</v>
      </c>
      <c r="Q32" s="660" t="s">
        <v>105</v>
      </c>
      <c r="R32" s="309">
        <f>SUM(N32,P32)</f>
        <v>0</v>
      </c>
      <c r="S32" s="294"/>
      <c r="T32" s="300"/>
      <c r="U32" s="304"/>
      <c r="V32" s="303"/>
      <c r="W32" s="659" t="s">
        <v>105</v>
      </c>
      <c r="X32" s="311">
        <f>VLOOKUP(V28, $B$3:$E$109, 2, FALSE)</f>
        <v>0</v>
      </c>
      <c r="Y32" s="659" t="s">
        <v>105</v>
      </c>
      <c r="Z32" s="312">
        <f>VLOOKUP(V28, $B$3:$E$109, 3, FALSE)</f>
        <v>0</v>
      </c>
      <c r="AA32" s="660" t="s">
        <v>105</v>
      </c>
      <c r="AB32" s="309">
        <f>SUM(X32,Z32)</f>
        <v>0</v>
      </c>
      <c r="AD32" s="300"/>
      <c r="AE32" s="304"/>
      <c r="AF32" s="303"/>
      <c r="AG32" s="659" t="s">
        <v>105</v>
      </c>
      <c r="AH32" s="311">
        <f>VLOOKUP(AF28, $B$3:$E$109, 2, FALSE)</f>
        <v>0</v>
      </c>
      <c r="AI32" s="659" t="s">
        <v>105</v>
      </c>
      <c r="AJ32" s="312">
        <f>VLOOKUP(AF28, $B$3:$E$109, 3, FALSE)</f>
        <v>0</v>
      </c>
      <c r="AK32" s="660" t="s">
        <v>105</v>
      </c>
      <c r="AL32" s="309">
        <f>SUM(AH32,AJ32)</f>
        <v>0</v>
      </c>
      <c r="AN32" s="300"/>
      <c r="AO32" s="304"/>
      <c r="AP32" s="303"/>
      <c r="AQ32" s="659" t="s">
        <v>105</v>
      </c>
      <c r="AR32" s="311">
        <f>VLOOKUP(AP28, $B$3:$E$109, 2, FALSE)</f>
        <v>0</v>
      </c>
      <c r="AS32" s="659" t="s">
        <v>105</v>
      </c>
      <c r="AT32" s="312">
        <f>VLOOKUP(AP28, $B$3:$E$109, 3, FALSE)</f>
        <v>0</v>
      </c>
      <c r="AU32" s="660" t="s">
        <v>105</v>
      </c>
      <c r="AV32" s="309">
        <f>SUM(AR32,AT32)</f>
        <v>0</v>
      </c>
      <c r="AX32" s="300"/>
      <c r="AY32" s="304"/>
      <c r="AZ32" s="303"/>
      <c r="BA32" s="659" t="s">
        <v>105</v>
      </c>
      <c r="BB32" s="311">
        <f>VLOOKUP(AZ28, $B$3:$E$109, 2, FALSE)</f>
        <v>0</v>
      </c>
      <c r="BC32" s="659" t="s">
        <v>105</v>
      </c>
      <c r="BD32" s="312">
        <f>VLOOKUP(AZ28, $B$3:$E$109, 3, FALSE)</f>
        <v>0</v>
      </c>
      <c r="BE32" s="660" t="s">
        <v>105</v>
      </c>
      <c r="BF32" s="309">
        <f>SUM(BB32,BD32)</f>
        <v>0</v>
      </c>
      <c r="BH32" s="300"/>
      <c r="BI32" s="304"/>
      <c r="BJ32" s="303"/>
      <c r="BK32" s="659" t="s">
        <v>105</v>
      </c>
      <c r="BL32" s="311">
        <f>VLOOKUP(BJ28, $B$3:$E$109, 2, FALSE)</f>
        <v>0</v>
      </c>
      <c r="BM32" s="659" t="s">
        <v>105</v>
      </c>
      <c r="BN32" s="312">
        <f>VLOOKUP(BJ28, $B$3:$E$109, 3, FALSE)</f>
        <v>0</v>
      </c>
      <c r="BO32" s="660" t="s">
        <v>105</v>
      </c>
      <c r="BP32" s="309">
        <f>SUM(BL32,BN32)</f>
        <v>0</v>
      </c>
    </row>
    <row r="33" spans="2:68" ht="12.75" customHeight="1">
      <c r="B33" s="278">
        <v>42733</v>
      </c>
      <c r="G33" s="150">
        <f t="shared" si="0"/>
        <v>0</v>
      </c>
      <c r="H33" s="150">
        <f t="shared" si="1"/>
        <v>0</v>
      </c>
      <c r="K33" s="700" t="s">
        <v>157</v>
      </c>
      <c r="L33" s="701"/>
      <c r="M33" s="660"/>
      <c r="N33" s="305"/>
      <c r="O33" s="659"/>
      <c r="P33" s="305"/>
      <c r="Q33" s="660"/>
      <c r="R33" s="305"/>
      <c r="S33" s="156"/>
      <c r="T33" s="300"/>
      <c r="U33" s="700" t="s">
        <v>157</v>
      </c>
      <c r="V33" s="701"/>
      <c r="W33" s="660"/>
      <c r="X33" s="305"/>
      <c r="Y33" s="659"/>
      <c r="Z33" s="305"/>
      <c r="AA33" s="660"/>
      <c r="AB33" s="305"/>
      <c r="AD33" s="300"/>
      <c r="AE33" s="700" t="s">
        <v>157</v>
      </c>
      <c r="AF33" s="701"/>
      <c r="AG33" s="660"/>
      <c r="AH33" s="305"/>
      <c r="AI33" s="659"/>
      <c r="AJ33" s="305"/>
      <c r="AK33" s="660"/>
      <c r="AL33" s="305"/>
      <c r="AN33" s="300"/>
      <c r="AO33" s="700" t="s">
        <v>157</v>
      </c>
      <c r="AP33" s="701"/>
      <c r="AQ33" s="660"/>
      <c r="AR33" s="305"/>
      <c r="AS33" s="659"/>
      <c r="AT33" s="305"/>
      <c r="AU33" s="660"/>
      <c r="AV33" s="305"/>
      <c r="AX33" s="300"/>
      <c r="AY33" s="700" t="s">
        <v>157</v>
      </c>
      <c r="AZ33" s="701"/>
      <c r="BA33" s="660"/>
      <c r="BB33" s="305"/>
      <c r="BC33" s="659"/>
      <c r="BD33" s="305"/>
      <c r="BE33" s="660"/>
      <c r="BF33" s="305"/>
      <c r="BH33" s="300"/>
      <c r="BI33" s="700" t="s">
        <v>157</v>
      </c>
      <c r="BJ33" s="701"/>
      <c r="BK33" s="660"/>
      <c r="BL33" s="305"/>
      <c r="BM33" s="659"/>
      <c r="BN33" s="305"/>
      <c r="BO33" s="660"/>
      <c r="BP33" s="305"/>
    </row>
    <row r="34" spans="2:68" ht="15.75">
      <c r="B34" s="278">
        <v>42734</v>
      </c>
      <c r="G34" s="150">
        <f t="shared" si="0"/>
        <v>0</v>
      </c>
      <c r="H34" s="150">
        <f t="shared" si="1"/>
        <v>0</v>
      </c>
      <c r="K34" s="384"/>
      <c r="L34" s="314">
        <f>R30*13</f>
        <v>0</v>
      </c>
      <c r="M34" s="425"/>
      <c r="N34" s="305"/>
      <c r="O34" s="316"/>
      <c r="P34" s="305"/>
      <c r="Q34" s="426"/>
      <c r="R34" s="305"/>
      <c r="S34" s="156"/>
      <c r="T34" s="300"/>
      <c r="U34" s="384"/>
      <c r="V34" s="314">
        <f>AB30*13</f>
        <v>0</v>
      </c>
      <c r="W34" s="425"/>
      <c r="X34" s="305"/>
      <c r="Y34" s="316"/>
      <c r="Z34" s="305"/>
      <c r="AA34" s="426"/>
      <c r="AB34" s="305"/>
      <c r="AD34" s="300"/>
      <c r="AE34" s="384"/>
      <c r="AF34" s="314">
        <f>AL30*13</f>
        <v>0</v>
      </c>
      <c r="AG34" s="425"/>
      <c r="AH34" s="305"/>
      <c r="AI34" s="316"/>
      <c r="AJ34" s="305"/>
      <c r="AK34" s="426"/>
      <c r="AL34" s="305"/>
      <c r="AN34" s="300"/>
      <c r="AO34" s="384"/>
      <c r="AP34" s="314">
        <f>AV30*13</f>
        <v>0</v>
      </c>
      <c r="AQ34" s="425"/>
      <c r="AR34" s="305"/>
      <c r="AS34" s="316"/>
      <c r="AT34" s="305"/>
      <c r="AU34" s="426"/>
      <c r="AV34" s="305"/>
      <c r="AX34" s="300"/>
      <c r="AY34" s="384"/>
      <c r="AZ34" s="314">
        <f>BF30*13</f>
        <v>0</v>
      </c>
      <c r="BA34" s="425"/>
      <c r="BB34" s="305"/>
      <c r="BC34" s="316"/>
      <c r="BD34" s="305"/>
      <c r="BE34" s="426"/>
      <c r="BF34" s="305"/>
      <c r="BH34" s="300"/>
      <c r="BI34" s="384"/>
      <c r="BJ34" s="314">
        <f>BP30*13</f>
        <v>0</v>
      </c>
      <c r="BK34" s="425"/>
      <c r="BL34" s="305"/>
      <c r="BM34" s="316"/>
      <c r="BN34" s="305"/>
      <c r="BO34" s="426"/>
      <c r="BP34" s="305"/>
    </row>
    <row r="35" spans="2:68" ht="18.75">
      <c r="B35" s="278">
        <v>42735</v>
      </c>
      <c r="G35" s="150">
        <f t="shared" si="0"/>
        <v>0</v>
      </c>
      <c r="H35" s="150">
        <f t="shared" si="1"/>
        <v>0</v>
      </c>
      <c r="K35" s="304"/>
      <c r="L35" s="385"/>
      <c r="M35" s="286" t="s">
        <v>97</v>
      </c>
      <c r="N35" s="287" t="e">
        <f>N32/((N30*EFFICIENCY!$H$28))</f>
        <v>#DIV/0!</v>
      </c>
      <c r="O35" s="286" t="s">
        <v>97</v>
      </c>
      <c r="P35" s="287" t="e">
        <f>P32/(P30*EFFICIENCY!$H$28)</f>
        <v>#DIV/0!</v>
      </c>
      <c r="Q35" s="286" t="s">
        <v>97</v>
      </c>
      <c r="R35" s="287" t="e">
        <f>R32/(R30*EFFICIENCY!$H$28)</f>
        <v>#DIV/0!</v>
      </c>
      <c r="S35" s="295"/>
      <c r="T35" s="300"/>
      <c r="U35" s="304"/>
      <c r="V35" s="385"/>
      <c r="W35" s="286" t="s">
        <v>97</v>
      </c>
      <c r="X35" s="287" t="e">
        <f>X32/((X30*EFFICIENCY!$H$28))</f>
        <v>#DIV/0!</v>
      </c>
      <c r="Y35" s="286" t="s">
        <v>97</v>
      </c>
      <c r="Z35" s="287" t="e">
        <f>Z32/(Z30*EFFICIENCY!$H$28)</f>
        <v>#DIV/0!</v>
      </c>
      <c r="AA35" s="286" t="s">
        <v>97</v>
      </c>
      <c r="AB35" s="287" t="e">
        <f>AB32/(AB30*EFFICIENCY!$H$28)</f>
        <v>#DIV/0!</v>
      </c>
      <c r="AD35" s="300"/>
      <c r="AE35" s="304"/>
      <c r="AF35" s="385"/>
      <c r="AG35" s="286" t="s">
        <v>97</v>
      </c>
      <c r="AH35" s="287" t="e">
        <f>AH32/((AH30*EFFICIENCY!$H$28))</f>
        <v>#DIV/0!</v>
      </c>
      <c r="AI35" s="286" t="s">
        <v>97</v>
      </c>
      <c r="AJ35" s="287" t="e">
        <f>AJ32/(AJ30*EFFICIENCY!$H$28)</f>
        <v>#DIV/0!</v>
      </c>
      <c r="AK35" s="286" t="s">
        <v>97</v>
      </c>
      <c r="AL35" s="287" t="e">
        <f>AL32/(AL30*EFFICIENCY!$H$28)</f>
        <v>#DIV/0!</v>
      </c>
      <c r="AN35" s="300"/>
      <c r="AO35" s="304"/>
      <c r="AP35" s="385"/>
      <c r="AQ35" s="286" t="s">
        <v>97</v>
      </c>
      <c r="AR35" s="287" t="e">
        <f>AR32/((AR30*EFFICIENCY!$H$28))</f>
        <v>#DIV/0!</v>
      </c>
      <c r="AS35" s="286" t="s">
        <v>97</v>
      </c>
      <c r="AT35" s="287" t="e">
        <f>AT32/(AT30*EFFICIENCY!$H$28)</f>
        <v>#DIV/0!</v>
      </c>
      <c r="AU35" s="286" t="s">
        <v>97</v>
      </c>
      <c r="AV35" s="287" t="e">
        <f>AV32/(AV30*EFFICIENCY!$H$28)</f>
        <v>#DIV/0!</v>
      </c>
      <c r="AX35" s="300"/>
      <c r="AY35" s="304"/>
      <c r="AZ35" s="385"/>
      <c r="BA35" s="286" t="s">
        <v>97</v>
      </c>
      <c r="BB35" s="287" t="e">
        <f>BB32/((BB30*EFFICIENCY!$H$28))</f>
        <v>#DIV/0!</v>
      </c>
      <c r="BC35" s="286" t="s">
        <v>97</v>
      </c>
      <c r="BD35" s="287" t="e">
        <f>BD32/(BD30*EFFICIENCY!$H$28)</f>
        <v>#DIV/0!</v>
      </c>
      <c r="BE35" s="286" t="s">
        <v>97</v>
      </c>
      <c r="BF35" s="287" t="e">
        <f>BF32/(BF30*EFFICIENCY!$H$28)</f>
        <v>#DIV/0!</v>
      </c>
      <c r="BH35" s="300"/>
      <c r="BI35" s="304"/>
      <c r="BJ35" s="385"/>
      <c r="BK35" s="286" t="s">
        <v>97</v>
      </c>
      <c r="BL35" s="287" t="e">
        <f>BL32/((BL30*EFFICIENCY!$H$28))</f>
        <v>#DIV/0!</v>
      </c>
      <c r="BM35" s="286" t="s">
        <v>97</v>
      </c>
      <c r="BN35" s="287" t="e">
        <f>BN32/(BN30*EFFICIENCY!$H$28)</f>
        <v>#DIV/0!</v>
      </c>
      <c r="BO35" s="286" t="s">
        <v>97</v>
      </c>
      <c r="BP35" s="287" t="e">
        <f>BP32/(BP30*EFFICIENCY!$H$28)</f>
        <v>#DIV/0!</v>
      </c>
    </row>
    <row r="36" spans="2:68" ht="18.75">
      <c r="B36" s="278"/>
      <c r="K36" s="304"/>
      <c r="L36" s="303"/>
      <c r="M36" s="280" t="s">
        <v>96</v>
      </c>
      <c r="N36" s="281" t="e">
        <f>N32/(N30*EFFICIENCY!$I$28)</f>
        <v>#DIV/0!</v>
      </c>
      <c r="O36" s="280" t="s">
        <v>96</v>
      </c>
      <c r="P36" s="281" t="e">
        <f>P32/(P30*EFFICIENCY!$I$28)</f>
        <v>#DIV/0!</v>
      </c>
      <c r="Q36" s="280" t="s">
        <v>96</v>
      </c>
      <c r="R36" s="281" t="e">
        <f>R32/(R30*EFFICIENCY!$I$28)</f>
        <v>#DIV/0!</v>
      </c>
      <c r="S36" s="296"/>
      <c r="T36" s="300"/>
      <c r="U36" s="304"/>
      <c r="V36" s="303"/>
      <c r="W36" s="280" t="s">
        <v>96</v>
      </c>
      <c r="X36" s="281" t="e">
        <f>X32/(X30*EFFICIENCY!$I$28)</f>
        <v>#DIV/0!</v>
      </c>
      <c r="Y36" s="280" t="s">
        <v>96</v>
      </c>
      <c r="Z36" s="281" t="e">
        <f>Z32/(Z30*EFFICIENCY!$I$28)</f>
        <v>#DIV/0!</v>
      </c>
      <c r="AA36" s="280" t="s">
        <v>96</v>
      </c>
      <c r="AB36" s="281" t="e">
        <f>AB32/(AB30*EFFICIENCY!$I$28)</f>
        <v>#DIV/0!</v>
      </c>
      <c r="AD36" s="300"/>
      <c r="AE36" s="304"/>
      <c r="AF36" s="303"/>
      <c r="AG36" s="280" t="s">
        <v>96</v>
      </c>
      <c r="AH36" s="281" t="e">
        <f>AH32/(AH30*EFFICIENCY!$I$28)</f>
        <v>#DIV/0!</v>
      </c>
      <c r="AI36" s="280" t="s">
        <v>96</v>
      </c>
      <c r="AJ36" s="281" t="e">
        <f>AJ32/(AJ30*EFFICIENCY!$I$28)</f>
        <v>#DIV/0!</v>
      </c>
      <c r="AK36" s="280" t="s">
        <v>96</v>
      </c>
      <c r="AL36" s="281" t="e">
        <f>AL32/(AL30*EFFICIENCY!$I$28)</f>
        <v>#DIV/0!</v>
      </c>
      <c r="AN36" s="300"/>
      <c r="AO36" s="304"/>
      <c r="AP36" s="303"/>
      <c r="AQ36" s="280" t="s">
        <v>96</v>
      </c>
      <c r="AR36" s="281" t="e">
        <f>AR32/(AR30*EFFICIENCY!$I$28)</f>
        <v>#DIV/0!</v>
      </c>
      <c r="AS36" s="280" t="s">
        <v>96</v>
      </c>
      <c r="AT36" s="281" t="e">
        <f>AT32/(AT30*EFFICIENCY!$I$28)</f>
        <v>#DIV/0!</v>
      </c>
      <c r="AU36" s="280" t="s">
        <v>96</v>
      </c>
      <c r="AV36" s="281" t="e">
        <f>AV32/(AV30*EFFICIENCY!$I$28)</f>
        <v>#DIV/0!</v>
      </c>
      <c r="AX36" s="300"/>
      <c r="AY36" s="304"/>
      <c r="AZ36" s="303"/>
      <c r="BA36" s="280" t="s">
        <v>96</v>
      </c>
      <c r="BB36" s="281" t="e">
        <f>BB32/(BB30*EFFICIENCY!$I$28)</f>
        <v>#DIV/0!</v>
      </c>
      <c r="BC36" s="280" t="s">
        <v>96</v>
      </c>
      <c r="BD36" s="281" t="e">
        <f>BD32/(BD30*EFFICIENCY!$I$28)</f>
        <v>#DIV/0!</v>
      </c>
      <c r="BE36" s="280" t="s">
        <v>96</v>
      </c>
      <c r="BF36" s="281" t="e">
        <f>BF32/(BF30*EFFICIENCY!$I$28)</f>
        <v>#DIV/0!</v>
      </c>
      <c r="BH36" s="300"/>
      <c r="BI36" s="304"/>
      <c r="BJ36" s="303"/>
      <c r="BK36" s="280" t="s">
        <v>96</v>
      </c>
      <c r="BL36" s="281" t="e">
        <f>BL32/(BL30*EFFICIENCY!$I$28)</f>
        <v>#DIV/0!</v>
      </c>
      <c r="BM36" s="280" t="s">
        <v>96</v>
      </c>
      <c r="BN36" s="281" t="e">
        <f>BN32/(BN30*EFFICIENCY!$I$28)</f>
        <v>#DIV/0!</v>
      </c>
      <c r="BO36" s="280" t="s">
        <v>96</v>
      </c>
      <c r="BP36" s="281" t="e">
        <f>BP32/(BP30*EFFICIENCY!$I$28)</f>
        <v>#DIV/0!</v>
      </c>
    </row>
    <row r="37" spans="2:68" ht="19.5" customHeight="1" thickBot="1">
      <c r="K37" s="696" t="s">
        <v>156</v>
      </c>
      <c r="L37" s="697"/>
      <c r="M37" s="284" t="s">
        <v>94</v>
      </c>
      <c r="N37" s="285" t="e">
        <f>N32/((N30*EFFICIENCY!$K$28))</f>
        <v>#DIV/0!</v>
      </c>
      <c r="O37" s="288" t="s">
        <v>94</v>
      </c>
      <c r="P37" s="285" t="e">
        <f>P32/((P30*EFFICIENCY!$K$28))</f>
        <v>#DIV/0!</v>
      </c>
      <c r="Q37" s="284" t="s">
        <v>94</v>
      </c>
      <c r="R37" s="285" t="e">
        <f>R32/((R30*EFFICIENCY!$K$28))</f>
        <v>#DIV/0!</v>
      </c>
      <c r="S37" s="297"/>
      <c r="T37" s="300"/>
      <c r="U37" s="696" t="s">
        <v>156</v>
      </c>
      <c r="V37" s="697"/>
      <c r="W37" s="284" t="s">
        <v>94</v>
      </c>
      <c r="X37" s="285" t="e">
        <f>X32/((X30*EFFICIENCY!$K$28))</f>
        <v>#DIV/0!</v>
      </c>
      <c r="Y37" s="288" t="s">
        <v>94</v>
      </c>
      <c r="Z37" s="285" t="e">
        <f>Z32/((Z30*EFFICIENCY!$K$28))</f>
        <v>#DIV/0!</v>
      </c>
      <c r="AA37" s="284" t="s">
        <v>94</v>
      </c>
      <c r="AB37" s="285" t="e">
        <f>AB32/((AB30*EFFICIENCY!$K$28))</f>
        <v>#DIV/0!</v>
      </c>
      <c r="AD37" s="300"/>
      <c r="AE37" s="696" t="s">
        <v>156</v>
      </c>
      <c r="AF37" s="697"/>
      <c r="AG37" s="284" t="s">
        <v>94</v>
      </c>
      <c r="AH37" s="285" t="e">
        <f>AH32/((AH30*EFFICIENCY!$K$28))</f>
        <v>#DIV/0!</v>
      </c>
      <c r="AI37" s="288" t="s">
        <v>94</v>
      </c>
      <c r="AJ37" s="285" t="e">
        <f>AJ32/((AJ30*EFFICIENCY!$K$28))</f>
        <v>#DIV/0!</v>
      </c>
      <c r="AK37" s="284" t="s">
        <v>94</v>
      </c>
      <c r="AL37" s="285" t="e">
        <f>AL32/((AL30*EFFICIENCY!$K$28))</f>
        <v>#DIV/0!</v>
      </c>
      <c r="AN37" s="300"/>
      <c r="AO37" s="696" t="s">
        <v>156</v>
      </c>
      <c r="AP37" s="697"/>
      <c r="AQ37" s="284" t="s">
        <v>94</v>
      </c>
      <c r="AR37" s="285" t="e">
        <f>AR32/((AR30*EFFICIENCY!$K$28))</f>
        <v>#DIV/0!</v>
      </c>
      <c r="AS37" s="288" t="s">
        <v>94</v>
      </c>
      <c r="AT37" s="285" t="e">
        <f>AT32/((AT30*EFFICIENCY!$K$28))</f>
        <v>#DIV/0!</v>
      </c>
      <c r="AU37" s="284" t="s">
        <v>94</v>
      </c>
      <c r="AV37" s="285" t="e">
        <f>AV32/((AV30*EFFICIENCY!$K$28))</f>
        <v>#DIV/0!</v>
      </c>
      <c r="AX37" s="300"/>
      <c r="AY37" s="696" t="s">
        <v>156</v>
      </c>
      <c r="AZ37" s="697"/>
      <c r="BA37" s="284" t="s">
        <v>94</v>
      </c>
      <c r="BB37" s="285" t="e">
        <f>BB32/((BB30*EFFICIENCY!$K$28))</f>
        <v>#DIV/0!</v>
      </c>
      <c r="BC37" s="288" t="s">
        <v>94</v>
      </c>
      <c r="BD37" s="285" t="e">
        <f>BD32/((BD30*EFFICIENCY!$K$28))</f>
        <v>#DIV/0!</v>
      </c>
      <c r="BE37" s="284" t="s">
        <v>94</v>
      </c>
      <c r="BF37" s="285" t="e">
        <f>BF32/((BF30*EFFICIENCY!$K$28))</f>
        <v>#DIV/0!</v>
      </c>
      <c r="BH37" s="300"/>
      <c r="BI37" s="696" t="s">
        <v>156</v>
      </c>
      <c r="BJ37" s="697"/>
      <c r="BK37" s="284" t="s">
        <v>94</v>
      </c>
      <c r="BL37" s="285" t="e">
        <f>BL32/((BL30*EFFICIENCY!$K$28))</f>
        <v>#DIV/0!</v>
      </c>
      <c r="BM37" s="288" t="s">
        <v>94</v>
      </c>
      <c r="BN37" s="285" t="e">
        <f>BN32/((BN30*EFFICIENCY!$K$28))</f>
        <v>#DIV/0!</v>
      </c>
      <c r="BO37" s="284" t="s">
        <v>94</v>
      </c>
      <c r="BP37" s="285" t="e">
        <f>BP32/((BP30*EFFICIENCY!$K$28))</f>
        <v>#DIV/0!</v>
      </c>
    </row>
    <row r="38" spans="2:68" ht="16.5" thickBot="1">
      <c r="K38" s="386"/>
      <c r="L38" s="387" t="e">
        <f>R32/R30</f>
        <v>#DIV/0!</v>
      </c>
      <c r="M38" s="637" t="s">
        <v>153</v>
      </c>
      <c r="N38" s="638"/>
      <c r="O38" s="290"/>
      <c r="P38" s="421"/>
      <c r="Q38" s="421" t="s">
        <v>154</v>
      </c>
      <c r="R38" s="319">
        <f>O38-R32</f>
        <v>0</v>
      </c>
      <c r="S38" s="298"/>
      <c r="T38" s="300"/>
      <c r="U38" s="386"/>
      <c r="V38" s="387" t="e">
        <f>AB32/AB30</f>
        <v>#DIV/0!</v>
      </c>
      <c r="W38" s="637" t="s">
        <v>153</v>
      </c>
      <c r="X38" s="638"/>
      <c r="Y38" s="290"/>
      <c r="Z38" s="421"/>
      <c r="AA38" s="421" t="s">
        <v>154</v>
      </c>
      <c r="AB38" s="319">
        <f>Y38-AB32</f>
        <v>0</v>
      </c>
      <c r="AD38" s="300"/>
      <c r="AE38" s="386"/>
      <c r="AF38" s="387" t="e">
        <f>AL32/AL30</f>
        <v>#DIV/0!</v>
      </c>
      <c r="AG38" s="637" t="s">
        <v>153</v>
      </c>
      <c r="AH38" s="638"/>
      <c r="AI38" s="290"/>
      <c r="AJ38" s="421"/>
      <c r="AK38" s="421" t="s">
        <v>154</v>
      </c>
      <c r="AL38" s="319">
        <f>AI38-AL32</f>
        <v>0</v>
      </c>
      <c r="AN38" s="300"/>
      <c r="AO38" s="386"/>
      <c r="AP38" s="387" t="e">
        <f>AV32/AV30</f>
        <v>#DIV/0!</v>
      </c>
      <c r="AQ38" s="637" t="s">
        <v>153</v>
      </c>
      <c r="AR38" s="638"/>
      <c r="AS38" s="290"/>
      <c r="AT38" s="421"/>
      <c r="AU38" s="421" t="s">
        <v>154</v>
      </c>
      <c r="AV38" s="319">
        <f>AS38-AV32</f>
        <v>0</v>
      </c>
      <c r="AX38" s="300"/>
      <c r="AY38" s="386"/>
      <c r="AZ38" s="387" t="e">
        <f>BF32/BF30</f>
        <v>#DIV/0!</v>
      </c>
      <c r="BA38" s="637" t="s">
        <v>153</v>
      </c>
      <c r="BB38" s="638"/>
      <c r="BC38" s="290"/>
      <c r="BD38" s="421"/>
      <c r="BE38" s="421" t="s">
        <v>154</v>
      </c>
      <c r="BF38" s="319">
        <f>BC38-BF32</f>
        <v>0</v>
      </c>
      <c r="BH38" s="300"/>
      <c r="BI38" s="386"/>
      <c r="BJ38" s="387" t="e">
        <f>BP32/BP30</f>
        <v>#DIV/0!</v>
      </c>
      <c r="BK38" s="637" t="s">
        <v>153</v>
      </c>
      <c r="BL38" s="638"/>
      <c r="BM38" s="290"/>
      <c r="BN38" s="421"/>
      <c r="BO38" s="421" t="s">
        <v>154</v>
      </c>
      <c r="BP38" s="319">
        <f>BM38-BP32</f>
        <v>0</v>
      </c>
    </row>
    <row r="39" spans="2:68">
      <c r="T39" s="300"/>
      <c r="AD39" s="300"/>
      <c r="AN39" s="300"/>
      <c r="AX39" s="300"/>
      <c r="BH39" s="300"/>
    </row>
    <row r="40" spans="2:68" ht="13.5" thickBot="1">
      <c r="K40" s="291"/>
      <c r="L40" s="291"/>
      <c r="M40" s="291"/>
      <c r="N40" s="291"/>
      <c r="O40" s="291"/>
      <c r="P40" s="291"/>
      <c r="Q40" s="291"/>
      <c r="R40" s="291"/>
      <c r="S40" s="299"/>
      <c r="T40" s="301"/>
      <c r="U40" s="291"/>
      <c r="V40" s="291"/>
      <c r="W40" s="291"/>
      <c r="X40" s="291"/>
      <c r="Y40" s="291"/>
      <c r="Z40" s="291"/>
      <c r="AA40" s="291"/>
      <c r="AB40" s="291"/>
      <c r="AC40" s="291"/>
      <c r="AD40" s="301"/>
      <c r="AE40" s="291"/>
      <c r="AF40" s="291"/>
      <c r="AG40" s="291"/>
      <c r="AH40" s="291"/>
      <c r="AI40" s="291"/>
      <c r="AJ40" s="291"/>
      <c r="AK40" s="291"/>
      <c r="AL40" s="291"/>
      <c r="AM40" s="291"/>
      <c r="AN40" s="301"/>
      <c r="AO40" s="291"/>
      <c r="AP40" s="291"/>
      <c r="AQ40" s="291"/>
      <c r="AR40" s="291"/>
      <c r="AS40" s="291"/>
      <c r="AT40" s="291"/>
      <c r="AU40" s="291"/>
      <c r="AV40" s="291"/>
      <c r="AW40" s="291"/>
      <c r="AX40" s="301"/>
      <c r="AY40" s="291"/>
      <c r="AZ40" s="291"/>
      <c r="BA40" s="291"/>
      <c r="BB40" s="291"/>
      <c r="BC40" s="291"/>
      <c r="BD40" s="291"/>
      <c r="BE40" s="291"/>
      <c r="BF40" s="291"/>
      <c r="BG40" s="291"/>
      <c r="BH40" s="301"/>
      <c r="BI40" s="291"/>
      <c r="BJ40" s="291"/>
      <c r="BK40" s="291"/>
      <c r="BL40" s="291"/>
      <c r="BM40" s="291"/>
      <c r="BN40" s="291"/>
      <c r="BO40" s="291"/>
      <c r="BP40" s="291"/>
    </row>
    <row r="41" spans="2:68" ht="15.75" thickBot="1">
      <c r="K41" s="388" t="s">
        <v>7</v>
      </c>
      <c r="L41" s="535">
        <f>B23</f>
        <v>42723</v>
      </c>
      <c r="M41" s="639" t="s">
        <v>100</v>
      </c>
      <c r="N41" s="640"/>
      <c r="O41" s="641" t="s">
        <v>99</v>
      </c>
      <c r="P41" s="642"/>
      <c r="Q41" s="643" t="s">
        <v>16</v>
      </c>
      <c r="R41" s="644"/>
      <c r="S41" s="293"/>
      <c r="T41" s="300"/>
      <c r="U41" s="388" t="s">
        <v>7</v>
      </c>
      <c r="V41" s="535">
        <f>B24</f>
        <v>42724</v>
      </c>
      <c r="W41" s="639" t="s">
        <v>100</v>
      </c>
      <c r="X41" s="640"/>
      <c r="Y41" s="641" t="s">
        <v>99</v>
      </c>
      <c r="Z41" s="642"/>
      <c r="AA41" s="643" t="s">
        <v>16</v>
      </c>
      <c r="AB41" s="644"/>
      <c r="AC41" s="154"/>
      <c r="AD41" s="300"/>
      <c r="AE41" s="388" t="s">
        <v>7</v>
      </c>
      <c r="AF41" s="535">
        <f>B25</f>
        <v>42725</v>
      </c>
      <c r="AG41" s="639" t="s">
        <v>100</v>
      </c>
      <c r="AH41" s="640"/>
      <c r="AI41" s="641" t="s">
        <v>99</v>
      </c>
      <c r="AJ41" s="642"/>
      <c r="AK41" s="643" t="s">
        <v>16</v>
      </c>
      <c r="AL41" s="644"/>
      <c r="AM41" s="154"/>
      <c r="AN41" s="300"/>
      <c r="AO41" s="388" t="s">
        <v>7</v>
      </c>
      <c r="AP41" s="535">
        <f>B26</f>
        <v>42726</v>
      </c>
      <c r="AQ41" s="639" t="s">
        <v>100</v>
      </c>
      <c r="AR41" s="640"/>
      <c r="AS41" s="641" t="s">
        <v>99</v>
      </c>
      <c r="AT41" s="642"/>
      <c r="AU41" s="643" t="s">
        <v>16</v>
      </c>
      <c r="AV41" s="644"/>
      <c r="AW41" s="154"/>
      <c r="AX41" s="300"/>
      <c r="AY41" s="388" t="s">
        <v>7</v>
      </c>
      <c r="AZ41" s="535">
        <f>B27</f>
        <v>42727</v>
      </c>
      <c r="BA41" s="639" t="s">
        <v>100</v>
      </c>
      <c r="BB41" s="640"/>
      <c r="BC41" s="641" t="s">
        <v>99</v>
      </c>
      <c r="BD41" s="642"/>
      <c r="BE41" s="643" t="s">
        <v>16</v>
      </c>
      <c r="BF41" s="644"/>
      <c r="BG41" s="154"/>
      <c r="BH41" s="300"/>
      <c r="BI41" s="388" t="s">
        <v>7</v>
      </c>
      <c r="BJ41" s="535">
        <f>B28</f>
        <v>42728</v>
      </c>
      <c r="BK41" s="639" t="s">
        <v>100</v>
      </c>
      <c r="BL41" s="640"/>
      <c r="BM41" s="641" t="s">
        <v>99</v>
      </c>
      <c r="BN41" s="642"/>
      <c r="BO41" s="643" t="s">
        <v>16</v>
      </c>
      <c r="BP41" s="644"/>
    </row>
    <row r="42" spans="2:68" ht="13.5" thickBot="1">
      <c r="K42" s="321"/>
      <c r="L42" s="320"/>
      <c r="M42" s="321"/>
      <c r="N42" s="322"/>
      <c r="O42" s="321"/>
      <c r="P42" s="322"/>
      <c r="Q42" s="320"/>
      <c r="R42" s="322"/>
      <c r="S42" s="156"/>
      <c r="T42" s="300"/>
      <c r="U42" s="321"/>
      <c r="V42" s="320"/>
      <c r="W42" s="321"/>
      <c r="X42" s="322"/>
      <c r="Y42" s="321"/>
      <c r="Z42" s="322"/>
      <c r="AA42" s="320"/>
      <c r="AB42" s="322"/>
      <c r="AC42" s="154"/>
      <c r="AD42" s="300"/>
      <c r="AE42" s="321"/>
      <c r="AF42" s="320"/>
      <c r="AG42" s="321"/>
      <c r="AH42" s="322"/>
      <c r="AI42" s="321"/>
      <c r="AJ42" s="322"/>
      <c r="AK42" s="320"/>
      <c r="AL42" s="322"/>
      <c r="AM42" s="154"/>
      <c r="AN42" s="300"/>
      <c r="AO42" s="321"/>
      <c r="AP42" s="320"/>
      <c r="AQ42" s="321"/>
      <c r="AR42" s="322"/>
      <c r="AS42" s="321"/>
      <c r="AT42" s="322"/>
      <c r="AU42" s="320"/>
      <c r="AV42" s="322"/>
      <c r="AW42" s="154"/>
      <c r="AX42" s="300"/>
      <c r="AY42" s="321"/>
      <c r="AZ42" s="320"/>
      <c r="BA42" s="321"/>
      <c r="BB42" s="322"/>
      <c r="BC42" s="321"/>
      <c r="BD42" s="322"/>
      <c r="BE42" s="320"/>
      <c r="BF42" s="322"/>
      <c r="BG42" s="154"/>
      <c r="BH42" s="300"/>
      <c r="BI42" s="321"/>
      <c r="BJ42" s="320"/>
      <c r="BK42" s="321"/>
      <c r="BL42" s="322"/>
      <c r="BM42" s="321"/>
      <c r="BN42" s="322"/>
      <c r="BO42" s="320"/>
      <c r="BP42" s="322"/>
    </row>
    <row r="43" spans="2:68" ht="16.5" thickBot="1">
      <c r="K43" s="321"/>
      <c r="L43" s="422" t="s">
        <v>155</v>
      </c>
      <c r="M43" s="324" t="s">
        <v>103</v>
      </c>
      <c r="N43" s="279"/>
      <c r="O43" s="324" t="s">
        <v>103</v>
      </c>
      <c r="P43" s="279"/>
      <c r="Q43" s="325" t="s">
        <v>103</v>
      </c>
      <c r="R43" s="326">
        <f>SUM(N43,P43)</f>
        <v>0</v>
      </c>
      <c r="S43" s="294"/>
      <c r="T43" s="300"/>
      <c r="U43" s="321"/>
      <c r="V43" s="422" t="s">
        <v>155</v>
      </c>
      <c r="W43" s="324" t="s">
        <v>103</v>
      </c>
      <c r="X43" s="279"/>
      <c r="Y43" s="324" t="s">
        <v>103</v>
      </c>
      <c r="Z43" s="279"/>
      <c r="AA43" s="325" t="s">
        <v>103</v>
      </c>
      <c r="AB43" s="326">
        <f>SUM(X43,Z43)</f>
        <v>0</v>
      </c>
      <c r="AD43" s="300"/>
      <c r="AE43" s="321"/>
      <c r="AF43" s="422" t="s">
        <v>155</v>
      </c>
      <c r="AG43" s="324" t="s">
        <v>103</v>
      </c>
      <c r="AH43" s="279"/>
      <c r="AI43" s="324" t="s">
        <v>103</v>
      </c>
      <c r="AJ43" s="279"/>
      <c r="AK43" s="325" t="s">
        <v>103</v>
      </c>
      <c r="AL43" s="326">
        <f>SUM(AH43,AJ43)</f>
        <v>0</v>
      </c>
      <c r="AN43" s="300"/>
      <c r="AO43" s="321"/>
      <c r="AP43" s="422" t="s">
        <v>155</v>
      </c>
      <c r="AQ43" s="324" t="s">
        <v>103</v>
      </c>
      <c r="AR43" s="279"/>
      <c r="AS43" s="324" t="s">
        <v>103</v>
      </c>
      <c r="AT43" s="279"/>
      <c r="AU43" s="325" t="s">
        <v>103</v>
      </c>
      <c r="AV43" s="326">
        <f>SUM(AR43,AT43)</f>
        <v>0</v>
      </c>
      <c r="AX43" s="300"/>
      <c r="AY43" s="321"/>
      <c r="AZ43" s="422" t="s">
        <v>155</v>
      </c>
      <c r="BA43" s="324" t="s">
        <v>103</v>
      </c>
      <c r="BB43" s="279"/>
      <c r="BC43" s="324" t="s">
        <v>103</v>
      </c>
      <c r="BD43" s="279"/>
      <c r="BE43" s="325" t="s">
        <v>103</v>
      </c>
      <c r="BF43" s="326">
        <f>SUM(BB43,BD43)</f>
        <v>0</v>
      </c>
      <c r="BH43" s="300"/>
      <c r="BI43" s="321"/>
      <c r="BJ43" s="422" t="s">
        <v>155</v>
      </c>
      <c r="BK43" s="324" t="s">
        <v>103</v>
      </c>
      <c r="BL43" s="279"/>
      <c r="BM43" s="324" t="s">
        <v>103</v>
      </c>
      <c r="BN43" s="279"/>
      <c r="BO43" s="325" t="s">
        <v>103</v>
      </c>
      <c r="BP43" s="326">
        <f>SUM(BL43,BN43)</f>
        <v>0</v>
      </c>
    </row>
    <row r="44" spans="2:68" ht="18.75" thickBot="1">
      <c r="K44" s="321"/>
      <c r="L44" s="289">
        <v>8</v>
      </c>
      <c r="M44" s="327" t="s">
        <v>5</v>
      </c>
      <c r="N44" s="328">
        <f>VLOOKUP(L41, $B$3:$E$109, 4, FALSE)</f>
        <v>0</v>
      </c>
      <c r="O44" s="327" t="s">
        <v>5</v>
      </c>
      <c r="P44" s="329">
        <f>VLOOKUP(L41, $B$3:$F$109, 5, FALSE)</f>
        <v>0</v>
      </c>
      <c r="Q44" s="330" t="s">
        <v>5</v>
      </c>
      <c r="R44" s="326">
        <f>SUM(N44,P44)</f>
        <v>0</v>
      </c>
      <c r="S44" s="294"/>
      <c r="T44" s="300"/>
      <c r="U44" s="321"/>
      <c r="V44" s="289">
        <v>8</v>
      </c>
      <c r="W44" s="327" t="s">
        <v>5</v>
      </c>
      <c r="X44" s="328">
        <f>VLOOKUP(V41, $B$3:$E$109, 4, FALSE)</f>
        <v>0</v>
      </c>
      <c r="Y44" s="327" t="s">
        <v>5</v>
      </c>
      <c r="Z44" s="329">
        <f>VLOOKUP(V41, $B$3:$F$109, 5, FALSE)</f>
        <v>0</v>
      </c>
      <c r="AA44" s="330" t="s">
        <v>5</v>
      </c>
      <c r="AB44" s="326">
        <f>SUM(X44,Z44)</f>
        <v>0</v>
      </c>
      <c r="AD44" s="300"/>
      <c r="AE44" s="321"/>
      <c r="AF44" s="289">
        <v>8</v>
      </c>
      <c r="AG44" s="327" t="s">
        <v>5</v>
      </c>
      <c r="AH44" s="328">
        <f>VLOOKUP(AF41, $B$3:$E$109, 4, FALSE)</f>
        <v>0</v>
      </c>
      <c r="AI44" s="327" t="s">
        <v>5</v>
      </c>
      <c r="AJ44" s="329">
        <f>VLOOKUP(AF41, $B$3:$F$109, 5, FALSE)</f>
        <v>0</v>
      </c>
      <c r="AK44" s="330" t="s">
        <v>5</v>
      </c>
      <c r="AL44" s="326">
        <f>SUM(AH44,AJ44)</f>
        <v>0</v>
      </c>
      <c r="AN44" s="300"/>
      <c r="AO44" s="321"/>
      <c r="AP44" s="289">
        <v>8</v>
      </c>
      <c r="AQ44" s="327" t="s">
        <v>5</v>
      </c>
      <c r="AR44" s="328">
        <f>VLOOKUP(AP41, $B$3:$E$109, 4, FALSE)</f>
        <v>0</v>
      </c>
      <c r="AS44" s="327" t="s">
        <v>5</v>
      </c>
      <c r="AT44" s="329">
        <f>VLOOKUP(AP41, $B$3:$F$109, 5, FALSE)</f>
        <v>0</v>
      </c>
      <c r="AU44" s="330" t="s">
        <v>5</v>
      </c>
      <c r="AV44" s="326">
        <f>SUM(AR44,AT44)</f>
        <v>0</v>
      </c>
      <c r="AX44" s="300"/>
      <c r="AY44" s="321"/>
      <c r="AZ44" s="289">
        <v>8</v>
      </c>
      <c r="BA44" s="327" t="s">
        <v>5</v>
      </c>
      <c r="BB44" s="328">
        <f>VLOOKUP(AZ41, $B$3:$E$109, 4, FALSE)</f>
        <v>0</v>
      </c>
      <c r="BC44" s="327" t="s">
        <v>5</v>
      </c>
      <c r="BD44" s="329">
        <f>VLOOKUP(AZ41, $B$3:$F$109, 5, FALSE)</f>
        <v>0</v>
      </c>
      <c r="BE44" s="330" t="s">
        <v>5</v>
      </c>
      <c r="BF44" s="326">
        <f>SUM(BB44,BD44)</f>
        <v>0</v>
      </c>
      <c r="BH44" s="300"/>
      <c r="BI44" s="321"/>
      <c r="BJ44" s="289">
        <v>8</v>
      </c>
      <c r="BK44" s="327" t="s">
        <v>5</v>
      </c>
      <c r="BL44" s="328">
        <f>VLOOKUP(BJ41, $B$3:$E$109, 4, FALSE)</f>
        <v>0</v>
      </c>
      <c r="BM44" s="327" t="s">
        <v>5</v>
      </c>
      <c r="BN44" s="329">
        <f>VLOOKUP(BJ41, $B$3:$F$109, 5, FALSE)</f>
        <v>0</v>
      </c>
      <c r="BO44" s="330" t="s">
        <v>5</v>
      </c>
      <c r="BP44" s="326">
        <f>SUM(BL44,BN44)</f>
        <v>0</v>
      </c>
    </row>
    <row r="45" spans="2:68" ht="15.75" customHeight="1">
      <c r="K45" s="321"/>
      <c r="L45" s="320"/>
      <c r="M45" s="645" t="s">
        <v>105</v>
      </c>
      <c r="N45" s="328">
        <f>VLOOKUP(L41, $B$3:$E$109, 2, FALSE)</f>
        <v>0</v>
      </c>
      <c r="O45" s="645" t="s">
        <v>105</v>
      </c>
      <c r="P45" s="329">
        <f>VLOOKUP(L41, $B$3:$E$109, 3, FALSE)</f>
        <v>0</v>
      </c>
      <c r="Q45" s="646" t="s">
        <v>105</v>
      </c>
      <c r="R45" s="326">
        <f>SUM(N45,P45)</f>
        <v>0</v>
      </c>
      <c r="S45" s="294"/>
      <c r="T45" s="300"/>
      <c r="U45" s="321"/>
      <c r="V45" s="320"/>
      <c r="W45" s="645" t="s">
        <v>105</v>
      </c>
      <c r="X45" s="328">
        <f>VLOOKUP(V41, $B$3:$E$109, 2, FALSE)</f>
        <v>0</v>
      </c>
      <c r="Y45" s="645" t="s">
        <v>105</v>
      </c>
      <c r="Z45" s="329">
        <f>VLOOKUP(V41, $B$3:$E$109, 3, FALSE)</f>
        <v>0</v>
      </c>
      <c r="AA45" s="646" t="s">
        <v>105</v>
      </c>
      <c r="AB45" s="326">
        <f>SUM(X45,Z45)</f>
        <v>0</v>
      </c>
      <c r="AD45" s="300"/>
      <c r="AE45" s="321"/>
      <c r="AF45" s="320"/>
      <c r="AG45" s="645" t="s">
        <v>105</v>
      </c>
      <c r="AH45" s="328">
        <f>VLOOKUP(AF41, $B$3:$E$109, 2, FALSE)</f>
        <v>0</v>
      </c>
      <c r="AI45" s="645" t="s">
        <v>105</v>
      </c>
      <c r="AJ45" s="329">
        <f>VLOOKUP(AF41, $B$3:$E$109, 3, FALSE)</f>
        <v>0</v>
      </c>
      <c r="AK45" s="646" t="s">
        <v>105</v>
      </c>
      <c r="AL45" s="326">
        <f>SUM(AH45,AJ45)</f>
        <v>0</v>
      </c>
      <c r="AN45" s="300"/>
      <c r="AO45" s="321"/>
      <c r="AP45" s="320"/>
      <c r="AQ45" s="645" t="s">
        <v>105</v>
      </c>
      <c r="AR45" s="328">
        <f>VLOOKUP(AP41, $B$3:$E$109, 2, FALSE)</f>
        <v>0</v>
      </c>
      <c r="AS45" s="645" t="s">
        <v>105</v>
      </c>
      <c r="AT45" s="329">
        <f>VLOOKUP(AP41, $B$3:$E$109, 3, FALSE)</f>
        <v>0</v>
      </c>
      <c r="AU45" s="646" t="s">
        <v>105</v>
      </c>
      <c r="AV45" s="326">
        <f>SUM(AR45,AT45)</f>
        <v>0</v>
      </c>
      <c r="AX45" s="300"/>
      <c r="AY45" s="321"/>
      <c r="AZ45" s="320"/>
      <c r="BA45" s="645" t="s">
        <v>105</v>
      </c>
      <c r="BB45" s="328">
        <f>VLOOKUP(AZ41, $B$3:$E$109, 2, FALSE)</f>
        <v>0</v>
      </c>
      <c r="BC45" s="645" t="s">
        <v>105</v>
      </c>
      <c r="BD45" s="329">
        <f>VLOOKUP(AZ41, $B$3:$E$109, 3, FALSE)</f>
        <v>0</v>
      </c>
      <c r="BE45" s="646" t="s">
        <v>105</v>
      </c>
      <c r="BF45" s="326">
        <f>SUM(BB45,BD45)</f>
        <v>0</v>
      </c>
      <c r="BH45" s="300"/>
      <c r="BI45" s="321"/>
      <c r="BJ45" s="320"/>
      <c r="BK45" s="645" t="s">
        <v>105</v>
      </c>
      <c r="BL45" s="328">
        <f>VLOOKUP(BJ41, $B$3:$E$109, 2, FALSE)</f>
        <v>0</v>
      </c>
      <c r="BM45" s="645" t="s">
        <v>105</v>
      </c>
      <c r="BN45" s="329">
        <f>VLOOKUP(BJ41, $B$3:$E$109, 3, FALSE)</f>
        <v>0</v>
      </c>
      <c r="BO45" s="646" t="s">
        <v>105</v>
      </c>
      <c r="BP45" s="326">
        <f>SUM(BL45,BN45)</f>
        <v>0</v>
      </c>
    </row>
    <row r="46" spans="2:68" ht="12.75" customHeight="1">
      <c r="K46" s="702" t="s">
        <v>157</v>
      </c>
      <c r="L46" s="703"/>
      <c r="M46" s="646"/>
      <c r="N46" s="322"/>
      <c r="O46" s="645"/>
      <c r="P46" s="322"/>
      <c r="Q46" s="646"/>
      <c r="R46" s="322"/>
      <c r="S46" s="156"/>
      <c r="T46" s="300"/>
      <c r="U46" s="702" t="s">
        <v>157</v>
      </c>
      <c r="V46" s="703"/>
      <c r="W46" s="646"/>
      <c r="X46" s="322"/>
      <c r="Y46" s="645"/>
      <c r="Z46" s="322"/>
      <c r="AA46" s="646"/>
      <c r="AB46" s="322"/>
      <c r="AD46" s="300"/>
      <c r="AE46" s="702" t="s">
        <v>157</v>
      </c>
      <c r="AF46" s="703"/>
      <c r="AG46" s="646"/>
      <c r="AH46" s="322"/>
      <c r="AI46" s="645"/>
      <c r="AJ46" s="322"/>
      <c r="AK46" s="646"/>
      <c r="AL46" s="322"/>
      <c r="AN46" s="300"/>
      <c r="AO46" s="702" t="s">
        <v>157</v>
      </c>
      <c r="AP46" s="703"/>
      <c r="AQ46" s="646"/>
      <c r="AR46" s="322"/>
      <c r="AS46" s="645"/>
      <c r="AT46" s="322"/>
      <c r="AU46" s="646"/>
      <c r="AV46" s="322"/>
      <c r="AX46" s="300"/>
      <c r="AY46" s="702" t="s">
        <v>157</v>
      </c>
      <c r="AZ46" s="703"/>
      <c r="BA46" s="646"/>
      <c r="BB46" s="322"/>
      <c r="BC46" s="645"/>
      <c r="BD46" s="322"/>
      <c r="BE46" s="646"/>
      <c r="BF46" s="322"/>
      <c r="BH46" s="300"/>
      <c r="BI46" s="702" t="s">
        <v>157</v>
      </c>
      <c r="BJ46" s="703"/>
      <c r="BK46" s="646"/>
      <c r="BL46" s="322"/>
      <c r="BM46" s="645"/>
      <c r="BN46" s="322"/>
      <c r="BO46" s="646"/>
      <c r="BP46" s="322"/>
    </row>
    <row r="47" spans="2:68" ht="15.75">
      <c r="K47" s="389"/>
      <c r="L47" s="331">
        <f>R43*13</f>
        <v>0</v>
      </c>
      <c r="M47" s="423"/>
      <c r="N47" s="322"/>
      <c r="O47" s="333"/>
      <c r="P47" s="322"/>
      <c r="Q47" s="424"/>
      <c r="R47" s="322"/>
      <c r="S47" s="156"/>
      <c r="T47" s="300"/>
      <c r="U47" s="389"/>
      <c r="V47" s="331">
        <f>AB43*13</f>
        <v>0</v>
      </c>
      <c r="W47" s="423"/>
      <c r="X47" s="322"/>
      <c r="Y47" s="333"/>
      <c r="Z47" s="322"/>
      <c r="AA47" s="424"/>
      <c r="AB47" s="322"/>
      <c r="AD47" s="300"/>
      <c r="AE47" s="389"/>
      <c r="AF47" s="331">
        <f>AL43*13</f>
        <v>0</v>
      </c>
      <c r="AG47" s="423"/>
      <c r="AH47" s="322"/>
      <c r="AI47" s="333"/>
      <c r="AJ47" s="322"/>
      <c r="AK47" s="424"/>
      <c r="AL47" s="322"/>
      <c r="AN47" s="300"/>
      <c r="AO47" s="389"/>
      <c r="AP47" s="331">
        <f>AV43*13</f>
        <v>0</v>
      </c>
      <c r="AQ47" s="423"/>
      <c r="AR47" s="322"/>
      <c r="AS47" s="333"/>
      <c r="AT47" s="322"/>
      <c r="AU47" s="424"/>
      <c r="AV47" s="322"/>
      <c r="AX47" s="300"/>
      <c r="AY47" s="389"/>
      <c r="AZ47" s="331">
        <f>BF43*13</f>
        <v>0</v>
      </c>
      <c r="BA47" s="423"/>
      <c r="BB47" s="322"/>
      <c r="BC47" s="333"/>
      <c r="BD47" s="322"/>
      <c r="BE47" s="424"/>
      <c r="BF47" s="322"/>
      <c r="BH47" s="300"/>
      <c r="BI47" s="389"/>
      <c r="BJ47" s="331">
        <f>BP43*13</f>
        <v>0</v>
      </c>
      <c r="BK47" s="423"/>
      <c r="BL47" s="322"/>
      <c r="BM47" s="333"/>
      <c r="BN47" s="322"/>
      <c r="BO47" s="424"/>
      <c r="BP47" s="322"/>
    </row>
    <row r="48" spans="2:68" ht="18.75">
      <c r="K48" s="321"/>
      <c r="L48" s="390"/>
      <c r="M48" s="286" t="s">
        <v>97</v>
      </c>
      <c r="N48" s="287" t="e">
        <f>N45/((N43*EFFICIENCY!$H$28))</f>
        <v>#DIV/0!</v>
      </c>
      <c r="O48" s="286" t="s">
        <v>97</v>
      </c>
      <c r="P48" s="287" t="e">
        <f>P45/(P43*EFFICIENCY!$H$28)</f>
        <v>#DIV/0!</v>
      </c>
      <c r="Q48" s="286" t="s">
        <v>97</v>
      </c>
      <c r="R48" s="287" t="e">
        <f>R45/(R43*EFFICIENCY!$H$28)</f>
        <v>#DIV/0!</v>
      </c>
      <c r="S48" s="295"/>
      <c r="T48" s="300"/>
      <c r="U48" s="321"/>
      <c r="V48" s="390"/>
      <c r="W48" s="286" t="s">
        <v>97</v>
      </c>
      <c r="X48" s="287" t="e">
        <f>X45/((X43*EFFICIENCY!$H$28))</f>
        <v>#DIV/0!</v>
      </c>
      <c r="Y48" s="286" t="s">
        <v>97</v>
      </c>
      <c r="Z48" s="287" t="e">
        <f>Z45/(Z43*EFFICIENCY!$H$28)</f>
        <v>#DIV/0!</v>
      </c>
      <c r="AA48" s="286" t="s">
        <v>97</v>
      </c>
      <c r="AB48" s="287" t="e">
        <f>AB45/(AB43*EFFICIENCY!$H$28)</f>
        <v>#DIV/0!</v>
      </c>
      <c r="AD48" s="300"/>
      <c r="AE48" s="321"/>
      <c r="AF48" s="390"/>
      <c r="AG48" s="286" t="s">
        <v>97</v>
      </c>
      <c r="AH48" s="287" t="e">
        <f>AH45/((AH43*EFFICIENCY!$H$28))</f>
        <v>#DIV/0!</v>
      </c>
      <c r="AI48" s="286" t="s">
        <v>97</v>
      </c>
      <c r="AJ48" s="287" t="e">
        <f>AJ45/(AJ43*EFFICIENCY!$H$28)</f>
        <v>#DIV/0!</v>
      </c>
      <c r="AK48" s="286" t="s">
        <v>97</v>
      </c>
      <c r="AL48" s="287" t="e">
        <f>AL45/(AL43*EFFICIENCY!$H$28)</f>
        <v>#DIV/0!</v>
      </c>
      <c r="AN48" s="300"/>
      <c r="AO48" s="321"/>
      <c r="AP48" s="390"/>
      <c r="AQ48" s="286" t="s">
        <v>97</v>
      </c>
      <c r="AR48" s="287" t="e">
        <f>AR45/((AR43*EFFICIENCY!$H$28))</f>
        <v>#DIV/0!</v>
      </c>
      <c r="AS48" s="286" t="s">
        <v>97</v>
      </c>
      <c r="AT48" s="287" t="e">
        <f>AT45/(AT43*EFFICIENCY!$H$28)</f>
        <v>#DIV/0!</v>
      </c>
      <c r="AU48" s="286" t="s">
        <v>97</v>
      </c>
      <c r="AV48" s="287" t="e">
        <f>AV45/(AV43*EFFICIENCY!$H$28)</f>
        <v>#DIV/0!</v>
      </c>
      <c r="AX48" s="300"/>
      <c r="AY48" s="321"/>
      <c r="AZ48" s="390"/>
      <c r="BA48" s="286" t="s">
        <v>97</v>
      </c>
      <c r="BB48" s="287" t="e">
        <f>BB45/((BB43*EFFICIENCY!$H$28))</f>
        <v>#DIV/0!</v>
      </c>
      <c r="BC48" s="286" t="s">
        <v>97</v>
      </c>
      <c r="BD48" s="287" t="e">
        <f>BD45/(BD43*EFFICIENCY!$H$28)</f>
        <v>#DIV/0!</v>
      </c>
      <c r="BE48" s="286" t="s">
        <v>97</v>
      </c>
      <c r="BF48" s="287" t="e">
        <f>BF45/(BF43*EFFICIENCY!$H$28)</f>
        <v>#DIV/0!</v>
      </c>
      <c r="BH48" s="300"/>
      <c r="BI48" s="321"/>
      <c r="BJ48" s="390"/>
      <c r="BK48" s="286" t="s">
        <v>97</v>
      </c>
      <c r="BL48" s="287" t="e">
        <f>BL45/((BL43*EFFICIENCY!$H$28))</f>
        <v>#DIV/0!</v>
      </c>
      <c r="BM48" s="286" t="s">
        <v>97</v>
      </c>
      <c r="BN48" s="287" t="e">
        <f>BN45/(BN43*EFFICIENCY!$H$28)</f>
        <v>#DIV/0!</v>
      </c>
      <c r="BO48" s="286" t="s">
        <v>97</v>
      </c>
      <c r="BP48" s="287" t="e">
        <f>BP45/(BP43*EFFICIENCY!$H$28)</f>
        <v>#DIV/0!</v>
      </c>
    </row>
    <row r="49" spans="10:68" ht="18.75">
      <c r="K49" s="321"/>
      <c r="L49" s="320"/>
      <c r="M49" s="280" t="s">
        <v>96</v>
      </c>
      <c r="N49" s="281" t="e">
        <f>N45/(N43*EFFICIENCY!$I$28)</f>
        <v>#DIV/0!</v>
      </c>
      <c r="O49" s="280" t="s">
        <v>96</v>
      </c>
      <c r="P49" s="281" t="e">
        <f>P45/(P43*EFFICIENCY!$I$28)</f>
        <v>#DIV/0!</v>
      </c>
      <c r="Q49" s="280" t="s">
        <v>96</v>
      </c>
      <c r="R49" s="281" t="e">
        <f>R45/(R43*EFFICIENCY!$I$28)</f>
        <v>#DIV/0!</v>
      </c>
      <c r="S49" s="296"/>
      <c r="T49" s="300"/>
      <c r="U49" s="321"/>
      <c r="V49" s="320"/>
      <c r="W49" s="280" t="s">
        <v>96</v>
      </c>
      <c r="X49" s="281" t="e">
        <f>X45/(X43*EFFICIENCY!$I$28)</f>
        <v>#DIV/0!</v>
      </c>
      <c r="Y49" s="280" t="s">
        <v>96</v>
      </c>
      <c r="Z49" s="281" t="e">
        <f>Z45/(Z43*EFFICIENCY!$I$28)</f>
        <v>#DIV/0!</v>
      </c>
      <c r="AA49" s="280" t="s">
        <v>96</v>
      </c>
      <c r="AB49" s="281" t="e">
        <f>AB45/(AB43*EFFICIENCY!$I$28)</f>
        <v>#DIV/0!</v>
      </c>
      <c r="AD49" s="300"/>
      <c r="AE49" s="321"/>
      <c r="AF49" s="320"/>
      <c r="AG49" s="280" t="s">
        <v>96</v>
      </c>
      <c r="AH49" s="281" t="e">
        <f>AH45/(AH43*EFFICIENCY!$I$28)</f>
        <v>#DIV/0!</v>
      </c>
      <c r="AI49" s="280" t="s">
        <v>96</v>
      </c>
      <c r="AJ49" s="281" t="e">
        <f>AJ45/(AJ43*EFFICIENCY!$I$28)</f>
        <v>#DIV/0!</v>
      </c>
      <c r="AK49" s="280" t="s">
        <v>96</v>
      </c>
      <c r="AL49" s="281" t="e">
        <f>AL45/(AL43*EFFICIENCY!$I$28)</f>
        <v>#DIV/0!</v>
      </c>
      <c r="AN49" s="300"/>
      <c r="AO49" s="321"/>
      <c r="AP49" s="320"/>
      <c r="AQ49" s="280" t="s">
        <v>96</v>
      </c>
      <c r="AR49" s="281" t="e">
        <f>AR45/(AR43*EFFICIENCY!$I$28)</f>
        <v>#DIV/0!</v>
      </c>
      <c r="AS49" s="280" t="s">
        <v>96</v>
      </c>
      <c r="AT49" s="281" t="e">
        <f>AT45/(AT43*EFFICIENCY!$I$28)</f>
        <v>#DIV/0!</v>
      </c>
      <c r="AU49" s="280" t="s">
        <v>96</v>
      </c>
      <c r="AV49" s="281" t="e">
        <f>AV45/(AV43*EFFICIENCY!$I$28)</f>
        <v>#DIV/0!</v>
      </c>
      <c r="AX49" s="300"/>
      <c r="AY49" s="321"/>
      <c r="AZ49" s="320"/>
      <c r="BA49" s="280" t="s">
        <v>96</v>
      </c>
      <c r="BB49" s="281" t="e">
        <f>BB45/(BB43*EFFICIENCY!$I$28)</f>
        <v>#DIV/0!</v>
      </c>
      <c r="BC49" s="280" t="s">
        <v>96</v>
      </c>
      <c r="BD49" s="281" t="e">
        <f>BD45/(BD43*EFFICIENCY!$I$28)</f>
        <v>#DIV/0!</v>
      </c>
      <c r="BE49" s="280" t="s">
        <v>96</v>
      </c>
      <c r="BF49" s="281" t="e">
        <f>BF45/(BF43*EFFICIENCY!$I$28)</f>
        <v>#DIV/0!</v>
      </c>
      <c r="BH49" s="300"/>
      <c r="BI49" s="321"/>
      <c r="BJ49" s="320"/>
      <c r="BK49" s="280" t="s">
        <v>96</v>
      </c>
      <c r="BL49" s="281" t="e">
        <f>BL45/(BL43*EFFICIENCY!$I$28)</f>
        <v>#DIV/0!</v>
      </c>
      <c r="BM49" s="280" t="s">
        <v>96</v>
      </c>
      <c r="BN49" s="281" t="e">
        <f>BN45/(BN43*EFFICIENCY!$I$28)</f>
        <v>#DIV/0!</v>
      </c>
      <c r="BO49" s="280" t="s">
        <v>96</v>
      </c>
      <c r="BP49" s="281" t="e">
        <f>BP45/(BP43*EFFICIENCY!$I$28)</f>
        <v>#DIV/0!</v>
      </c>
    </row>
    <row r="50" spans="10:68" ht="19.5" customHeight="1" thickBot="1">
      <c r="K50" s="686" t="s">
        <v>156</v>
      </c>
      <c r="L50" s="687"/>
      <c r="M50" s="284" t="s">
        <v>94</v>
      </c>
      <c r="N50" s="285" t="e">
        <f>N45/((N43*EFFICIENCY!$K$28))</f>
        <v>#DIV/0!</v>
      </c>
      <c r="O50" s="288" t="s">
        <v>94</v>
      </c>
      <c r="P50" s="285" t="e">
        <f>P45/((P43*EFFICIENCY!$K$28))</f>
        <v>#DIV/0!</v>
      </c>
      <c r="Q50" s="284" t="s">
        <v>94</v>
      </c>
      <c r="R50" s="285" t="e">
        <f>R45/((R43*EFFICIENCY!$K$28))</f>
        <v>#DIV/0!</v>
      </c>
      <c r="S50" s="297"/>
      <c r="T50" s="300"/>
      <c r="U50" s="686" t="s">
        <v>156</v>
      </c>
      <c r="V50" s="687"/>
      <c r="W50" s="284" t="s">
        <v>94</v>
      </c>
      <c r="X50" s="285" t="e">
        <f>X45/((X43*EFFICIENCY!$K$28))</f>
        <v>#DIV/0!</v>
      </c>
      <c r="Y50" s="288" t="s">
        <v>94</v>
      </c>
      <c r="Z50" s="285" t="e">
        <f>Z45/((Z43*EFFICIENCY!$K$28))</f>
        <v>#DIV/0!</v>
      </c>
      <c r="AA50" s="284" t="s">
        <v>94</v>
      </c>
      <c r="AB50" s="285" t="e">
        <f>AB45/((AB43*EFFICIENCY!$K$28))</f>
        <v>#DIV/0!</v>
      </c>
      <c r="AD50" s="300"/>
      <c r="AE50" s="686" t="s">
        <v>156</v>
      </c>
      <c r="AF50" s="687"/>
      <c r="AG50" s="284" t="s">
        <v>94</v>
      </c>
      <c r="AH50" s="285" t="e">
        <f>AH45/((AH43*EFFICIENCY!$K$28))</f>
        <v>#DIV/0!</v>
      </c>
      <c r="AI50" s="288" t="s">
        <v>94</v>
      </c>
      <c r="AJ50" s="285" t="e">
        <f>AJ45/((AJ43*EFFICIENCY!$K$28))</f>
        <v>#DIV/0!</v>
      </c>
      <c r="AK50" s="284" t="s">
        <v>94</v>
      </c>
      <c r="AL50" s="285" t="e">
        <f>AL45/((AL43*EFFICIENCY!$K$28))</f>
        <v>#DIV/0!</v>
      </c>
      <c r="AN50" s="300"/>
      <c r="AO50" s="686" t="s">
        <v>156</v>
      </c>
      <c r="AP50" s="687"/>
      <c r="AQ50" s="284" t="s">
        <v>94</v>
      </c>
      <c r="AR50" s="285" t="e">
        <f>AR45/((AR43*EFFICIENCY!$K$28))</f>
        <v>#DIV/0!</v>
      </c>
      <c r="AS50" s="288" t="s">
        <v>94</v>
      </c>
      <c r="AT50" s="285" t="e">
        <f>AT45/((AT43*EFFICIENCY!$K$28))</f>
        <v>#DIV/0!</v>
      </c>
      <c r="AU50" s="284" t="s">
        <v>94</v>
      </c>
      <c r="AV50" s="285" t="e">
        <f>AV45/((AV43*EFFICIENCY!$K$28))</f>
        <v>#DIV/0!</v>
      </c>
      <c r="AX50" s="300"/>
      <c r="AY50" s="686" t="s">
        <v>156</v>
      </c>
      <c r="AZ50" s="687"/>
      <c r="BA50" s="284" t="s">
        <v>94</v>
      </c>
      <c r="BB50" s="285" t="e">
        <f>BB45/((BB43*EFFICIENCY!$K$28))</f>
        <v>#DIV/0!</v>
      </c>
      <c r="BC50" s="288" t="s">
        <v>94</v>
      </c>
      <c r="BD50" s="285" t="e">
        <f>BD45/((BD43*EFFICIENCY!$K$28))</f>
        <v>#DIV/0!</v>
      </c>
      <c r="BE50" s="284" t="s">
        <v>94</v>
      </c>
      <c r="BF50" s="285" t="e">
        <f>BF45/((BF43*EFFICIENCY!$K$28))</f>
        <v>#DIV/0!</v>
      </c>
      <c r="BH50" s="300"/>
      <c r="BI50" s="686" t="s">
        <v>156</v>
      </c>
      <c r="BJ50" s="687"/>
      <c r="BK50" s="284" t="s">
        <v>94</v>
      </c>
      <c r="BL50" s="285" t="e">
        <f>BL45/((BL43*EFFICIENCY!$K$28))</f>
        <v>#DIV/0!</v>
      </c>
      <c r="BM50" s="288" t="s">
        <v>94</v>
      </c>
      <c r="BN50" s="285" t="e">
        <f>BN45/((BN43*EFFICIENCY!$K$28))</f>
        <v>#DIV/0!</v>
      </c>
      <c r="BO50" s="284" t="s">
        <v>94</v>
      </c>
      <c r="BP50" s="285" t="e">
        <f>BP45/((BP43*EFFICIENCY!$K$28))</f>
        <v>#DIV/0!</v>
      </c>
    </row>
    <row r="51" spans="10:68" ht="16.5" thickBot="1">
      <c r="K51" s="391"/>
      <c r="L51" s="392" t="e">
        <f>R45/R43</f>
        <v>#DIV/0!</v>
      </c>
      <c r="M51" s="649" t="s">
        <v>153</v>
      </c>
      <c r="N51" s="650"/>
      <c r="O51" s="290"/>
      <c r="P51" s="420"/>
      <c r="Q51" s="420" t="s">
        <v>154</v>
      </c>
      <c r="R51" s="336">
        <f>O51-R45</f>
        <v>0</v>
      </c>
      <c r="S51" s="298"/>
      <c r="T51" s="300"/>
      <c r="U51" s="391"/>
      <c r="V51" s="392" t="e">
        <f>AB45/AB43</f>
        <v>#DIV/0!</v>
      </c>
      <c r="W51" s="649" t="s">
        <v>153</v>
      </c>
      <c r="X51" s="650"/>
      <c r="Y51" s="290"/>
      <c r="Z51" s="420"/>
      <c r="AA51" s="420" t="s">
        <v>154</v>
      </c>
      <c r="AB51" s="336">
        <f>Y51-AB45</f>
        <v>0</v>
      </c>
      <c r="AD51" s="300"/>
      <c r="AE51" s="391"/>
      <c r="AF51" s="392" t="e">
        <f>AL45/AL43</f>
        <v>#DIV/0!</v>
      </c>
      <c r="AG51" s="649" t="s">
        <v>153</v>
      </c>
      <c r="AH51" s="650"/>
      <c r="AI51" s="290"/>
      <c r="AJ51" s="420"/>
      <c r="AK51" s="420" t="s">
        <v>154</v>
      </c>
      <c r="AL51" s="336">
        <f>AI51-AL45</f>
        <v>0</v>
      </c>
      <c r="AN51" s="300"/>
      <c r="AO51" s="391"/>
      <c r="AP51" s="392" t="e">
        <f>AV45/AV43</f>
        <v>#DIV/0!</v>
      </c>
      <c r="AQ51" s="649" t="s">
        <v>153</v>
      </c>
      <c r="AR51" s="650"/>
      <c r="AS51" s="290"/>
      <c r="AT51" s="420"/>
      <c r="AU51" s="420" t="s">
        <v>154</v>
      </c>
      <c r="AV51" s="336">
        <f>AS51-AV45</f>
        <v>0</v>
      </c>
      <c r="AX51" s="300"/>
      <c r="AY51" s="391"/>
      <c r="AZ51" s="392" t="e">
        <f>BF45/BF43</f>
        <v>#DIV/0!</v>
      </c>
      <c r="BA51" s="649" t="s">
        <v>153</v>
      </c>
      <c r="BB51" s="650"/>
      <c r="BC51" s="290"/>
      <c r="BD51" s="420"/>
      <c r="BE51" s="420" t="s">
        <v>154</v>
      </c>
      <c r="BF51" s="336">
        <f>BC51-BF45</f>
        <v>0</v>
      </c>
      <c r="BH51" s="300"/>
      <c r="BI51" s="391"/>
      <c r="BJ51" s="392" t="e">
        <f>BP45/BP43</f>
        <v>#DIV/0!</v>
      </c>
      <c r="BK51" s="649" t="s">
        <v>153</v>
      </c>
      <c r="BL51" s="650"/>
      <c r="BM51" s="290"/>
      <c r="BN51" s="420"/>
      <c r="BO51" s="420" t="s">
        <v>154</v>
      </c>
      <c r="BP51" s="336">
        <f>BM51-BP45</f>
        <v>0</v>
      </c>
    </row>
    <row r="52" spans="10:68">
      <c r="T52" s="300"/>
      <c r="AD52" s="300"/>
      <c r="AN52" s="300"/>
      <c r="AX52" s="300"/>
      <c r="BH52" s="300"/>
    </row>
    <row r="53" spans="10:68" ht="13.5" thickBot="1">
      <c r="J53" s="291"/>
      <c r="K53" s="291"/>
      <c r="L53" s="291"/>
      <c r="M53" s="291"/>
      <c r="N53" s="291"/>
      <c r="O53" s="291"/>
      <c r="P53" s="291"/>
      <c r="Q53" s="291"/>
      <c r="R53" s="291"/>
      <c r="S53" s="299"/>
      <c r="T53" s="301"/>
      <c r="U53" s="291"/>
      <c r="V53" s="291"/>
      <c r="W53" s="291"/>
      <c r="X53" s="291"/>
      <c r="Y53" s="291"/>
      <c r="Z53" s="291"/>
      <c r="AA53" s="291"/>
      <c r="AB53" s="291"/>
      <c r="AC53" s="291"/>
      <c r="AD53" s="301"/>
      <c r="AE53" s="291"/>
      <c r="AF53" s="291"/>
      <c r="AG53" s="291"/>
      <c r="AH53" s="291"/>
      <c r="AI53" s="291"/>
      <c r="AJ53" s="291"/>
      <c r="AK53" s="291"/>
      <c r="AL53" s="291"/>
      <c r="AM53" s="291"/>
      <c r="AN53" s="301"/>
      <c r="AO53" s="291"/>
      <c r="AP53" s="291"/>
      <c r="AQ53" s="291"/>
      <c r="AR53" s="291"/>
      <c r="AS53" s="291"/>
      <c r="AT53" s="291"/>
      <c r="AU53" s="291"/>
      <c r="AV53" s="291"/>
      <c r="AW53" s="291"/>
      <c r="AX53" s="301"/>
      <c r="AY53" s="291"/>
      <c r="AZ53" s="291"/>
      <c r="BA53" s="291"/>
      <c r="BB53" s="291"/>
      <c r="BC53" s="291"/>
      <c r="BD53" s="291"/>
      <c r="BE53" s="291"/>
      <c r="BF53" s="291"/>
      <c r="BG53" s="291"/>
      <c r="BH53" s="301"/>
      <c r="BI53" s="291"/>
      <c r="BJ53" s="291"/>
      <c r="BK53" s="291"/>
      <c r="BL53" s="291"/>
      <c r="BM53" s="291"/>
      <c r="BN53" s="291"/>
      <c r="BO53" s="291"/>
      <c r="BP53" s="291"/>
    </row>
    <row r="54" spans="10:68" ht="15.75" thickBot="1">
      <c r="J54" s="154"/>
      <c r="K54" s="409" t="s">
        <v>7</v>
      </c>
      <c r="L54" s="536">
        <f>B30</f>
        <v>42730</v>
      </c>
      <c r="M54" s="651" t="s">
        <v>100</v>
      </c>
      <c r="N54" s="652"/>
      <c r="O54" s="653" t="s">
        <v>99</v>
      </c>
      <c r="P54" s="654"/>
      <c r="Q54" s="655" t="s">
        <v>16</v>
      </c>
      <c r="R54" s="656"/>
      <c r="S54" s="293"/>
      <c r="T54" s="300"/>
      <c r="U54" s="409" t="s">
        <v>7</v>
      </c>
      <c r="V54" s="536">
        <f>B31</f>
        <v>42731</v>
      </c>
      <c r="W54" s="651" t="s">
        <v>100</v>
      </c>
      <c r="X54" s="652"/>
      <c r="Y54" s="653" t="s">
        <v>99</v>
      </c>
      <c r="Z54" s="654"/>
      <c r="AA54" s="655" t="s">
        <v>16</v>
      </c>
      <c r="AB54" s="656"/>
      <c r="AC54" s="154"/>
      <c r="AD54" s="300"/>
      <c r="AE54" s="409" t="s">
        <v>7</v>
      </c>
      <c r="AF54" s="536">
        <f>B32</f>
        <v>42732</v>
      </c>
      <c r="AG54" s="651" t="s">
        <v>100</v>
      </c>
      <c r="AH54" s="652"/>
      <c r="AI54" s="653" t="s">
        <v>99</v>
      </c>
      <c r="AJ54" s="654"/>
      <c r="AK54" s="655" t="s">
        <v>16</v>
      </c>
      <c r="AL54" s="656"/>
      <c r="AM54" s="154"/>
      <c r="AN54" s="300"/>
      <c r="AO54" s="409" t="s">
        <v>7</v>
      </c>
      <c r="AP54" s="536">
        <f>B33</f>
        <v>42733</v>
      </c>
      <c r="AQ54" s="651" t="s">
        <v>100</v>
      </c>
      <c r="AR54" s="652"/>
      <c r="AS54" s="653" t="s">
        <v>99</v>
      </c>
      <c r="AT54" s="654"/>
      <c r="AU54" s="655" t="s">
        <v>16</v>
      </c>
      <c r="AV54" s="656"/>
      <c r="AW54" s="154"/>
      <c r="AX54" s="300"/>
      <c r="AY54" s="409" t="s">
        <v>7</v>
      </c>
      <c r="AZ54" s="536">
        <f>B34</f>
        <v>42734</v>
      </c>
      <c r="BA54" s="651" t="s">
        <v>100</v>
      </c>
      <c r="BB54" s="652"/>
      <c r="BC54" s="653" t="s">
        <v>99</v>
      </c>
      <c r="BD54" s="654"/>
      <c r="BE54" s="655" t="s">
        <v>16</v>
      </c>
      <c r="BF54" s="656"/>
      <c r="BG54" s="154"/>
      <c r="BH54" s="300"/>
      <c r="BI54" s="409" t="s">
        <v>7</v>
      </c>
      <c r="BJ54" s="536">
        <f>B35</f>
        <v>42735</v>
      </c>
      <c r="BK54" s="651" t="s">
        <v>100</v>
      </c>
      <c r="BL54" s="652"/>
      <c r="BM54" s="653" t="s">
        <v>99</v>
      </c>
      <c r="BN54" s="654"/>
      <c r="BO54" s="655" t="s">
        <v>16</v>
      </c>
      <c r="BP54" s="656"/>
    </row>
    <row r="55" spans="10:68" ht="13.5" thickBot="1">
      <c r="J55" s="154"/>
      <c r="K55" s="394"/>
      <c r="L55" s="393"/>
      <c r="M55" s="394"/>
      <c r="N55" s="395"/>
      <c r="O55" s="394"/>
      <c r="P55" s="395"/>
      <c r="Q55" s="393"/>
      <c r="R55" s="395"/>
      <c r="S55" s="156"/>
      <c r="T55" s="300"/>
      <c r="U55" s="394"/>
      <c r="V55" s="393"/>
      <c r="W55" s="394"/>
      <c r="X55" s="395"/>
      <c r="Y55" s="394"/>
      <c r="Z55" s="395"/>
      <c r="AA55" s="393"/>
      <c r="AB55" s="395"/>
      <c r="AC55" s="154"/>
      <c r="AD55" s="300"/>
      <c r="AE55" s="394"/>
      <c r="AF55" s="393"/>
      <c r="AG55" s="394"/>
      <c r="AH55" s="395"/>
      <c r="AI55" s="394"/>
      <c r="AJ55" s="395"/>
      <c r="AK55" s="393"/>
      <c r="AL55" s="395"/>
      <c r="AM55" s="154"/>
      <c r="AN55" s="300"/>
      <c r="AO55" s="394"/>
      <c r="AP55" s="393"/>
      <c r="AQ55" s="394"/>
      <c r="AR55" s="395"/>
      <c r="AS55" s="394"/>
      <c r="AT55" s="395"/>
      <c r="AU55" s="393"/>
      <c r="AV55" s="395"/>
      <c r="AW55" s="154"/>
      <c r="AX55" s="300"/>
      <c r="AY55" s="394"/>
      <c r="AZ55" s="393"/>
      <c r="BA55" s="394"/>
      <c r="BB55" s="395"/>
      <c r="BC55" s="394"/>
      <c r="BD55" s="395"/>
      <c r="BE55" s="393"/>
      <c r="BF55" s="395"/>
      <c r="BG55" s="154"/>
      <c r="BH55" s="300"/>
      <c r="BI55" s="394"/>
      <c r="BJ55" s="393"/>
      <c r="BK55" s="394"/>
      <c r="BL55" s="395"/>
      <c r="BM55" s="394"/>
      <c r="BN55" s="395"/>
      <c r="BO55" s="393"/>
      <c r="BP55" s="395"/>
    </row>
    <row r="56" spans="10:68" ht="16.5" thickBot="1">
      <c r="J56" s="154"/>
      <c r="K56" s="394"/>
      <c r="L56" s="417" t="s">
        <v>155</v>
      </c>
      <c r="M56" s="397" t="s">
        <v>103</v>
      </c>
      <c r="N56" s="279"/>
      <c r="O56" s="397" t="s">
        <v>103</v>
      </c>
      <c r="P56" s="279"/>
      <c r="Q56" s="398" t="s">
        <v>103</v>
      </c>
      <c r="R56" s="399">
        <f>SUM(N56,P56)</f>
        <v>0</v>
      </c>
      <c r="S56" s="294"/>
      <c r="T56" s="300"/>
      <c r="U56" s="394"/>
      <c r="V56" s="417" t="s">
        <v>155</v>
      </c>
      <c r="W56" s="397" t="s">
        <v>103</v>
      </c>
      <c r="X56" s="279"/>
      <c r="Y56" s="397" t="s">
        <v>103</v>
      </c>
      <c r="Z56" s="279"/>
      <c r="AA56" s="398" t="s">
        <v>103</v>
      </c>
      <c r="AB56" s="399">
        <f>SUM(X56,Z56)</f>
        <v>0</v>
      </c>
      <c r="AC56" s="154"/>
      <c r="AD56" s="300"/>
      <c r="AE56" s="394"/>
      <c r="AF56" s="417" t="s">
        <v>155</v>
      </c>
      <c r="AG56" s="397" t="s">
        <v>103</v>
      </c>
      <c r="AH56" s="279"/>
      <c r="AI56" s="397" t="s">
        <v>103</v>
      </c>
      <c r="AJ56" s="279"/>
      <c r="AK56" s="398" t="s">
        <v>103</v>
      </c>
      <c r="AL56" s="399">
        <f>SUM(AH56,AJ56)</f>
        <v>0</v>
      </c>
      <c r="AM56" s="154"/>
      <c r="AN56" s="300"/>
      <c r="AO56" s="394"/>
      <c r="AP56" s="417" t="s">
        <v>155</v>
      </c>
      <c r="AQ56" s="397" t="s">
        <v>103</v>
      </c>
      <c r="AR56" s="279"/>
      <c r="AS56" s="397" t="s">
        <v>103</v>
      </c>
      <c r="AT56" s="279"/>
      <c r="AU56" s="398" t="s">
        <v>103</v>
      </c>
      <c r="AV56" s="399">
        <f>SUM(AR56,AT56)</f>
        <v>0</v>
      </c>
      <c r="AW56" s="154"/>
      <c r="AX56" s="300"/>
      <c r="AY56" s="394"/>
      <c r="AZ56" s="417" t="s">
        <v>155</v>
      </c>
      <c r="BA56" s="397" t="s">
        <v>103</v>
      </c>
      <c r="BB56" s="279"/>
      <c r="BC56" s="397" t="s">
        <v>103</v>
      </c>
      <c r="BD56" s="279"/>
      <c r="BE56" s="398" t="s">
        <v>103</v>
      </c>
      <c r="BF56" s="399">
        <f>SUM(BB56,BD56)</f>
        <v>0</v>
      </c>
      <c r="BG56" s="154"/>
      <c r="BH56" s="300"/>
      <c r="BI56" s="394"/>
      <c r="BJ56" s="417" t="s">
        <v>155</v>
      </c>
      <c r="BK56" s="397" t="s">
        <v>103</v>
      </c>
      <c r="BL56" s="279"/>
      <c r="BM56" s="397" t="s">
        <v>103</v>
      </c>
      <c r="BN56" s="279"/>
      <c r="BO56" s="398" t="s">
        <v>103</v>
      </c>
      <c r="BP56" s="399">
        <f>SUM(BL56,BN56)</f>
        <v>0</v>
      </c>
    </row>
    <row r="57" spans="10:68" ht="18.75" thickBot="1">
      <c r="K57" s="394"/>
      <c r="L57" s="289">
        <v>8</v>
      </c>
      <c r="M57" s="400" t="s">
        <v>5</v>
      </c>
      <c r="N57" s="401">
        <f>VLOOKUP(L54, $B$3:$E$109, 4, FALSE)</f>
        <v>0</v>
      </c>
      <c r="O57" s="400" t="s">
        <v>5</v>
      </c>
      <c r="P57" s="402">
        <f>VLOOKUP(L54, $B$3:$F$109, 5, FALSE)</f>
        <v>0</v>
      </c>
      <c r="Q57" s="403" t="s">
        <v>5</v>
      </c>
      <c r="R57" s="399">
        <f>SUM(N57,P57)</f>
        <v>0</v>
      </c>
      <c r="S57" s="294"/>
      <c r="T57" s="300"/>
      <c r="U57" s="394"/>
      <c r="V57" s="289">
        <v>8</v>
      </c>
      <c r="W57" s="400" t="s">
        <v>5</v>
      </c>
      <c r="X57" s="401">
        <f>VLOOKUP(V54, $B$3:$E$109, 4, FALSE)</f>
        <v>0</v>
      </c>
      <c r="Y57" s="400" t="s">
        <v>5</v>
      </c>
      <c r="Z57" s="402">
        <f>VLOOKUP(V54, $B$3:$F$109, 5, FALSE)</f>
        <v>0</v>
      </c>
      <c r="AA57" s="403" t="s">
        <v>5</v>
      </c>
      <c r="AB57" s="399">
        <f>SUM(X57,Z57)</f>
        <v>0</v>
      </c>
      <c r="AD57" s="300"/>
      <c r="AE57" s="394"/>
      <c r="AF57" s="289">
        <v>8</v>
      </c>
      <c r="AG57" s="400" t="s">
        <v>5</v>
      </c>
      <c r="AH57" s="401">
        <f>VLOOKUP(AF54, $B$3:$E$109, 4, FALSE)</f>
        <v>0</v>
      </c>
      <c r="AI57" s="400" t="s">
        <v>5</v>
      </c>
      <c r="AJ57" s="402">
        <f>VLOOKUP(AF54, $B$3:$F$109, 5, FALSE)</f>
        <v>0</v>
      </c>
      <c r="AK57" s="403" t="s">
        <v>5</v>
      </c>
      <c r="AL57" s="399">
        <f>SUM(AH57,AJ57)</f>
        <v>0</v>
      </c>
      <c r="AN57" s="300"/>
      <c r="AO57" s="394"/>
      <c r="AP57" s="289">
        <v>8</v>
      </c>
      <c r="AQ57" s="400" t="s">
        <v>5</v>
      </c>
      <c r="AR57" s="401">
        <f>VLOOKUP(AP54, $B$3:$E$109, 4, FALSE)</f>
        <v>0</v>
      </c>
      <c r="AS57" s="400" t="s">
        <v>5</v>
      </c>
      <c r="AT57" s="402">
        <f>VLOOKUP(AP54, $B$3:$F$109, 5, FALSE)</f>
        <v>0</v>
      </c>
      <c r="AU57" s="403" t="s">
        <v>5</v>
      </c>
      <c r="AV57" s="399">
        <f>SUM(AR57,AT57)</f>
        <v>0</v>
      </c>
      <c r="AX57" s="300"/>
      <c r="AY57" s="394"/>
      <c r="AZ57" s="289">
        <v>8</v>
      </c>
      <c r="BA57" s="400" t="s">
        <v>5</v>
      </c>
      <c r="BB57" s="401">
        <f>VLOOKUP(AZ54, $B$3:$E$109, 4, FALSE)</f>
        <v>0</v>
      </c>
      <c r="BC57" s="400" t="s">
        <v>5</v>
      </c>
      <c r="BD57" s="402">
        <f>VLOOKUP(AZ54, $B$3:$F$109, 5, FALSE)</f>
        <v>0</v>
      </c>
      <c r="BE57" s="403" t="s">
        <v>5</v>
      </c>
      <c r="BF57" s="399">
        <f>SUM(BB57,BD57)</f>
        <v>0</v>
      </c>
      <c r="BH57" s="300"/>
      <c r="BI57" s="394"/>
      <c r="BJ57" s="289">
        <v>8</v>
      </c>
      <c r="BK57" s="400" t="s">
        <v>5</v>
      </c>
      <c r="BL57" s="401">
        <f>VLOOKUP(BJ54, $B$3:$E$109, 4, FALSE)</f>
        <v>0</v>
      </c>
      <c r="BM57" s="400" t="s">
        <v>5</v>
      </c>
      <c r="BN57" s="402">
        <f>VLOOKUP(BJ54, $B$3:$F$109, 5, FALSE)</f>
        <v>0</v>
      </c>
      <c r="BO57" s="403" t="s">
        <v>5</v>
      </c>
      <c r="BP57" s="399">
        <f>SUM(BL57,BN57)</f>
        <v>0</v>
      </c>
    </row>
    <row r="58" spans="10:68" ht="15.75" customHeight="1">
      <c r="K58" s="394"/>
      <c r="L58" s="393"/>
      <c r="M58" s="657" t="s">
        <v>105</v>
      </c>
      <c r="N58" s="401">
        <f>VLOOKUP(L54, $B$3:$E$109, 2, FALSE)</f>
        <v>0</v>
      </c>
      <c r="O58" s="657" t="s">
        <v>105</v>
      </c>
      <c r="P58" s="402">
        <f>VLOOKUP(L54, $B$3:$E$109, 3, FALSE)</f>
        <v>0</v>
      </c>
      <c r="Q58" s="658" t="s">
        <v>105</v>
      </c>
      <c r="R58" s="399">
        <f>SUM(N58,P58)</f>
        <v>0</v>
      </c>
      <c r="S58" s="294"/>
      <c r="T58" s="300"/>
      <c r="U58" s="394"/>
      <c r="V58" s="393"/>
      <c r="W58" s="657" t="s">
        <v>105</v>
      </c>
      <c r="X58" s="401">
        <f>VLOOKUP(V54, $B$3:$E$109, 2, FALSE)</f>
        <v>0</v>
      </c>
      <c r="Y58" s="657" t="s">
        <v>105</v>
      </c>
      <c r="Z58" s="402">
        <f>VLOOKUP(V54, $B$3:$E$109, 3, FALSE)</f>
        <v>0</v>
      </c>
      <c r="AA58" s="658" t="s">
        <v>105</v>
      </c>
      <c r="AB58" s="399">
        <f>SUM(X58,Z58)</f>
        <v>0</v>
      </c>
      <c r="AD58" s="300"/>
      <c r="AE58" s="394"/>
      <c r="AF58" s="393"/>
      <c r="AG58" s="657" t="s">
        <v>105</v>
      </c>
      <c r="AH58" s="401">
        <f>VLOOKUP(AF54, $B$3:$E$109, 2, FALSE)</f>
        <v>0</v>
      </c>
      <c r="AI58" s="657" t="s">
        <v>105</v>
      </c>
      <c r="AJ58" s="402">
        <f>VLOOKUP(AF54, $B$3:$E$109, 3, FALSE)</f>
        <v>0</v>
      </c>
      <c r="AK58" s="658" t="s">
        <v>105</v>
      </c>
      <c r="AL58" s="399">
        <f>SUM(AH58,AJ58)</f>
        <v>0</v>
      </c>
      <c r="AN58" s="300"/>
      <c r="AO58" s="394"/>
      <c r="AP58" s="393"/>
      <c r="AQ58" s="657" t="s">
        <v>105</v>
      </c>
      <c r="AR58" s="401">
        <f>VLOOKUP(AP54, $B$3:$E$109, 2, FALSE)</f>
        <v>0</v>
      </c>
      <c r="AS58" s="657" t="s">
        <v>105</v>
      </c>
      <c r="AT58" s="402">
        <f>VLOOKUP(AP54, $B$3:$E$109, 3, FALSE)</f>
        <v>0</v>
      </c>
      <c r="AU58" s="658" t="s">
        <v>105</v>
      </c>
      <c r="AV58" s="399">
        <f>SUM(AR58,AT58)</f>
        <v>0</v>
      </c>
      <c r="AX58" s="300"/>
      <c r="AY58" s="394"/>
      <c r="AZ58" s="393"/>
      <c r="BA58" s="657" t="s">
        <v>105</v>
      </c>
      <c r="BB58" s="401">
        <f>VLOOKUP(AZ54, $B$3:$E$109, 2, FALSE)</f>
        <v>0</v>
      </c>
      <c r="BC58" s="657" t="s">
        <v>105</v>
      </c>
      <c r="BD58" s="402">
        <f>VLOOKUP(AZ54, $B$3:$E$109, 3, FALSE)</f>
        <v>0</v>
      </c>
      <c r="BE58" s="658" t="s">
        <v>105</v>
      </c>
      <c r="BF58" s="399">
        <f>SUM(BB58,BD58)</f>
        <v>0</v>
      </c>
      <c r="BH58" s="300"/>
      <c r="BI58" s="394"/>
      <c r="BJ58" s="393"/>
      <c r="BK58" s="657" t="s">
        <v>105</v>
      </c>
      <c r="BL58" s="401">
        <f>VLOOKUP(BJ54, $B$3:$E$109, 2, FALSE)</f>
        <v>0</v>
      </c>
      <c r="BM58" s="657" t="s">
        <v>105</v>
      </c>
      <c r="BN58" s="402">
        <f>VLOOKUP(BJ54, $B$3:$E$109, 3, FALSE)</f>
        <v>0</v>
      </c>
      <c r="BO58" s="658" t="s">
        <v>105</v>
      </c>
      <c r="BP58" s="399">
        <f>SUM(BL58,BN58)</f>
        <v>0</v>
      </c>
    </row>
    <row r="59" spans="10:68" ht="12.75" customHeight="1">
      <c r="K59" s="688" t="s">
        <v>157</v>
      </c>
      <c r="L59" s="689"/>
      <c r="M59" s="658"/>
      <c r="N59" s="395"/>
      <c r="O59" s="657"/>
      <c r="P59" s="395"/>
      <c r="Q59" s="658"/>
      <c r="R59" s="395"/>
      <c r="S59" s="156"/>
      <c r="T59" s="300"/>
      <c r="U59" s="688" t="s">
        <v>157</v>
      </c>
      <c r="V59" s="689"/>
      <c r="W59" s="658"/>
      <c r="X59" s="395"/>
      <c r="Y59" s="657"/>
      <c r="Z59" s="395"/>
      <c r="AA59" s="658"/>
      <c r="AB59" s="395"/>
      <c r="AD59" s="300"/>
      <c r="AE59" s="688" t="s">
        <v>157</v>
      </c>
      <c r="AF59" s="689"/>
      <c r="AG59" s="658"/>
      <c r="AH59" s="395"/>
      <c r="AI59" s="657"/>
      <c r="AJ59" s="395"/>
      <c r="AK59" s="658"/>
      <c r="AL59" s="395"/>
      <c r="AN59" s="300"/>
      <c r="AO59" s="688" t="s">
        <v>157</v>
      </c>
      <c r="AP59" s="689"/>
      <c r="AQ59" s="658"/>
      <c r="AR59" s="395"/>
      <c r="AS59" s="657"/>
      <c r="AT59" s="395"/>
      <c r="AU59" s="658"/>
      <c r="AV59" s="395"/>
      <c r="AX59" s="300"/>
      <c r="AY59" s="688" t="s">
        <v>157</v>
      </c>
      <c r="AZ59" s="689"/>
      <c r="BA59" s="658"/>
      <c r="BB59" s="395"/>
      <c r="BC59" s="657"/>
      <c r="BD59" s="395"/>
      <c r="BE59" s="658"/>
      <c r="BF59" s="395"/>
      <c r="BH59" s="300"/>
      <c r="BI59" s="688" t="s">
        <v>157</v>
      </c>
      <c r="BJ59" s="689"/>
      <c r="BK59" s="658"/>
      <c r="BL59" s="395"/>
      <c r="BM59" s="657"/>
      <c r="BN59" s="395"/>
      <c r="BO59" s="658"/>
      <c r="BP59" s="395"/>
    </row>
    <row r="60" spans="10:68" ht="15.75">
      <c r="K60" s="411"/>
      <c r="L60" s="404">
        <f>R56*13</f>
        <v>0</v>
      </c>
      <c r="M60" s="418"/>
      <c r="N60" s="395"/>
      <c r="O60" s="406"/>
      <c r="P60" s="395"/>
      <c r="Q60" s="419"/>
      <c r="R60" s="395"/>
      <c r="S60" s="156"/>
      <c r="T60" s="300"/>
      <c r="U60" s="411"/>
      <c r="V60" s="404">
        <f>AB56*13</f>
        <v>0</v>
      </c>
      <c r="W60" s="418"/>
      <c r="X60" s="395"/>
      <c r="Y60" s="406"/>
      <c r="Z60" s="395"/>
      <c r="AA60" s="419"/>
      <c r="AB60" s="395"/>
      <c r="AD60" s="300"/>
      <c r="AE60" s="411"/>
      <c r="AF60" s="404">
        <f>AL56*13</f>
        <v>0</v>
      </c>
      <c r="AG60" s="418"/>
      <c r="AH60" s="395"/>
      <c r="AI60" s="406"/>
      <c r="AJ60" s="395"/>
      <c r="AK60" s="419"/>
      <c r="AL60" s="395"/>
      <c r="AN60" s="300"/>
      <c r="AO60" s="411"/>
      <c r="AP60" s="404">
        <f>AV56*13</f>
        <v>0</v>
      </c>
      <c r="AQ60" s="418"/>
      <c r="AR60" s="395"/>
      <c r="AS60" s="406"/>
      <c r="AT60" s="395"/>
      <c r="AU60" s="419"/>
      <c r="AV60" s="395"/>
      <c r="AX60" s="300"/>
      <c r="AY60" s="411"/>
      <c r="AZ60" s="404">
        <f>BF56*13</f>
        <v>0</v>
      </c>
      <c r="BA60" s="418"/>
      <c r="BB60" s="395"/>
      <c r="BC60" s="406"/>
      <c r="BD60" s="395"/>
      <c r="BE60" s="419"/>
      <c r="BF60" s="395"/>
      <c r="BH60" s="300"/>
      <c r="BI60" s="411"/>
      <c r="BJ60" s="404">
        <f>BP56*13</f>
        <v>0</v>
      </c>
      <c r="BK60" s="418"/>
      <c r="BL60" s="395"/>
      <c r="BM60" s="406"/>
      <c r="BN60" s="395"/>
      <c r="BO60" s="419"/>
      <c r="BP60" s="395"/>
    </row>
    <row r="61" spans="10:68" ht="18.75">
      <c r="K61" s="394"/>
      <c r="L61" s="412"/>
      <c r="M61" s="286" t="s">
        <v>97</v>
      </c>
      <c r="N61" s="287" t="e">
        <f>N58/((N56*EFFICIENCY!$H$28))</f>
        <v>#DIV/0!</v>
      </c>
      <c r="O61" s="286" t="s">
        <v>97</v>
      </c>
      <c r="P61" s="287" t="e">
        <f>P58/(P56*EFFICIENCY!$H$28)</f>
        <v>#DIV/0!</v>
      </c>
      <c r="Q61" s="286" t="s">
        <v>97</v>
      </c>
      <c r="R61" s="287" t="e">
        <f>R58/(R56*EFFICIENCY!$H$28)</f>
        <v>#DIV/0!</v>
      </c>
      <c r="S61" s="295"/>
      <c r="T61" s="300"/>
      <c r="U61" s="394"/>
      <c r="V61" s="412"/>
      <c r="W61" s="286" t="s">
        <v>97</v>
      </c>
      <c r="X61" s="287" t="e">
        <f>X58/((X56*EFFICIENCY!$H$28))</f>
        <v>#DIV/0!</v>
      </c>
      <c r="Y61" s="286" t="s">
        <v>97</v>
      </c>
      <c r="Z61" s="287" t="e">
        <f>Z58/(Z56*EFFICIENCY!$H$28)</f>
        <v>#DIV/0!</v>
      </c>
      <c r="AA61" s="286" t="s">
        <v>97</v>
      </c>
      <c r="AB61" s="287" t="e">
        <f>AB58/(AB56*EFFICIENCY!$H$28)</f>
        <v>#DIV/0!</v>
      </c>
      <c r="AD61" s="300"/>
      <c r="AE61" s="394"/>
      <c r="AF61" s="412"/>
      <c r="AG61" s="286" t="s">
        <v>97</v>
      </c>
      <c r="AH61" s="287" t="e">
        <f>AH58/((AH56*EFFICIENCY!$H$28))</f>
        <v>#DIV/0!</v>
      </c>
      <c r="AI61" s="286" t="s">
        <v>97</v>
      </c>
      <c r="AJ61" s="287" t="e">
        <f>AJ58/(AJ56*EFFICIENCY!$H$28)</f>
        <v>#DIV/0!</v>
      </c>
      <c r="AK61" s="286" t="s">
        <v>97</v>
      </c>
      <c r="AL61" s="287" t="e">
        <f>AL58/(AL56*EFFICIENCY!$H$28)</f>
        <v>#DIV/0!</v>
      </c>
      <c r="AN61" s="300"/>
      <c r="AO61" s="394"/>
      <c r="AP61" s="412"/>
      <c r="AQ61" s="286" t="s">
        <v>97</v>
      </c>
      <c r="AR61" s="287" t="e">
        <f>AR58/((AR56*EFFICIENCY!$H$28))</f>
        <v>#DIV/0!</v>
      </c>
      <c r="AS61" s="286" t="s">
        <v>97</v>
      </c>
      <c r="AT61" s="287" t="e">
        <f>AT58/(AT56*EFFICIENCY!$H$28)</f>
        <v>#DIV/0!</v>
      </c>
      <c r="AU61" s="286" t="s">
        <v>97</v>
      </c>
      <c r="AV61" s="287" t="e">
        <f>AV58/(AV56*EFFICIENCY!$H$28)</f>
        <v>#DIV/0!</v>
      </c>
      <c r="AX61" s="300"/>
      <c r="AY61" s="394"/>
      <c r="AZ61" s="412"/>
      <c r="BA61" s="286" t="s">
        <v>97</v>
      </c>
      <c r="BB61" s="287" t="e">
        <f>BB58/((BB56*EFFICIENCY!$H$28))</f>
        <v>#DIV/0!</v>
      </c>
      <c r="BC61" s="286" t="s">
        <v>97</v>
      </c>
      <c r="BD61" s="287" t="e">
        <f>BD58/(BD56*EFFICIENCY!$H$28)</f>
        <v>#DIV/0!</v>
      </c>
      <c r="BE61" s="286" t="s">
        <v>97</v>
      </c>
      <c r="BF61" s="287" t="e">
        <f>BF58/(BF56*EFFICIENCY!$H$28)</f>
        <v>#DIV/0!</v>
      </c>
      <c r="BH61" s="300"/>
      <c r="BI61" s="394"/>
      <c r="BJ61" s="412"/>
      <c r="BK61" s="286" t="s">
        <v>97</v>
      </c>
      <c r="BL61" s="287" t="e">
        <f>BL58/((BL56*EFFICIENCY!$H$28))</f>
        <v>#DIV/0!</v>
      </c>
      <c r="BM61" s="286" t="s">
        <v>97</v>
      </c>
      <c r="BN61" s="287" t="e">
        <f>BN58/(BN56*EFFICIENCY!$H$28)</f>
        <v>#DIV/0!</v>
      </c>
      <c r="BO61" s="286" t="s">
        <v>97</v>
      </c>
      <c r="BP61" s="287" t="e">
        <f>BP58/(BP56*EFFICIENCY!$H$28)</f>
        <v>#DIV/0!</v>
      </c>
    </row>
    <row r="62" spans="10:68" ht="18.75">
      <c r="K62" s="394"/>
      <c r="L62" s="393"/>
      <c r="M62" s="280" t="s">
        <v>96</v>
      </c>
      <c r="N62" s="281" t="e">
        <f>N58/(N56*EFFICIENCY!$I$28)</f>
        <v>#DIV/0!</v>
      </c>
      <c r="O62" s="280" t="s">
        <v>96</v>
      </c>
      <c r="P62" s="281" t="e">
        <f>P58/(P56*EFFICIENCY!$I$28)</f>
        <v>#DIV/0!</v>
      </c>
      <c r="Q62" s="280" t="s">
        <v>96</v>
      </c>
      <c r="R62" s="281" t="e">
        <f>R58/(R56*EFFICIENCY!$I$28)</f>
        <v>#DIV/0!</v>
      </c>
      <c r="S62" s="296"/>
      <c r="T62" s="300"/>
      <c r="U62" s="394"/>
      <c r="V62" s="393"/>
      <c r="W62" s="280" t="s">
        <v>96</v>
      </c>
      <c r="X62" s="281" t="e">
        <f>X58/(X56*EFFICIENCY!$I$28)</f>
        <v>#DIV/0!</v>
      </c>
      <c r="Y62" s="280" t="s">
        <v>96</v>
      </c>
      <c r="Z62" s="281" t="e">
        <f>Z58/(Z56*EFFICIENCY!$I$28)</f>
        <v>#DIV/0!</v>
      </c>
      <c r="AA62" s="280" t="s">
        <v>96</v>
      </c>
      <c r="AB62" s="281" t="e">
        <f>AB58/(AB56*EFFICIENCY!$I$28)</f>
        <v>#DIV/0!</v>
      </c>
      <c r="AD62" s="300"/>
      <c r="AE62" s="394"/>
      <c r="AF62" s="393"/>
      <c r="AG62" s="280" t="s">
        <v>96</v>
      </c>
      <c r="AH62" s="281" t="e">
        <f>AH58/(AH56*EFFICIENCY!$I$28)</f>
        <v>#DIV/0!</v>
      </c>
      <c r="AI62" s="280" t="s">
        <v>96</v>
      </c>
      <c r="AJ62" s="281" t="e">
        <f>AJ58/(AJ56*EFFICIENCY!$I$28)</f>
        <v>#DIV/0!</v>
      </c>
      <c r="AK62" s="280" t="s">
        <v>96</v>
      </c>
      <c r="AL62" s="281" t="e">
        <f>AL58/(AL56*EFFICIENCY!$I$28)</f>
        <v>#DIV/0!</v>
      </c>
      <c r="AN62" s="300"/>
      <c r="AO62" s="394"/>
      <c r="AP62" s="393"/>
      <c r="AQ62" s="280" t="s">
        <v>96</v>
      </c>
      <c r="AR62" s="281" t="e">
        <f>AR58/(AR56*EFFICIENCY!$I$28)</f>
        <v>#DIV/0!</v>
      </c>
      <c r="AS62" s="280" t="s">
        <v>96</v>
      </c>
      <c r="AT62" s="281" t="e">
        <f>AT58/(AT56*EFFICIENCY!$I$28)</f>
        <v>#DIV/0!</v>
      </c>
      <c r="AU62" s="280" t="s">
        <v>96</v>
      </c>
      <c r="AV62" s="281" t="e">
        <f>AV58/(AV56*EFFICIENCY!$I$28)</f>
        <v>#DIV/0!</v>
      </c>
      <c r="AX62" s="300"/>
      <c r="AY62" s="394"/>
      <c r="AZ62" s="393"/>
      <c r="BA62" s="280" t="s">
        <v>96</v>
      </c>
      <c r="BB62" s="281" t="e">
        <f>BB58/(BB56*EFFICIENCY!$I$28)</f>
        <v>#DIV/0!</v>
      </c>
      <c r="BC62" s="280" t="s">
        <v>96</v>
      </c>
      <c r="BD62" s="281" t="e">
        <f>BD58/(BD56*EFFICIENCY!$I$28)</f>
        <v>#DIV/0!</v>
      </c>
      <c r="BE62" s="280" t="s">
        <v>96</v>
      </c>
      <c r="BF62" s="281" t="e">
        <f>BF58/(BF56*EFFICIENCY!$I$28)</f>
        <v>#DIV/0!</v>
      </c>
      <c r="BH62" s="300"/>
      <c r="BI62" s="394"/>
      <c r="BJ62" s="393"/>
      <c r="BK62" s="280" t="s">
        <v>96</v>
      </c>
      <c r="BL62" s="281" t="e">
        <f>BL58/(BL56*EFFICIENCY!$I$28)</f>
        <v>#DIV/0!</v>
      </c>
      <c r="BM62" s="280" t="s">
        <v>96</v>
      </c>
      <c r="BN62" s="281" t="e">
        <f>BN58/(BN56*EFFICIENCY!$I$28)</f>
        <v>#DIV/0!</v>
      </c>
      <c r="BO62" s="280" t="s">
        <v>96</v>
      </c>
      <c r="BP62" s="281" t="e">
        <f>BP58/(BP56*EFFICIENCY!$I$28)</f>
        <v>#DIV/0!</v>
      </c>
    </row>
    <row r="63" spans="10:68" ht="19.5" customHeight="1" thickBot="1">
      <c r="K63" s="690" t="s">
        <v>156</v>
      </c>
      <c r="L63" s="691"/>
      <c r="M63" s="284" t="s">
        <v>94</v>
      </c>
      <c r="N63" s="285" t="e">
        <f>N58/((N56*EFFICIENCY!$K$28))</f>
        <v>#DIV/0!</v>
      </c>
      <c r="O63" s="288" t="s">
        <v>94</v>
      </c>
      <c r="P63" s="285" t="e">
        <f>P58/((P56*EFFICIENCY!$K$28))</f>
        <v>#DIV/0!</v>
      </c>
      <c r="Q63" s="284" t="s">
        <v>94</v>
      </c>
      <c r="R63" s="285" t="e">
        <f>R58/((R56*EFFICIENCY!$K$28))</f>
        <v>#DIV/0!</v>
      </c>
      <c r="S63" s="297"/>
      <c r="T63" s="300"/>
      <c r="U63" s="690" t="s">
        <v>156</v>
      </c>
      <c r="V63" s="691"/>
      <c r="W63" s="284" t="s">
        <v>94</v>
      </c>
      <c r="X63" s="285" t="e">
        <f>X58/((X56*EFFICIENCY!$K$28))</f>
        <v>#DIV/0!</v>
      </c>
      <c r="Y63" s="288" t="s">
        <v>94</v>
      </c>
      <c r="Z63" s="285" t="e">
        <f>Z58/((Z56*EFFICIENCY!$K$28))</f>
        <v>#DIV/0!</v>
      </c>
      <c r="AA63" s="284" t="s">
        <v>94</v>
      </c>
      <c r="AB63" s="285" t="e">
        <f>AB58/((AB56*EFFICIENCY!$K$28))</f>
        <v>#DIV/0!</v>
      </c>
      <c r="AD63" s="300"/>
      <c r="AE63" s="690" t="s">
        <v>156</v>
      </c>
      <c r="AF63" s="691"/>
      <c r="AG63" s="284" t="s">
        <v>94</v>
      </c>
      <c r="AH63" s="285" t="e">
        <f>AH58/((AH56*EFFICIENCY!$K$28))</f>
        <v>#DIV/0!</v>
      </c>
      <c r="AI63" s="288" t="s">
        <v>94</v>
      </c>
      <c r="AJ63" s="285" t="e">
        <f>AJ58/((AJ56*EFFICIENCY!$K$28))</f>
        <v>#DIV/0!</v>
      </c>
      <c r="AK63" s="284" t="s">
        <v>94</v>
      </c>
      <c r="AL63" s="285" t="e">
        <f>AL58/((AL56*EFFICIENCY!$K$28))</f>
        <v>#DIV/0!</v>
      </c>
      <c r="AN63" s="300"/>
      <c r="AO63" s="690" t="s">
        <v>156</v>
      </c>
      <c r="AP63" s="691"/>
      <c r="AQ63" s="284" t="s">
        <v>94</v>
      </c>
      <c r="AR63" s="285" t="e">
        <f>AR58/((AR56*EFFICIENCY!$K$28))</f>
        <v>#DIV/0!</v>
      </c>
      <c r="AS63" s="288" t="s">
        <v>94</v>
      </c>
      <c r="AT63" s="285" t="e">
        <f>AT58/((AT56*EFFICIENCY!$K$28))</f>
        <v>#DIV/0!</v>
      </c>
      <c r="AU63" s="284" t="s">
        <v>94</v>
      </c>
      <c r="AV63" s="285" t="e">
        <f>AV58/((AV56*EFFICIENCY!$K$28))</f>
        <v>#DIV/0!</v>
      </c>
      <c r="AX63" s="300"/>
      <c r="AY63" s="690" t="s">
        <v>156</v>
      </c>
      <c r="AZ63" s="691"/>
      <c r="BA63" s="284" t="s">
        <v>94</v>
      </c>
      <c r="BB63" s="285" t="e">
        <f>BB58/((BB56*EFFICIENCY!$K$28))</f>
        <v>#DIV/0!</v>
      </c>
      <c r="BC63" s="288" t="s">
        <v>94</v>
      </c>
      <c r="BD63" s="285" t="e">
        <f>BD58/((BD56*EFFICIENCY!$K$28))</f>
        <v>#DIV/0!</v>
      </c>
      <c r="BE63" s="284" t="s">
        <v>94</v>
      </c>
      <c r="BF63" s="285" t="e">
        <f>BF58/((BF56*EFFICIENCY!$K$28))</f>
        <v>#DIV/0!</v>
      </c>
      <c r="BH63" s="300"/>
      <c r="BI63" s="690" t="s">
        <v>156</v>
      </c>
      <c r="BJ63" s="691"/>
      <c r="BK63" s="284" t="s">
        <v>94</v>
      </c>
      <c r="BL63" s="285" t="e">
        <f>BL58/((BL56*EFFICIENCY!$K$28))</f>
        <v>#DIV/0!</v>
      </c>
      <c r="BM63" s="288" t="s">
        <v>94</v>
      </c>
      <c r="BN63" s="285" t="e">
        <f>BN58/((BN56*EFFICIENCY!$K$28))</f>
        <v>#DIV/0!</v>
      </c>
      <c r="BO63" s="284" t="s">
        <v>94</v>
      </c>
      <c r="BP63" s="285" t="e">
        <f>BP58/((BP56*EFFICIENCY!$K$28))</f>
        <v>#DIV/0!</v>
      </c>
    </row>
    <row r="64" spans="10:68" ht="16.5" thickBot="1">
      <c r="K64" s="413"/>
      <c r="L64" s="414" t="e">
        <f>R58/R56</f>
        <v>#DIV/0!</v>
      </c>
      <c r="M64" s="647" t="s">
        <v>153</v>
      </c>
      <c r="N64" s="648"/>
      <c r="O64" s="290"/>
      <c r="P64" s="416"/>
      <c r="Q64" s="416" t="s">
        <v>154</v>
      </c>
      <c r="R64" s="415">
        <f>O64-R58</f>
        <v>0</v>
      </c>
      <c r="S64" s="298"/>
      <c r="T64" s="300"/>
      <c r="U64" s="413"/>
      <c r="V64" s="414" t="e">
        <f>AB58/AB56</f>
        <v>#DIV/0!</v>
      </c>
      <c r="W64" s="647" t="s">
        <v>153</v>
      </c>
      <c r="X64" s="648"/>
      <c r="Y64" s="290"/>
      <c r="Z64" s="416"/>
      <c r="AA64" s="416" t="s">
        <v>154</v>
      </c>
      <c r="AB64" s="415">
        <f>Y64-AB58</f>
        <v>0</v>
      </c>
      <c r="AD64" s="300"/>
      <c r="AE64" s="413"/>
      <c r="AF64" s="414" t="e">
        <f>AL58/AL56</f>
        <v>#DIV/0!</v>
      </c>
      <c r="AG64" s="647" t="s">
        <v>153</v>
      </c>
      <c r="AH64" s="648"/>
      <c r="AI64" s="290"/>
      <c r="AJ64" s="416"/>
      <c r="AK64" s="416" t="s">
        <v>154</v>
      </c>
      <c r="AL64" s="415">
        <f>AI64-AL58</f>
        <v>0</v>
      </c>
      <c r="AN64" s="300"/>
      <c r="AO64" s="413"/>
      <c r="AP64" s="414" t="e">
        <f>AV58/AV56</f>
        <v>#DIV/0!</v>
      </c>
      <c r="AQ64" s="647" t="s">
        <v>153</v>
      </c>
      <c r="AR64" s="648"/>
      <c r="AS64" s="290"/>
      <c r="AT64" s="416"/>
      <c r="AU64" s="416" t="s">
        <v>154</v>
      </c>
      <c r="AV64" s="415">
        <f>AS64-AV58</f>
        <v>0</v>
      </c>
      <c r="AX64" s="300"/>
      <c r="AY64" s="413"/>
      <c r="AZ64" s="414" t="e">
        <f>BF58/BF56</f>
        <v>#DIV/0!</v>
      </c>
      <c r="BA64" s="647" t="s">
        <v>153</v>
      </c>
      <c r="BB64" s="648"/>
      <c r="BC64" s="290"/>
      <c r="BD64" s="416"/>
      <c r="BE64" s="416" t="s">
        <v>154</v>
      </c>
      <c r="BF64" s="415">
        <f>BC64-BF58</f>
        <v>0</v>
      </c>
      <c r="BH64" s="300"/>
      <c r="BI64" s="413"/>
      <c r="BJ64" s="414" t="e">
        <f>BP58/BP56</f>
        <v>#DIV/0!</v>
      </c>
      <c r="BK64" s="647" t="s">
        <v>153</v>
      </c>
      <c r="BL64" s="648"/>
      <c r="BM64" s="290"/>
      <c r="BN64" s="416"/>
      <c r="BO64" s="416" t="s">
        <v>154</v>
      </c>
      <c r="BP64" s="415">
        <f>BM64-BP58</f>
        <v>0</v>
      </c>
    </row>
    <row r="65" spans="20:60">
      <c r="T65" s="300"/>
      <c r="AD65" s="300"/>
      <c r="AN65" s="300"/>
      <c r="AX65" s="300"/>
      <c r="BH65" s="300"/>
    </row>
    <row r="66" spans="20:60">
      <c r="T66" s="300"/>
      <c r="BH66" s="300"/>
    </row>
    <row r="67" spans="20:60">
      <c r="T67" s="300"/>
      <c r="BH67" s="300"/>
    </row>
    <row r="68" spans="20:60">
      <c r="T68" s="300"/>
      <c r="BH68" s="300"/>
    </row>
    <row r="69" spans="20:60">
      <c r="T69" s="300"/>
      <c r="BH69" s="300"/>
    </row>
    <row r="70" spans="20:60">
      <c r="T70" s="300"/>
      <c r="BH70" s="300"/>
    </row>
  </sheetData>
  <mergeCells count="249">
    <mergeCell ref="M64:N64"/>
    <mergeCell ref="W64:X64"/>
    <mergeCell ref="AG64:AH64"/>
    <mergeCell ref="AQ64:AR64"/>
    <mergeCell ref="BA64:BB64"/>
    <mergeCell ref="BK64:BL64"/>
    <mergeCell ref="K63:L63"/>
    <mergeCell ref="U63:V63"/>
    <mergeCell ref="AE63:AF63"/>
    <mergeCell ref="AO63:AP63"/>
    <mergeCell ref="AY63:AZ63"/>
    <mergeCell ref="BI63:BJ63"/>
    <mergeCell ref="K59:L59"/>
    <mergeCell ref="U59:V59"/>
    <mergeCell ref="AE59:AF59"/>
    <mergeCell ref="AO59:AP59"/>
    <mergeCell ref="AY59:AZ59"/>
    <mergeCell ref="BI59:BJ59"/>
    <mergeCell ref="BA58:BA59"/>
    <mergeCell ref="BC58:BC59"/>
    <mergeCell ref="BE58:BE59"/>
    <mergeCell ref="M58:M59"/>
    <mergeCell ref="O58:O59"/>
    <mergeCell ref="Q58:Q59"/>
    <mergeCell ref="W58:W59"/>
    <mergeCell ref="Y58:Y59"/>
    <mergeCell ref="AA58:AA59"/>
    <mergeCell ref="BK58:BK59"/>
    <mergeCell ref="BM58:BM59"/>
    <mergeCell ref="BO58:BO59"/>
    <mergeCell ref="AG58:AG59"/>
    <mergeCell ref="AI58:AI59"/>
    <mergeCell ref="AK58:AK59"/>
    <mergeCell ref="AQ58:AQ59"/>
    <mergeCell ref="AS58:AS59"/>
    <mergeCell ref="AU58:AU59"/>
    <mergeCell ref="BA54:BB54"/>
    <mergeCell ref="BC54:BD54"/>
    <mergeCell ref="BE54:BF54"/>
    <mergeCell ref="BK54:BL54"/>
    <mergeCell ref="BM54:BN54"/>
    <mergeCell ref="BO54:BP54"/>
    <mergeCell ref="AG54:AH54"/>
    <mergeCell ref="AI54:AJ54"/>
    <mergeCell ref="AK54:AL54"/>
    <mergeCell ref="AQ54:AR54"/>
    <mergeCell ref="AS54:AT54"/>
    <mergeCell ref="AU54:AV54"/>
    <mergeCell ref="M54:N54"/>
    <mergeCell ref="O54:P54"/>
    <mergeCell ref="Q54:R54"/>
    <mergeCell ref="W54:X54"/>
    <mergeCell ref="Y54:Z54"/>
    <mergeCell ref="AA54:AB54"/>
    <mergeCell ref="M51:N51"/>
    <mergeCell ref="W51:X51"/>
    <mergeCell ref="AG51:AH51"/>
    <mergeCell ref="AQ51:AR51"/>
    <mergeCell ref="BA51:BB51"/>
    <mergeCell ref="BK51:BL51"/>
    <mergeCell ref="K50:L50"/>
    <mergeCell ref="U50:V50"/>
    <mergeCell ref="AE50:AF50"/>
    <mergeCell ref="AO50:AP50"/>
    <mergeCell ref="AY50:AZ50"/>
    <mergeCell ref="BI50:BJ50"/>
    <mergeCell ref="K46:L46"/>
    <mergeCell ref="U46:V46"/>
    <mergeCell ref="AE46:AF46"/>
    <mergeCell ref="AO46:AP46"/>
    <mergeCell ref="AY46:AZ46"/>
    <mergeCell ref="BI46:BJ46"/>
    <mergeCell ref="BA45:BA46"/>
    <mergeCell ref="BC45:BC46"/>
    <mergeCell ref="BE45:BE46"/>
    <mergeCell ref="M45:M46"/>
    <mergeCell ref="O45:O46"/>
    <mergeCell ref="Q45:Q46"/>
    <mergeCell ref="W45:W46"/>
    <mergeCell ref="Y45:Y46"/>
    <mergeCell ref="AA45:AA46"/>
    <mergeCell ref="BK45:BK46"/>
    <mergeCell ref="BM45:BM46"/>
    <mergeCell ref="BO45:BO46"/>
    <mergeCell ref="AG45:AG46"/>
    <mergeCell ref="AI45:AI46"/>
    <mergeCell ref="AK45:AK46"/>
    <mergeCell ref="AQ45:AQ46"/>
    <mergeCell ref="AS45:AS46"/>
    <mergeCell ref="AU45:AU46"/>
    <mergeCell ref="BA41:BB41"/>
    <mergeCell ref="BC41:BD41"/>
    <mergeCell ref="BE41:BF41"/>
    <mergeCell ref="BK41:BL41"/>
    <mergeCell ref="BM41:BN41"/>
    <mergeCell ref="BO41:BP41"/>
    <mergeCell ref="AG41:AH41"/>
    <mergeCell ref="AI41:AJ41"/>
    <mergeCell ref="AK41:AL41"/>
    <mergeCell ref="AQ41:AR41"/>
    <mergeCell ref="AS41:AT41"/>
    <mergeCell ref="AU41:AV41"/>
    <mergeCell ref="M41:N41"/>
    <mergeCell ref="O41:P41"/>
    <mergeCell ref="Q41:R41"/>
    <mergeCell ref="W41:X41"/>
    <mergeCell ref="Y41:Z41"/>
    <mergeCell ref="AA41:AB41"/>
    <mergeCell ref="M38:N38"/>
    <mergeCell ref="W38:X38"/>
    <mergeCell ref="AG38:AH38"/>
    <mergeCell ref="AQ38:AR38"/>
    <mergeCell ref="BA38:BB38"/>
    <mergeCell ref="BK38:BL38"/>
    <mergeCell ref="K37:L37"/>
    <mergeCell ref="U37:V37"/>
    <mergeCell ref="AE37:AF37"/>
    <mergeCell ref="AO37:AP37"/>
    <mergeCell ref="AY37:AZ37"/>
    <mergeCell ref="BI37:BJ37"/>
    <mergeCell ref="K33:L33"/>
    <mergeCell ref="U33:V33"/>
    <mergeCell ref="AE33:AF33"/>
    <mergeCell ref="AO33:AP33"/>
    <mergeCell ref="AY33:AZ33"/>
    <mergeCell ref="BI33:BJ33"/>
    <mergeCell ref="BA32:BA33"/>
    <mergeCell ref="BC32:BC33"/>
    <mergeCell ref="BE32:BE33"/>
    <mergeCell ref="M32:M33"/>
    <mergeCell ref="O32:O33"/>
    <mergeCell ref="Q32:Q33"/>
    <mergeCell ref="W32:W33"/>
    <mergeCell ref="Y32:Y33"/>
    <mergeCell ref="AA32:AA33"/>
    <mergeCell ref="BK32:BK33"/>
    <mergeCell ref="BM32:BM33"/>
    <mergeCell ref="BO32:BO33"/>
    <mergeCell ref="AG32:AG33"/>
    <mergeCell ref="AI32:AI33"/>
    <mergeCell ref="AK32:AK33"/>
    <mergeCell ref="AQ32:AQ33"/>
    <mergeCell ref="AS32:AS33"/>
    <mergeCell ref="AU32:AU33"/>
    <mergeCell ref="BA28:BB28"/>
    <mergeCell ref="BC28:BD28"/>
    <mergeCell ref="BE28:BF28"/>
    <mergeCell ref="BK28:BL28"/>
    <mergeCell ref="BM28:BN28"/>
    <mergeCell ref="BO28:BP28"/>
    <mergeCell ref="AG28:AH28"/>
    <mergeCell ref="AI28:AJ28"/>
    <mergeCell ref="AK28:AL28"/>
    <mergeCell ref="AQ28:AR28"/>
    <mergeCell ref="AS28:AT28"/>
    <mergeCell ref="AU28:AV28"/>
    <mergeCell ref="M28:N28"/>
    <mergeCell ref="O28:P28"/>
    <mergeCell ref="Q28:R28"/>
    <mergeCell ref="W28:X28"/>
    <mergeCell ref="Y28:Z28"/>
    <mergeCell ref="AA28:AB28"/>
    <mergeCell ref="M25:N25"/>
    <mergeCell ref="W25:X25"/>
    <mergeCell ref="AG25:AH25"/>
    <mergeCell ref="AQ25:AR25"/>
    <mergeCell ref="BA25:BB25"/>
    <mergeCell ref="BK25:BL25"/>
    <mergeCell ref="K24:L24"/>
    <mergeCell ref="U24:V24"/>
    <mergeCell ref="AE24:AF24"/>
    <mergeCell ref="AO24:AP24"/>
    <mergeCell ref="AY24:AZ24"/>
    <mergeCell ref="BI24:BJ24"/>
    <mergeCell ref="K20:L20"/>
    <mergeCell ref="U20:V20"/>
    <mergeCell ref="AE20:AF20"/>
    <mergeCell ref="AO20:AP20"/>
    <mergeCell ref="AY20:AZ20"/>
    <mergeCell ref="BI20:BJ20"/>
    <mergeCell ref="BA19:BA20"/>
    <mergeCell ref="BC19:BC20"/>
    <mergeCell ref="BE19:BE20"/>
    <mergeCell ref="M19:M20"/>
    <mergeCell ref="O19:O20"/>
    <mergeCell ref="Q19:Q20"/>
    <mergeCell ref="W19:W20"/>
    <mergeCell ref="Y19:Y20"/>
    <mergeCell ref="AA19:AA20"/>
    <mergeCell ref="BM15:BN15"/>
    <mergeCell ref="BO15:BP15"/>
    <mergeCell ref="AG15:AH15"/>
    <mergeCell ref="AI15:AJ15"/>
    <mergeCell ref="AK15:AL15"/>
    <mergeCell ref="AQ15:AR15"/>
    <mergeCell ref="AS15:AT15"/>
    <mergeCell ref="AU15:AV15"/>
    <mergeCell ref="BK19:BK20"/>
    <mergeCell ref="BM19:BM20"/>
    <mergeCell ref="BO19:BO20"/>
    <mergeCell ref="AG19:AG20"/>
    <mergeCell ref="AI19:AI20"/>
    <mergeCell ref="AK19:AK20"/>
    <mergeCell ref="AQ19:AQ20"/>
    <mergeCell ref="AS19:AS20"/>
    <mergeCell ref="AU19:AU20"/>
    <mergeCell ref="M15:N15"/>
    <mergeCell ref="O15:P15"/>
    <mergeCell ref="Q15:R15"/>
    <mergeCell ref="W15:X15"/>
    <mergeCell ref="Y15:Z15"/>
    <mergeCell ref="AA15:AB15"/>
    <mergeCell ref="AQ12:AR12"/>
    <mergeCell ref="BA12:BB12"/>
    <mergeCell ref="BK12:BL12"/>
    <mergeCell ref="BA15:BB15"/>
    <mergeCell ref="BC15:BD15"/>
    <mergeCell ref="BE15:BF15"/>
    <mergeCell ref="BK15:BL15"/>
    <mergeCell ref="AO11:AP11"/>
    <mergeCell ref="AY11:AZ11"/>
    <mergeCell ref="BI11:BJ11"/>
    <mergeCell ref="AO7:AP7"/>
    <mergeCell ref="AY7:AZ7"/>
    <mergeCell ref="BI7:BJ7"/>
    <mergeCell ref="BA6:BA7"/>
    <mergeCell ref="BC6:BC7"/>
    <mergeCell ref="BE6:BE7"/>
    <mergeCell ref="M1:N1"/>
    <mergeCell ref="W1:X1"/>
    <mergeCell ref="AG1:AH1"/>
    <mergeCell ref="AQ1:AR1"/>
    <mergeCell ref="BA1:BB1"/>
    <mergeCell ref="BK1:BL1"/>
    <mergeCell ref="BK6:BK7"/>
    <mergeCell ref="BM6:BM7"/>
    <mergeCell ref="BO6:BO7"/>
    <mergeCell ref="AQ6:AQ7"/>
    <mergeCell ref="AS6:AS7"/>
    <mergeCell ref="AU6:AU7"/>
    <mergeCell ref="BA2:BB2"/>
    <mergeCell ref="BC2:BD2"/>
    <mergeCell ref="BE2:BF2"/>
    <mergeCell ref="BK2:BL2"/>
    <mergeCell ref="BM2:BN2"/>
    <mergeCell ref="BO2:BP2"/>
    <mergeCell ref="AQ2:AR2"/>
    <mergeCell ref="AS2:AT2"/>
    <mergeCell ref="AU2:AV2"/>
  </mergeCells>
  <dataValidations count="1">
    <dataValidation type="list" allowBlank="1" showInputMessage="1" showErrorMessage="1" sqref="L5 L18 L31 L44 L57 V5 V18 V31 V44 V57 AF5 AF18 AF31 AF44 AF57 AP5 AP18 AP31 AP44 AP57 AZ5 AZ18 AZ31 AZ44 AZ57 BJ5 BJ18 BJ31 BJ44 BJ57" xr:uid="{00000000-0002-0000-1100-000000000000}">
      <formula1>"8, 10, 12"</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B5569939-8A51-40F7-84B8-237C3A33404A}">
  <ds:schemaRefs/>
</ds:datastoreItem>
</file>

<file path=customXml/itemProps2.xml><?xml version="1.0" encoding="utf-8"?>
<ds:datastoreItem xmlns:ds="http://schemas.openxmlformats.org/officeDocument/2006/customXml" ds:itemID="{D02B85F9-E369-4DE0-9C6F-A72CB6B3FF85}">
  <ds:schemaRefs/>
</ds:datastoreItem>
</file>

<file path=customXml/itemProps3.xml><?xml version="1.0" encoding="utf-8"?>
<ds:datastoreItem xmlns:ds="http://schemas.openxmlformats.org/officeDocument/2006/customXml" ds:itemID="{722C1B3B-9973-4F3E-A60E-DB5958DFB9F8}">
  <ds:schemaRefs/>
</ds:datastoreItem>
</file>

<file path=customXml/itemProps4.xml><?xml version="1.0" encoding="utf-8"?>
<ds:datastoreItem xmlns:ds="http://schemas.openxmlformats.org/officeDocument/2006/customXml" ds:itemID="{DE7A9EC4-2170-489A-8E06-0D2120DE2A17}">
  <ds:schemaRefs/>
</ds:datastoreItem>
</file>

<file path=customXml/itemProps5.xml><?xml version="1.0" encoding="utf-8"?>
<ds:datastoreItem xmlns:ds="http://schemas.openxmlformats.org/officeDocument/2006/customXml" ds:itemID="{3477C35F-91A8-4FF6-AC85-DC637203CD7A}">
  <ds:schemaRefs/>
</ds:datastoreItem>
</file>

<file path=customXml/itemProps6.xml><?xml version="1.0" encoding="utf-8"?>
<ds:datastoreItem xmlns:ds="http://schemas.openxmlformats.org/officeDocument/2006/customXml" ds:itemID="{92BF53A7-46D3-4011-A36F-45BFCC581EA8}">
  <ds:schemaRefs/>
</ds:datastoreItem>
</file>

<file path=customXml/itemProps7.xml><?xml version="1.0" encoding="utf-8"?>
<ds:datastoreItem xmlns:ds="http://schemas.openxmlformats.org/officeDocument/2006/customXml" ds:itemID="{D24DE528-146F-4712-939C-1C17E31A34F9}">
  <ds:schemaRefs/>
</ds:datastoreItem>
</file>

<file path=customXml/itemProps8.xml><?xml version="1.0" encoding="utf-8"?>
<ds:datastoreItem xmlns:ds="http://schemas.openxmlformats.org/officeDocument/2006/customXml" ds:itemID="{5523D0ED-EFE4-4614-A576-0B3DF4E4BB25}">
  <ds:schemaRefs/>
</ds:datastoreItem>
</file>

<file path=customXml/itemProps9.xml><?xml version="1.0" encoding="utf-8"?>
<ds:datastoreItem xmlns:ds="http://schemas.openxmlformats.org/officeDocument/2006/customXml" ds:itemID="{85EDE959-C4C6-4C52-B8A2-4EF5A6C5250D}">
  <ds:schemaRefs/>
</ds:datastoreItem>
</file>

<file path=customXml/itemProps10.xml><?xml version="1.0" encoding="utf-8"?>
<ds:datastoreItem xmlns:ds="http://schemas.openxmlformats.org/officeDocument/2006/customXml" ds:itemID="{777BF81E-EC32-4366-8C2C-8BDC1B0333C4}">
  <ds:schemaRefs/>
</ds:datastoreItem>
</file>

<file path=customXml/itemProps11.xml><?xml version="1.0" encoding="utf-8"?>
<ds:datastoreItem xmlns:ds="http://schemas.openxmlformats.org/officeDocument/2006/customXml" ds:itemID="{05DA6CFE-01EF-41D8-844C-39BA196F33FF}">
  <ds:schemaRefs/>
</ds:datastoreItem>
</file>

<file path=customXml/itemProps12.xml><?xml version="1.0" encoding="utf-8"?>
<ds:datastoreItem xmlns:ds="http://schemas.openxmlformats.org/officeDocument/2006/customXml" ds:itemID="{573196A2-30D4-421F-8D1F-0F5CD98DFF74}">
  <ds:schemaRefs/>
</ds:datastoreItem>
</file>

<file path=customXml/itemProps13.xml><?xml version="1.0" encoding="utf-8"?>
<ds:datastoreItem xmlns:ds="http://schemas.openxmlformats.org/officeDocument/2006/customXml" ds:itemID="{8EDC4824-4643-43F2-9514-6A77D5EEE596}">
  <ds:schemaRefs/>
</ds:datastoreItem>
</file>

<file path=customXml/itemProps14.xml><?xml version="1.0" encoding="utf-8"?>
<ds:datastoreItem xmlns:ds="http://schemas.openxmlformats.org/officeDocument/2006/customXml" ds:itemID="{FB3AE946-525D-4A59-8440-417F5C86E150}">
  <ds:schemaRefs/>
</ds:datastoreItem>
</file>

<file path=customXml/itemProps15.xml><?xml version="1.0" encoding="utf-8"?>
<ds:datastoreItem xmlns:ds="http://schemas.openxmlformats.org/officeDocument/2006/customXml" ds:itemID="{4C2C39F9-113D-43E9-B214-0BD33AF6C9A5}">
  <ds:schemaRefs/>
</ds:datastoreItem>
</file>

<file path=customXml/itemProps16.xml><?xml version="1.0" encoding="utf-8"?>
<ds:datastoreItem xmlns:ds="http://schemas.openxmlformats.org/officeDocument/2006/customXml" ds:itemID="{5921E40E-2129-4201-AC36-4FA89FC2501F}">
  <ds:schemaRefs/>
</ds:datastoreItem>
</file>

<file path=customXml/itemProps17.xml><?xml version="1.0" encoding="utf-8"?>
<ds:datastoreItem xmlns:ds="http://schemas.openxmlformats.org/officeDocument/2006/customXml" ds:itemID="{23F74761-53BF-414A-A85C-E728F17758EF}">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4</vt:i4>
      </vt:variant>
    </vt:vector>
  </HeadingPairs>
  <TitlesOfParts>
    <vt:vector size="22" baseType="lpstr">
      <vt:lpstr>Instructions</vt:lpstr>
      <vt:lpstr>Prod. SCHED</vt:lpstr>
      <vt:lpstr>CURRENT WIP</vt:lpstr>
      <vt:lpstr>WIP REPORT</vt:lpstr>
      <vt:lpstr>MOVEMENT</vt:lpstr>
      <vt:lpstr>HEAD COUNT</vt:lpstr>
      <vt:lpstr>EFFICIENCY</vt:lpstr>
      <vt:lpstr>FEBRUARY</vt:lpstr>
      <vt:lpstr>MARCH</vt:lpstr>
      <vt:lpstr>APRIL</vt:lpstr>
      <vt:lpstr>MAY</vt:lpstr>
      <vt:lpstr>JUNE</vt:lpstr>
      <vt:lpstr>JULY</vt:lpstr>
      <vt:lpstr>AUGUST</vt:lpstr>
      <vt:lpstr>SEPTEMBER</vt:lpstr>
      <vt:lpstr>OCTOBER</vt:lpstr>
      <vt:lpstr>NOVEMBER</vt:lpstr>
      <vt:lpstr>DECEMBER</vt:lpstr>
      <vt:lpstr>HOURS</vt:lpstr>
      <vt:lpstr>'WIP REPORT'!Print_Area</vt:lpstr>
      <vt:lpstr>PRODUCTION</vt:lpstr>
      <vt:lpstr>WIP</vt:lpstr>
    </vt:vector>
  </TitlesOfParts>
  <Company>Vertex42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Chart Template</dc:title>
  <dc:creator>Donald, Ashley</dc:creator>
  <dc:description>(c) 2006-2015 Vertex42 LLC. All Rights Reserved.</dc:description>
  <cp:lastModifiedBy>AD</cp:lastModifiedBy>
  <cp:lastPrinted>2016-01-08T18:08:48Z</cp:lastPrinted>
  <dcterms:created xsi:type="dcterms:W3CDTF">2010-06-09T16:05:03Z</dcterms:created>
  <dcterms:modified xsi:type="dcterms:W3CDTF">2018-10-27T16:56:46Z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pyright">
    <vt:lpwstr>2015 Vertex42 LLC</vt:lpwstr>
  </property>
  <property fmtid="{D5CDD505-2E9C-101B-9397-08002B2CF9AE}" pid="3" name="Version">
    <vt:lpwstr>3.0.4</vt:lpwstr>
  </property>
</Properties>
</file>